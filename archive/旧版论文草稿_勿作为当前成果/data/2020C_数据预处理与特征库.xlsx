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0518fac12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摘要" sheetId="1" r:id="Rbd4a1c3edcad4e59"/>
    <x:sheet xmlns:r="http://schemas.openxmlformats.org/officeDocument/2006/relationships" name="数据审计" sheetId="2" r:id="R76ad76dd34c14ddc"/>
    <x:sheet xmlns:r="http://schemas.openxmlformats.org/officeDocument/2006/relationships" name="处理规则" sheetId="3" r:id="R4e46678f68a04789"/>
    <x:sheet xmlns:r="http://schemas.openxmlformats.org/officeDocument/2006/relationships" name="原始特征" sheetId="4" r:id="R2022a94957854981"/>
    <x:sheet xmlns:r="http://schemas.openxmlformats.org/officeDocument/2006/relationships" name="缩尾特征" sheetId="5" r:id="Rf3695ebd56664b95"/>
    <x:sheet xmlns:r="http://schemas.openxmlformats.org/officeDocument/2006/relationships" name="ZScore标准化" sheetId="6" r:id="Raff78b3a8be34f85"/>
    <x:sheet xmlns:r="http://schemas.openxmlformats.org/officeDocument/2006/relationships" name="MinMax归一化" sheetId="7" r:id="R8d134ae0d2cd4ea6"/>
    <x:sheet xmlns:r="http://schemas.openxmlformats.org/officeDocument/2006/relationships" name="异常汇总" sheetId="8" r:id="Re6885e90793840e8"/>
    <x:sheet xmlns:r="http://schemas.openxmlformats.org/officeDocument/2006/relationships" name="异常明细" sheetId="9" r:id="R980b6b6354074962"/>
    <x:sheet xmlns:r="http://schemas.openxmlformats.org/officeDocument/2006/relationships" name="填补记录" sheetId="10" r:id="R613290394ec54205"/>
    <x:sheet xmlns:r="http://schemas.openxmlformats.org/officeDocument/2006/relationships" name="转换参数" sheetId="11" r:id="R2862de03ef7c4aa9"/>
    <x:sheet xmlns:r="http://schemas.openxmlformats.org/officeDocument/2006/relationships" name="利率流失率" sheetId="12" r:id="R123686e7ffdc4139"/>
    <x:sheet xmlns:r="http://schemas.openxmlformats.org/officeDocument/2006/relationships" name="补充参数" sheetId="13" r:id="R7f1758cc73e54873"/>
    <x:sheet xmlns:r="http://schemas.openxmlformats.org/officeDocument/2006/relationships" name="冲击假设" sheetId="14" r:id="R56559e6142384f76"/>
    <x:sheet xmlns:r="http://schemas.openxmlformats.org/officeDocument/2006/relationships" name="可视化" sheetId="15" r:id="Rdc3d6bec373643df"/>
    <x:sheet xmlns:r="http://schemas.openxmlformats.org/officeDocument/2006/relationships" name="检查" sheetId="16" r:id="Rc3ed9fcf657043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%"/>
    <x:numFmt numFmtId="202" formatCode="0.0%"/>
  </x:numFmts>
  <x:fonts count="9">
    <x:font>
      <x:sz val="11"/>
      <x:name val="Carlito"/>
    </x:font>
    <x:font>
      <x:sz val="10"/>
      <x:color rgb="FF000000"/>
      <x:name val="Microsoft YaHei"/>
    </x:font>
    <x:font>
      <x:b/>
      <x:sz val="10"/>
      <x:color rgb="FFFFFFFF"/>
      <x:name val="Microsoft YaHei"/>
    </x:font>
    <x:font>
      <x:b/>
      <x:sz val="18"/>
      <x:color rgb="FFFFFFFF"/>
      <x:name val="Microsoft YaHei"/>
    </x:font>
    <x:font>
      <x:i/>
      <x:sz val="10"/>
      <x:color rgb="FF404040"/>
      <x:name val="Microsoft YaHei"/>
    </x:font>
    <x:font>
      <x:sz val="10"/>
      <x:color rgb="FF0000FF"/>
      <x:name val="Microsoft YaHei"/>
    </x:font>
    <x:font>
      <x:sz val="11"/>
      <x:color rgb="FF0000FF"/>
      <x:name val="Carlito"/>
    </x:font>
    <x:font>
      <x:b/>
      <x:sz val="16"/>
      <x:color rgb="FFFFFFFF"/>
      <x:name val="Microsoft YaHei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202" fontId="5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f84f171afd47e3" /><Relationship Type="http://schemas.openxmlformats.org/officeDocument/2006/relationships/theme" Target="/xl/theme/theme1.xml" Id="R1eaef26e6f544ee7" /><Relationship Type="http://schemas.openxmlformats.org/officeDocument/2006/relationships/sharedStrings" Target="/xl/sharedStrings.xml" Id="Re70273f6a6a14f8f" /><Relationship Type="http://schemas.openxmlformats.org/officeDocument/2006/relationships/worksheet" Target="/xl/worksheets/sheet1.xml" Id="Rbd4a1c3edcad4e59" /><Relationship Type="http://schemas.openxmlformats.org/officeDocument/2006/relationships/worksheet" Target="/xl/worksheets/sheet2.xml" Id="R76ad76dd34c14ddc" /><Relationship Type="http://schemas.openxmlformats.org/officeDocument/2006/relationships/worksheet" Target="/xl/worksheets/sheet3.xml" Id="R4e46678f68a04789" /><Relationship Type="http://schemas.openxmlformats.org/officeDocument/2006/relationships/worksheet" Target="/xl/worksheets/sheet4.xml" Id="R2022a94957854981" /><Relationship Type="http://schemas.openxmlformats.org/officeDocument/2006/relationships/worksheet" Target="/xl/worksheets/sheet5.xml" Id="Rf3695ebd56664b95" /><Relationship Type="http://schemas.openxmlformats.org/officeDocument/2006/relationships/worksheet" Target="/xl/worksheets/sheet6.xml" Id="Raff78b3a8be34f85" /><Relationship Type="http://schemas.openxmlformats.org/officeDocument/2006/relationships/worksheet" Target="/xl/worksheets/sheet7.xml" Id="R8d134ae0d2cd4ea6" /><Relationship Type="http://schemas.openxmlformats.org/officeDocument/2006/relationships/worksheet" Target="/xl/worksheets/sheet8.xml" Id="Re6885e90793840e8" /><Relationship Type="http://schemas.openxmlformats.org/officeDocument/2006/relationships/worksheet" Target="/xl/worksheets/sheet9.xml" Id="R980b6b6354074962" /><Relationship Type="http://schemas.openxmlformats.org/officeDocument/2006/relationships/worksheet" Target="/xl/worksheets/sheet10.xml" Id="R613290394ec54205" /><Relationship Type="http://schemas.openxmlformats.org/officeDocument/2006/relationships/worksheet" Target="/xl/worksheets/sheet11.xml" Id="R2862de03ef7c4aa9" /><Relationship Type="http://schemas.openxmlformats.org/officeDocument/2006/relationships/worksheet" Target="/xl/worksheets/sheet12.xml" Id="R123686e7ffdc4139" /><Relationship Type="http://schemas.openxmlformats.org/officeDocument/2006/relationships/worksheet" Target="/xl/worksheets/sheet13.xml" Id="R7f1758cc73e54873" /><Relationship Type="http://schemas.openxmlformats.org/officeDocument/2006/relationships/worksheet" Target="/xl/worksheets/sheet14.xml" Id="R56559e6142384f76" /><Relationship Type="http://schemas.openxmlformats.org/officeDocument/2006/relationships/worksheet" Target="/xl/worksheets/sheet15.xml" Id="Rdc3d6bec373643df" /><Relationship Type="http://schemas.openxmlformats.org/officeDocument/2006/relationships/worksheet" Target="/xl/worksheets/sheet16.xml" Id="Rc3ed9fcf657043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8285c5f38ee4e11" /><Relationship Type="http://schemas.openxmlformats.org/officeDocument/2006/relationships/chart" Target="/xl/drawings/charts/chart1.xml" Id="R854c3af613af454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完全重复记录主要集中于发票明细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完全重复行</c:v>
          </c:tx>
          <c:cat>
            <c:strRef>
              <c:f>'可视化'!$A$4:$A$10</c:f>
              <c:strCache>
                <c:ptCount val="0"/>
              </c:strCache>
            </c:strRef>
          </c:cat>
          <c:val>
            <c:numRef>
              <c:f>'可视化'!$C$4:$C$10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4c3af613af4545"/>
        </a:graphicData>
      </a:graphic>
    </xdr:graphicFrame>
    <xdr:clientData/>
  </xdr:twoCellAnchor>
  <xdr:oneCellAnchor>
    <xdr:from>
      <xdr:col>8</xdr:col>
      <xdr:colOff>0</xdr:colOff>
      <xdr:row>11</xdr:row>
      <xdr:rowOff>0</xdr:rowOff>
    </xdr:from>
    <xdr:ext cx="7239000" cy="4095750"/>
    <xdr:pic>
      <xdr:nvPicPr>
        <xdr:cNvPr id="2" name="f57ee605-778c-417b-8b0a-34ddbee740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285c5f38ee4e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.xml" Id="R909351d3c73740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0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hidden="0" customHeight="1">
      <x:c r="A1" s="6" t="str">
        <x:v>2020 C题｜数据预处理与建模特征库</x:v>
      </x:c>
      <x:c r="B1" s="6"/>
      <x:c r="C1" s="6"/>
      <x:c r="D1" s="6"/>
      <x:c r="E1" s="6"/>
      <x:c r="F1" s="6"/>
      <x:c r="G1" s="6"/>
      <x:c r="H1" s="6"/>
    </x:row>
    <x:row r="2" ht="15" hidden="0" customHeight="1">
      <x:c r="A2" s="8" t="str">
        <x:v>用途：问题1—3的统一数据入口；原始附件未被修改</x:v>
      </x:c>
      <x:c r="B2" s="8"/>
      <x:c r="C2" s="8"/>
      <x:c r="D2" s="8"/>
      <x:c r="E2" s="8"/>
      <x:c r="F2" s="8"/>
      <x:c r="G2" s="8"/>
      <x:c r="H2" s="8"/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</x:row>
    <x:row r="4" ht="15" hidden="0" customHeight="1">
      <x:c r="A4" s="11" t="str">
        <x:v>核心指标</x:v>
      </x:c>
      <x:c r="B4" s="11" t="str">
        <x:v>结果</x:v>
      </x:c>
      <x:c r="C4" s="12"/>
      <x:c r="D4" s="11" t="str">
        <x:v>推荐使用</x:v>
      </x:c>
      <x:c r="E4" s="11" t="str">
        <x:v>对应工作表</x:v>
      </x:c>
      <x:c r="F4" s="11" t="str">
        <x:v>适用模型</x:v>
      </x:c>
      <x:c r="G4" s="11" t="str">
        <x:v>异常处理</x:v>
      </x:c>
      <x:c r="H4" s="11" t="str">
        <x:v>说明</x:v>
      </x:c>
    </x:row>
    <x:row r="5" ht="15" hidden="0" customHeight="1">
      <x:c r="A5" s="12" t="str">
        <x:v>企业总数</x:v>
      </x:c>
      <x:c r="B5" s="12" t="n">
        <x:v>425</x:v>
      </x:c>
      <x:c r="C5" s="12"/>
      <x:c r="D5" s="12" t="str">
        <x:v>原始统计</x:v>
      </x:c>
      <x:c r="E5" s="12" t="str">
        <x:v>原始特征</x:v>
      </x:c>
      <x:c r="F5" s="12" t="str">
        <x:v>描述统计/业务解释</x:v>
      </x:c>
      <x:c r="G5" s="12" t="str">
        <x:v>不缩尾</x:v>
      </x:c>
      <x:c r="H5" s="12" t="str">
        <x:v>保留真实经营规模</x:v>
      </x:c>
    </x:row>
    <x:row r="6" ht="15" hidden="0" customHeight="1">
      <x:c r="A6" s="12" t="str">
        <x:v>附件1企业数</x:v>
      </x:c>
      <x:c r="B6" s="12" t="n">
        <x:v>123</x:v>
      </x:c>
      <x:c r="C6" s="12"/>
      <x:c r="D6" s="12" t="str">
        <x:v>稳健原值</x:v>
      </x:c>
      <x:c r="E6" s="12" t="str">
        <x:v>缩尾特征</x:v>
      </x:c>
      <x:c r="F6" s="12" t="str">
        <x:v>树模型/回归</x:v>
      </x:c>
      <x:c r="G6" s="12" t="str">
        <x:v>1%-99%缩尾</x:v>
      </x:c>
      <x:c r="H6" s="12" t="str">
        <x:v>不删除企业</x:v>
      </x:c>
    </x:row>
    <x:row r="7" ht="15" hidden="0" customHeight="1">
      <x:c r="A7" s="12" t="str">
        <x:v>附件2企业数</x:v>
      </x:c>
      <x:c r="B7" s="12" t="n">
        <x:v>302</x:v>
      </x:c>
      <x:c r="C7" s="12"/>
      <x:c r="D7" s="12" t="str">
        <x:v>标准化</x:v>
      </x:c>
      <x:c r="E7" s="12" t="str">
        <x:v>ZScore标准化</x:v>
      </x:c>
      <x:c r="F7" s="12" t="str">
        <x:v>Logistic/SVM/PCA</x:v>
      </x:c>
      <x:c r="G7" s="12" t="str">
        <x:v>先缩尾</x:v>
      </x:c>
      <x:c r="H7" s="12" t="str">
        <x:v>均值0、标准差1</x:v>
      </x:c>
    </x:row>
    <x:row r="8" ht="15" hidden="0" customHeight="1">
      <x:c r="A8" s="12" t="str">
        <x:v>企业级数值特征</x:v>
      </x:c>
      <x:c r="B8" s="12" t="n">
        <x:v>37</x:v>
      </x:c>
      <x:c r="C8" s="12"/>
      <x:c r="D8" s="12" t="str">
        <x:v>归一化</x:v>
      </x:c>
      <x:c r="E8" s="12" t="str">
        <x:v>MinMax归一化</x:v>
      </x:c>
      <x:c r="F8" s="12" t="str">
        <x:v>TOPSIS/综合评价</x:v>
      </x:c>
      <x:c r="G8" s="12" t="str">
        <x:v>先缩尾</x:v>
      </x:c>
      <x:c r="H8" s="12" t="str">
        <x:v>映射至[0,1]</x:v>
      </x:c>
    </x:row>
    <x:row r="9" ht="15" hidden="0" customHeight="1">
      <x:c r="A9" s="12" t="str">
        <x:v>删除完全重复发票</x:v>
      </x:c>
      <x:c r="B9" s="12" t="n">
        <x:v>11665</x:v>
      </x:c>
      <x:c r="C9" s="12"/>
      <x:c r="D9" s="12" t="str">
        <x:v>异常核验</x:v>
      </x:c>
      <x:c r="E9" s="12" t="str">
        <x:v>异常汇总/异常明细</x:v>
      </x:c>
      <x:c r="F9" s="12" t="str">
        <x:v>敏感性分析</x:v>
      </x:c>
      <x:c r="G9" s="12" t="str">
        <x:v>IQR标记</x:v>
      </x:c>
      <x:c r="H9" s="12" t="str">
        <x:v>原始值仍保留</x:v>
      </x:c>
    </x:row>
    <x:row r="10" ht="15" hidden="0" customHeight="1">
      <x:c r="A10" s="12" t="str">
        <x:v>修正税额符号</x:v>
      </x:c>
      <x:c r="B10" s="12" t="n">
        <x:v>5</x:v>
      </x:c>
      <x:c r="C10" s="12"/>
      <x:c r="D10" s="12" t="str">
        <x:v>外部参数</x:v>
      </x:c>
      <x:c r="E10" s="12" t="str">
        <x:v>补充参数/冲击假设</x:v>
      </x:c>
      <x:c r="F10" s="12" t="str">
        <x:v>优化/问题3</x:v>
      </x:c>
      <x:c r="G10" s="12" t="str">
        <x:v>蓝字可编辑</x:v>
      </x:c>
      <x:c r="H10" s="12" t="str">
        <x:v>均为假设或建议来源</x:v>
      </x:c>
    </x:row>
    <x:row r="11" ht="15" hidden="0" customHeight="1">
      <x:c r="A11" s="12" t="str">
        <x:v>企业级填补单元格</x:v>
      </x:c>
      <x:c r="B11" s="12" t="n">
        <x:v>0</x:v>
      </x:c>
      <x:c r="C11" s="12"/>
      <x:c r="D11" s="12" t="str">
        <x:v>图表</x:v>
      </x:c>
      <x:c r="E11" s="12" t="str">
        <x:v>可视化</x:v>
      </x:c>
      <x:c r="F11" s="12" t="str">
        <x:v>论文素材</x:v>
      </x:c>
      <x:c r="G11" s="12" t="str">
        <x:v>原生图表</x:v>
      </x:c>
      <x:c r="H11" s="12" t="str">
        <x:v>箱线图与审计图</x:v>
      </x:c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</x:row>
    <x:row r="13" ht="24" hidden="0" customHeight="1">
      <x:c r="A13" s="11" t="str">
        <x:v>关键口径</x:v>
      </x:c>
      <x:c r="B13" s="11" t="str">
        <x:v>处理结论</x:v>
      </x:c>
      <x:c r="C13" s="11" t="str">
        <x:v>原因</x:v>
      </x:c>
      <x:c r="D13" s="11" t="str">
        <x:v>公式/说明</x:v>
      </x:c>
      <x:c r="E13" s="11" t="str"/>
      <x:c r="F13" s="11" t="str"/>
      <x:c r="G13" s="11" t="str"/>
      <x:c r="H13" s="11" t="str"/>
    </x:row>
    <x:row r="14" ht="46" hidden="0" customHeight="1">
      <x:c r="A14" s="12" t="str">
        <x:v>缺失值</x:v>
      </x:c>
      <x:c r="B14" s="12" t="str">
        <x:v>原始关键字段无缺失；未实施填补</x:v>
      </x:c>
      <x:c r="C14" s="12" t="str">
        <x:v>避免人为制造交易</x:v>
      </x:c>
      <x:c r="D14" s="12" t="str">
        <x:v>月份无交易按0，不视为缺失</x:v>
      </x:c>
      <x:c r="E14" s="12" t="str"/>
      <x:c r="F14" s="12" t="str"/>
      <x:c r="G14" s="12" t="str"/>
      <x:c r="H14" s="12" t="str"/>
    </x:row>
    <x:row r="15" ht="46" hidden="0" customHeight="1">
      <x:c r="A15" s="12" t="str">
        <x:v>重复值</x:v>
      </x:c>
      <x:c r="B15" s="12" t="str">
        <x:v>删除完全重复记录</x:v>
      </x:c>
      <x:c r="C15" s="12" t="str">
        <x:v>同一行重复会重复计算交易额</x:v>
      </x:c>
      <x:c r="D15" s="12" t="str">
        <x:v>原始附件保留，建模特征用去重数据</x:v>
      </x:c>
      <x:c r="E15" s="12" t="str"/>
      <x:c r="F15" s="12" t="str"/>
      <x:c r="G15" s="12" t="str"/>
      <x:c r="H15" s="12" t="str"/>
    </x:row>
    <x:row r="16" ht="46" hidden="0" customHeight="1">
      <x:c r="A16" s="12" t="str">
        <x:v>异常值</x:v>
      </x:c>
      <x:c r="B16" s="12" t="str">
        <x:v>IQR检测、原值保留、另建缩尾表</x:v>
      </x:c>
      <x:c r="C16" s="12" t="str">
        <x:v>大额票据可能反映真实规模</x:v>
      </x:c>
      <x:c r="D16" s="12" t="str">
        <x:v>IQR界限=Q1-1.5IQR，Q3+1.5IQR</x:v>
      </x:c>
      <x:c r="E16" s="12" t="str"/>
      <x:c r="F16" s="12" t="str"/>
      <x:c r="G16" s="12" t="str"/>
      <x:c r="H16" s="12" t="str"/>
    </x:row>
    <x:row r="17" ht="46" hidden="0" customHeight="1">
      <x:c r="A17" s="12" t="str">
        <x:v>转换</x:v>
      </x:c>
      <x:c r="B17" s="12" t="str">
        <x:v>同时提供Z-score与Min-Max</x:v>
      </x:c>
      <x:c r="C17" s="12" t="str">
        <x:v>对应不同后续模型</x:v>
      </x:c>
      <x:c r="D17" s="12" t="str">
        <x:v>z=(x-μ)/σ；x'=(x-min)/(max-min)</x:v>
      </x:c>
      <x:c r="E17" s="12" t="str"/>
      <x:c r="F17" s="12" t="str"/>
      <x:c r="G17" s="12" t="str"/>
      <x:c r="H17" s="12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630000114440918" hidden="0" customWidth="1"/>
    <x:col min="2" max="2" width="10.630000114440918" hidden="0" customWidth="1"/>
    <x:col min="3" max="3" width="6.380000114440918" hidden="0" customWidth="1"/>
    <x:col min="4" max="4" width="7.25" hidden="0" customWidth="1"/>
    <x:col min="5" max="5" width="8.880000114440918" hidden="0" customWidth="1"/>
    <x:col min="6" max="6" width="10.75" hidden="0" customWidth="1"/>
    <x:col min="7" max="7" width="12.25" hidden="0" customWidth="1"/>
    <x:col min="8" max="8" width="8.880000114440918" hidden="0" customWidth="1"/>
    <x:col min="9" max="9" width="8.880000114440918" hidden="0" customWidth="1"/>
    <x:col min="10" max="10" width="12.25" hidden="0" customWidth="1"/>
    <x:col min="11" max="11" width="12.25" hidden="0" customWidth="1"/>
    <x:col min="12" max="12" width="13.880000114440918" hidden="0" customWidth="1"/>
  </x:cols>
  <x:sheetData>
    <x:row r="1" ht="24" hidden="0" customHeight="1">
      <x:c r="A1" s="10" t="str">
        <x:v>数据集</x:v>
      </x:c>
      <x:c r="B1" s="10" t="str">
        <x:v>工作表</x:v>
      </x:c>
      <x:c r="C1" s="10" t="str">
        <x:v>行数</x:v>
      </x:c>
      <x:c r="D1" s="10" t="str">
        <x:v>有效列数</x:v>
      </x:c>
      <x:c r="E1" s="10" t="str">
        <x:v>缺失单元格</x:v>
      </x:c>
      <x:c r="F1" s="10" t="str">
        <x:v>缺失率</x:v>
      </x:c>
      <x:c r="G1" s="10" t="str">
        <x:v>关键字段缺失行</x:v>
      </x:c>
      <x:c r="H1" s="10" t="str">
        <x:v>完全重复行</x:v>
      </x:c>
      <x:c r="I1" s="10" t="str">
        <x:v>无效日期行</x:v>
      </x:c>
      <x:c r="J1" s="10" t="str">
        <x:v>数值字段缺失行</x:v>
      </x:c>
      <x:c r="K1" s="10" t="str">
        <x:v>未知发票状态行</x:v>
      </x:c>
      <x:c r="L1" s="10" t="str">
        <x:v>金额恒等式误差行</x:v>
      </x:c>
    </x:row>
    <x:row r="2" ht="15" hidden="0" customHeight="1">
      <x:c r="A2" s="2" t="str">
        <x:v>附件1</x:v>
      </x:c>
      <x:c r="B2" s="2" t="str">
        <x:v>企业信息</x:v>
      </x:c>
      <x:c r="C2" s="2" t="n">
        <x:v>123</x:v>
      </x:c>
      <x:c r="D2" s="2" t="n">
        <x:v>4</x:v>
      </x:c>
      <x:c r="E2" s="2" t="n">
        <x:v>0</x:v>
      </x:c>
      <x:c r="F2" s="14" t="n">
        <x:v>0</x:v>
      </x:c>
      <x:c r="G2" s="2" t="n">
        <x:v>0</x:v>
      </x:c>
      <x:c r="H2" s="2" t="n">
        <x:v>0</x:v>
      </x:c>
      <x:c r="I2" s="2" t="n">
        <x:v>0</x:v>
      </x:c>
      <x:c r="J2" s="2" t="n">
        <x:v>0</x:v>
      </x:c>
      <x:c r="K2" s="2" t="n">
        <x:v>0</x:v>
      </x:c>
      <x:c r="L2" s="2" t="n">
        <x:v>0</x:v>
      </x:c>
    </x:row>
    <x:row r="3" ht="15" hidden="0" customHeight="1">
      <x:c r="A3" s="2" t="str">
        <x:v>附件1</x:v>
      </x:c>
      <x:c r="B3" s="2" t="str">
        <x:v>进项发票信息</x:v>
      </x:c>
      <x:c r="C3" s="2" t="n">
        <x:v>210947</x:v>
      </x:c>
      <x:c r="D3" s="2" t="n">
        <x:v>8</x:v>
      </x:c>
      <x:c r="E3" s="2" t="n">
        <x:v>0</x:v>
      </x:c>
      <x:c r="F3" s="14" t="n">
        <x:v>0</x:v>
      </x:c>
      <x:c r="G3" s="2" t="n">
        <x:v>0</x:v>
      </x:c>
      <x:c r="H3" s="2" t="n">
        <x:v>803</x:v>
      </x:c>
      <x:c r="I3" s="2" t="n">
        <x:v>0</x:v>
      </x:c>
      <x:c r="J3" s="2" t="n">
        <x:v>0</x:v>
      </x:c>
      <x:c r="K3" s="2" t="n">
        <x:v>0</x:v>
      </x:c>
      <x:c r="L3" s="2" t="n">
        <x:v>2</x:v>
      </x:c>
    </x:row>
    <x:row r="4" ht="15" hidden="0" customHeight="1">
      <x:c r="A4" s="2" t="str">
        <x:v>附件1</x:v>
      </x:c>
      <x:c r="B4" s="2" t="str">
        <x:v>销项发票信息</x:v>
      </x:c>
      <x:c r="C4" s="2" t="n">
        <x:v>162484</x:v>
      </x:c>
      <x:c r="D4" s="2" t="n">
        <x:v>8</x:v>
      </x:c>
      <x:c r="E4" s="2" t="n">
        <x:v>0</x:v>
      </x:c>
      <x:c r="F4" s="14" t="n">
        <x:v>0</x:v>
      </x:c>
      <x:c r="G4" s="2" t="n">
        <x:v>0</x:v>
      </x:c>
      <x:c r="H4" s="2" t="n">
        <x:v>4436</x:v>
      </x:c>
      <x:c r="I4" s="2" t="n">
        <x:v>0</x:v>
      </x:c>
      <x:c r="J4" s="2" t="n">
        <x:v>0</x:v>
      </x:c>
      <x:c r="K4" s="2" t="n">
        <x:v>0</x:v>
      </x:c>
      <x:c r="L4" s="2" t="n">
        <x:v>1</x:v>
      </x:c>
    </x:row>
    <x:row r="5" ht="15" hidden="0" customHeight="1">
      <x:c r="A5" s="2" t="str">
        <x:v>附件2</x:v>
      </x:c>
      <x:c r="B5" s="2" t="str">
        <x:v>企业信息</x:v>
      </x:c>
      <x:c r="C5" s="2" t="n">
        <x:v>302</x:v>
      </x:c>
      <x:c r="D5" s="2" t="n">
        <x:v>2</x:v>
      </x:c>
      <x:c r="E5" s="2" t="n">
        <x:v>0</x:v>
      </x:c>
      <x:c r="F5" s="14" t="n">
        <x:v>0</x:v>
      </x:c>
      <x:c r="G5" s="2" t="n">
        <x:v>0</x:v>
      </x:c>
      <x:c r="H5" s="2" t="n">
        <x:v>0</x:v>
      </x:c>
      <x:c r="I5" s="2" t="n">
        <x:v>0</x:v>
      </x:c>
      <x:c r="J5" s="2" t="n">
        <x:v>0</x:v>
      </x:c>
      <x:c r="K5" s="2" t="n">
        <x:v>0</x:v>
      </x:c>
      <x:c r="L5" s="2" t="n">
        <x:v>0</x:v>
      </x:c>
    </x:row>
    <x:row r="6" ht="15" hidden="0" customHeight="1">
      <x:c r="A6" s="2" t="str">
        <x:v>附件2</x:v>
      </x:c>
      <x:c r="B6" s="2" t="str">
        <x:v>销项发票信息</x:v>
      </x:c>
      <x:c r="C6" s="2" t="n">
        <x:v>330835</x:v>
      </x:c>
      <x:c r="D6" s="2" t="n">
        <x:v>8</x:v>
      </x:c>
      <x:c r="E6" s="2" t="n">
        <x:v>0</x:v>
      </x:c>
      <x:c r="F6" s="14" t="n">
        <x:v>0</x:v>
      </x:c>
      <x:c r="G6" s="2" t="n">
        <x:v>0</x:v>
      </x:c>
      <x:c r="H6" s="2" t="n">
        <x:v>1745</x:v>
      </x:c>
      <x:c r="I6" s="2" t="n">
        <x:v>0</x:v>
      </x:c>
      <x:c r="J6" s="2" t="n">
        <x:v>0</x:v>
      </x:c>
      <x:c r="K6" s="2" t="n">
        <x:v>0</x:v>
      </x:c>
      <x:c r="L6" s="2" t="n">
        <x:v>0</x:v>
      </x:c>
    </x:row>
    <x:row r="7" ht="15" hidden="0" customHeight="1">
      <x:c r="A7" s="2" t="str">
        <x:v>附件2</x:v>
      </x:c>
      <x:c r="B7" s="2" t="str">
        <x:v>进项发票信息</x:v>
      </x:c>
      <x:c r="C7" s="2" t="n">
        <x:v>395175</x:v>
      </x:c>
      <x:c r="D7" s="2" t="n">
        <x:v>8</x:v>
      </x:c>
      <x:c r="E7" s="2" t="n">
        <x:v>0</x:v>
      </x:c>
      <x:c r="F7" s="14" t="n">
        <x:v>0</x:v>
      </x:c>
      <x:c r="G7" s="2" t="n">
        <x:v>0</x:v>
      </x:c>
      <x:c r="H7" s="2" t="n">
        <x:v>4681</x:v>
      </x:c>
      <x:c r="I7" s="2" t="n">
        <x:v>0</x:v>
      </x:c>
      <x:c r="J7" s="2" t="n">
        <x:v>0</x:v>
      </x:c>
      <x:c r="K7" s="2" t="n">
        <x:v>0</x:v>
      </x:c>
      <x:c r="L7" s="2" t="n">
        <x:v>2</x:v>
      </x:c>
    </x:row>
    <x:row r="8" ht="15" hidden="0" customHeight="1">
      <x:c r="A8" s="2" t="str">
        <x:v>附件3</x:v>
      </x:c>
      <x:c r="B8" s="2" t="str">
        <x:v>利率流失率</x:v>
      </x:c>
      <x:c r="C8" s="2" t="n">
        <x:v>30</x:v>
      </x:c>
      <x:c r="D8" s="2" t="n">
        <x:v>4</x:v>
      </x:c>
      <x:c r="E8" s="2" t="n">
        <x:v>1</x:v>
      </x:c>
      <x:c r="F8" s="14" t="n">
        <x:v>0.008333333333333333</x:v>
      </x:c>
      <x:c r="G8" s="2" t="n">
        <x:v>0</x:v>
      </x:c>
      <x:c r="H8" s="2" t="n">
        <x:v>0</x:v>
      </x:c>
      <x:c r="I8" s="2" t="n">
        <x:v>0</x:v>
      </x:c>
      <x:c r="J8" s="2" t="n">
        <x:v>0</x:v>
      </x:c>
      <x:c r="K8" s="2" t="n">
        <x:v>0</x:v>
      </x:c>
      <x:c r="L8" s="2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32.25" hidden="0" customWidth="1"/>
    <x:col min="3" max="3" width="54.380001068115234" hidden="0" customWidth="1"/>
  </x:cols>
  <x:sheetData>
    <x:row r="1" ht="24" hidden="0" customHeight="1">
      <x:c r="A1" s="10" t="str">
        <x:v>处理对象</x:v>
      </x:c>
      <x:c r="B1" s="10" t="str">
        <x:v>处理方法</x:v>
      </x:c>
      <x:c r="C1" s="10" t="str">
        <x:v>采用依据</x:v>
      </x:c>
    </x:row>
    <x:row r="2" ht="15" hidden="0" customHeight="1">
      <x:c r="A2" s="2" t="str">
        <x:v>原始缺失</x:v>
      </x:c>
      <x:c r="B2" s="2" t="str">
        <x:v>关键字段不填补；若存在则隔离并人工核验</x:v>
      </x:c>
      <x:c r="C2" s="2" t="str">
        <x:v>企业代号、发票号、日期、金额无法可靠猜测</x:v>
      </x:c>
    </x:row>
    <x:row r="3" ht="15" hidden="0" customHeight="1">
      <x:c r="A3" s="2" t="str">
        <x:v>企业级派生特征缺失</x:v>
      </x:c>
      <x:c r="B3" s="2" t="str">
        <x:v>同样本类型中位数填充，并保留缺失记录</x:v>
      </x:c>
      <x:c r="C3" s="2" t="str">
        <x:v>特征偏态明显，中位数比均值更稳健；不使用KNN避免小样本和尺度依赖</x:v>
      </x:c>
    </x:row>
    <x:row r="4" ht="15" hidden="0" customHeight="1">
      <x:c r="A4" s="2" t="str">
        <x:v>月份无交易</x:v>
      </x:c>
      <x:c r="B4" s="2" t="str">
        <x:v>补0而不是插值</x:v>
      </x:c>
      <x:c r="C4" s="2" t="str">
        <x:v>这是没有发票活动，不是数据缺失</x:v>
      </x:c>
    </x:row>
    <x:row r="5" ht="15" hidden="0" customHeight="1">
      <x:c r="A5" s="2" t="str">
        <x:v>交易金额极端值</x:v>
      </x:c>
      <x:c r="B5" s="2" t="str">
        <x:v>IQR标记，原始交易保留</x:v>
      </x:c>
      <x:c r="C5" s="2" t="str">
        <x:v>大额交易可能是真实规模信息，直接删除会扭曲企业经营能力</x:v>
      </x:c>
    </x:row>
    <x:row r="6" ht="15" hidden="0" customHeight="1">
      <x:c r="A6" s="2" t="str">
        <x:v>建模连续特征极端值</x:v>
      </x:c>
      <x:c r="B6" s="2" t="str">
        <x:v>另生成1%-99%缩尾表</x:v>
      </x:c>
      <x:c r="C6" s="2" t="str">
        <x:v>降低距离模型和回归模型对极端企业的敏感性</x:v>
      </x:c>
    </x:row>
    <x:row r="7" ht="15" hidden="0" customHeight="1">
      <x:c r="A7" s="2" t="str">
        <x:v>标准化</x:v>
      </x:c>
      <x:c r="B7" s="2" t="str">
        <x:v>缩尾后Z-score</x:v>
      </x:c>
      <x:c r="C7" s="2" t="str">
        <x:v>适用于Logistic、SVM、PCA等依赖尺度的模型</x:v>
      </x:c>
    </x:row>
    <x:row r="8" ht="15" hidden="0" customHeight="1">
      <x:c r="A8" s="2" t="str">
        <x:v>归一化</x:v>
      </x:c>
      <x:c r="B8" s="2" t="str">
        <x:v>缩尾后Min-Max</x:v>
      </x:c>
      <x:c r="C8" s="2" t="str">
        <x:v>适用于TOPSIS、综合评价和可视化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</x:cols>
  <x:sheetData>
    <x:row r="1" ht="24" hidden="0" customHeight="1">
      <x:c r="A1" s="4" t="str">
        <x:v>企业代号</x:v>
      </x:c>
      <x:c r="B1" s="4" t="str">
        <x:v>企业名称</x:v>
      </x:c>
      <x:c r="C1" s="4" t="str">
        <x:v>样本类型</x:v>
      </x:c>
      <x:c r="D1" s="4" t="str">
        <x:v>信誉评级</x:v>
      </x:c>
      <x:c r="E1" s="4" t="str">
        <x:v>是否违约</x:v>
      </x:c>
      <x:c r="F1" s="4" t="str">
        <x:v>进项_发票总数</x:v>
      </x:c>
      <x:c r="G1" s="4" t="str">
        <x:v>进项_有效票数</x:v>
      </x:c>
      <x:c r="H1" s="4" t="str">
        <x:v>进项_作废票数</x:v>
      </x:c>
      <x:c r="I1" s="4" t="str">
        <x:v>进项_负数票数</x:v>
      </x:c>
      <x:c r="J1" s="4" t="str">
        <x:v>进项_有效价税合计</x:v>
      </x:c>
      <x:c r="K1" s="4" t="str">
        <x:v>进项_有效绝对额</x:v>
      </x:c>
      <x:c r="L1" s="4" t="str">
        <x:v>进项_交易对手数</x:v>
      </x:c>
      <x:c r="M1" s="4" t="str">
        <x:v>进项_作废率</x:v>
      </x:c>
      <x:c r="N1" s="4" t="str">
        <x:v>进项_负数率</x:v>
      </x:c>
      <x:c r="O1" s="4" t="str">
        <x:v>进项_交易集中度HHI</x:v>
      </x:c>
      <x:c r="P1" s="4" t="str">
        <x:v>进项_最大交易对手占比</x:v>
      </x:c>
      <x:c r="Q1" s="4" t="str">
        <x:v>进项_月均额</x:v>
      </x:c>
      <x:c r="R1" s="4" t="str">
        <x:v>进项_月波动率</x:v>
      </x:c>
      <x:c r="S1" s="4" t="str">
        <x:v>进项_月趋势</x:v>
      </x:c>
      <x:c r="T1" s="4" t="str">
        <x:v>进项_活跃月数</x:v>
      </x:c>
      <x:c r="U1" s="4" t="str">
        <x:v>销项_发票总数</x:v>
      </x:c>
      <x:c r="V1" s="4" t="str">
        <x:v>销项_有效票数</x:v>
      </x:c>
      <x:c r="W1" s="4" t="str">
        <x:v>销项_作废票数</x:v>
      </x:c>
      <x:c r="X1" s="4" t="str">
        <x:v>销项_负数票数</x:v>
      </x:c>
      <x:c r="Y1" s="4" t="str">
        <x:v>销项_有效价税合计</x:v>
      </x:c>
      <x:c r="Z1" s="4" t="str">
        <x:v>销项_有效绝对额</x:v>
      </x:c>
      <x:c r="AA1" s="4" t="str">
        <x:v>销项_交易对手数</x:v>
      </x:c>
      <x:c r="AB1" s="4" t="str">
        <x:v>销项_作废率</x:v>
      </x:c>
      <x:c r="AC1" s="4" t="str">
        <x:v>销项_负数率</x:v>
      </x:c>
      <x:c r="AD1" s="4" t="str">
        <x:v>销项_交易集中度HHI</x:v>
      </x:c>
      <x:c r="AE1" s="4" t="str">
        <x:v>销项_最大交易对手占比</x:v>
      </x:c>
      <x:c r="AF1" s="4" t="str">
        <x:v>销项_月均额</x:v>
      </x:c>
      <x:c r="AG1" s="4" t="str">
        <x:v>销项_月波动率</x:v>
      </x:c>
      <x:c r="AH1" s="4" t="str">
        <x:v>销项_月趋势</x:v>
      </x:c>
      <x:c r="AI1" s="4" t="str">
        <x:v>销项_活跃月数</x:v>
      </x:c>
      <x:c r="AJ1" s="4" t="str">
        <x:v>净流入代理</x:v>
      </x:c>
      <x:c r="AK1" s="4" t="str">
        <x:v>进销比</x:v>
      </x:c>
      <x:c r="AL1" s="4" t="str">
        <x:v>综合作废率</x:v>
      </x:c>
      <x:c r="AM1" s="4" t="str">
        <x:v>综合负数率</x:v>
      </x:c>
      <x:c r="AN1" s="4" t="str">
        <x:v>上下游集中度</x:v>
      </x:c>
      <x:c r="AO1" s="4" t="str">
        <x:v>经营波动率</x:v>
      </x:c>
      <x:c r="AP1" s="4" t="str">
        <x:v>经营趋势</x:v>
      </x:c>
    </x:row>
    <x:row r="2" ht="15" hidden="0" customHeight="1">
      <x:c r="A2" s="2" t="str">
        <x:v>E1</x:v>
      </x:c>
      <x:c r="B2" s="2" t="str">
        <x:v>***电器销售有限公司</x:v>
      </x:c>
      <x:c r="C2" s="2" t="str">
        <x:v>有信贷记录</x:v>
      </x:c>
      <x:c r="D2" s="2" t="str">
        <x:v>A</x:v>
      </x:c>
      <x:c r="E2" s="2" t="str">
        <x:v>否</x:v>
      </x:c>
      <x:c r="F2" s="13" t="n">
        <x:v>3441</x:v>
      </x:c>
      <x:c r="G2" s="13" t="n">
        <x:v>3249</x:v>
      </x:c>
      <x:c r="H2" s="13" t="n">
        <x:v>192</x:v>
      </x:c>
      <x:c r="I2" s="13" t="n">
        <x:v>71</x:v>
      </x:c>
      <x:c r="J2" s="13" t="n">
        <x:v>6637942028.29</x:v>
      </x:c>
      <x:c r="K2" s="13" t="n">
        <x:v>7786097640.389999</x:v>
      </x:c>
      <x:c r="L2" s="13" t="n">
        <x:v>437</x:v>
      </x:c>
      <x:c r="M2" s="13" t="n">
        <x:v>0.05579773321708806</x:v>
      </x:c>
      <x:c r="N2" s="13" t="n">
        <x:v>0.02185287780855648</x:v>
      </x:c>
      <x:c r="O2" s="13" t="n">
        <x:v>0.9910738843568306</x:v>
      </x:c>
      <x:c r="P2" s="13" t="n">
        <x:v>0.9955206743736323</x:v>
      </x:c>
      <x:c r="Q2" s="13" t="n">
        <x:v>207435688.3840625</x:v>
      </x:c>
      <x:c r="R2" s="13" t="n">
        <x:v>0.4928196427541077</x:v>
      </x:c>
      <x:c r="S2" s="13" t="n">
        <x:v>-0.014749293629915622</x:v>
      </x:c>
      <x:c r="T2" s="13" t="n">
        <x:v>31</x:v>
      </x:c>
      <x:c r="U2" s="13" t="n">
        <x:v>8110</x:v>
      </x:c>
      <x:c r="V2" s="13" t="n">
        <x:v>7886</x:v>
      </x:c>
      <x:c r="W2" s="13" t="n">
        <x:v>224</x:v>
      </x:c>
      <x:c r="X2" s="13" t="n">
        <x:v>228</x:v>
      </x:c>
      <x:c r="Y2" s="13" t="n">
        <x:v>4698633440.6</x:v>
      </x:c>
      <x:c r="Z2" s="13" t="n">
        <x:v>4999150122.120001</x:v>
      </x:c>
      <x:c r="AA2" s="13" t="n">
        <x:v>360</x:v>
      </x:c>
      <x:c r="AB2" s="13" t="n">
        <x:v>0.027620221948212082</x:v>
      </x:c>
      <x:c r="AC2" s="13" t="n">
        <x:v>0.028911995942176007</x:v>
      </x:c>
      <x:c r="AD2" s="13" t="n">
        <x:v>0.07250266818859435</x:v>
      </x:c>
      <x:c r="AE2" s="13" t="n">
        <x:v>0.1823356465325447</x:v>
      </x:c>
      <x:c r="AF2" s="13" t="n">
        <x:v>156621114.68666664</x:v>
      </x:c>
      <x:c r="AG2" s="13" t="n">
        <x:v>0.4653301969596567</x:v>
      </x:c>
      <x:c r="AH2" s="13" t="n">
        <x:v>-0.018119139153853617</x:v>
      </x:c>
      <x:c r="AI2" s="13" t="n">
        <x:v>30</x:v>
      </x:c>
      <x:c r="AJ2" s="13" t="n">
        <x:v>-1939308587.6899996</x:v>
      </x:c>
      <x:c r="AK2" s="13" t="n">
        <x:v>1.5574842623626057</x:v>
      </x:c>
      <x:c r="AL2" s="13" t="n">
        <x:v>0.03601419790494329</x:v>
      </x:c>
      <x:c r="AM2" s="13" t="n">
        <x:v>0.026852267624607094</x:v>
      </x:c>
      <x:c r="AN2" s="13" t="n">
        <x:v>0.5317882762727125</x:v>
      </x:c>
      <x:c r="AO2" s="13" t="n">
        <x:v>0.4790749198568822</x:v>
      </x:c>
      <x:c r="AP2" s="13" t="n">
        <x:v>-0.01643421639188462</x:v>
      </x:c>
    </x:row>
    <x:row r="3" ht="15" hidden="0" customHeight="1">
      <x:c r="A3" s="2" t="str">
        <x:v>E2</x:v>
      </x:c>
      <x:c r="B3" s="2" t="str">
        <x:v>***技术有限责任公司</x:v>
      </x:c>
      <x:c r="C3" s="2" t="str">
        <x:v>有信贷记录</x:v>
      </x:c>
      <x:c r="D3" s="2" t="str">
        <x:v>A</x:v>
      </x:c>
      <x:c r="E3" s="2" t="str">
        <x:v>否</x:v>
      </x:c>
      <x:c r="F3" s="13" t="n">
        <x:v>32156</x:v>
      </x:c>
      <x:c r="G3" s="13" t="n">
        <x:v>31435</x:v>
      </x:c>
      <x:c r="H3" s="13" t="n">
        <x:v>721</x:v>
      </x:c>
      <x:c r="I3" s="13" t="n">
        <x:v>156</x:v>
      </x:c>
      <x:c r="J3" s="13" t="n">
        <x:v>162487956.62</x:v>
      </x:c>
      <x:c r="K3" s="13" t="n">
        <x:v>164563441.82</x:v>
      </x:c>
      <x:c r="L3" s="13" t="n">
        <x:v>3637</x:v>
      </x:c>
      <x:c r="M3" s="13" t="n">
        <x:v>0.02242194302773977</x:v>
      </x:c>
      <x:c r="N3" s="13" t="n">
        <x:v>0.004962621282010498</x:v>
      </x:c>
      <x:c r="O3" s="13" t="n">
        <x:v>0.06800115802162585</x:v>
      </x:c>
      <x:c r="P3" s="13" t="n">
        <x:v>0.2476577841303198</x:v>
      </x:c>
      <x:c r="Q3" s="13" t="n">
        <x:v>4275998.858421053</x:v>
      </x:c>
      <x:c r="R3" s="13" t="n">
        <x:v>0.7036626308111503</x:v>
      </x:c>
      <x:c r="S3" s="13" t="n">
        <x:v>0.02052094179819626</x:v>
      </x:c>
      <x:c r="T3" s="13" t="n">
        <x:v>38</x:v>
      </x:c>
      <x:c r="U3" s="13" t="n">
        <x:v>10552</x:v>
      </x:c>
      <x:c r="V3" s="13" t="n">
        <x:v>9677</x:v>
      </x:c>
      <x:c r="W3" s="13" t="n">
        <x:v>875</x:v>
      </x:c>
      <x:c r="X3" s="13" t="n">
        <x:v>308</x:v>
      </x:c>
      <x:c r="Y3" s="13" t="n">
        <x:v>528056997.79</x:v>
      </x:c>
      <x:c r="Z3" s="13" t="n">
        <x:v>564582486.4300001</x:v>
      </x:c>
      <x:c r="AA3" s="13" t="n">
        <x:v>1611</x:v>
      </x:c>
      <x:c r="AB3" s="13" t="n">
        <x:v>0.0829226686884003</x:v>
      </x:c>
      <x:c r="AC3" s="13" t="n">
        <x:v>0.03182804588198822</x:v>
      </x:c>
      <x:c r="AD3" s="13" t="n">
        <x:v>0.00953716437718408</x:v>
      </x:c>
      <x:c r="AE3" s="13" t="n">
        <x:v>0.05249182380310061</x:v>
      </x:c>
      <x:c r="AF3" s="13" t="n">
        <x:v>14271810.751081081</x:v>
      </x:c>
      <x:c r="AG3" s="13" t="n">
        <x:v>0.6640244812556676</x:v>
      </x:c>
      <x:c r="AH3" s="13" t="n">
        <x:v>0.02360018762720344</x:v>
      </x:c>
      <x:c r="AI3" s="13" t="n">
        <x:v>37</x:v>
      </x:c>
      <x:c r="AJ3" s="13" t="n">
        <x:v>365569041.17</x:v>
      </x:c>
      <x:c r="AK3" s="13" t="n">
        <x:v>0.2914781201602212</x:v>
      </x:c>
      <x:c r="AL3" s="13" t="n">
        <x:v>0.03737004776622647</x:v>
      </x:c>
      <x:c r="AM3" s="13" t="n">
        <x:v>0.011286242459622495</x:v>
      </x:c>
      <x:c r="AN3" s="13" t="n">
        <x:v>0.03876916119940496</x:v>
      </x:c>
      <x:c r="AO3" s="13" t="n">
        <x:v>0.683843556033409</x:v>
      </x:c>
      <x:c r="AP3" s="13" t="n">
        <x:v>0.02206056471269985</x:v>
      </x:c>
    </x:row>
    <x:row r="4" ht="15" hidden="0" customHeight="1">
      <x:c r="A4" s="2" t="str">
        <x:v>E3</x:v>
      </x:c>
      <x:c r="B4" s="2" t="str">
        <x:v>***电子(中国)有限公司***分公司</x:v>
      </x:c>
      <x:c r="C4" s="2" t="str">
        <x:v>有信贷记录</x:v>
      </x:c>
      <x:c r="D4" s="2" t="str">
        <x:v>C</x:v>
      </x:c>
      <x:c r="E4" s="2" t="str">
        <x:v>否</x:v>
      </x:c>
      <x:c r="F4" s="13" t="n">
        <x:v>4561</x:v>
      </x:c>
      <x:c r="G4" s="13" t="n">
        <x:v>4367</x:v>
      </x:c>
      <x:c r="H4" s="13" t="n">
        <x:v>194</x:v>
      </x:c>
      <x:c r="I4" s="13" t="n">
        <x:v>26</x:v>
      </x:c>
      <x:c r="J4" s="13" t="n">
        <x:v>54179352.519999996</x:v>
      </x:c>
      <x:c r="K4" s="13" t="n">
        <x:v>54859923.26</x:v>
      </x:c>
      <x:c r="L4" s="13" t="n">
        <x:v>573</x:v>
      </x:c>
      <x:c r="M4" s="13" t="n">
        <x:v>0.042534531900898925</x:v>
      </x:c>
      <x:c r="N4" s="13" t="n">
        <x:v>0.005953743989008472</x:v>
      </x:c>
      <x:c r="O4" s="13" t="n">
        <x:v>0.3991085620740338</x:v>
      </x:c>
      <x:c r="P4" s="13" t="n">
        <x:v>0.6215724832204221</x:v>
      </x:c>
      <x:c r="Q4" s="13" t="n">
        <x:v>1425772.434736842</x:v>
      </x:c>
      <x:c r="R4" s="13" t="n">
        <x:v>0.656251973976642</x:v>
      </x:c>
      <x:c r="S4" s="13" t="n">
        <x:v>-0.005595284581677301</x:v>
      </x:c>
      <x:c r="T4" s="13" t="n">
        <x:v>38</x:v>
      </x:c>
      <x:c r="U4" s="13" t="n">
        <x:v>24073</x:v>
      </x:c>
      <x:c r="V4" s="13" t="n">
        <x:v>23688</x:v>
      </x:c>
      <x:c r="W4" s="13" t="n">
        <x:v>385</x:v>
      </x:c>
      <x:c r="X4" s="13" t="n">
        <x:v>4406</x:v>
      </x:c>
      <x:c r="Y4" s="13" t="n">
        <x:v>661070278.7</x:v>
      </x:c>
      <x:c r="Z4" s="13" t="n">
        <x:v>1127455712.3600001</x:v>
      </x:c>
      <x:c r="AA4" s="13" t="n">
        <x:v>136</x:v>
      </x:c>
      <x:c r="AB4" s="13" t="n">
        <x:v>0.0159930212271009</x:v>
      </x:c>
      <x:c r="AC4" s="13" t="n">
        <x:v>0.18600135089496792</x:v>
      </x:c>
      <x:c r="AD4" s="13" t="n">
        <x:v>0.1412156820352551</x:v>
      </x:c>
      <x:c r="AE4" s="13" t="n">
        <x:v>0.260365599785323</x:v>
      </x:c>
      <x:c r="AF4" s="13" t="n">
        <x:v>17396586.281578947</x:v>
      </x:c>
      <x:c r="AG4" s="13" t="n">
        <x:v>0.7177343366382439</x:v>
      </x:c>
      <x:c r="AH4" s="13" t="n">
        <x:v>-0.035739785371312116</x:v>
      </x:c>
      <x:c r="AI4" s="13" t="n">
        <x:v>38</x:v>
      </x:c>
      <x:c r="AJ4" s="13" t="n">
        <x:v>606890926.1800001</x:v>
      </x:c>
      <x:c r="AK4" s="13" t="n">
        <x:v>0.04865816249683699</x:v>
      </x:c>
      <x:c r="AL4" s="13" t="n">
        <x:v>0.020220716630579033</x:v>
      </x:c>
      <x:c r="AM4" s="13" t="n">
        <x:v>0.15797540545357333</x:v>
      </x:c>
      <x:c r="AN4" s="13" t="n">
        <x:v>0.27016212205464446</x:v>
      </x:c>
      <x:c r="AO4" s="13" t="n">
        <x:v>0.686993155307443</x:v>
      </x:c>
      <x:c r="AP4" s="13" t="n">
        <x:v>-0.02066753497649471</x:v>
      </x:c>
    </x:row>
    <x:row r="5" ht="15" hidden="0" customHeight="1">
      <x:c r="A5" s="2" t="str">
        <x:v>E4</x:v>
      </x:c>
      <x:c r="B5" s="2" t="str">
        <x:v>***发展有限责任公司</x:v>
      </x:c>
      <x:c r="C5" s="2" t="str">
        <x:v>有信贷记录</x:v>
      </x:c>
      <x:c r="D5" s="2" t="str">
        <x:v>C</x:v>
      </x:c>
      <x:c r="E5" s="2" t="str">
        <x:v>否</x:v>
      </x:c>
      <x:c r="F5" s="13" t="n">
        <x:v>558</x:v>
      </x:c>
      <x:c r="G5" s="13" t="n">
        <x:v>521</x:v>
      </x:c>
      <x:c r="H5" s="13" t="n">
        <x:v>37</x:v>
      </x:c>
      <x:c r="I5" s="13" t="n">
        <x:v>4</x:v>
      </x:c>
      <x:c r="J5" s="13" t="n">
        <x:v>254584214.62</x:v>
      </x:c>
      <x:c r="K5" s="13" t="n">
        <x:v>263411652.42000002</x:v>
      </x:c>
      <x:c r="L5" s="13" t="n">
        <x:v>131</x:v>
      </x:c>
      <x:c r="M5" s="13" t="n">
        <x:v>0.06630824372759857</x:v>
      </x:c>
      <x:c r="N5" s="13" t="n">
        <x:v>0.007677543186180422</x:v>
      </x:c>
      <x:c r="O5" s="13" t="n">
        <x:v>0.8812883561874376</x:v>
      </x:c>
      <x:c r="P5" s="13" t="n">
        <x:v>0.9383720087138885</x:v>
      </x:c>
      <x:c r="Q5" s="13" t="n">
        <x:v>6699584.595263157</x:v>
      </x:c>
      <x:c r="R5" s="13" t="n">
        <x:v>1.8968758249827182</x:v>
      </x:c>
      <x:c r="S5" s="13" t="n">
        <x:v>-0.0050001220000654625</x:v>
      </x:c>
      <x:c r="T5" s="13" t="n">
        <x:v>38</x:v>
      </x:c>
      <x:c r="U5" s="13" t="n">
        <x:v>2231</x:v>
      </x:c>
      <x:c r="V5" s="13" t="n">
        <x:v>2041</x:v>
      </x:c>
      <x:c r="W5" s="13" t="n">
        <x:v>190</x:v>
      </x:c>
      <x:c r="X5" s="13" t="n">
        <x:v>9</x:v>
      </x:c>
      <x:c r="Y5" s="13" t="n">
        <x:v>2146540584.71</x:v>
      </x:c>
      <x:c r="Z5" s="13" t="n">
        <x:v>2163364627.15</x:v>
      </x:c>
      <x:c r="AA5" s="13" t="n">
        <x:v>26</x:v>
      </x:c>
      <x:c r="AB5" s="13" t="n">
        <x:v>0.08516360376512774</x:v>
      </x:c>
      <x:c r="AC5" s="13" t="n">
        <x:v>0.004409603135717786</x:v>
      </x:c>
      <x:c r="AD5" s="13" t="n">
        <x:v>0.3286993422320858</x:v>
      </x:c>
      <x:c r="AE5" s="13" t="n">
        <x:v>0.5520522699048421</x:v>
      </x:c>
      <x:c r="AF5" s="13" t="n">
        <x:v>59626127.35305555</x:v>
      </x:c>
      <x:c r="AG5" s="13" t="n">
        <x:v>1.3314607055554257</x:v>
      </x:c>
      <x:c r="AH5" s="13" t="n">
        <x:v>-0.08124234366869294</x:v>
      </x:c>
      <x:c r="AI5" s="13" t="n">
        <x:v>35</x:v>
      </x:c>
      <x:c r="AJ5" s="13" t="n">
        <x:v>1891956370.0900002</x:v>
      </x:c>
      <x:c r="AK5" s="13" t="n">
        <x:v>0.12176017353441547</x:v>
      </x:c>
      <x:c r="AL5" s="13" t="n">
        <x:v>0.08139117963427751</x:v>
      </x:c>
      <x:c r="AM5" s="13" t="n">
        <x:v>0.00507416081186573</x:v>
      </x:c>
      <x:c r="AN5" s="13" t="n">
        <x:v>0.6049938492097617</x:v>
      </x:c>
      <x:c r="AO5" s="13" t="n">
        <x:v>1.6141682652690719</x:v>
      </x:c>
      <x:c r="AP5" s="13" t="n">
        <x:v>-0.0431212328343792</x:v>
      </x:c>
    </x:row>
    <x:row r="6" ht="15" hidden="0" customHeight="1">
      <x:c r="A6" s="2" t="str">
        <x:v>E5</x:v>
      </x:c>
      <x:c r="B6" s="2" t="str">
        <x:v>***供应链管理有限公司</x:v>
      </x:c>
      <x:c r="C6" s="2" t="str">
        <x:v>有信贷记录</x:v>
      </x:c>
      <x:c r="D6" s="2" t="str">
        <x:v>B</x:v>
      </x:c>
      <x:c r="E6" s="2" t="str">
        <x:v>否</x:v>
      </x:c>
      <x:c r="F6" s="13" t="n">
        <x:v>2169</x:v>
      </x:c>
      <x:c r="G6" s="13" t="n">
        <x:v>2084</x:v>
      </x:c>
      <x:c r="H6" s="13" t="n">
        <x:v>85</x:v>
      </x:c>
      <x:c r="I6" s="13" t="n">
        <x:v>16</x:v>
      </x:c>
      <x:c r="J6" s="13" t="n">
        <x:v>227331978.97</x:v>
      </x:c>
      <x:c r="K6" s="13" t="n">
        <x:v>229561996.32999998</x:v>
      </x:c>
      <x:c r="L6" s="13" t="n">
        <x:v>393</x:v>
      </x:c>
      <x:c r="M6" s="13" t="n">
        <x:v>0.039188566159520516</x:v>
      </x:c>
      <x:c r="N6" s="13" t="n">
        <x:v>0.007677543186180422</x:v>
      </x:c>
      <x:c r="O6" s="13" t="n">
        <x:v>0.1418085442526056</x:v>
      </x:c>
      <x:c r="P6" s="13" t="n">
        <x:v>0.27065430338340535</x:v>
      </x:c>
      <x:c r="Q6" s="13" t="n">
        <x:v>6144107.539729729</x:v>
      </x:c>
      <x:c r="R6" s="13" t="n">
        <x:v>0.9839280365075799</x:v>
      </x:c>
      <x:c r="S6" s="13" t="n">
        <x:v>0.047039943681738736</x:v>
      </x:c>
      <x:c r="T6" s="13" t="n">
        <x:v>37</x:v>
      </x:c>
      <x:c r="U6" s="13" t="n">
        <x:v>1060</x:v>
      </x:c>
      <x:c r="V6" s="13" t="n">
        <x:v>1005</x:v>
      </x:c>
      <x:c r="W6" s="13" t="n">
        <x:v>55</x:v>
      </x:c>
      <x:c r="X6" s="13" t="n">
        <x:v>10</x:v>
      </x:c>
      <x:c r="Y6" s="13" t="n">
        <x:v>233290699.99</x:v>
      </x:c>
      <x:c r="Z6" s="13" t="n">
        <x:v>235530147.19</x:v>
      </x:c>
      <x:c r="AA6" s="13" t="n">
        <x:v>33</x:v>
      </x:c>
      <x:c r="AB6" s="13" t="n">
        <x:v>0.05188679245283019</x:v>
      </x:c>
      <x:c r="AC6" s="13" t="n">
        <x:v>0.009950248756218905</x:v>
      </x:c>
      <x:c r="AD6" s="13" t="n">
        <x:v>0.20301033127709808</x:v>
      </x:c>
      <x:c r="AE6" s="13" t="n">
        <x:v>0.39403015065045693</x:v>
      </x:c>
      <x:c r="AF6" s="13" t="n">
        <x:v>6305154.053783784</x:v>
      </x:c>
      <x:c r="AG6" s="13" t="n">
        <x:v>0.9919500922477668</x:v>
      </x:c>
      <x:c r="AH6" s="13" t="n">
        <x:v>0.04848915870505322</x:v>
      </x:c>
      <x:c r="AI6" s="13" t="n">
        <x:v>33</x:v>
      </x:c>
      <x:c r="AJ6" s="13" t="n">
        <x:v>5958721.020000011</x:v>
      </x:c>
      <x:c r="AK6" s="13" t="n">
        <x:v>0.9746607772669307</x:v>
      </x:c>
      <x:c r="AL6" s="13" t="n">
        <x:v>0.043357076494270674</x:v>
      </x:c>
      <x:c r="AM6" s="13" t="n">
        <x:v>0.008416963418582066</x:v>
      </x:c>
      <x:c r="AN6" s="13" t="n">
        <x:v>0.17240943776485185</x:v>
      </x:c>
      <x:c r="AO6" s="13" t="n">
        <x:v>0.9879390643776733</x:v>
      </x:c>
      <x:c r="AP6" s="13" t="n">
        <x:v>0.04776455119339598</x:v>
      </x:c>
    </x:row>
    <x:row r="7" ht="15" hidden="0" customHeight="1">
      <x:c r="A7" s="2" t="str">
        <x:v>E6</x:v>
      </x:c>
      <x:c r="B7" s="2" t="str">
        <x:v>***装饰设计工程有限公司</x:v>
      </x:c>
      <x:c r="C7" s="2" t="str">
        <x:v>有信贷记录</x:v>
      </x:c>
      <x:c r="D7" s="2" t="str">
        <x:v>A</x:v>
      </x:c>
      <x:c r="E7" s="2" t="str">
        <x:v>否</x:v>
      </x:c>
      <x:c r="F7" s="13" t="n">
        <x:v>11337</x:v>
      </x:c>
      <x:c r="G7" s="13" t="n">
        <x:v>10814</x:v>
      </x:c>
      <x:c r="H7" s="13" t="n">
        <x:v>523</x:v>
      </x:c>
      <x:c r="I7" s="13" t="n">
        <x:v>78</x:v>
      </x:c>
      <x:c r="J7" s="13" t="n">
        <x:v>321178563.5</x:v>
      </x:c>
      <x:c r="K7" s="13" t="n">
        <x:v>326939260.48</x:v>
      </x:c>
      <x:c r="L7" s="13" t="n">
        <x:v>1524</x:v>
      </x:c>
      <x:c r="M7" s="13" t="n">
        <x:v>0.046132133721443064</x:v>
      </x:c>
      <x:c r="N7" s="13" t="n">
        <x:v>0.007212872202700203</x:v>
      </x:c>
      <x:c r="O7" s="13" t="n">
        <x:v>0.1136884645200179</x:v>
      </x:c>
      <x:c r="P7" s="13" t="n">
        <x:v>0.3255820739721519</x:v>
      </x:c>
      <x:c r="Q7" s="13" t="n">
        <x:v>8680501.716216216</x:v>
      </x:c>
      <x:c r="R7" s="13" t="n">
        <x:v>0.7041649148987049</x:v>
      </x:c>
      <x:c r="S7" s="13" t="n">
        <x:v>0.03509402813591825</x:v>
      </x:c>
      <x:c r="T7" s="13" t="n">
        <x:v>37</x:v>
      </x:c>
      <x:c r="U7" s="13" t="n">
        <x:v>1052</x:v>
      </x:c>
      <x:c r="V7" s="13" t="n">
        <x:v>913</x:v>
      </x:c>
      <x:c r="W7" s="13" t="n">
        <x:v>139</x:v>
      </x:c>
      <x:c r="X7" s="13" t="n">
        <x:v>23</x:v>
      </x:c>
      <x:c r="Y7" s="13" t="n">
        <x:v>395897438.24</x:v>
      </x:c>
      <x:c r="Z7" s="13" t="n">
        <x:v>400113425.32000005</x:v>
      </x:c>
      <x:c r="AA7" s="13" t="n">
        <x:v>151</x:v>
      </x:c>
      <x:c r="AB7" s="13" t="n">
        <x:v>0.13212927756653992</x:v>
      </x:c>
      <x:c r="AC7" s="13" t="n">
        <x:v>0.025191675794085433</x:v>
      </x:c>
      <x:c r="AD7" s="13" t="n">
        <x:v>0.07090492943715736</x:v>
      </x:c>
      <x:c r="AE7" s="13" t="n">
        <x:v>0.18028160110426159</x:v>
      </x:c>
      <x:c r="AF7" s="13" t="n">
        <x:v>10699930.763243243</x:v>
      </x:c>
      <x:c r="AG7" s="13" t="n">
        <x:v>0.6930019703648538</x:v>
      </x:c>
      <x:c r="AH7" s="13" t="n">
        <x:v>0.027342938222907134</x:v>
      </x:c>
      <x:c r="AI7" s="13" t="n">
        <x:v>37</x:v>
      </x:c>
      <x:c r="AJ7" s="13" t="n">
        <x:v>74718874.74000001</x:v>
      </x:c>
      <x:c r="AK7" s="13" t="n">
        <x:v>0.8171164469638146</x:v>
      </x:c>
      <x:c r="AL7" s="13" t="n">
        <x:v>0.05343449834530632</x:v>
      </x:c>
      <x:c r="AM7" s="13" t="n">
        <x:v>0.008612603393877377</x:v>
      </x:c>
      <x:c r="AN7" s="13" t="n">
        <x:v>0.09229669697858764</x:v>
      </x:c>
      <x:c r="AO7" s="13" t="n">
        <x:v>0.6985834426317794</x:v>
      </x:c>
      <x:c r="AP7" s="13" t="n">
        <x:v>0.03121848317941269</x:v>
      </x:c>
    </x:row>
    <x:row r="8" ht="15" hidden="0" customHeight="1">
      <x:c r="A8" s="2" t="str">
        <x:v>E7</x:v>
      </x:c>
      <x:c r="B8" s="2" t="str">
        <x:v>***家电有限公司***分公司</x:v>
      </x:c>
      <x:c r="C8" s="2" t="str">
        <x:v>有信贷记录</x:v>
      </x:c>
      <x:c r="D8" s="2" t="str">
        <x:v>A</x:v>
      </x:c>
      <x:c r="E8" s="2" t="str">
        <x:v>否</x:v>
      </x:c>
      <x:c r="F8" s="13" t="n">
        <x:v>13097</x:v>
      </x:c>
      <x:c r="G8" s="13" t="n">
        <x:v>12643</x:v>
      </x:c>
      <x:c r="H8" s="13" t="n">
        <x:v>454</x:v>
      </x:c>
      <x:c r="I8" s="13" t="n">
        <x:v>450</x:v>
      </x:c>
      <x:c r="J8" s="13" t="n">
        <x:v>63491942.06</x:v>
      </x:c>
      <x:c r="K8" s="13" t="n">
        <x:v>78273474.06</x:v>
      </x:c>
      <x:c r="L8" s="13" t="n">
        <x:v>1588</x:v>
      </x:c>
      <x:c r="M8" s="13" t="n">
        <x:v>0.03466442696800794</x:v>
      </x:c>
      <x:c r="N8" s="13" t="n">
        <x:v>0.03559281816024678</x:v>
      </x:c>
      <x:c r="O8" s="13" t="n">
        <x:v>0.07571952041519017</x:v>
      </x:c>
      <x:c r="P8" s="13" t="n">
        <x:v>0.2232797303286068</x:v>
      </x:c>
      <x:c r="Q8" s="13" t="n">
        <x:v>1670840.5805263158</x:v>
      </x:c>
      <x:c r="R8" s="13" t="n">
        <x:v>0.7365984860281714</x:v>
      </x:c>
      <x:c r="S8" s="13" t="n">
        <x:v>0.0059701729287414615</x:v>
      </x:c>
      <x:c r="T8" s="13" t="n">
        <x:v>38</x:v>
      </x:c>
      <x:c r="U8" s="13" t="n">
        <x:v>8149</x:v>
      </x:c>
      <x:c r="V8" s="13" t="n">
        <x:v>8032</x:v>
      </x:c>
      <x:c r="W8" s="13" t="n">
        <x:v>117</x:v>
      </x:c>
      <x:c r="X8" s="13" t="n">
        <x:v>1899</x:v>
      </x:c>
      <x:c r="Y8" s="13" t="n">
        <x:v>596230696.76</x:v>
      </x:c>
      <x:c r="Z8" s="13" t="n">
        <x:v>1054333371.88</x:v>
      </x:c>
      <x:c r="AA8" s="13" t="n">
        <x:v>1216</x:v>
      </x:c>
      <x:c r="AB8" s="13" t="n">
        <x:v>0.014357589888329856</x:v>
      </x:c>
      <x:c r="AC8" s="13" t="n">
        <x:v>0.2364292828685259</x:v>
      </x:c>
      <x:c r="AD8" s="13" t="n">
        <x:v>0.03593026439834278</x:v>
      </x:c>
      <x:c r="AE8" s="13" t="n">
        <x:v>0.09798642858642094</x:v>
      </x:c>
      <x:c r="AF8" s="13" t="n">
        <x:v>15690281.49368421</x:v>
      </x:c>
      <x:c r="AG8" s="13" t="n">
        <x:v>0.7056942517841214</x:v>
      </x:c>
      <x:c r="AH8" s="13" t="n">
        <x:v>-0.04066773871330962</x:v>
      </x:c>
      <x:c r="AI8" s="13" t="n">
        <x:v>38</x:v>
      </x:c>
      <x:c r="AJ8" s="13" t="n">
        <x:v>532738754.7</x:v>
      </x:c>
      <x:c r="AK8" s="13" t="n">
        <x:v>0.07423977666611199</x:v>
      </x:c>
      <x:c r="AL8" s="13" t="n">
        <x:v>0.026875647180645768</x:v>
      </x:c>
      <x:c r="AM8" s="13" t="n">
        <x:v>0.1136154776299879</x:v>
      </x:c>
      <x:c r="AN8" s="13" t="n">
        <x:v>0.055824892406766476</x:v>
      </x:c>
      <x:c r="AO8" s="13" t="n">
        <x:v>0.7211463689061464</x:v>
      </x:c>
      <x:c r="AP8" s="13" t="n">
        <x:v>-0.01734878289228408</x:v>
      </x:c>
    </x:row>
    <x:row r="9" ht="15" hidden="0" customHeight="1">
      <x:c r="A9" s="2" t="str">
        <x:v>E8</x:v>
      </x:c>
      <x:c r="B9" s="2" t="str">
        <x:v>***科学研究院有限公司</x:v>
      </x:c>
      <x:c r="C9" s="2" t="str">
        <x:v>有信贷记录</x:v>
      </x:c>
      <x:c r="D9" s="2" t="str">
        <x:v>A</x:v>
      </x:c>
      <x:c r="E9" s="2" t="str">
        <x:v>否</x:v>
      </x:c>
      <x:c r="F9" s="13" t="n">
        <x:v>22536</x:v>
      </x:c>
      <x:c r="G9" s="13" t="n">
        <x:v>21777</x:v>
      </x:c>
      <x:c r="H9" s="13" t="n">
        <x:v>759</x:v>
      </x:c>
      <x:c r="I9" s="13" t="n">
        <x:v>77</x:v>
      </x:c>
      <x:c r="J9" s="13" t="n">
        <x:v>170418693.94</x:v>
      </x:c>
      <x:c r="K9" s="13" t="n">
        <x:v>171762629.3</x:v>
      </x:c>
      <x:c r="L9" s="13" t="n">
        <x:v>2612</x:v>
      </x:c>
      <x:c r="M9" s="13" t="n">
        <x:v>0.03367944621938232</x:v>
      </x:c>
      <x:c r="N9" s="13" t="n">
        <x:v>0.0035358405657344907</x:v>
      </x:c>
      <x:c r="O9" s="13" t="n">
        <x:v>0.07447282249585975</x:v>
      </x:c>
      <x:c r="P9" s="13" t="n">
        <x:v>0.2015461371375269</x:v>
      </x:c>
      <x:c r="Q9" s="13" t="n">
        <x:v>4484702.472105263</x:v>
      </x:c>
      <x:c r="R9" s="13" t="n">
        <x:v>0.4435078067418855</x:v>
      </x:c>
      <x:c r="S9" s="13" t="n">
        <x:v>0.0052585756495370645</x:v>
      </x:c>
      <x:c r="T9" s="13" t="n">
        <x:v>38</x:v>
      </x:c>
      <x:c r="U9" s="13" t="n">
        <x:v>9425</x:v>
      </x:c>
      <x:c r="V9" s="13" t="n">
        <x:v>8359</x:v>
      </x:c>
      <x:c r="W9" s="13" t="n">
        <x:v>1066</x:v>
      </x:c>
      <x:c r="X9" s="13" t="n">
        <x:v>245</x:v>
      </x:c>
      <x:c r="Y9" s="13" t="n">
        <x:v>380793887.66999996</x:v>
      </x:c>
      <x:c r="Z9" s="13" t="n">
        <x:v>411376253.66999996</x:v>
      </x:c>
      <x:c r="AA9" s="13" t="n">
        <x:v>2731</x:v>
      </x:c>
      <x:c r="AB9" s="13" t="n">
        <x:v>0.11310344827586206</x:v>
      </x:c>
      <x:c r="AC9" s="13" t="n">
        <x:v>0.029309726043785143</x:v>
      </x:c>
      <x:c r="AD9" s="13" t="n">
        <x:v>0.004025113886127124</x:v>
      </x:c>
      <x:c r="AE9" s="13" t="n">
        <x:v>0.022768849481316245</x:v>
      </x:c>
      <x:c r="AF9" s="13" t="n">
        <x:v>10020891.780789472</x:v>
      </x:c>
      <x:c r="AG9" s="13" t="n">
        <x:v>0.47231679935136495</x:v>
      </x:c>
      <x:c r="AH9" s="13" t="n">
        <x:v>0.011370927078865818</x:v>
      </x:c>
      <x:c r="AI9" s="13" t="n">
        <x:v>38</x:v>
      </x:c>
      <x:c r="AJ9" s="13" t="n">
        <x:v>210375193.72999996</x:v>
      </x:c>
      <x:c r="AK9" s="13" t="n">
        <x:v>0.4175317067226381</x:v>
      </x:c>
      <x:c r="AL9" s="13" t="n">
        <x:v>0.05710084165076187</x:v>
      </x:c>
      <x:c r="AM9" s="13" t="n">
        <x:v>0.010684895142022829</x:v>
      </x:c>
      <x:c r="AN9" s="13" t="n">
        <x:v>0.03924896819099344</x:v>
      </x:c>
      <x:c r="AO9" s="13" t="n">
        <x:v>0.4579123030466252</x:v>
      </x:c>
      <x:c r="AP9" s="13" t="n">
        <x:v>0.008314751364201442</x:v>
      </x:c>
    </x:row>
    <x:row r="10" ht="15" hidden="0" customHeight="1">
      <x:c r="A10" s="2" t="str">
        <x:v>E9</x:v>
      </x:c>
      <x:c r="B10" s="2" t="str">
        <x:v>***生活用品服务有限公司***分公司</x:v>
      </x:c>
      <x:c r="C10" s="2" t="str">
        <x:v>有信贷记录</x:v>
      </x:c>
      <x:c r="D10" s="2" t="str">
        <x:v>A</x:v>
      </x:c>
      <x:c r="E10" s="2" t="str">
        <x:v>否</x:v>
      </x:c>
      <x:c r="F10" s="13" t="n">
        <x:v>4293</x:v>
      </x:c>
      <x:c r="G10" s="13" t="n">
        <x:v>4199</x:v>
      </x:c>
      <x:c r="H10" s="13" t="n">
        <x:v>94</x:v>
      </x:c>
      <x:c r="I10" s="13" t="n">
        <x:v>26</x:v>
      </x:c>
      <x:c r="J10" s="13" t="n">
        <x:v>26333514.09</x:v>
      </x:c>
      <x:c r="K10" s="13" t="n">
        <x:v>26569889.209999997</x:v>
      </x:c>
      <x:c r="L10" s="13" t="n">
        <x:v>741</x:v>
      </x:c>
      <x:c r="M10" s="13" t="n">
        <x:v>0.02189610994642441</x:v>
      </x:c>
      <x:c r="N10" s="13" t="n">
        <x:v>0.006191950464396285</x:v>
      </x:c>
      <x:c r="O10" s="13" t="n">
        <x:v>0.12914985397698808</x:v>
      </x:c>
      <x:c r="P10" s="13" t="n">
        <x:v>0.2833736693627711</x:v>
      </x:c>
      <x:c r="Q10" s="13" t="n">
        <x:v>692987.2128947368</x:v>
      </x:c>
      <x:c r="R10" s="13" t="n">
        <x:v>0.43444468913332196</x:v>
      </x:c>
      <x:c r="S10" s="13" t="n">
        <x:v>0.0014631733397658315</x:v>
      </x:c>
      <x:c r="T10" s="13" t="n">
        <x:v>38</x:v>
      </x:c>
      <x:c r="U10" s="13" t="n">
        <x:v>5906</x:v>
      </x:c>
      <x:c r="V10" s="13" t="n">
        <x:v>5760</x:v>
      </x:c>
      <x:c r="W10" s="13" t="n">
        <x:v>146</x:v>
      </x:c>
      <x:c r="X10" s="13" t="n">
        <x:v>122</x:v>
      </x:c>
      <x:c r="Y10" s="13" t="n">
        <x:v>369412037.87</x:v>
      </x:c>
      <x:c r="Z10" s="13" t="n">
        <x:v>390731046.55</x:v>
      </x:c>
      <x:c r="AA10" s="13" t="n">
        <x:v>124</x:v>
      </x:c>
      <x:c r="AB10" s="13" t="n">
        <x:v>0.024720623095157466</x:v>
      </x:c>
      <x:c r="AC10" s="13" t="n">
        <x:v>0.021180555555555557</x:v>
      </x:c>
      <x:c r="AD10" s="13" t="n">
        <x:v>0.05813702036501621</x:v>
      </x:c>
      <x:c r="AE10" s="13" t="n">
        <x:v>0.14517452452486718</x:v>
      </x:c>
      <x:c r="AF10" s="13" t="n">
        <x:v>9721369.41763158</x:v>
      </x:c>
      <x:c r="AG10" s="13" t="n">
        <x:v>0.3386560825125703</x:v>
      </x:c>
      <x:c r="AH10" s="13" t="n">
        <x:v>0.002024746652720029</x:v>
      </x:c>
      <x:c r="AI10" s="13" t="n">
        <x:v>38</x:v>
      </x:c>
      <x:c r="AJ10" s="13" t="n">
        <x:v>343078523.78000003</x:v>
      </x:c>
      <x:c r="AK10" s="13" t="n">
        <x:v>0.06800045567047094</x:v>
      </x:c>
      <x:c r="AL10" s="13" t="n">
        <x:v>0.023531718795960388</x:v>
      </x:c>
      <x:c r="AM10" s="13" t="n">
        <x:v>0.014860929812230144</x:v>
      </x:c>
      <x:c r="AN10" s="13" t="n">
        <x:v>0.09364343717100215</x:v>
      </x:c>
      <x:c r="AO10" s="13" t="n">
        <x:v>0.3865503858229461</x:v>
      </x:c>
      <x:c r="AP10" s="13" t="n">
        <x:v>0.0017439599962429304</x:v>
      </x:c>
    </x:row>
    <x:row r="11" ht="15" hidden="0" customHeight="1">
      <x:c r="A11" s="2" t="str">
        <x:v>E10</x:v>
      </x:c>
      <x:c r="B11" s="2" t="str">
        <x:v>***建筑劳务有限公司</x:v>
      </x:c>
      <x:c r="C11" s="2" t="str">
        <x:v>有信贷记录</x:v>
      </x:c>
      <x:c r="D11" s="2" t="str">
        <x:v>B</x:v>
      </x:c>
      <x:c r="E11" s="2" t="str">
        <x:v>否</x:v>
      </x:c>
      <x:c r="F11" s="13" t="n">
        <x:v>4097</x:v>
      </x:c>
      <x:c r="G11" s="13" t="n">
        <x:v>3860</x:v>
      </x:c>
      <x:c r="H11" s="13" t="n">
        <x:v>237</x:v>
      </x:c>
      <x:c r="I11" s="13" t="n">
        <x:v>34</x:v>
      </x:c>
      <x:c r="J11" s="13" t="n">
        <x:v>5417961.64</x:v>
      </x:c>
      <x:c r="K11" s="13" t="n">
        <x:v>5771271.36</x:v>
      </x:c>
      <x:c r="L11" s="13" t="n">
        <x:v>882</x:v>
      </x:c>
      <x:c r="M11" s="13" t="n">
        <x:v>0.05784720527215036</x:v>
      </x:c>
      <x:c r="N11" s="13" t="n">
        <x:v>0.008808290155440414</x:v>
      </x:c>
      <x:c r="O11" s="13" t="n">
        <x:v>0.018854265468786713</x:v>
      </x:c>
      <x:c r="P11" s="13" t="n">
        <x:v>0.07976257418608021</x:v>
      </x:c>
      <x:c r="Q11" s="13" t="n">
        <x:v>154798.90399999998</x:v>
      </x:c>
      <x:c r="R11" s="13" t="n">
        <x:v>0.6579888822353812</x:v>
      </x:c>
      <x:c r="S11" s="13" t="n">
        <x:v>0.0431473938065391</x:v>
      </x:c>
      <x:c r="T11" s="13" t="n">
        <x:v>35</x:v>
      </x:c>
      <x:c r="U11" s="13" t="n">
        <x:v>568</x:v>
      </x:c>
      <x:c r="V11" s="13" t="n">
        <x:v>516</x:v>
      </x:c>
      <x:c r="W11" s="13" t="n">
        <x:v>52</x:v>
      </x:c>
      <x:c r="X11" s="13" t="n">
        <x:v>2</x:v>
      </x:c>
      <x:c r="Y11" s="13" t="n">
        <x:v>351461531.5</x:v>
      </x:c>
      <x:c r="Z11" s="13" t="n">
        <x:v>353606289.58</x:v>
      </x:c>
      <x:c r="AA11" s="13" t="n">
        <x:v>27</x:v>
      </x:c>
      <x:c r="AB11" s="13" t="n">
        <x:v>0.09154929577464789</x:v>
      </x:c>
      <x:c r="AC11" s="13" t="n">
        <x:v>0.003875968992248062</x:v>
      </x:c>
      <x:c r="AD11" s="13" t="n">
        <x:v>0.10774589471101241</x:v>
      </x:c>
      <x:c r="AE11" s="13" t="n">
        <x:v>0.18974805527269945</x:v>
      </x:c>
      <x:c r="AF11" s="13" t="n">
        <x:v>9498960.31081081</x:v>
      </x:c>
      <x:c r="AG11" s="13" t="n">
        <x:v>1.8498693870930119</x:v>
      </x:c>
      <x:c r="AH11" s="13" t="n">
        <x:v>-0.025106253627825963</x:v>
      </x:c>
      <x:c r="AI11" s="13" t="n">
        <x:v>35</x:v>
      </x:c>
      <x:c r="AJ11" s="13" t="n">
        <x:v>346043569.86</x:v>
      </x:c>
      <x:c r="AK11" s="13" t="n">
        <x:v>0.016321178469011103</x:v>
      </x:c>
      <x:c r="AL11" s="13" t="n">
        <x:v>0.06195069667738478</x:v>
      </x:c>
      <x:c r="AM11" s="13" t="n">
        <x:v>0.008226691042047532</x:v>
      </x:c>
      <x:c r="AN11" s="13" t="n">
        <x:v>0.06330008008989957</x:v>
      </x:c>
      <x:c r="AO11" s="13" t="n">
        <x:v>1.2539291346641965</x:v>
      </x:c>
      <x:c r="AP11" s="13" t="n">
        <x:v>0.009020570089356568</x:v>
      </x:c>
    </x:row>
    <x:row r="12" ht="15" hidden="0" customHeight="1">
      <x:c r="A12" s="2" t="str">
        <x:v>E11</x:v>
      </x:c>
      <x:c r="B12" s="2" t="str">
        <x:v>***建设工程有限公司</x:v>
      </x:c>
      <x:c r="C12" s="2" t="str">
        <x:v>有信贷记录</x:v>
      </x:c>
      <x:c r="D12" s="2" t="str">
        <x:v>C</x:v>
      </x:c>
      <x:c r="E12" s="2" t="str">
        <x:v>否</x:v>
      </x:c>
      <x:c r="F12" s="13" t="n">
        <x:v>2836</x:v>
      </x:c>
      <x:c r="G12" s="13" t="n">
        <x:v>2715</x:v>
      </x:c>
      <x:c r="H12" s="13" t="n">
        <x:v>121</x:v>
      </x:c>
      <x:c r="I12" s="13" t="n">
        <x:v>24</x:v>
      </x:c>
      <x:c r="J12" s="13" t="n">
        <x:v>144211948.07999998</x:v>
      </x:c>
      <x:c r="K12" s="13" t="n">
        <x:v>145189244.89999998</x:v>
      </x:c>
      <x:c r="L12" s="13" t="n">
        <x:v>467</x:v>
      </x:c>
      <x:c r="M12" s="13" t="n">
        <x:v>0.04266572637517631</x:v>
      </x:c>
      <x:c r="N12" s="13" t="n">
        <x:v>0.008839779005524863</x:v>
      </x:c>
      <x:c r="O12" s="13" t="n">
        <x:v>0.0819723506802937</x:v>
      </x:c>
      <x:c r="P12" s="13" t="n">
        <x:v>0.1751129970233766</x:v>
      </x:c>
      <x:c r="Q12" s="13" t="n">
        <x:v>4370059.032727273</x:v>
      </x:c>
      <x:c r="R12" s="13" t="n">
        <x:v>1.0549652447078834</x:v>
      </x:c>
      <x:c r="S12" s="13" t="n">
        <x:v>0.08607990610716217</x:v>
      </x:c>
      <x:c r="T12" s="13" t="n">
        <x:v>31</x:v>
      </x:c>
      <x:c r="U12" s="13" t="n">
        <x:v>1117</x:v>
      </x:c>
      <x:c r="V12" s="13" t="n">
        <x:v>1051</x:v>
      </x:c>
      <x:c r="W12" s="13" t="n">
        <x:v>66</x:v>
      </x:c>
      <x:c r="X12" s="13" t="n">
        <x:v>1</x:v>
      </x:c>
      <x:c r="Y12" s="13" t="n">
        <x:v>162547045.13</x:v>
      </x:c>
      <x:c r="Z12" s="13" t="n">
        <x:v>162747045.13</x:v>
      </x:c>
      <x:c r="AA12" s="13" t="n">
        <x:v>44</x:v>
      </x:c>
      <x:c r="AB12" s="13" t="n">
        <x:v>0.05908683974932856</x:v>
      </x:c>
      <x:c r="AC12" s="13" t="n">
        <x:v>0.0009514747859181732</x:v>
      </x:c>
      <x:c r="AD12" s="13" t="n">
        <x:v>0.39679429663471744</x:v>
      </x:c>
      <x:c r="AE12" s="13" t="n">
        <x:v>0.4695194485955949</x:v>
      </x:c>
      <x:c r="AF12" s="13" t="n">
        <x:v>6772793.547083333</x:v>
      </x:c>
      <x:c r="AG12" s="13" t="n">
        <x:v>0.784776742680654</x:v>
      </x:c>
      <x:c r="AH12" s="13" t="n">
        <x:v>0.03991052576613248</x:v>
      </x:c>
      <x:c r="AI12" s="13" t="n">
        <x:v>21</x:v>
      </x:c>
      <x:c r="AJ12" s="13" t="n">
        <x:v>18335097.050000012</x:v>
      </x:c>
      <x:c r="AK12" s="13" t="n">
        <x:v>0.8921160122079322</x:v>
      </x:c>
      <x:c r="AL12" s="13" t="n">
        <x:v>0.04730584366304073</x:v>
      </x:c>
      <x:c r="AM12" s="13" t="n">
        <x:v>0.006638343069569836</x:v>
      </x:c>
      <x:c r="AN12" s="13" t="n">
        <x:v>0.23938332365750556</x:v>
      </x:c>
      <x:c r="AO12" s="13" t="n">
        <x:v>0.9198709936942687</x:v>
      </x:c>
      <x:c r="AP12" s="13" t="n">
        <x:v>0.06299521593664732</x:v>
      </x:c>
    </x:row>
    <x:row r="13" ht="15" hidden="0" customHeight="1">
      <x:c r="A13" s="2" t="str">
        <x:v>E12</x:v>
      </x:c>
      <x:c r="B13" s="2" t="str">
        <x:v>***建筑劳务有限公司</x:v>
      </x:c>
      <x:c r="C13" s="2" t="str">
        <x:v>有信贷记录</x:v>
      </x:c>
      <x:c r="D13" s="2" t="str">
        <x:v>B</x:v>
      </x:c>
      <x:c r="E13" s="2" t="str">
        <x:v>否</x:v>
      </x:c>
      <x:c r="F13" s="13" t="n">
        <x:v>1796</x:v>
      </x:c>
      <x:c r="G13" s="13" t="n">
        <x:v>1757</x:v>
      </x:c>
      <x:c r="H13" s="13" t="n">
        <x:v>39</x:v>
      </x:c>
      <x:c r="I13" s="13" t="n">
        <x:v>13</x:v>
      </x:c>
      <x:c r="J13" s="13" t="n">
        <x:v>95447012.7</x:v>
      </x:c>
      <x:c r="K13" s="13" t="n">
        <x:v>95980112.96000001</x:v>
      </x:c>
      <x:c r="L13" s="13" t="n">
        <x:v>395</x:v>
      </x:c>
      <x:c r="M13" s="13" t="n">
        <x:v>0.021714922048997772</x:v>
      </x:c>
      <x:c r="N13" s="13" t="n">
        <x:v>0.007398975526465566</x:v>
      </x:c>
      <x:c r="O13" s="13" t="n">
        <x:v>0.13302058471424927</x:v>
      </x:c>
      <x:c r="P13" s="13" t="n">
        <x:v>0.3069421403189813</x:v>
      </x:c>
      <x:c r="Q13" s="13" t="n">
        <x:v>2579648.9918918917</x:v>
      </x:c>
      <x:c r="R13" s="13" t="n">
        <x:v>1.258526318286876</x:v>
      </x:c>
      <x:c r="S13" s="13" t="n">
        <x:v>0.04295517768467571</x:v>
      </x:c>
      <x:c r="T13" s="13" t="n">
        <x:v>36</x:v>
      </x:c>
      <x:c r="U13" s="13" t="n">
        <x:v>285</x:v>
      </x:c>
      <x:c r="V13" s="13" t="n">
        <x:v>263</x:v>
      </x:c>
      <x:c r="W13" s="13" t="n">
        <x:v>22</x:v>
      </x:c>
      <x:c r="X13" s="13" t="n">
        <x:v>1</x:v>
      </x:c>
      <x:c r="Y13" s="13" t="n">
        <x:v>243003020.51</x:v>
      </x:c>
      <x:c r="Z13" s="13" t="n">
        <x:v>245003020.51</x:v>
      </x:c>
      <x:c r="AA13" s="13" t="n">
        <x:v>5</x:v>
      </x:c>
      <x:c r="AB13" s="13" t="n">
        <x:v>0.07719298245614035</x:v>
      </x:c>
      <x:c r="AC13" s="13" t="n">
        <x:v>0.0038022813688212928</x:v>
      </x:c>
      <x:c r="AD13" s="13" t="n">
        <x:v>0.5637175730025612</x:v>
      </x:c>
      <x:c r="AE13" s="13" t="n">
        <x:v>0.7238217130174597</x:v>
      </x:c>
      <x:c r="AF13" s="13" t="n">
        <x:v>9720120.8204</x:v>
      </x:c>
      <x:c r="AG13" s="13" t="n">
        <x:v>1.2676329377778621</x:v>
      </x:c>
      <x:c r="AH13" s="13" t="n">
        <x:v>-0.03271878619611535</x:v>
      </x:c>
      <x:c r="AI13" s="13" t="n">
        <x:v>16</x:v>
      </x:c>
      <x:c r="AJ13" s="13" t="n">
        <x:v>147556007.81</x:v>
      </x:c>
      <x:c r="AK13" s="13" t="n">
        <x:v>0.3917507333591526</x:v>
      </x:c>
      <x:c r="AL13" s="13" t="n">
        <x:v>0.029312830370014416</x:v>
      </x:c>
      <x:c r="AM13" s="13" t="n">
        <x:v>0.006930693069306931</x:v>
      </x:c>
      <x:c r="AN13" s="13" t="n">
        <x:v>0.34836907885840523</x:v>
      </x:c>
      <x:c r="AO13" s="13" t="n">
        <x:v>1.263079628032369</x:v>
      </x:c>
      <x:c r="AP13" s="13" t="n">
        <x:v>0.005118195744280178</x:v>
      </x:c>
    </x:row>
    <x:row r="14" ht="15" hidden="0" customHeight="1">
      <x:c r="A14" s="2" t="str">
        <x:v>E13</x:v>
      </x:c>
      <x:c r="B14" s="2" t="str">
        <x:v>***汽车贸易有限公司</x:v>
      </x:c>
      <x:c r="C14" s="2" t="str">
        <x:v>有信贷记录</x:v>
      </x:c>
      <x:c r="D14" s="2" t="str">
        <x:v>A</x:v>
      </x:c>
      <x:c r="E14" s="2" t="str">
        <x:v>否</x:v>
      </x:c>
      <x:c r="F14" s="13" t="n">
        <x:v>13469</x:v>
      </x:c>
      <x:c r="G14" s="13" t="n">
        <x:v>13255</x:v>
      </x:c>
      <x:c r="H14" s="13" t="n">
        <x:v>214</x:v>
      </x:c>
      <x:c r="I14" s="13" t="n">
        <x:v>39</x:v>
      </x:c>
      <x:c r="J14" s="13" t="n">
        <x:v>103628502.97</x:v>
      </x:c>
      <x:c r="K14" s="13" t="n">
        <x:v>104471922.76999998</x:v>
      </x:c>
      <x:c r="L14" s="13" t="n">
        <x:v>725</x:v>
      </x:c>
      <x:c r="M14" s="13" t="n">
        <x:v>0.01588833617937486</x:v>
      </x:c>
      <x:c r="N14" s="13" t="n">
        <x:v>0.0029422859298377972</x:v>
      </x:c>
      <x:c r="O14" s="13" t="n">
        <x:v>0.10040959768665896</x:v>
      </x:c>
      <x:c r="P14" s="13" t="n">
        <x:v>0.29128583683671394</x:v>
      </x:c>
      <x:c r="Q14" s="13" t="n">
        <x:v>2727065.8676315784</x:v>
      </x:c>
      <x:c r="R14" s="13" t="n">
        <x:v>0.3960373013828574</x:v>
      </x:c>
      <x:c r="S14" s="13" t="n">
        <x:v>-0.01216097032055089</x:v>
      </x:c>
      <x:c r="T14" s="13" t="n">
        <x:v>38</x:v>
      </x:c>
      <x:c r="U14" s="13" t="n">
        <x:v>8005</x:v>
      </x:c>
      <x:c r="V14" s="13" t="n">
        <x:v>6808</x:v>
      </x:c>
      <x:c r="W14" s="13" t="n">
        <x:v>1197</x:v>
      </x:c>
      <x:c r="X14" s="13" t="n">
        <x:v>73</x:v>
      </x:c>
      <x:c r="Y14" s="13" t="n">
        <x:v>243978023.32</x:v>
      </x:c>
      <x:c r="Z14" s="13" t="n">
        <x:v>252910519.78</x:v>
      </x:c>
      <x:c r="AA14" s="13" t="n">
        <x:v>3265</x:v>
      </x:c>
      <x:c r="AB14" s="13" t="n">
        <x:v>0.1495315427857589</x:v>
      </x:c>
      <x:c r="AC14" s="13" t="n">
        <x:v>0.01072267920094007</x:v>
      </x:c>
      <x:c r="AD14" s="13" t="n">
        <x:v>0.062087031569517705</x:v>
      </x:c>
      <x:c r="AE14" s="13" t="n">
        <x:v>0.19591366085958387</x:v>
      </x:c>
      <x:c r="AF14" s="13" t="n">
        <x:v>6420474.297894736</x:v>
      </x:c>
      <x:c r="AG14" s="13" t="n">
        <x:v>0.937748856504735</x:v>
      </x:c>
      <x:c r="AH14" s="13" t="n">
        <x:v>0.007900296972202379</x:v>
      </x:c>
      <x:c r="AI14" s="13" t="n">
        <x:v>38</x:v>
      </x:c>
      <x:c r="AJ14" s="13" t="n">
        <x:v>140349520.35</x:v>
      </x:c>
      <x:c r="AK14" s="13" t="n">
        <x:v>0.4130785973666784</x:v>
      </x:c>
      <x:c r="AL14" s="13" t="n">
        <x:v>0.0657073670485238</x:v>
      </x:c>
      <x:c r="AM14" s="13" t="n">
        <x:v>0.005582415391516722</x:v>
      </x:c>
      <x:c r="AN14" s="13" t="n">
        <x:v>0.08124831462808833</x:v>
      </x:c>
      <x:c r="AO14" s="13" t="n">
        <x:v>0.6668930789437962</x:v>
      </x:c>
      <x:c r="AP14" s="13" t="n">
        <x:v>-0.0021303366741742555</x:v>
      </x:c>
    </x:row>
    <x:row r="15" ht="15" hidden="0" customHeight="1">
      <x:c r="A15" s="2" t="str">
        <x:v>E14</x:v>
      </x:c>
      <x:c r="B15" s="2" t="str">
        <x:v>个体经营E14</x:v>
      </x:c>
      <x:c r="C15" s="2" t="str">
        <x:v>有信贷记录</x:v>
      </x:c>
      <x:c r="D15" s="2" t="str">
        <x:v>C</x:v>
      </x:c>
      <x:c r="E15" s="2" t="str">
        <x:v>否</x:v>
      </x:c>
      <x:c r="F15" s="13" t="n">
        <x:v>7077</x:v>
      </x:c>
      <x:c r="G15" s="13" t="n">
        <x:v>6527</x:v>
      </x:c>
      <x:c r="H15" s="13" t="n">
        <x:v>550</x:v>
      </x:c>
      <x:c r="I15" s="13" t="n">
        <x:v>130</x:v>
      </x:c>
      <x:c r="J15" s="13" t="n">
        <x:v>125103670.24</x:v>
      </x:c>
      <x:c r="K15" s="13" t="n">
        <x:v>130138254.88</x:v>
      </x:c>
      <x:c r="L15" s="13" t="n">
        <x:v>910</x:v>
      </x:c>
      <x:c r="M15" s="13" t="n">
        <x:v>0.07771654655927653</x:v>
      </x:c>
      <x:c r="N15" s="13" t="n">
        <x:v>0.019917266738164546</x:v>
      </x:c>
      <x:c r="O15" s="13" t="n">
        <x:v>0.06288906393385504</x:v>
      </x:c>
      <x:c r="P15" s="13" t="n">
        <x:v>0.22253256758901455</x:v>
      </x:c>
      <x:c r="Q15" s="13" t="n">
        <x:v>3475101.9511111113</x:v>
      </x:c>
      <x:c r="R15" s="13" t="n">
        <x:v>1.130893214119648</x:v>
      </x:c>
      <x:c r="S15" s="13" t="n">
        <x:v>0.009213045585495981</x:v>
      </x:c>
      <x:c r="T15" s="13" t="n">
        <x:v>36</x:v>
      </x:c>
      <x:c r="U15" s="13" t="n">
        <x:v>3336</x:v>
      </x:c>
      <x:c r="V15" s="13" t="n">
        <x:v>3097</x:v>
      </x:c>
      <x:c r="W15" s="13" t="n">
        <x:v>239</x:v>
      </x:c>
      <x:c r="X15" s="13" t="n">
        <x:v>42</x:v>
      </x:c>
      <x:c r="Y15" s="13" t="n">
        <x:v>241760597.37</x:v>
      </x:c>
      <x:c r="Z15" s="13" t="n">
        <x:v>246959854.71</x:v>
      </x:c>
      <x:c r="AA15" s="13" t="n">
        <x:v>829</x:v>
      </x:c>
      <x:c r="AB15" s="13" t="n">
        <x:v>0.07164268585131894</x:v>
      </x:c>
      <x:c r="AC15" s="13" t="n">
        <x:v>0.013561511139812722</x:v>
      </x:c>
      <x:c r="AD15" s="13" t="n">
        <x:v>0.009677191370718383</x:v>
      </x:c>
      <x:c r="AE15" s="13" t="n">
        <x:v>0.037357691236228376</x:v>
      </x:c>
      <x:c r="AF15" s="13" t="n">
        <x:v>6715572.149166666</x:v>
      </x:c>
      <x:c r="AG15" s="13" t="n">
        <x:v>0.3806614339261747</x:v>
      </x:c>
      <x:c r="AH15" s="13" t="n">
        <x:v>0.006149468490871172</x:v>
      </x:c>
      <x:c r="AI15" s="13" t="n">
        <x:v>36</x:v>
      </x:c>
      <x:c r="AJ15" s="13" t="n">
        <x:v>116656927.13000001</x:v>
      </x:c>
      <x:c r="AK15" s="13" t="n">
        <x:v>0.5269611736402208</x:v>
      </x:c>
      <x:c r="AL15" s="13" t="n">
        <x:v>0.07577067127628925</x:v>
      </x:c>
      <x:c r="AM15" s="13" t="n">
        <x:v>0.017871986699916874</x:v>
      </x:c>
      <x:c r="AN15" s="13" t="n">
        <x:v>0.036283127652286716</x:v>
      </x:c>
      <x:c r="AO15" s="13" t="n">
        <x:v>0.7557773240229113</x:v>
      </x:c>
      <x:c r="AP15" s="13" t="n">
        <x:v>0.0076812570381835765</x:v>
      </x:c>
    </x:row>
    <x:row r="16" ht="15" hidden="0" customHeight="1">
      <x:c r="A16" s="2" t="str">
        <x:v>E15</x:v>
      </x:c>
      <x:c r="B16" s="2" t="str">
        <x:v>***劳务有限公司</x:v>
      </x:c>
      <x:c r="C16" s="2" t="str">
        <x:v>有信贷记录</x:v>
      </x:c>
      <x:c r="D16" s="2" t="str">
        <x:v>A</x:v>
      </x:c>
      <x:c r="E16" s="2" t="str">
        <x:v>否</x:v>
      </x:c>
      <x:c r="F16" s="13" t="n">
        <x:v>92</x:v>
      </x:c>
      <x:c r="G16" s="13" t="n">
        <x:v>92</x:v>
      </x:c>
      <x:c r="H16" s="13" t="n">
        <x:v>0</x:v>
      </x:c>
      <x:c r="I16" s="13" t="n">
        <x:v>0</x:v>
      </x:c>
      <x:c r="J16" s="13" t="n">
        <x:v>4803944.4399999995</x:v>
      </x:c>
      <x:c r="K16" s="13" t="n">
        <x:v>4803944.4399999995</x:v>
      </x:c>
      <x:c r="L16" s="13" t="n">
        <x:v>33</x:v>
      </x:c>
      <x:c r="M16" s="13" t="n">
        <x:v>0</x:v>
      </x:c>
      <x:c r="N16" s="13" t="n">
        <x:v>0</x:v>
      </x:c>
      <x:c r="O16" s="13" t="n">
        <x:v>0.26438601319738486</x:v>
      </x:c>
      <x:c r="P16" s="13" t="n">
        <x:v>0.46420187157701603</x:v>
      </x:c>
      <x:c r="Q16" s="13" t="n">
        <x:v>160131.48133333333</x:v>
      </x:c>
      <x:c r="R16" s="13" t="n">
        <x:v>1.8563670929421359</x:v>
      </x:c>
      <x:c r="S16" s="13" t="n">
        <x:v>0.11233924224480572</x:v>
      </x:c>
      <x:c r="T16" s="13" t="n">
        <x:v>20</x:v>
      </x:c>
      <x:c r="U16" s="13" t="n">
        <x:v>2412</x:v>
      </x:c>
      <x:c r="V16" s="13" t="n">
        <x:v>2260</x:v>
      </x:c>
      <x:c r="W16" s="13" t="n">
        <x:v>152</x:v>
      </x:c>
      <x:c r="X16" s="13" t="n">
        <x:v>0</x:v>
      </x:c>
      <x:c r="Y16" s="13" t="n">
        <x:v>219600852.16000003</x:v>
      </x:c>
      <x:c r="Z16" s="13" t="n">
        <x:v>219600852.16000003</x:v>
      </x:c>
      <x:c r="AA16" s="13" t="n">
        <x:v>2</x:v>
      </x:c>
      <x:c r="AB16" s="13" t="n">
        <x:v>0.06301824212271974</x:v>
      </x:c>
      <x:c r="AC16" s="13" t="n">
        <x:v>0</x:v>
      </x:c>
      <x:c r="AD16" s="13" t="n">
        <x:v>0.7176798781421321</x:v>
      </x:c>
      <x:c r="AE16" s="13" t="n">
        <x:v>0.8299089860417052</x:v>
      </x:c>
      <x:c r="AF16" s="13" t="n">
        <x:v>5935158.166486487</x:v>
      </x:c>
      <x:c r="AG16" s="13" t="n">
        <x:v>1.0881438795992187</x:v>
      </x:c>
      <x:c r="AH16" s="13" t="n">
        <x:v>0.014199644150767016</x:v>
      </x:c>
      <x:c r="AI16" s="13" t="n">
        <x:v>29</x:v>
      </x:c>
      <x:c r="AJ16" s="13" t="n">
        <x:v>214796907.72000003</x:v>
      </x:c>
      <x:c r="AK16" s="13" t="n">
        <x:v>0.02187580053878785</x:v>
      </x:c>
      <x:c r="AL16" s="13" t="n">
        <x:v>0.06070287539936102</x:v>
      </x:c>
      <x:c r="AM16" s="13" t="n">
        <x:v>0</x:v>
      </x:c>
      <x:c r="AN16" s="13" t="n">
        <x:v>0.49103294566975847</x:v>
      </x:c>
      <x:c r="AO16" s="13" t="n">
        <x:v>1.4722554862706771</x:v>
      </x:c>
      <x:c r="AP16" s="13" t="n">
        <x:v>0.06326944319778637</x:v>
      </x:c>
    </x:row>
    <x:row r="17" ht="15" hidden="0" customHeight="1">
      <x:c r="A17" s="2" t="str">
        <x:v>E16</x:v>
      </x:c>
      <x:c r="B17" s="2" t="str">
        <x:v>***建筑劳务有限公司</x:v>
      </x:c>
      <x:c r="C17" s="2" t="str">
        <x:v>有信贷记录</x:v>
      </x:c>
      <x:c r="D17" s="2" t="str">
        <x:v>A</x:v>
      </x:c>
      <x:c r="E17" s="2" t="str">
        <x:v>否</x:v>
      </x:c>
      <x:c r="F17" s="13" t="n">
        <x:v>290</x:v>
      </x:c>
      <x:c r="G17" s="13" t="n">
        <x:v>289</x:v>
      </x:c>
      <x:c r="H17" s="13" t="n">
        <x:v>1</x:v>
      </x:c>
      <x:c r="I17" s="13" t="n">
        <x:v>1</x:v>
      </x:c>
      <x:c r="J17" s="13" t="n">
        <x:v>292748.42</x:v>
      </x:c>
      <x:c r="K17" s="13" t="n">
        <x:v>333748.42000000004</x:v>
      </x:c>
      <x:c r="L17" s="13" t="n">
        <x:v>77</x:v>
      </x:c>
      <x:c r="M17" s="13" t="n">
        <x:v>0.0034482758620689655</x:v>
      </x:c>
      <x:c r="N17" s="13" t="n">
        <x:v>0.0034602076124567475</x:v>
      </x:c>
      <x:c r="O17" s="13" t="n">
        <x:v>0.08715522888898697</x:v>
      </x:c>
      <x:c r="P17" s="13" t="n">
        <x:v>0.18427053527324563</x:v>
      </x:c>
      <x:c r="Q17" s="13" t="n">
        <x:v>8871.164242424242</x:v>
      </x:c>
      <x:c r="R17" s="13" t="n">
        <x:v>1.1606288743167692</x:v>
      </x:c>
      <x:c r="S17" s="13" t="n">
        <x:v>0.06073413499147672</x:v>
      </x:c>
      <x:c r="T17" s="13" t="n">
        <x:v>26</x:v>
      </x:c>
      <x:c r="U17" s="13" t="n">
        <x:v>439</x:v>
      </x:c>
      <x:c r="V17" s="13" t="n">
        <x:v>390</x:v>
      </x:c>
      <x:c r="W17" s="13" t="n">
        <x:v>49</x:v>
      </x:c>
      <x:c r="X17" s="13" t="n">
        <x:v>0</x:v>
      </x:c>
      <x:c r="Y17" s="13" t="n">
        <x:v>213556685.94</x:v>
      </x:c>
      <x:c r="Z17" s="13" t="n">
        <x:v>213556685.94</x:v>
      </x:c>
      <x:c r="AA17" s="13" t="n">
        <x:v>55</x:v>
      </x:c>
      <x:c r="AB17" s="13" t="n">
        <x:v>0.11161731207289294</x:v>
      </x:c>
      <x:c r="AC17" s="13" t="n">
        <x:v>0</x:v>
      </x:c>
      <x:c r="AD17" s="13" t="n">
        <x:v>0.06603363098644045</x:v>
      </x:c>
      <x:c r="AE17" s="13" t="n">
        <x:v>0.15142835583750208</x:v>
      </x:c>
      <x:c r="AF17" s="13" t="n">
        <x:v>5771802.322702703</x:v>
      </x:c>
      <x:c r="AG17" s="13" t="n">
        <x:v>0.9346037805879104</x:v>
      </x:c>
      <x:c r="AH17" s="13" t="n">
        <x:v>0.000905260216935669</x:v>
      </x:c>
      <x:c r="AI17" s="13" t="n">
        <x:v>36</x:v>
      </x:c>
      <x:c r="AJ17" s="13" t="n">
        <x:v>213263937.52</x:v>
      </x:c>
      <x:c r="AK17" s="13" t="n">
        <x:v>0.001562809511352731</x:v>
      </x:c>
      <x:c r="AL17" s="13" t="n">
        <x:v>0.06858710562414266</x:v>
      </x:c>
      <x:c r="AM17" s="13" t="n">
        <x:v>0.0014727540500736377</x:v>
      </x:c>
      <x:c r="AN17" s="13" t="n">
        <x:v>0.0765944299377137</x:v>
      </x:c>
      <x:c r="AO17" s="13" t="n">
        <x:v>1.0476163274523398</x:v>
      </x:c>
      <x:c r="AP17" s="13" t="n">
        <x:v>0.030819697604206196</x:v>
      </x:c>
    </x:row>
    <x:row r="18" ht="15" hidden="0" customHeight="1">
      <x:c r="A18" s="2" t="str">
        <x:v>E17</x:v>
      </x:c>
      <x:c r="B18" s="2" t="str">
        <x:v>***消防工程有限公司</x:v>
      </x:c>
      <x:c r="C18" s="2" t="str">
        <x:v>有信贷记录</x:v>
      </x:c>
      <x:c r="D18" s="2" t="str">
        <x:v>A</x:v>
      </x:c>
      <x:c r="E18" s="2" t="str">
        <x:v>否</x:v>
      </x:c>
      <x:c r="F18" s="13" t="n">
        <x:v>7568</x:v>
      </x:c>
      <x:c r="G18" s="13" t="n">
        <x:v>7143</x:v>
      </x:c>
      <x:c r="H18" s="13" t="n">
        <x:v>425</x:v>
      </x:c>
      <x:c r="I18" s="13" t="n">
        <x:v>91</x:v>
      </x:c>
      <x:c r="J18" s="13" t="n">
        <x:v>142782019.19</x:v>
      </x:c>
      <x:c r="K18" s="13" t="n">
        <x:v>149657140.57</x:v>
      </x:c>
      <x:c r="L18" s="13" t="n">
        <x:v>874</x:v>
      </x:c>
      <x:c r="M18" s="13" t="n">
        <x:v>0.05615750528541226</x:v>
      </x:c>
      <x:c r="N18" s="13" t="n">
        <x:v>0.012739745205095899</x:v>
      </x:c>
      <x:c r="O18" s="13" t="n">
        <x:v>0.018960396021677192</x:v>
      </x:c>
      <x:c r="P18" s="13" t="n">
        <x:v>0.06047283006698168</x:v>
      </x:c>
      <x:c r="Q18" s="13" t="n">
        <x:v>3858973.4916216224</x:v>
      </x:c>
      <x:c r="R18" s="13" t="n">
        <x:v>0.6651885167102717</x:v>
      </x:c>
      <x:c r="S18" s="13" t="n">
        <x:v>0.045553185348877964</x:v>
      </x:c>
      <x:c r="T18" s="13" t="n">
        <x:v>37</x:v>
      </x:c>
      <x:c r="U18" s="13" t="n">
        <x:v>676</x:v>
      </x:c>
      <x:c r="V18" s="13" t="n">
        <x:v>561</x:v>
      </x:c>
      <x:c r="W18" s="13" t="n">
        <x:v>115</x:v>
      </x:c>
      <x:c r="X18" s="13" t="n">
        <x:v>13</x:v>
      </x:c>
      <x:c r="Y18" s="13" t="n">
        <x:v>168088057.43</x:v>
      </x:c>
      <x:c r="Z18" s="13" t="n">
        <x:v>174904362.39000002</x:v>
      </x:c>
      <x:c r="AA18" s="13" t="n">
        <x:v>197</x:v>
      </x:c>
      <x:c r="AB18" s="13" t="n">
        <x:v>0.17011834319526628</x:v>
      </x:c>
      <x:c r="AC18" s="13" t="n">
        <x:v>0.023172905525846704</x:v>
      </x:c>
      <x:c r="AD18" s="13" t="n">
        <x:v>0.041652093362084475</x:v>
      </x:c>
      <x:c r="AE18" s="13" t="n">
        <x:v>0.1061778261344371</x:v>
      </x:c>
      <x:c r="AF18" s="13" t="n">
        <x:v>4542920.471081081</x:v>
      </x:c>
      <x:c r="AG18" s="13" t="n">
        <x:v>0.6829927127675612</x:v>
      </x:c>
      <x:c r="AH18" s="13" t="n">
        <x:v>0.04287365380432153</x:v>
      </x:c>
      <x:c r="AI18" s="13" t="n">
        <x:v>37</x:v>
      </x:c>
      <x:c r="AJ18" s="13" t="n">
        <x:v>25306038.24000001</x:v>
      </x:c>
      <x:c r="AK18" s="13" t="n">
        <x:v>0.8556512743592751</x:v>
      </x:c>
      <x:c r="AL18" s="13" t="n">
        <x:v>0.06550218340611354</x:v>
      </x:c>
      <x:c r="AM18" s="13" t="n">
        <x:v>0.013499480789200415</x:v>
      </x:c>
      <x:c r="AN18" s="13" t="n">
        <x:v>0.030306244691880833</x:v>
      </x:c>
      <x:c r="AO18" s="13" t="n">
        <x:v>0.6740906147389165</x:v>
      </x:c>
      <x:c r="AP18" s="13" t="n">
        <x:v>0.044213419576599744</x:v>
      </x:c>
    </x:row>
    <x:row r="19" ht="15" hidden="0" customHeight="1">
      <x:c r="A19" s="2" t="str">
        <x:v>E18</x:v>
      </x:c>
      <x:c r="B19" s="2" t="str">
        <x:v>***消防工程有限责任公司</x:v>
      </x:c>
      <x:c r="C19" s="2" t="str">
        <x:v>有信贷记录</x:v>
      </x:c>
      <x:c r="D19" s="2" t="str">
        <x:v>A</x:v>
      </x:c>
      <x:c r="E19" s="2" t="str">
        <x:v>否</x:v>
      </x:c>
      <x:c r="F19" s="13" t="n">
        <x:v>5765</x:v>
      </x:c>
      <x:c r="G19" s="13" t="n">
        <x:v>5455</x:v>
      </x:c>
      <x:c r="H19" s="13" t="n">
        <x:v>310</x:v>
      </x:c>
      <x:c r="I19" s="13" t="n">
        <x:v>31</x:v>
      </x:c>
      <x:c r="J19" s="13" t="n">
        <x:v>137752837.21</x:v>
      </x:c>
      <x:c r="K19" s="13" t="n">
        <x:v>141048335.82999998</x:v>
      </x:c>
      <x:c r="L19" s="13" t="n">
        <x:v>646</x:v>
      </x:c>
      <x:c r="M19" s="13" t="n">
        <x:v>0.053772766695576756</x:v>
      </x:c>
      <x:c r="N19" s="13" t="n">
        <x:v>0.0056828597616865265</x:v>
      </x:c>
      <x:c r="O19" s="13" t="n">
        <x:v>0.04162940459864149</x:v>
      </x:c>
      <x:c r="P19" s="13" t="n">
        <x:v>0.14024560703673775</x:v>
      </x:c>
      <x:c r="Q19" s="13" t="n">
        <x:v>3723049.654324324</x:v>
      </x:c>
      <x:c r="R19" s="13" t="n">
        <x:v>1.0156941078285335</x:v>
      </x:c>
      <x:c r="S19" s="13" t="n">
        <x:v>0.030339232179443155</x:v>
      </x:c>
      <x:c r="T19" s="13" t="n">
        <x:v>37</x:v>
      </x:c>
      <x:c r="U19" s="13" t="n">
        <x:v>381</x:v>
      </x:c>
      <x:c r="V19" s="13" t="n">
        <x:v>345</x:v>
      </x:c>
      <x:c r="W19" s="13" t="n">
        <x:v>36</x:v>
      </x:c>
      <x:c r="X19" s="13" t="n">
        <x:v>2</x:v>
      </x:c>
      <x:c r="Y19" s="13" t="n">
        <x:v>197656390.76999998</x:v>
      </x:c>
      <x:c r="Z19" s="13" t="n">
        <x:v>199796470.97</x:v>
      </x:c>
      <x:c r="AA19" s="13" t="n">
        <x:v>49</x:v>
      </x:c>
      <x:c r="AB19" s="13" t="n">
        <x:v>0.09448818897637795</x:v>
      </x:c>
      <x:c r="AC19" s="13" t="n">
        <x:v>0.005797101449275362</x:v>
      </x:c>
      <x:c r="AD19" s="13" t="n">
        <x:v>0.1275133434163856</x:v>
      </x:c>
      <x:c r="AE19" s="13" t="n">
        <x:v>0.2610754523178353</x:v>
      </x:c>
      <x:c r="AF19" s="13" t="n">
        <x:v>5342064.615405406</x:v>
      </x:c>
      <x:c r="AG19" s="13" t="n">
        <x:v>0.8957950243627159</x:v>
      </x:c>
      <x:c r="AH19" s="13" t="n">
        <x:v>0.007007568340795679</x:v>
      </x:c>
      <x:c r="AI19" s="13" t="n">
        <x:v>37</x:v>
      </x:c>
      <x:c r="AJ19" s="13" t="n">
        <x:v>59903553.55999997</x:v>
      </x:c>
      <x:c r="AK19" s="13" t="n">
        <x:v>0.705960096017806</x:v>
      </x:c>
      <x:c r="AL19" s="13" t="n">
        <x:v>0.056296778392450376</x:v>
      </x:c>
      <x:c r="AM19" s="13" t="n">
        <x:v>0.005689655172413793</x:v>
      </x:c>
      <x:c r="AN19" s="13" t="n">
        <x:v>0.08457137400751355</x:v>
      </x:c>
      <x:c r="AO19" s="13" t="n">
        <x:v>0.9557445660956247</x:v>
      </x:c>
      <x:c r="AP19" s="13" t="n">
        <x:v>0.01867340026011942</x:v>
      </x:c>
    </x:row>
    <x:row r="20" ht="15" hidden="0" customHeight="1">
      <x:c r="A20" s="2" t="str">
        <x:v>E19</x:v>
      </x:c>
      <x:c r="B20" s="2" t="str">
        <x:v>***科技有限公司</x:v>
      </x:c>
      <x:c r="C20" s="2" t="str">
        <x:v>有信贷记录</x:v>
      </x:c>
      <x:c r="D20" s="2" t="str">
        <x:v>A</x:v>
      </x:c>
      <x:c r="E20" s="2" t="str">
        <x:v>否</x:v>
      </x:c>
      <x:c r="F20" s="13" t="n">
        <x:v>1524</x:v>
      </x:c>
      <x:c r="G20" s="13" t="n">
        <x:v>1484</x:v>
      </x:c>
      <x:c r="H20" s="13" t="n">
        <x:v>40</x:v>
      </x:c>
      <x:c r="I20" s="13" t="n">
        <x:v>3</x:v>
      </x:c>
      <x:c r="J20" s="13" t="n">
        <x:v>212140557.3</x:v>
      </x:c>
      <x:c r="K20" s="13" t="n">
        <x:v>212471777.3</x:v>
      </x:c>
      <x:c r="L20" s="13" t="n">
        <x:v>167</x:v>
      </x:c>
      <x:c r="M20" s="13" t="n">
        <x:v>0.026246719160104987</x:v>
      </x:c>
      <x:c r="N20" s="13" t="n">
        <x:v>0.0020215633423180594</x:v>
      </x:c>
      <x:c r="O20" s="13" t="n">
        <x:v>0.18799586805123353</x:v>
      </x:c>
      <x:c r="P20" s="13" t="n">
        <x:v>0.36843485287681077</x:v>
      </x:c>
      <x:c r="Q20" s="13" t="n">
        <x:v>5733528.575675676</x:v>
      </x:c>
      <x:c r="R20" s="13" t="n">
        <x:v>0.4726521465769947</x:v>
      </x:c>
      <x:c r="S20" s="13" t="n">
        <x:v>0.015163790736960135</x:v>
      </x:c>
      <x:c r="T20" s="13" t="n">
        <x:v>37</x:v>
      </x:c>
      <x:c r="U20" s="13" t="n">
        <x:v>3099</x:v>
      </x:c>
      <x:c r="V20" s="13" t="n">
        <x:v>2821</x:v>
      </x:c>
      <x:c r="W20" s="13" t="n">
        <x:v>278</x:v>
      </x:c>
      <x:c r="X20" s="13" t="n">
        <x:v>65</x:v>
      </x:c>
      <x:c r="Y20" s="13" t="n">
        <x:v>209115169.14000002</x:v>
      </x:c>
      <x:c r="Z20" s="13" t="n">
        <x:v>218754375.16000003</x:v>
      </x:c>
      <x:c r="AA20" s="13" t="n">
        <x:v>516</x:v>
      </x:c>
      <x:c r="AB20" s="13" t="n">
        <x:v>0.08970635688931913</x:v>
      </x:c>
      <x:c r="AC20" s="13" t="n">
        <x:v>0.02304147465437788</x:v>
      </x:c>
      <x:c r="AD20" s="13" t="n">
        <x:v>0.014642931768548828</x:v>
      </x:c>
      <x:c r="AE20" s="13" t="n">
        <x:v>0.05638489210091646</x:v>
      </x:c>
      <x:c r="AF20" s="13" t="n">
        <x:v>5651761.328108108</x:v>
      </x:c>
      <x:c r="AG20" s="13" t="n">
        <x:v>0.39618714556381185</x:v>
      </x:c>
      <x:c r="AH20" s="13" t="n">
        <x:v>0.01446791928348665</x:v>
      </x:c>
      <x:c r="AI20" s="13" t="n">
        <x:v>37</x:v>
      </x:c>
      <x:c r="AJ20" s="13" t="n">
        <x:v>-3025388.1599999964</x:v>
      </x:c>
      <x:c r="AK20" s="13" t="n">
        <x:v>0.9712801270584653</x:v>
      </x:c>
      <x:c r="AL20" s="13" t="n">
        <x:v>0.06878650227125244</x:v>
      </x:c>
      <x:c r="AM20" s="13" t="n">
        <x:v>0.015795586527293844</x:v>
      </x:c>
      <x:c r="AN20" s="13" t="n">
        <x:v>0.10131939990989118</x:v>
      </x:c>
      <x:c r="AO20" s="13" t="n">
        <x:v>0.4344196460704033</x:v>
      </x:c>
      <x:c r="AP20" s="13" t="n">
        <x:v>0.014815855010223393</x:v>
      </x:c>
    </x:row>
    <x:row r="21" ht="15" hidden="0" customHeight="1">
      <x:c r="A21" s="2" t="str">
        <x:v>E20</x:v>
      </x:c>
      <x:c r="B21" s="2" t="str">
        <x:v>***贸易有限公司</x:v>
      </x:c>
      <x:c r="C21" s="2" t="str">
        <x:v>有信贷记录</x:v>
      </x:c>
      <x:c r="D21" s="2" t="str">
        <x:v>B</x:v>
      </x:c>
      <x:c r="E21" s="2" t="str">
        <x:v>否</x:v>
      </x:c>
      <x:c r="F21" s="13" t="n">
        <x:v>1130</x:v>
      </x:c>
      <x:c r="G21" s="13" t="n">
        <x:v>1041</x:v>
      </x:c>
      <x:c r="H21" s="13" t="n">
        <x:v>89</x:v>
      </x:c>
      <x:c r="I21" s="13" t="n">
        <x:v>3</x:v>
      </x:c>
      <x:c r="J21" s="13" t="n">
        <x:v>204339817.17000002</x:v>
      </x:c>
      <x:c r="K21" s="13" t="n">
        <x:v>204442529.69</x:v>
      </x:c>
      <x:c r="L21" s="13" t="n">
        <x:v>71</x:v>
      </x:c>
      <x:c r="M21" s="13" t="n">
        <x:v>0.07876106194690266</x:v>
      </x:c>
      <x:c r="N21" s="13" t="n">
        <x:v>0.002881844380403458</x:v>
      </x:c>
      <x:c r="O21" s="13" t="n">
        <x:v>0.07297300558800633</x:v>
      </x:c>
      <x:c r="P21" s="13" t="n">
        <x:v>0.1610654680311885</x:v>
      </x:c>
      <x:c r="Q21" s="13" t="n">
        <x:v>5522697.761351352</x:v>
      </x:c>
      <x:c r="R21" s="13" t="n">
        <x:v>0.6565113988477492</x:v>
      </x:c>
      <x:c r="S21" s="13" t="n">
        <x:v>0.006142711983304903</x:v>
      </x:c>
      <x:c r="T21" s="13" t="n">
        <x:v>37</x:v>
      </x:c>
      <x:c r="U21" s="13" t="n">
        <x:v>777</x:v>
      </x:c>
      <x:c r="V21" s="13" t="n">
        <x:v>737</x:v>
      </x:c>
      <x:c r="W21" s="13" t="n">
        <x:v>40</x:v>
      </x:c>
      <x:c r="X21" s="13" t="n">
        <x:v>0</x:v>
      </x:c>
      <x:c r="Y21" s="13" t="n">
        <x:v>222122058.8</x:v>
      </x:c>
      <x:c r="Z21" s="13" t="n">
        <x:v>222122058.8</x:v>
      </x:c>
      <x:c r="AA21" s="13" t="n">
        <x:v>26</x:v>
      </x:c>
      <x:c r="AB21" s="13" t="n">
        <x:v>0.05148005148005148</x:v>
      </x:c>
      <x:c r="AC21" s="13" t="n">
        <x:v>0</x:v>
      </x:c>
      <x:c r="AD21" s="13" t="n">
        <x:v>0.3147606763061084</x:v>
      </x:c>
      <x:c r="AE21" s="13" t="n">
        <x:v>0.5381373311852267</x:v>
      </x:c>
      <x:c r="AF21" s="13" t="n">
        <x:v>6003298.8864864865</x:v>
      </x:c>
      <x:c r="AG21" s="13" t="n">
        <x:v>0.5484377939259115</x:v>
      </x:c>
      <x:c r="AH21" s="13" t="n">
        <x:v>0.008641647577398515</x:v>
      </x:c>
      <x:c r="AI21" s="13" t="n">
        <x:v>35</x:v>
      </x:c>
      <x:c r="AJ21" s="13" t="n">
        <x:v>17782241.629999995</x:v>
      </x:c>
      <x:c r="AK21" s="13" t="n">
        <x:v>0.9204062432812278</x:v>
      </x:c>
      <x:c r="AL21" s="13" t="n">
        <x:v>0.06764551651809124</x:v>
      </x:c>
      <x:c r="AM21" s="13" t="n">
        <x:v>0.001687289088863892</x:v>
      </x:c>
      <x:c r="AN21" s="13" t="n">
        <x:v>0.19386684094705736</x:v>
      </x:c>
      <x:c r="AO21" s="13" t="n">
        <x:v>0.6024745963868303</x:v>
      </x:c>
      <x:c r="AP21" s="13" t="n">
        <x:v>0.007392179780351709</x:v>
      </x:c>
    </x:row>
    <x:row r="22" ht="15" hidden="0" customHeight="1">
      <x:c r="A22" s="2" t="str">
        <x:v>E21</x:v>
      </x:c>
      <x:c r="B22" s="2" t="str">
        <x:v>***建设工程有限公司</x:v>
      </x:c>
      <x:c r="C22" s="2" t="str">
        <x:v>有信贷记录</x:v>
      </x:c>
      <x:c r="D22" s="2" t="str">
        <x:v>B</x:v>
      </x:c>
      <x:c r="E22" s="2" t="str">
        <x:v>否</x:v>
      </x:c>
      <x:c r="F22" s="13" t="n">
        <x:v>2312</x:v>
      </x:c>
      <x:c r="G22" s="13" t="n">
        <x:v>2146</x:v>
      </x:c>
      <x:c r="H22" s="13" t="n">
        <x:v>166</x:v>
      </x:c>
      <x:c r="I22" s="13" t="n">
        <x:v>22</x:v>
      </x:c>
      <x:c r="J22" s="13" t="n">
        <x:v>123194760.08000001</x:v>
      </x:c>
      <x:c r="K22" s="13" t="n">
        <x:v>125347677.56</x:v>
      </x:c>
      <x:c r="L22" s="13" t="n">
        <x:v>481</x:v>
      </x:c>
      <x:c r="M22" s="13" t="n">
        <x:v>0.07179930795847751</x:v>
      </x:c>
      <x:c r="N22" s="13" t="n">
        <x:v>0.010251630941286114</x:v>
      </x:c>
      <x:c r="O22" s="13" t="n">
        <x:v>0.05727775478834476</x:v>
      </x:c>
      <x:c r="P22" s="13" t="n">
        <x:v>0.15875842606237753</x:v>
      </x:c>
      <x:c r="Q22" s="13" t="n">
        <x:v>3329588.1102702706</x:v>
      </x:c>
      <x:c r="R22" s="13" t="n">
        <x:v>0.8813133962707187</x:v>
      </x:c>
      <x:c r="S22" s="13" t="n">
        <x:v>0.058035280423774774</x:v>
      </x:c>
      <x:c r="T22" s="13" t="n">
        <x:v>37</x:v>
      </x:c>
      <x:c r="U22" s="13" t="n">
        <x:v>1466</x:v>
      </x:c>
      <x:c r="V22" s="13" t="n">
        <x:v>1428</x:v>
      </x:c>
      <x:c r="W22" s="13" t="n">
        <x:v>38</x:v>
      </x:c>
      <x:c r="X22" s="13" t="n">
        <x:v>46</x:v>
      </x:c>
      <x:c r="Y22" s="13" t="n">
        <x:v>129722845.87</x:v>
      </x:c>
      <x:c r="Z22" s="13" t="n">
        <x:v>138701427.37</x:v>
      </x:c>
      <x:c r="AA22" s="13" t="n">
        <x:v>338</x:v>
      </x:c>
      <x:c r="AB22" s="13" t="n">
        <x:v>0.02592087312414734</x:v>
      </x:c>
      <x:c r="AC22" s="13" t="n">
        <x:v>0.03221288515406162</x:v>
      </x:c>
      <x:c r="AD22" s="13" t="n">
        <x:v>0.24042596219453424</x:v>
      </x:c>
      <x:c r="AE22" s="13" t="n">
        <x:v>0.4657486316104953</x:v>
      </x:c>
      <x:c r="AF22" s="13" t="n">
        <x:v>3506022.8613513513</x:v>
      </x:c>
      <x:c r="AG22" s="13" t="n">
        <x:v>1.1107678915160892</x:v>
      </x:c>
      <x:c r="AH22" s="13" t="n">
        <x:v>0.06579061459126918</x:v>
      </x:c>
      <x:c r="AI22" s="13" t="n">
        <x:v>34</x:v>
      </x:c>
      <x:c r="AJ22" s="13" t="n">
        <x:v>6528085.789999992</x:v>
      </x:c>
      <x:c r="AK22" s="13" t="n">
        <x:v>0.9037230541659999</x:v>
      </x:c>
      <x:c r="AL22" s="13" t="n">
        <x:v>0.05399682371625199</x:v>
      </x:c>
      <x:c r="AM22" s="13" t="n">
        <x:v>0.019026301063234472</x:v>
      </x:c>
      <x:c r="AN22" s="13" t="n">
        <x:v>0.1488518584914395</x:v>
      </x:c>
      <x:c r="AO22" s="13" t="n">
        <x:v>0.996040643893404</x:v>
      </x:c>
      <x:c r="AP22" s="13" t="n">
        <x:v>0.06191294750752198</x:v>
      </x:c>
    </x:row>
    <x:row r="23" ht="15" hidden="0" customHeight="1">
      <x:c r="A23" s="2" t="str">
        <x:v>E22</x:v>
      </x:c>
      <x:c r="B23" s="2" t="str">
        <x:v>***物流有限公司</x:v>
      </x:c>
      <x:c r="C23" s="2" t="str">
        <x:v>有信贷记录</x:v>
      </x:c>
      <x:c r="D23" s="2" t="str">
        <x:v>A</x:v>
      </x:c>
      <x:c r="E23" s="2" t="str">
        <x:v>否</x:v>
      </x:c>
      <x:c r="F23" s="13" t="n">
        <x:v>807</x:v>
      </x:c>
      <x:c r="G23" s="13" t="n">
        <x:v>762</x:v>
      </x:c>
      <x:c r="H23" s="13" t="n">
        <x:v>45</x:v>
      </x:c>
      <x:c r="I23" s="13" t="n">
        <x:v>9</x:v>
      </x:c>
      <x:c r="J23" s="13" t="n">
        <x:v>37445597.97</x:v>
      </x:c>
      <x:c r="K23" s="13" t="n">
        <x:v>38388284.25</x:v>
      </x:c>
      <x:c r="L23" s="13" t="n">
        <x:v>80</x:v>
      </x:c>
      <x:c r="M23" s="13" t="n">
        <x:v>0.055762081784386616</x:v>
      </x:c>
      <x:c r="N23" s="13" t="n">
        <x:v>0.011811023622047244</x:v>
      </x:c>
      <x:c r="O23" s="13" t="n">
        <x:v>0.12512147531334727</x:v>
      </x:c>
      <x:c r="P23" s="13" t="n">
        <x:v>0.24097977236375184</x:v>
      </x:c>
      <x:c r="Q23" s="13" t="n">
        <x:v>1012043.1883783784</x:v>
      </x:c>
      <x:c r="R23" s="13" t="n">
        <x:v>1.061277225311488</x:v>
      </x:c>
      <x:c r="S23" s="13" t="n">
        <x:v>0.034919488684912486</x:v>
      </x:c>
      <x:c r="T23" s="13" t="n">
        <x:v>37</x:v>
      </x:c>
      <x:c r="U23" s="13" t="n">
        <x:v>782</x:v>
      </x:c>
      <x:c r="V23" s="13" t="n">
        <x:v>684</x:v>
      </x:c>
      <x:c r="W23" s="13" t="n">
        <x:v>98</x:v>
      </x:c>
      <x:c r="X23" s="13" t="n">
        <x:v>6</x:v>
      </x:c>
      <x:c r="Y23" s="13" t="n">
        <x:v>61453231.71000001</x:v>
      </x:c>
      <x:c r="Z23" s="13" t="n">
        <x:v>62106480.410000004</x:v>
      </x:c>
      <x:c r="AA23" s="13" t="n">
        <x:v>48</x:v>
      </x:c>
      <x:c r="AB23" s="13" t="n">
        <x:v>0.12531969309462915</x:v>
      </x:c>
      <x:c r="AC23" s="13" t="n">
        <x:v>0.008771929824561403</x:v>
      </x:c>
      <x:c r="AD23" s="13" t="n">
        <x:v>0.09785006884922472</x:v>
      </x:c>
      <x:c r="AE23" s="13" t="n">
        <x:v>0.23568121319016475</x:v>
      </x:c>
      <x:c r="AF23" s="13" t="n">
        <x:v>1660898.1543243243</x:v>
      </x:c>
      <x:c r="AG23" s="13" t="n">
        <x:v>0.8479002582559694</x:v>
      </x:c>
      <x:c r="AH23" s="13" t="n">
        <x:v>0.06168709071191473</x:v>
      </x:c>
      <x:c r="AI23" s="13" t="n">
        <x:v>35</x:v>
      </x:c>
      <x:c r="AJ23" s="13" t="n">
        <x:v>24007633.74000001</x:v>
      </x:c>
      <x:c r="AK23" s="13" t="n">
        <x:v>0.6181043265787599</x:v>
      </x:c>
      <x:c r="AL23" s="13" t="n">
        <x:v>0.08999370673379484</x:v>
      </x:c>
      <x:c r="AM23" s="13" t="n">
        <x:v>0.01037344398340249</x:v>
      </x:c>
      <x:c r="AN23" s="13" t="n">
        <x:v>0.11148577208128599</x:v>
      </x:c>
      <x:c r="AO23" s="13" t="n">
        <x:v>0.9545887417837287</x:v>
      </x:c>
      <x:c r="AP23" s="13" t="n">
        <x:v>0.048303289698413604</x:v>
      </x:c>
    </x:row>
    <x:row r="24" ht="15" hidden="0" customHeight="1">
      <x:c r="A24" s="2" t="str">
        <x:v>E23</x:v>
      </x:c>
      <x:c r="B24" s="2" t="str">
        <x:v>***贸易有限公司</x:v>
      </x:c>
      <x:c r="C24" s="2" t="str">
        <x:v>有信贷记录</x:v>
      </x:c>
      <x:c r="D24" s="2" t="str">
        <x:v>B</x:v>
      </x:c>
      <x:c r="E24" s="2" t="str">
        <x:v>否</x:v>
      </x:c>
      <x:c r="F24" s="13" t="n">
        <x:v>4951</x:v>
      </x:c>
      <x:c r="G24" s="13" t="n">
        <x:v>4802</x:v>
      </x:c>
      <x:c r="H24" s="13" t="n">
        <x:v>149</x:v>
      </x:c>
      <x:c r="I24" s="13" t="n">
        <x:v>74</x:v>
      </x:c>
      <x:c r="J24" s="13" t="n">
        <x:v>200994746.13</x:v>
      </x:c>
      <x:c r="K24" s="13" t="n">
        <x:v>203232360.85</x:v>
      </x:c>
      <x:c r="L24" s="13" t="n">
        <x:v>685</x:v>
      </x:c>
      <x:c r="M24" s="13" t="n">
        <x:v>0.030094930317107655</x:v>
      </x:c>
      <x:c r="N24" s="13" t="n">
        <x:v>0.015410245730945439</x:v>
      </x:c>
      <x:c r="O24" s="13" t="n">
        <x:v>0.6715062617724951</x:v>
      </x:c>
      <x:c r="P24" s="13" t="n">
        <x:v>0.817643094214934</x:v>
      </x:c>
      <x:c r="Q24" s="13" t="n">
        <x:v>5432290.435945947</x:v>
      </x:c>
      <x:c r="R24" s="13" t="n">
        <x:v>0.34664257366358964</x:v>
      </x:c>
      <x:c r="S24" s="13" t="n">
        <x:v>-0.0010664570937012107</x:v>
      </x:c>
      <x:c r="T24" s="13" t="n">
        <x:v>37</x:v>
      </x:c>
      <x:c r="U24" s="13" t="n">
        <x:v>3570</x:v>
      </x:c>
      <x:c r="V24" s="13" t="n">
        <x:v>3441</x:v>
      </x:c>
      <x:c r="W24" s="13" t="n">
        <x:v>129</x:v>
      </x:c>
      <x:c r="X24" s="13" t="n">
        <x:v>34</x:v>
      </x:c>
      <x:c r="Y24" s="13" t="n">
        <x:v>212044592.53</x:v>
      </x:c>
      <x:c r="Z24" s="13" t="n">
        <x:v>214276359.81</x:v>
      </x:c>
      <x:c r="AA24" s="13" t="n">
        <x:v>119</x:v>
      </x:c>
      <x:c r="AB24" s="13" t="n">
        <x:v>0.03613445378151261</x:v>
      </x:c>
      <x:c r="AC24" s="13" t="n">
        <x:v>0.00988084859052601</x:v>
      </x:c>
      <x:c r="AD24" s="13" t="n">
        <x:v>0.05393545371104911</x:v>
      </x:c>
      <x:c r="AE24" s="13" t="n">
        <x:v>0.10890975780386064</x:v>
      </x:c>
      <x:c r="AF24" s="13" t="n">
        <x:v>5730934.933243243</x:v>
      </x:c>
      <x:c r="AG24" s="13" t="n">
        <x:v>0.21053645356453543</x:v>
      </x:c>
      <x:c r="AH24" s="13" t="n">
        <x:v>-0.0040038110469496095</x:v>
      </x:c>
      <x:c r="AI24" s="13" t="n">
        <x:v>37</x:v>
      </x:c>
      <x:c r="AJ24" s="13" t="n">
        <x:v>11049846.400000006</x:v>
      </x:c>
      <x:c r="AK24" s="13" t="n">
        <x:v>0.9484590882083642</x:v>
      </x:c>
      <x:c r="AL24" s="13" t="n">
        <x:v>0.03262527872315456</x:v>
      </x:c>
      <x:c r="AM24" s="13" t="n">
        <x:v>0.013102025961421812</x:v>
      </x:c>
      <x:c r="AN24" s="13" t="n">
        <x:v>0.3627208577417721</x:v>
      </x:c>
      <x:c r="AO24" s="13" t="n">
        <x:v>0.27858951361406253</x:v>
      </x:c>
      <x:c r="AP24" s="13" t="n">
        <x:v>-0.00253513407032541</x:v>
      </x:c>
    </x:row>
    <x:row r="25" ht="15" hidden="0" customHeight="1">
      <x:c r="A25" s="2" t="str">
        <x:v>E24</x:v>
      </x:c>
      <x:c r="B25" s="2" t="str">
        <x:v>***建筑工程有限公司</x:v>
      </x:c>
      <x:c r="C25" s="2" t="str">
        <x:v>有信贷记录</x:v>
      </x:c>
      <x:c r="D25" s="2" t="str">
        <x:v>A</x:v>
      </x:c>
      <x:c r="E25" s="2" t="str">
        <x:v>否</x:v>
      </x:c>
      <x:c r="F25" s="13" t="n">
        <x:v>2047</x:v>
      </x:c>
      <x:c r="G25" s="13" t="n">
        <x:v>2004</x:v>
      </x:c>
      <x:c r="H25" s="13" t="n">
        <x:v>43</x:v>
      </x:c>
      <x:c r="I25" s="13" t="n">
        <x:v>16</x:v>
      </x:c>
      <x:c r="J25" s="13" t="n">
        <x:v>86230669.41</x:v>
      </x:c>
      <x:c r="K25" s="13" t="n">
        <x:v>88148997.57</x:v>
      </x:c>
      <x:c r="L25" s="13" t="n">
        <x:v>367</x:v>
      </x:c>
      <x:c r="M25" s="13" t="n">
        <x:v>0.021006350757205666</x:v>
      </x:c>
      <x:c r="N25" s="13" t="n">
        <x:v>0.007984031936127744</x:v>
      </x:c>
      <x:c r="O25" s="13" t="n">
        <x:v>0.08275244545750948</x:v>
      </x:c>
      <x:c r="P25" s="13" t="n">
        <x:v>0.1752114422825421</x:v>
      </x:c>
      <x:c r="Q25" s="13" t="n">
        <x:v>2330558.632702703</x:v>
      </x:c>
      <x:c r="R25" s="13" t="n">
        <x:v>0.6536780525239002</x:v>
      </x:c>
      <x:c r="S25" s="13" t="n">
        <x:v>0.036644149065288435</x:v>
      </x:c>
      <x:c r="T25" s="13" t="n">
        <x:v>36</x:v>
      </x:c>
      <x:c r="U25" s="13" t="n">
        <x:v>1782</x:v>
      </x:c>
      <x:c r="V25" s="13" t="n">
        <x:v>1638</x:v>
      </x:c>
      <x:c r="W25" s="13" t="n">
        <x:v>144</x:v>
      </x:c>
      <x:c r="X25" s="13" t="n">
        <x:v>28</x:v>
      </x:c>
      <x:c r="Y25" s="13" t="n">
        <x:v>154248452.82999998</x:v>
      </x:c>
      <x:c r="Z25" s="13" t="n">
        <x:v>158761613.29</x:v>
      </x:c>
      <x:c r="AA25" s="13" t="n">
        <x:v>49</x:v>
      </x:c>
      <x:c r="AB25" s="13" t="n">
        <x:v>0.08080808080808081</x:v>
      </x:c>
      <x:c r="AC25" s="13" t="n">
        <x:v>0.017094017094017096</x:v>
      </x:c>
      <x:c r="AD25" s="13" t="n">
        <x:v>0.141299980420656</x:v>
      </x:c>
      <x:c r="AE25" s="13" t="n">
        <x:v>0.28852009469272133</x:v>
      </x:c>
      <x:c r="AF25" s="13" t="n">
        <x:v>4168877.103513513</x:v>
      </x:c>
      <x:c r="AG25" s="13" t="n">
        <x:v>0.6948367394970142</x:v>
      </x:c>
      <x:c r="AH25" s="13" t="n">
        <x:v>0.0408664333233495</x:v>
      </x:c>
      <x:c r="AI25" s="13" t="n">
        <x:v>35</x:v>
      </x:c>
      <x:c r="AJ25" s="13" t="n">
        <x:v>68017783.41999999</x:v>
      </x:c>
      <x:c r="AK25" s="13" t="n">
        <x:v>0.5552286585106923</x:v>
      </x:c>
      <x:c r="AL25" s="13" t="n">
        <x:v>0.04883781666231392</x:v>
      </x:c>
      <x:c r="AM25" s="13" t="n">
        <x:v>0.012081274025260845</x:v>
      </x:c>
      <x:c r="AN25" s="13" t="n">
        <x:v>0.11202621293908274</x:v>
      </x:c>
      <x:c r="AO25" s="13" t="n">
        <x:v>0.6742573960104572</x:v>
      </x:c>
      <x:c r="AP25" s="13" t="n">
        <x:v>0.03875529119431897</x:v>
      </x:c>
    </x:row>
    <x:row r="26" ht="15" hidden="0" customHeight="1">
      <x:c r="A26" s="2" t="str">
        <x:v>E25</x:v>
      </x:c>
      <x:c r="B26" s="2" t="str">
        <x:v>***通讯设备有限公司</x:v>
      </x:c>
      <x:c r="C26" s="2" t="str">
        <x:v>有信贷记录</x:v>
      </x:c>
      <x:c r="D26" s="2" t="str">
        <x:v>C</x:v>
      </x:c>
      <x:c r="E26" s="2" t="str">
        <x:v>否</x:v>
      </x:c>
      <x:c r="F26" s="13" t="n">
        <x:v>1410</x:v>
      </x:c>
      <x:c r="G26" s="13" t="n">
        <x:v>1391</x:v>
      </x:c>
      <x:c r="H26" s="13" t="n">
        <x:v>19</x:v>
      </x:c>
      <x:c r="I26" s="13" t="n">
        <x:v>6</x:v>
      </x:c>
      <x:c r="J26" s="13" t="n">
        <x:v>10004188.870000001</x:v>
      </x:c>
      <x:c r="K26" s="13" t="n">
        <x:v>10162456.45</x:v>
      </x:c>
      <x:c r="L26" s="13" t="n">
        <x:v>368</x:v>
      </x:c>
      <x:c r="M26" s="13" t="n">
        <x:v>0.01347517730496454</x:v>
      </x:c>
      <x:c r="N26" s="13" t="n">
        <x:v>0.004313443565780014</x:v>
      </x:c>
      <x:c r="O26" s="13" t="n">
        <x:v>0.06522865074641568</x:v>
      </x:c>
      <x:c r="P26" s="13" t="n">
        <x:v>0.18859111568443673</x:v>
      </x:c>
      <x:c r="Q26" s="13" t="n">
        <x:v>294240.8491176471</x:v>
      </x:c>
      <x:c r="R26" s="13" t="n">
        <x:v>0.9529549953410726</x:v>
      </x:c>
      <x:c r="S26" s="13" t="n">
        <x:v>0.02731931679724077</x:v>
      </x:c>
      <x:c r="T26" s="13" t="n">
        <x:v>34</x:v>
      </x:c>
      <x:c r="U26" s="13" t="n">
        <x:v>978</x:v>
      </x:c>
      <x:c r="V26" s="13" t="n">
        <x:v>814</x:v>
      </x:c>
      <x:c r="W26" s="13" t="n">
        <x:v>164</x:v>
      </x:c>
      <x:c r="X26" s="13" t="n">
        <x:v>22</x:v>
      </x:c>
      <x:c r="Y26" s="13" t="n">
        <x:v>43833796.03</x:v>
      </x:c>
      <x:c r="Z26" s="13" t="n">
        <x:v>44937716.03</x:v>
      </x:c>
      <x:c r="AA26" s="13" t="n">
        <x:v>237</x:v>
      </x:c>
      <x:c r="AB26" s="13" t="n">
        <x:v>0.16768916155419222</x:v>
      </x:c>
      <x:c r="AC26" s="13" t="n">
        <x:v>0.02702702702702703</x:v>
      </x:c>
      <x:c r="AD26" s="13" t="n">
        <x:v>0.04987679946136882</x:v>
      </x:c>
      <x:c r="AE26" s="13" t="n">
        <x:v>0.14672975359046078</x:v>
      </x:c>
      <x:c r="AF26" s="13" t="n">
        <x:v>1289229.295</x:v>
      </x:c>
      <x:c r="AG26" s="13" t="n">
        <x:v>1.1179303428869207</x:v>
      </x:c>
      <x:c r="AH26" s="13" t="n">
        <x:v>0.017506489115515198</x:v>
      </x:c>
      <x:c r="AI26" s="13" t="n">
        <x:v>34</x:v>
      </x:c>
      <x:c r="AJ26" s="13" t="n">
        <x:v>33829607.16</x:v>
      </x:c>
      <x:c r="AK26" s="13" t="n">
        <x:v>0.226145370699651</x:v>
      </x:c>
      <x:c r="AL26" s="13" t="n">
        <x:v>0.07663316582914573</x:v>
      </x:c>
      <x:c r="AM26" s="13" t="n">
        <x:v>0.012698412698412698</x:v>
      </x:c>
      <x:c r="AN26" s="13" t="n">
        <x:v>0.05755272510389225</x:v>
      </x:c>
      <x:c r="AO26" s="13" t="n">
        <x:v>1.0354426691139966</x:v>
      </x:c>
      <x:c r="AP26" s="13" t="n">
        <x:v>0.022412902956377982</x:v>
      </x:c>
    </x:row>
    <x:row r="27" ht="15" hidden="0" customHeight="1">
      <x:c r="A27" s="2" t="str">
        <x:v>E26</x:v>
      </x:c>
      <x:c r="B27" s="2" t="str">
        <x:v>***金属材料有限公司</x:v>
      </x:c>
      <x:c r="C27" s="2" t="str">
        <x:v>有信贷记录</x:v>
      </x:c>
      <x:c r="D27" s="2" t="str">
        <x:v>A</x:v>
      </x:c>
      <x:c r="E27" s="2" t="str">
        <x:v>否</x:v>
      </x:c>
      <x:c r="F27" s="13" t="n">
        <x:v>791</x:v>
      </x:c>
      <x:c r="G27" s="13" t="n">
        <x:v>758</x:v>
      </x:c>
      <x:c r="H27" s="13" t="n">
        <x:v>33</x:v>
      </x:c>
      <x:c r="I27" s="13" t="n">
        <x:v>1</x:v>
      </x:c>
      <x:c r="J27" s="13" t="n">
        <x:v>42645410.519999996</x:v>
      </x:c>
      <x:c r="K27" s="13" t="n">
        <x:v>42804372.12</x:v>
      </x:c>
      <x:c r="L27" s="13" t="n">
        <x:v>117</x:v>
      </x:c>
      <x:c r="M27" s="13" t="n">
        <x:v>0.041719342604298354</x:v>
      </x:c>
      <x:c r="N27" s="13" t="n">
        <x:v>0.0013192612137203166</x:v>
      </x:c>
      <x:c r="O27" s="13" t="n">
        <x:v>0.08615115252346814</x:v>
      </x:c>
      <x:c r="P27" s="13" t="n">
        <x:v>0.1749263177838199</x:v>
      </x:c>
      <x:c r="Q27" s="13" t="n">
        <x:v>1152578.6627027027</x:v>
      </x:c>
      <x:c r="R27" s="13" t="n">
        <x:v>0.6822398688383645</x:v>
      </x:c>
      <x:c r="S27" s="13" t="n">
        <x:v>0.015564013620273584</x:v>
      </x:c>
      <x:c r="T27" s="13" t="n">
        <x:v>37</x:v>
      </x:c>
      <x:c r="U27" s="13" t="n">
        <x:v>504</x:v>
      </x:c>
      <x:c r="V27" s="13" t="n">
        <x:v>450</x:v>
      </x:c>
      <x:c r="W27" s="13" t="n">
        <x:v>54</x:v>
      </x:c>
      <x:c r="X27" s="13" t="n">
        <x:v>2</x:v>
      </x:c>
      <x:c r="Y27" s="13" t="n">
        <x:v>42429070.82</x:v>
      </x:c>
      <x:c r="Z27" s="13" t="n">
        <x:v>42552614.82</x:v>
      </x:c>
      <x:c r="AA27" s="13" t="n">
        <x:v>44</x:v>
      </x:c>
      <x:c r="AB27" s="13" t="n">
        <x:v>0.10714285714285714</x:v>
      </x:c>
      <x:c r="AC27" s="13" t="n">
        <x:v>0.0044444444444444444</x:v>
      </x:c>
      <x:c r="AD27" s="13" t="n">
        <x:v>0.08039404388680076</x:v>
      </x:c>
      <x:c r="AE27" s="13" t="n">
        <x:v>0.18459766205267478</x:v>
      </x:c>
      <x:c r="AF27" s="13" t="n">
        <x:v>1178585.3005555556</x:v>
      </x:c>
      <x:c r="AG27" s="13" t="n">
        <x:v>0.7083712161917126</x:v>
      </x:c>
      <x:c r="AH27" s="13" t="n">
        <x:v>0.015731884299630794</x:v>
      </x:c>
      <x:c r="AI27" s="13" t="n">
        <x:v>36</x:v>
      </x:c>
      <x:c r="AJ27" s="13" t="n">
        <x:v>-216339.69999999553</x:v>
      </x:c>
      <x:c r="AK27" s="13" t="n">
        <x:v>1.00591637672714</x:v>
      </x:c>
      <x:c r="AL27" s="13" t="n">
        <x:v>0.06718146718146718</x:v>
      </x:c>
      <x:c r="AM27" s="13" t="n">
        <x:v>0.0024834437086092716</x:v>
      </x:c>
      <x:c r="AN27" s="13" t="n">
        <x:v>0.08327259820513444</x:v>
      </x:c>
      <x:c r="AO27" s="13" t="n">
        <x:v>0.6953055425150385</x:v>
      </x:c>
      <x:c r="AP27" s="13" t="n">
        <x:v>0.01564794895995219</x:v>
      </x:c>
    </x:row>
    <x:row r="28" ht="15" hidden="0" customHeight="1">
      <x:c r="A28" s="2" t="str">
        <x:v>E27</x:v>
      </x:c>
      <x:c r="B28" s="2" t="str">
        <x:v>***农业开发有限公司</x:v>
      </x:c>
      <x:c r="C28" s="2" t="str">
        <x:v>有信贷记录</x:v>
      </x:c>
      <x:c r="D28" s="2" t="str">
        <x:v>A</x:v>
      </x:c>
      <x:c r="E28" s="2" t="str">
        <x:v>否</x:v>
      </x:c>
      <x:c r="F28" s="13" t="n">
        <x:v>2565</x:v>
      </x:c>
      <x:c r="G28" s="13" t="n">
        <x:v>2475</x:v>
      </x:c>
      <x:c r="H28" s="13" t="n">
        <x:v>90</x:v>
      </x:c>
      <x:c r="I28" s="13" t="n">
        <x:v>22</x:v>
      </x:c>
      <x:c r="J28" s="13" t="n">
        <x:v>48889674.19</x:v>
      </x:c>
      <x:c r="K28" s="13" t="n">
        <x:v>49135490.43</x:v>
      </x:c>
      <x:c r="L28" s="13" t="n">
        <x:v>406</x:v>
      </x:c>
      <x:c r="M28" s="13" t="n">
        <x:v>0.03508771929824561</x:v>
      </x:c>
      <x:c r="N28" s="13" t="n">
        <x:v>0.008888888888888889</x:v>
      </x:c>
      <x:c r="O28" s="13" t="n">
        <x:v>0.3778245960879686</x:v>
      </x:c>
      <x:c r="P28" s="13" t="n">
        <x:v>0.6086261058613799</x:v>
      </x:c>
      <x:c r="Q28" s="13" t="n">
        <x:v>1321342.5456756756</x:v>
      </x:c>
      <x:c r="R28" s="13" t="n">
        <x:v>0.5428450965688495</x:v>
      </x:c>
      <x:c r="S28" s="13" t="n">
        <x:v>0.029594149784150814</x:v>
      </x:c>
      <x:c r="T28" s="13" t="n">
        <x:v>37</x:v>
      </x:c>
      <x:c r="U28" s="13" t="n">
        <x:v>1468</x:v>
      </x:c>
      <x:c r="V28" s="13" t="n">
        <x:v>1389</x:v>
      </x:c>
      <x:c r="W28" s="13" t="n">
        <x:v>79</x:v>
      </x:c>
      <x:c r="X28" s="13" t="n">
        <x:v>24</x:v>
      </x:c>
      <x:c r="Y28" s="13" t="n">
        <x:v>48659766.5</x:v>
      </x:c>
      <x:c r="Z28" s="13" t="n">
        <x:v>49290369.62</x:v>
      </x:c>
      <x:c r="AA28" s="13" t="n">
        <x:v>181</x:v>
      </x:c>
      <x:c r="AB28" s="13" t="n">
        <x:v>0.05381471389645776</x:v>
      </x:c>
      <x:c r="AC28" s="13" t="n">
        <x:v>0.017278617710583154</x:v>
      </x:c>
      <x:c r="AD28" s="13" t="n">
        <x:v>0.06541551349666154</x:v>
      </x:c>
      <x:c r="AE28" s="13" t="n">
        <x:v>0.18051940102290515</x:v>
      </x:c>
      <x:c r="AF28" s="13" t="n">
        <x:v>1315128.824324324</x:v>
      </x:c>
      <x:c r="AG28" s="13" t="n">
        <x:v>0.5122397941086919</x:v>
      </x:c>
      <x:c r="AH28" s="13" t="n">
        <x:v>0.027991384707110115</x:v>
      </x:c>
      <x:c r="AI28" s="13" t="n">
        <x:v>37</x:v>
      </x:c>
      <x:c r="AJ28" s="13" t="n">
        <x:v>-229907.68999999762</x:v>
      </x:c>
      <x:c r="AK28" s="13" t="n">
        <x:v>0.9968578204790505</x:v>
      </x:c>
      <x:c r="AL28" s="13" t="n">
        <x:v>0.04190428961071163</x:v>
      </x:c>
      <x:c r="AM28" s="13" t="n">
        <x:v>0.011904761904761904</x:v>
      </x:c>
      <x:c r="AN28" s="13" t="n">
        <x:v>0.22162005479231506</x:v>
      </x:c>
      <x:c r="AO28" s="13" t="n">
        <x:v>0.5275424453387707</x:v>
      </x:c>
      <x:c r="AP28" s="13" t="n">
        <x:v>0.028792767245630464</x:v>
      </x:c>
    </x:row>
    <x:row r="29" ht="15" hidden="0" customHeight="1">
      <x:c r="A29" s="2" t="str">
        <x:v>E28</x:v>
      </x:c>
      <x:c r="B29" s="2" t="str">
        <x:v>***景观工程有限公司</x:v>
      </x:c>
      <x:c r="C29" s="2" t="str">
        <x:v>有信贷记录</x:v>
      </x:c>
      <x:c r="D29" s="2" t="str">
        <x:v>B</x:v>
      </x:c>
      <x:c r="E29" s="2" t="str">
        <x:v>否</x:v>
      </x:c>
      <x:c r="F29" s="13" t="n">
        <x:v>169</x:v>
      </x:c>
      <x:c r="G29" s="13" t="n">
        <x:v>156</x:v>
      </x:c>
      <x:c r="H29" s="13" t="n">
        <x:v>13</x:v>
      </x:c>
      <x:c r="I29" s="13" t="n">
        <x:v>0</x:v>
      </x:c>
      <x:c r="J29" s="13" t="n">
        <x:v>1414753.4700000002</x:v>
      </x:c>
      <x:c r="K29" s="13" t="n">
        <x:v>1414753.4700000002</x:v>
      </x:c>
      <x:c r="L29" s="13" t="n">
        <x:v>61</x:v>
      </x:c>
      <x:c r="M29" s="13" t="n">
        <x:v>0.07692307692307693</x:v>
      </x:c>
      <x:c r="N29" s="13" t="n">
        <x:v>0</x:v>
      </x:c>
      <x:c r="O29" s="13" t="n">
        <x:v>0.1045463164667224</x:v>
      </x:c>
      <x:c r="P29" s="13" t="n">
        <x:v>0.20264767401489392</x:v>
      </x:c>
      <x:c r="Q29" s="13" t="n">
        <x:v>38236.58027027027</x:v>
      </x:c>
      <x:c r="R29" s="13" t="n">
        <x:v>1.9037562104403631</x:v>
      </x:c>
      <x:c r="S29" s="13" t="n">
        <x:v>0.03307624021168429</x:v>
      </x:c>
      <x:c r="T29" s="13" t="n">
        <x:v>25</x:v>
      </x:c>
      <x:c r="U29" s="13" t="n">
        <x:v>569</x:v>
      </x:c>
      <x:c r="V29" s="13" t="n">
        <x:v>525</x:v>
      </x:c>
      <x:c r="W29" s="13" t="n">
        <x:v>44</x:v>
      </x:c>
      <x:c r="X29" s="13" t="n">
        <x:v>0</x:v>
      </x:c>
      <x:c r="Y29" s="13" t="n">
        <x:v>53773528.75</x:v>
      </x:c>
      <x:c r="Z29" s="13" t="n">
        <x:v>53773528.75</x:v>
      </x:c>
      <x:c r="AA29" s="13" t="n">
        <x:v>6</x:v>
      </x:c>
      <x:c r="AB29" s="13" t="n">
        <x:v>0.0773286467486819</x:v>
      </x:c>
      <x:c r="AC29" s="13" t="n">
        <x:v>0</x:v>
      </x:c>
      <x:c r="AD29" s="13" t="n">
        <x:v>0.3478789980520792</x:v>
      </x:c>
      <x:c r="AE29" s="13" t="n">
        <x:v>0.4701538780826244</x:v>
      </x:c>
      <x:c r="AF29" s="13" t="n">
        <x:v>1453338.6148648649</x:v>
      </x:c>
      <x:c r="AG29" s="13" t="n">
        <x:v>1.3755204907473948</x:v>
      </x:c>
      <x:c r="AH29" s="13" t="n">
        <x:v>0.06696140232022647</x:v>
      </x:c>
      <x:c r="AI29" s="13" t="n">
        <x:v>24</x:v>
      </x:c>
      <x:c r="AJ29" s="13" t="n">
        <x:v>52358775.28</x:v>
      </x:c>
      <x:c r="AK29" s="13" t="n">
        <x:v>0.026309477969678533</x:v>
      </x:c>
      <x:c r="AL29" s="13" t="n">
        <x:v>0.07723577235772358</x:v>
      </x:c>
      <x:c r="AM29" s="13" t="n">
        <x:v>0</x:v>
      </x:c>
      <x:c r="AN29" s="13" t="n">
        <x:v>0.22621265725940082</x:v>
      </x:c>
      <x:c r="AO29" s="13" t="n">
        <x:v>1.639638350593879</x:v>
      </x:c>
      <x:c r="AP29" s="13" t="n">
        <x:v>0.05001882126595538</x:v>
      </x:c>
    </x:row>
    <x:row r="30" ht="15" hidden="0" customHeight="1">
      <x:c r="A30" s="2" t="str">
        <x:v>E29</x:v>
      </x:c>
      <x:c r="B30" s="2" t="str">
        <x:v>***建筑劳务有限公司</x:v>
      </x:c>
      <x:c r="C30" s="2" t="str">
        <x:v>有信贷记录</x:v>
      </x:c>
      <x:c r="D30" s="2" t="str">
        <x:v>C</x:v>
      </x:c>
      <x:c r="E30" s="2" t="str">
        <x:v>是</x:v>
      </x:c>
      <x:c r="F30" s="13" t="n">
        <x:v>50</x:v>
      </x:c>
      <x:c r="G30" s="13" t="n">
        <x:v>48</x:v>
      </x:c>
      <x:c r="H30" s="13" t="n">
        <x:v>2</x:v>
      </x:c>
      <x:c r="I30" s="13" t="n">
        <x:v>0</x:v>
      </x:c>
      <x:c r="J30" s="13" t="n">
        <x:v>186618.44</x:v>
      </x:c>
      <x:c r="K30" s="13" t="n">
        <x:v>186618.44</x:v>
      </x:c>
      <x:c r="L30" s="13" t="n">
        <x:v>17</x:v>
      </x:c>
      <x:c r="M30" s="13" t="n">
        <x:v>0.04</x:v>
      </x:c>
      <x:c r="N30" s="13" t="n">
        <x:v>0</x:v>
      </x:c>
      <x:c r="O30" s="13" t="n">
        <x:v>0.8013903272418441</x:v>
      </x:c>
      <x:c r="P30" s="13" t="n">
        <x:v>0.8938023487925416</x:v>
      </x:c>
      <x:c r="Q30" s="13" t="n">
        <x:v>5183.845555555556</x:v>
      </x:c>
      <x:c r="R30" s="13" t="n">
        <x:v>5.272922256602114</x:v>
      </x:c>
      <x:c r="S30" s="13" t="n">
        <x:v>-0.1435455152424753</x:v>
      </x:c>
      <x:c r="T30" s="13" t="n">
        <x:v>18</x:v>
      </x:c>
      <x:c r="U30" s="13" t="n">
        <x:v>475</x:v>
      </x:c>
      <x:c r="V30" s="13" t="n">
        <x:v>469</x:v>
      </x:c>
      <x:c r="W30" s="13" t="n">
        <x:v>6</x:v>
      </x:c>
      <x:c r="X30" s="13" t="n">
        <x:v>0</x:v>
      </x:c>
      <x:c r="Y30" s="13" t="n">
        <x:v>46976378.78</x:v>
      </x:c>
      <x:c r="Z30" s="13" t="n">
        <x:v>46976378.78</x:v>
      </x:c>
      <x:c r="AA30" s="13" t="n">
        <x:v>4</x:v>
      </x:c>
      <x:c r="AB30" s="13" t="n">
        <x:v>0.01263157894736842</x:v>
      </x:c>
      <x:c r="AC30" s="13" t="n">
        <x:v>0</x:v>
      </x:c>
      <x:c r="AD30" s="13" t="n">
        <x:v>0.39928039540457994</x:v>
      </x:c>
      <x:c r="AE30" s="13" t="n">
        <x:v>0.5310115561870475</x:v>
      </x:c>
      <x:c r="AF30" s="13" t="n">
        <x:v>1806783.7992307693</x:v>
      </x:c>
      <x:c r="AG30" s="13" t="n">
        <x:v>1.419388042653439</x:v>
      </x:c>
      <x:c r="AH30" s="13" t="n">
        <x:v>0.028442329710512138</x:v>
      </x:c>
      <x:c r="AI30" s="13" t="n">
        <x:v>15</x:v>
      </x:c>
      <x:c r="AJ30" s="13" t="n">
        <x:v>46789760.34</x:v>
      </x:c>
      <x:c r="AK30" s="13" t="n">
        <x:v>0.0039726016531408765</x:v>
      </x:c>
      <x:c r="AL30" s="13" t="n">
        <x:v>0.015238095238095238</x:v>
      </x:c>
      <x:c r="AM30" s="13" t="n">
        <x:v>0</x:v>
      </x:c>
      <x:c r="AN30" s="13" t="n">
        <x:v>0.6003353613232121</x:v>
      </x:c>
      <x:c r="AO30" s="13" t="n">
        <x:v>3.3461551496277764</x:v>
      </x:c>
      <x:c r="AP30" s="13" t="n">
        <x:v>-0.05755159276598158</x:v>
      </x:c>
    </x:row>
    <x:row r="31" ht="15" hidden="0" customHeight="1">
      <x:c r="A31" s="2" t="str">
        <x:v>E30</x:v>
      </x:c>
      <x:c r="B31" s="2" t="str">
        <x:v>***建筑工程有限公司</x:v>
      </x:c>
      <x:c r="C31" s="2" t="str">
        <x:v>有信贷记录</x:v>
      </x:c>
      <x:c r="D31" s="2" t="str">
        <x:v>B</x:v>
      </x:c>
      <x:c r="E31" s="2" t="str">
        <x:v>否</x:v>
      </x:c>
      <x:c r="F31" s="13" t="n">
        <x:v>754</x:v>
      </x:c>
      <x:c r="G31" s="13" t="n">
        <x:v>740</x:v>
      </x:c>
      <x:c r="H31" s="13" t="n">
        <x:v>14</x:v>
      </x:c>
      <x:c r="I31" s="13" t="n">
        <x:v>2</x:v>
      </x:c>
      <x:c r="J31" s="13" t="n">
        <x:v>24220896.36</x:v>
      </x:c>
      <x:c r="K31" s="13" t="n">
        <x:v>24227646.36</x:v>
      </x:c>
      <x:c r="L31" s="13" t="n">
        <x:v>170</x:v>
      </x:c>
      <x:c r="M31" s="13" t="n">
        <x:v>0.01856763925729443</x:v>
      </x:c>
      <x:c r="N31" s="13" t="n">
        <x:v>0.002702702702702703</x:v>
      </x:c>
      <x:c r="O31" s="13" t="n">
        <x:v>0.6432129417176691</x:v>
      </x:c>
      <x:c r="P31" s="13" t="n">
        <x:v>0.7999625597969146</x:v>
      </x:c>
      <x:c r="Q31" s="13" t="n">
        <x:v>654618.8205405405</x:v>
      </x:c>
      <x:c r="R31" s="13" t="n">
        <x:v>1.1966256177376118</x:v>
      </x:c>
      <x:c r="S31" s="13" t="n">
        <x:v>0.06186267083550852</x:v>
      </x:c>
      <x:c r="T31" s="13" t="n">
        <x:v>32</x:v>
      </x:c>
      <x:c r="U31" s="13" t="n">
        <x:v>800</x:v>
      </x:c>
      <x:c r="V31" s="13" t="n">
        <x:v>747</x:v>
      </x:c>
      <x:c r="W31" s="13" t="n">
        <x:v>53</x:v>
      </x:c>
      <x:c r="X31" s="13" t="n">
        <x:v>0</x:v>
      </x:c>
      <x:c r="Y31" s="13" t="n">
        <x:v>78108521.81</x:v>
      </x:c>
      <x:c r="Z31" s="13" t="n">
        <x:v>78108521.81</x:v>
      </x:c>
      <x:c r="AA31" s="13" t="n">
        <x:v>7</x:v>
      </x:c>
      <x:c r="AB31" s="13" t="n">
        <x:v>0.06625</x:v>
      </x:c>
      <x:c r="AC31" s="13" t="n">
        <x:v>0</x:v>
      </x:c>
      <x:c r="AD31" s="13" t="n">
        <x:v>0.2291978840566945</x:v>
      </x:c>
      <x:c r="AE31" s="13" t="n">
        <x:v>0.3578448882695608</x:v>
      </x:c>
      <x:c r="AF31" s="13" t="n">
        <x:v>2693397.3037931034</x:v>
      </x:c>
      <x:c r="AG31" s="13" t="n">
        <x:v>0.9505232257984835</x:v>
      </x:c>
      <x:c r="AH31" s="13" t="n">
        <x:v>0.0007872100929506562</x:v>
      </x:c>
      <x:c r="AI31" s="13" t="n">
        <x:v>24</x:v>
      </x:c>
      <x:c r="AJ31" s="13" t="n">
        <x:v>53887625.45</x:v>
      </x:c>
      <x:c r="AK31" s="13" t="n">
        <x:v>0.3101792966833256</x:v>
      </x:c>
      <x:c r="AL31" s="13" t="n">
        <x:v>0.043114543114543116</x:v>
      </x:c>
      <x:c r="AM31" s="13" t="n">
        <x:v>0.0013449899125756557</x:v>
      </x:c>
      <x:c r="AN31" s="13" t="n">
        <x:v>0.4362054128871818</x:v>
      </x:c>
      <x:c r="AO31" s="13" t="n">
        <x:v>1.0735744217680476</x:v>
      </x:c>
      <x:c r="AP31" s="13" t="n">
        <x:v>0.03132494046422959</x:v>
      </x:c>
    </x:row>
    <x:row r="32" ht="15" hidden="0" customHeight="1">
      <x:c r="A32" s="2" t="str">
        <x:v>E31</x:v>
      </x:c>
      <x:c r="B32" s="2" t="str">
        <x:v>***食品有限公司</x:v>
      </x:c>
      <x:c r="C32" s="2" t="str">
        <x:v>有信贷记录</x:v>
      </x:c>
      <x:c r="D32" s="2" t="str">
        <x:v>A</x:v>
      </x:c>
      <x:c r="E32" s="2" t="str">
        <x:v>否</x:v>
      </x:c>
      <x:c r="F32" s="13" t="n">
        <x:v>412</x:v>
      </x:c>
      <x:c r="G32" s="13" t="n">
        <x:v>404</x:v>
      </x:c>
      <x:c r="H32" s="13" t="n">
        <x:v>8</x:v>
      </x:c>
      <x:c r="I32" s="13" t="n">
        <x:v>1</x:v>
      </x:c>
      <x:c r="J32" s="13" t="n">
        <x:v>5059207.58</x:v>
      </x:c>
      <x:c r="K32" s="13" t="n">
        <x:v>5069803.78</x:v>
      </x:c>
      <x:c r="L32" s="13" t="n">
        <x:v>109</x:v>
      </x:c>
      <x:c r="M32" s="13" t="n">
        <x:v>0.019417475728155338</x:v>
      </x:c>
      <x:c r="N32" s="13" t="n">
        <x:v>0.0024752475247524753</x:v>
      </x:c>
      <x:c r="O32" s="13" t="n">
        <x:v>0.6927253653444799</x:v>
      </x:c>
      <x:c r="P32" s="13" t="n">
        <x:v>0.8303993078801168</x:v>
      </x:c>
      <x:c r="Q32" s="13" t="n">
        <x:v>136735.33999999997</x:v>
      </x:c>
      <x:c r="R32" s="13" t="n">
        <x:v>0.946566342256329</x:v>
      </x:c>
      <x:c r="S32" s="13" t="n">
        <x:v>-0.03890847776086577</x:v>
      </x:c>
      <x:c r="T32" s="13" t="n">
        <x:v>37</x:v>
      </x:c>
      <x:c r="U32" s="13" t="n">
        <x:v>2608</x:v>
      </x:c>
      <x:c r="V32" s="13" t="n">
        <x:v>2501</x:v>
      </x:c>
      <x:c r="W32" s="13" t="n">
        <x:v>107</x:v>
      </x:c>
      <x:c r="X32" s="13" t="n">
        <x:v>6</x:v>
      </x:c>
      <x:c r="Y32" s="13" t="n">
        <x:v>54271848.95</x:v>
      </x:c>
      <x:c r="Z32" s="13" t="n">
        <x:v>54331314.95</x:v>
      </x:c>
      <x:c r="AA32" s="13" t="n">
        <x:v>153</x:v>
      </x:c>
      <x:c r="AB32" s="13" t="n">
        <x:v>0.04102760736196319</x:v>
      </x:c>
      <x:c r="AC32" s="13" t="n">
        <x:v>0.0023990403838464614</x:v>
      </x:c>
      <x:c r="AD32" s="13" t="n">
        <x:v>0.06589020615117999</x:v>
      </x:c>
      <x:c r="AE32" s="13" t="n">
        <x:v>0.20493678443540045</x:v>
      </x:c>
      <x:c r="AF32" s="13" t="n">
        <x:v>1466806.7283783786</x:v>
      </x:c>
      <x:c r="AG32" s="13" t="n">
        <x:v>0.3670997910619898</x:v>
      </x:c>
      <x:c r="AH32" s="13" t="n">
        <x:v>0.015479450018730459</x:v>
      </x:c>
      <x:c r="AI32" s="13" t="n">
        <x:v>37</x:v>
      </x:c>
      <x:c r="AJ32" s="13" t="n">
        <x:v>49212641.370000005</x:v>
      </x:c>
      <x:c r="AK32" s="13" t="n">
        <x:v>0.09331273842103098</x:v>
      </x:c>
      <x:c r="AL32" s="13" t="n">
        <x:v>0.0380794701986755</x:v>
      </x:c>
      <x:c r="AM32" s="13" t="n">
        <x:v>0.0024096385542168677</x:v>
      </x:c>
      <x:c r="AN32" s="13" t="n">
        <x:v>0.37930778574783</x:v>
      </x:c>
      <x:c r="AO32" s="13" t="n">
        <x:v>0.6568330666591594</x:v>
      </x:c>
      <x:c r="AP32" s="13" t="n">
        <x:v>-0.011714513871067655</x:v>
      </x:c>
    </x:row>
    <x:row r="33" ht="15" hidden="0" customHeight="1">
      <x:c r="A33" s="2" t="str">
        <x:v>E32</x:v>
      </x:c>
      <x:c r="B33" s="2" t="str">
        <x:v>***建筑劳务有限公司</x:v>
      </x:c>
      <x:c r="C33" s="2" t="str">
        <x:v>有信贷记录</x:v>
      </x:c>
      <x:c r="D33" s="2" t="str">
        <x:v>B</x:v>
      </x:c>
      <x:c r="E33" s="2" t="str">
        <x:v>否</x:v>
      </x:c>
      <x:c r="F33" s="13" t="n">
        <x:v>2826</x:v>
      </x:c>
      <x:c r="G33" s="13" t="n">
        <x:v>2811</x:v>
      </x:c>
      <x:c r="H33" s="13" t="n">
        <x:v>15</x:v>
      </x:c>
      <x:c r="I33" s="13" t="n">
        <x:v>6</x:v>
      </x:c>
      <x:c r="J33" s="13" t="n">
        <x:v>2542575.72</x:v>
      </x:c>
      <x:c r="K33" s="13" t="n">
        <x:v>2602845.72</x:v>
      </x:c>
      <x:c r="L33" s="13" t="n">
        <x:v>272</x:v>
      </x:c>
      <x:c r="M33" s="13" t="n">
        <x:v>0.005307855626326964</x:v>
      </x:c>
      <x:c r="N33" s="13" t="n">
        <x:v>0.0021344717182497333</x:v>
      </x:c>
      <x:c r="O33" s="13" t="n">
        <x:v>0.11569811511960573</x:v>
      </x:c>
      <x:c r="P33" s="13" t="n">
        <x:v>0.30481711378575294</x:v>
      </x:c>
      <x:c r="Q33" s="13" t="n">
        <x:v>77047.7490909091</x:v>
      </x:c>
      <x:c r="R33" s="13" t="n">
        <x:v>0.8469812294486206</x:v>
      </x:c>
      <x:c r="S33" s="13" t="n">
        <x:v>0.053732277341969656</x:v>
      </x:c>
      <x:c r="T33" s="13" t="n">
        <x:v>31</x:v>
      </x:c>
      <x:c r="U33" s="13" t="n">
        <x:v>552</x:v>
      </x:c>
      <x:c r="V33" s="13" t="n">
        <x:v>468</x:v>
      </x:c>
      <x:c r="W33" s="13" t="n">
        <x:v>84</x:v>
      </x:c>
      <x:c r="X33" s="13" t="n">
        <x:v>2</x:v>
      </x:c>
      <x:c r="Y33" s="13" t="n">
        <x:v>45475253.28</x:v>
      </x:c>
      <x:c r="Z33" s="13" t="n">
        <x:v>45875253.28</x:v>
      </x:c>
      <x:c r="AA33" s="13" t="n">
        <x:v>13</x:v>
      </x:c>
      <x:c r="AB33" s="13" t="n">
        <x:v>0.15217391304347827</x:v>
      </x:c>
      <x:c r="AC33" s="13" t="n">
        <x:v>0.004273504273504274</x:v>
      </x:c>
      <x:c r="AD33" s="13" t="n">
        <x:v>0.5532064887170861</x:v>
      </x:c>
      <x:c r="AE33" s="13" t="n">
        <x:v>0.7334455418618672</x:v>
      </x:c>
      <x:c r="AF33" s="13" t="n">
        <x:v>1263201.48</x:v>
      </x:c>
      <x:c r="AG33" s="13" t="n">
        <x:v>1.119541380981843</x:v>
      </x:c>
      <x:c r="AH33" s="13" t="n">
        <x:v>0.031220832126302858</x:v>
      </x:c>
      <x:c r="AI33" s="13" t="n">
        <x:v>29</x:v>
      </x:c>
      <x:c r="AJ33" s="13" t="n">
        <x:v>42932677.56</x:v>
      </x:c>
      <x:c r="AK33" s="13" t="n">
        <x:v>0.05673746810973466</x:v>
      </x:c>
      <x:c r="AL33" s="13" t="n">
        <x:v>0.02930728241563055</x:v>
      </x:c>
      <x:c r="AM33" s="13" t="n">
        <x:v>0.002439768222018908</x:v>
      </x:c>
      <x:c r="AN33" s="13" t="n">
        <x:v>0.3344523019183459</x:v>
      </x:c>
      <x:c r="AO33" s="13" t="n">
        <x:v>0.9832613052152319</x:v>
      </x:c>
      <x:c r="AP33" s="13" t="n">
        <x:v>0.04247655473413626</x:v>
      </x:c>
    </x:row>
    <x:row r="34" ht="15" hidden="0" customHeight="1">
      <x:c r="A34" s="2" t="str">
        <x:v>E33</x:v>
      </x:c>
      <x:c r="B34" s="2" t="str">
        <x:v>***园林有限责任公司</x:v>
      </x:c>
      <x:c r="C34" s="2" t="str">
        <x:v>有信贷记录</x:v>
      </x:c>
      <x:c r="D34" s="2" t="str">
        <x:v>B</x:v>
      </x:c>
      <x:c r="E34" s="2" t="str">
        <x:v>否</x:v>
      </x:c>
      <x:c r="F34" s="13" t="n">
        <x:v>1293</x:v>
      </x:c>
      <x:c r="G34" s="13" t="n">
        <x:v>1133</x:v>
      </x:c>
      <x:c r="H34" s="13" t="n">
        <x:v>160</x:v>
      </x:c>
      <x:c r="I34" s="13" t="n">
        <x:v>14</x:v>
      </x:c>
      <x:c r="J34" s="13" t="n">
        <x:v>69644756.16</x:v>
      </x:c>
      <x:c r="K34" s="13" t="n">
        <x:v>70813718.68</x:v>
      </x:c>
      <x:c r="L34" s="13" t="n">
        <x:v>242</x:v>
      </x:c>
      <x:c r="M34" s="13" t="n">
        <x:v>0.12374323279195669</x:v>
      </x:c>
      <x:c r="N34" s="13" t="n">
        <x:v>0.01235657546337158</x:v>
      </x:c>
      <x:c r="O34" s="13" t="n">
        <x:v>0.045700541564437695</x:v>
      </x:c>
      <x:c r="P34" s="13" t="n">
        <x:v>0.11713427757526712</x:v>
      </x:c>
      <x:c r="Q34" s="13" t="n">
        <x:v>2048375.1811764708</x:v>
      </x:c>
      <x:c r="R34" s="13" t="n">
        <x:v>0.6894432935002794</x:v>
      </x:c>
      <x:c r="S34" s="13" t="n">
        <x:v>-0.027111280900957737</x:v>
      </x:c>
      <x:c r="T34" s="13" t="n">
        <x:v>34</x:v>
      </x:c>
      <x:c r="U34" s="13" t="n">
        <x:v>1073</x:v>
      </x:c>
      <x:c r="V34" s="13" t="n">
        <x:v>912</x:v>
      </x:c>
      <x:c r="W34" s="13" t="n">
        <x:v>161</x:v>
      </x:c>
      <x:c r="X34" s="13" t="n">
        <x:v>14</x:v>
      </x:c>
      <x:c r="Y34" s="13" t="n">
        <x:v>74440396.16</x:v>
      </x:c>
      <x:c r="Z34" s="13" t="n">
        <x:v>77075715.58</x:v>
      </x:c>
      <x:c r="AA34" s="13" t="n">
        <x:v>90</x:v>
      </x:c>
      <x:c r="AB34" s="13" t="n">
        <x:v>0.1500465983224604</x:v>
      </x:c>
      <x:c r="AC34" s="13" t="n">
        <x:v>0.015350877192982455</x:v>
      </x:c>
      <x:c r="AD34" s="13" t="n">
        <x:v>0.044669030356868804</x:v>
      </x:c>
      <x:c r="AE34" s="13" t="n">
        <x:v>0.10496172418409871</x:v>
      </x:c>
      <x:c r="AF34" s="13" t="n">
        <x:v>2189423.4164705877</x:v>
      </x:c>
      <x:c r="AG34" s="13" t="n">
        <x:v>0.8087969550771363</x:v>
      </x:c>
      <x:c r="AH34" s="13" t="n">
        <x:v>-0.028191405916441478</x:v>
      </x:c>
      <x:c r="AI34" s="13" t="n">
        <x:v>34</x:v>
      </x:c>
      <x:c r="AJ34" s="13" t="n">
        <x:v>4795640</x:v>
      </x:c>
      <x:c r="AK34" s="13" t="n">
        <x:v>0.9187552544549468</x:v>
      </x:c>
      <x:c r="AL34" s="13" t="n">
        <x:v>0.1356720202874049</x:v>
      </x:c>
      <x:c r="AM34" s="13" t="n">
        <x:v>0.013691931540342298</x:v>
      </x:c>
      <x:c r="AN34" s="13" t="n">
        <x:v>0.04518478596065325</x:v>
      </x:c>
      <x:c r="AO34" s="13" t="n">
        <x:v>0.7491201242887079</x:v>
      </x:c>
      <x:c r="AP34" s="13" t="n">
        <x:v>-0.027651343408699607</x:v>
      </x:c>
    </x:row>
    <x:row r="35" ht="15" hidden="0" customHeight="1">
      <x:c r="A35" s="2" t="str">
        <x:v>E34</x:v>
      </x:c>
      <x:c r="B35" s="2" t="str">
        <x:v>***建设工程有限公司</x:v>
      </x:c>
      <x:c r="C35" s="2" t="str">
        <x:v>有信贷记录</x:v>
      </x:c>
      <x:c r="D35" s="2" t="str">
        <x:v>B</x:v>
      </x:c>
      <x:c r="E35" s="2" t="str">
        <x:v>否</x:v>
      </x:c>
      <x:c r="F35" s="13" t="n">
        <x:v>2309</x:v>
      </x:c>
      <x:c r="G35" s="13" t="n">
        <x:v>2071</x:v>
      </x:c>
      <x:c r="H35" s="13" t="n">
        <x:v>238</x:v>
      </x:c>
      <x:c r="I35" s="13" t="n">
        <x:v>44</x:v>
      </x:c>
      <x:c r="J35" s="13" t="n">
        <x:v>52849851.650000006</x:v>
      </x:c>
      <x:c r="K35" s="13" t="n">
        <x:v>59105818.97</x:v>
      </x:c>
      <x:c r="L35" s="13" t="n">
        <x:v>451</x:v>
      </x:c>
      <x:c r="M35" s="13" t="n">
        <x:v>0.10307492420961455</x:v>
      </x:c>
      <x:c r="N35" s="13" t="n">
        <x:v>0.021245774987928536</x:v>
      </x:c>
      <x:c r="O35" s="13" t="n">
        <x:v>0.037384832583418265</x:v>
      </x:c>
      <x:c r="P35" s="13" t="n">
        <x:v>0.14571864750527455</x:v>
      </x:c>
      <x:c r="Q35" s="13" t="n">
        <x:v>1428374.3689189188</x:v>
      </x:c>
      <x:c r="R35" s="13" t="n">
        <x:v>1.749713107373558</x:v>
      </x:c>
      <x:c r="S35" s="13" t="n">
        <x:v>0.10103111099072938</x:v>
      </x:c>
      <x:c r="T35" s="13" t="n">
        <x:v>37</x:v>
      </x:c>
      <x:c r="U35" s="13" t="n">
        <x:v>707</x:v>
      </x:c>
      <x:c r="V35" s="13" t="n">
        <x:v>596</x:v>
      </x:c>
      <x:c r="W35" s="13" t="n">
        <x:v>111</x:v>
      </x:c>
      <x:c r="X35" s="13" t="n">
        <x:v>3</x:v>
      </x:c>
      <x:c r="Y35" s="13" t="n">
        <x:v>95568728.50999999</x:v>
      </x:c>
      <x:c r="Z35" s="13" t="n">
        <x:v>96098257.35</x:v>
      </x:c>
      <x:c r="AA35" s="13" t="n">
        <x:v>71</x:v>
      </x:c>
      <x:c r="AB35" s="13" t="n">
        <x:v>0.157001414427157</x:v>
      </x:c>
      <x:c r="AC35" s="13" t="n">
        <x:v>0.0050335570469798654</x:v>
      </x:c>
      <x:c r="AD35" s="13" t="n">
        <x:v>0.27835730383682344</x:v>
      </x:c>
      <x:c r="AE35" s="13" t="n">
        <x:v>0.5022757224847845</x:v>
      </x:c>
      <x:c r="AF35" s="13" t="n">
        <x:v>2582938.608378379</x:v>
      </x:c>
      <x:c r="AG35" s="13" t="n">
        <x:v>1.4419909199857</x:v>
      </x:c>
      <x:c r="AH35" s="13" t="n">
        <x:v>0.026870305711167056</x:v>
      </x:c>
      <x:c r="AI35" s="13" t="n">
        <x:v>35</x:v>
      </x:c>
      <x:c r="AJ35" s="13" t="n">
        <x:v>42718876.859999985</x:v>
      </x:c>
      <x:c r="AK35" s="13" t="n">
        <x:v>0.6150560957076502</x:v>
      </x:c>
      <x:c r="AL35" s="13" t="n">
        <x:v>0.11571618037135278</x:v>
      </x:c>
      <x:c r="AM35" s="13" t="n">
        <x:v>0.017622797150356206</x:v>
      </x:c>
      <x:c r="AN35" s="13" t="n">
        <x:v>0.15787106821012087</x:v>
      </x:c>
      <x:c r="AO35" s="13" t="n">
        <x:v>1.5958520136796288</x:v>
      </x:c>
      <x:c r="AP35" s="13" t="n">
        <x:v>0.06395070835094822</x:v>
      </x:c>
    </x:row>
    <x:row r="36" ht="15" hidden="0" customHeight="1">
      <x:c r="A36" s="2" t="str">
        <x:v>E35</x:v>
      </x:c>
      <x:c r="B36" s="2" t="str">
        <x:v>***商贸有限公司</x:v>
      </x:c>
      <x:c r="C36" s="2" t="str">
        <x:v>有信贷记录</x:v>
      </x:c>
      <x:c r="D36" s="2" t="str">
        <x:v>B</x:v>
      </x:c>
      <x:c r="E36" s="2" t="str">
        <x:v>否</x:v>
      </x:c>
      <x:c r="F36" s="13" t="n">
        <x:v>669</x:v>
      </x:c>
      <x:c r="G36" s="13" t="n">
        <x:v>633</x:v>
      </x:c>
      <x:c r="H36" s="13" t="n">
        <x:v>36</x:v>
      </x:c>
      <x:c r="I36" s="13" t="n">
        <x:v>11</x:v>
      </x:c>
      <x:c r="J36" s="13" t="n">
        <x:v>33451922.229999997</x:v>
      </x:c>
      <x:c r="K36" s="13" t="n">
        <x:v>35284508.91</x:v>
      </x:c>
      <x:c r="L36" s="13" t="n">
        <x:v>103</x:v>
      </x:c>
      <x:c r="M36" s="13" t="n">
        <x:v>0.053811659192825115</x:v>
      </x:c>
      <x:c r="N36" s="13" t="n">
        <x:v>0.017377567140600316</x:v>
      </x:c>
      <x:c r="O36" s="13" t="n">
        <x:v>0.04614236703533614</x:v>
      </x:c>
      <x:c r="P36" s="13" t="n">
        <x:v>0.1235717453549221</x:v>
      </x:c>
      <x:c r="Q36" s="13" t="n">
        <x:v>904106.0062162161</x:v>
      </x:c>
      <x:c r="R36" s="13" t="n">
        <x:v>0.7092731719716479</x:v>
      </x:c>
      <x:c r="S36" s="13" t="n">
        <x:v>0.03777141947642581</x:v>
      </x:c>
      <x:c r="T36" s="13" t="n">
        <x:v>37</x:v>
      </x:c>
      <x:c r="U36" s="13" t="n">
        <x:v>770</x:v>
      </x:c>
      <x:c r="V36" s="13" t="n">
        <x:v>737</x:v>
      </x:c>
      <x:c r="W36" s="13" t="n">
        <x:v>33</x:v>
      </x:c>
      <x:c r="X36" s="13" t="n">
        <x:v>2</x:v>
      </x:c>
      <x:c r="Y36" s="13" t="n">
        <x:v>38633260.75</x:v>
      </x:c>
      <x:c r="Z36" s="13" t="n">
        <x:v>38672420.75</x:v>
      </x:c>
      <x:c r="AA36" s="13" t="n">
        <x:v>32</x:v>
      </x:c>
      <x:c r="AB36" s="13" t="n">
        <x:v>0.04285714285714286</x:v>
      </x:c>
      <x:c r="AC36" s="13" t="n">
        <x:v>0.0027137042062415195</x:v>
      </x:c>
      <x:c r="AD36" s="13" t="n">
        <x:v>0.15477430410905554</x:v>
      </x:c>
      <x:c r="AE36" s="13" t="n">
        <x:v>0.22456171611651696</x:v>
      </x:c>
      <x:c r="AF36" s="13" t="n">
        <x:v>1044142.1824324327</x:v>
      </x:c>
      <x:c r="AG36" s="13" t="n">
        <x:v>0.7207458152877646</x:v>
      </x:c>
      <x:c r="AH36" s="13" t="n">
        <x:v>0.04824503522400066</x:v>
      </x:c>
      <x:c r="AI36" s="13" t="n">
        <x:v>37</x:v>
      </x:c>
      <x:c r="AJ36" s="13" t="n">
        <x:v>5181338.520000003</x:v>
      </x:c>
      <x:c r="AK36" s="13" t="n">
        <x:v>0.9123946271193792</x:v>
      </x:c>
      <x:c r="AL36" s="13" t="n">
        <x:v>0.04794996525364837</x:v>
      </x:c>
      <x:c r="AM36" s="13" t="n">
        <x:v>0.00948905109489051</x:v>
      </x:c>
      <x:c r="AN36" s="13" t="n">
        <x:v>0.10045833557219584</x:v>
      </x:c>
      <x:c r="AO36" s="13" t="n">
        <x:v>0.7150094936297062</x:v>
      </x:c>
      <x:c r="AP36" s="13" t="n">
        <x:v>0.04300822735021323</x:v>
      </x:c>
    </x:row>
    <x:row r="37" ht="15" hidden="0" customHeight="1">
      <x:c r="A37" s="2" t="str">
        <x:v>E36</x:v>
      </x:c>
      <x:c r="B37" s="2" t="str">
        <x:v>***超硬材料有限公司</x:v>
      </x:c>
      <x:c r="C37" s="2" t="str">
        <x:v>有信贷记录</x:v>
      </x:c>
      <x:c r="D37" s="2" t="str">
        <x:v>D</x:v>
      </x:c>
      <x:c r="E37" s="2" t="str">
        <x:v>是</x:v>
      </x:c>
      <x:c r="F37" s="13" t="n">
        <x:v>1636</x:v>
      </x:c>
      <x:c r="G37" s="13" t="n">
        <x:v>1562</x:v>
      </x:c>
      <x:c r="H37" s="13" t="n">
        <x:v>74</x:v>
      </x:c>
      <x:c r="I37" s="13" t="n">
        <x:v>6</x:v>
      </x:c>
      <x:c r="J37" s="13" t="n">
        <x:v>22400406.1</x:v>
      </x:c>
      <x:c r="K37" s="13" t="n">
        <x:v>22539777.060000002</x:v>
      </x:c>
      <x:c r="L37" s="13" t="n">
        <x:v>418</x:v>
      </x:c>
      <x:c r="M37" s="13" t="n">
        <x:v>0.04523227383863081</x:v>
      </x:c>
      <x:c r="N37" s="13" t="n">
        <x:v>0.0038412291933418692</x:v>
      </x:c>
      <x:c r="O37" s="13" t="n">
        <x:v>0.05454773313092602</x:v>
      </x:c>
      <x:c r="P37" s="13" t="n">
        <x:v>0.10926727418128243</x:v>
      </x:c>
      <x:c r="Q37" s="13" t="n">
        <x:v>700012.690625</x:v>
      </x:c>
      <x:c r="R37" s="13" t="n">
        <x:v>0.3500053534192065</x:v>
      </x:c>
      <x:c r="S37" s="13" t="n">
        <x:v>0.014669648898401949</x:v>
      </x:c>
      <x:c r="T37" s="13" t="n">
        <x:v>32</x:v>
      </x:c>
      <x:c r="U37" s="13" t="n">
        <x:v>1547</x:v>
      </x:c>
      <x:c r="V37" s="13" t="n">
        <x:v>1429</x:v>
      </x:c>
      <x:c r="W37" s="13" t="n">
        <x:v>118</x:v>
      </x:c>
      <x:c r="X37" s="13" t="n">
        <x:v>33</x:v>
      </x:c>
      <x:c r="Y37" s="13" t="n">
        <x:v>40171671.32</x:v>
      </x:c>
      <x:c r="Z37" s="13" t="n">
        <x:v>41944347.9</x:v>
      </x:c>
      <x:c r="AA37" s="13" t="n">
        <x:v>203</x:v>
      </x:c>
      <x:c r="AB37" s="13" t="n">
        <x:v>0.07627666451195864</x:v>
      </x:c>
      <x:c r="AC37" s="13" t="n">
        <x:v>0.02309307207837649</x:v>
      </x:c>
      <x:c r="AD37" s="13" t="n">
        <x:v>0.029540918731962545</x:v>
      </x:c>
      <x:c r="AE37" s="13" t="n">
        <x:v>0.060591393292348694</x:v>
      </x:c>
      <x:c r="AF37" s="13" t="n">
        <x:v>1255364.72875</x:v>
      </x:c>
      <x:c r="AG37" s="13" t="n">
        <x:v>0.37421808578261556</x:v>
      </x:c>
      <x:c r="AH37" s="13" t="n">
        <x:v>0.02705882186287432</x:v>
      </x:c>
      <x:c r="AI37" s="13" t="n">
        <x:v>32</x:v>
      </x:c>
      <x:c r="AJ37" s="13" t="n">
        <x:v>17771265.22</x:v>
      </x:c>
      <x:c r="AK37" s="13" t="n">
        <x:v>0.5373734052019915</x:v>
      </x:c>
      <x:c r="AL37" s="13" t="n">
        <x:v>0.060320452403393024</x:v>
      </x:c>
      <x:c r="AM37" s="13" t="n">
        <x:v>0.013039117352056168</x:v>
      </x:c>
      <x:c r="AN37" s="13" t="n">
        <x:v>0.04204432593144428</x:v>
      </x:c>
      <x:c r="AO37" s="13" t="n">
        <x:v>0.36211171960091104</x:v>
      </x:c>
      <x:c r="AP37" s="13" t="n">
        <x:v>0.020864235380638134</x:v>
      </x:c>
    </x:row>
    <x:row r="38" ht="15" hidden="0" customHeight="1">
      <x:c r="A38" s="2" t="str">
        <x:v>E37</x:v>
      </x:c>
      <x:c r="B38" s="2" t="str">
        <x:v>***木业有限公司</x:v>
      </x:c>
      <x:c r="C38" s="2" t="str">
        <x:v>有信贷记录</x:v>
      </x:c>
      <x:c r="D38" s="2" t="str">
        <x:v>B</x:v>
      </x:c>
      <x:c r="E38" s="2" t="str">
        <x:v>否</x:v>
      </x:c>
      <x:c r="F38" s="13" t="n">
        <x:v>618</x:v>
      </x:c>
      <x:c r="G38" s="13" t="n">
        <x:v>592</x:v>
      </x:c>
      <x:c r="H38" s="13" t="n">
        <x:v>26</x:v>
      </x:c>
      <x:c r="I38" s="13" t="n">
        <x:v>2</x:v>
      </x:c>
      <x:c r="J38" s="13" t="n">
        <x:v>50078318.69</x:v>
      </x:c>
      <x:c r="K38" s="13" t="n">
        <x:v>50278318.69</x:v>
      </x:c>
      <x:c r="L38" s="13" t="n">
        <x:v>79</x:v>
      </x:c>
      <x:c r="M38" s="13" t="n">
        <x:v>0.042071197411003236</x:v>
      </x:c>
      <x:c r="N38" s="13" t="n">
        <x:v>0.0033783783783783786</x:v>
      </x:c>
      <x:c r="O38" s="13" t="n">
        <x:v>0.06240465934362306</x:v>
      </x:c>
      <x:c r="P38" s="13" t="n">
        <x:v>0.16641223847574926</x:v>
      </x:c>
      <x:c r="Q38" s="13" t="n">
        <x:v>1353468.0727027024</x:v>
      </x:c>
      <x:c r="R38" s="13" t="n">
        <x:v>0.6858492551743377</x:v>
      </x:c>
      <x:c r="S38" s="13" t="n">
        <x:v>0.02109278730708444</x:v>
      </x:c>
      <x:c r="T38" s="13" t="n">
        <x:v>37</x:v>
      </x:c>
      <x:c r="U38" s="13" t="n">
        <x:v>1273</x:v>
      </x:c>
      <x:c r="V38" s="13" t="n">
        <x:v>1184</x:v>
      </x:c>
      <x:c r="W38" s="13" t="n">
        <x:v>89</x:v>
      </x:c>
      <x:c r="X38" s="13" t="n">
        <x:v>14</x:v>
      </x:c>
      <x:c r="Y38" s="13" t="n">
        <x:v>50089245.769999996</x:v>
      </x:c>
      <x:c r="Z38" s="13" t="n">
        <x:v>51237785.19</x:v>
      </x:c>
      <x:c r="AA38" s="13" t="n">
        <x:v>280</x:v>
      </x:c>
      <x:c r="AB38" s="13" t="n">
        <x:v>0.06991358994501179</x:v>
      </x:c>
      <x:c r="AC38" s="13" t="n">
        <x:v>0.011824324324324325</x:v>
      </x:c>
      <x:c r="AD38" s="13" t="n">
        <x:v>0.02446771520512429</x:v>
      </x:c>
      <x:c r="AE38" s="13" t="n">
        <x:v>0.08917506139378856</x:v>
      </x:c>
      <x:c r="AF38" s="13" t="n">
        <x:v>1353763.399189189</x:v>
      </x:c>
      <x:c r="AG38" s="13" t="n">
        <x:v>0.6673177530171547</x:v>
      </x:c>
      <x:c r="AH38" s="13" t="n">
        <x:v>0.02418891784557196</x:v>
      </x:c>
      <x:c r="AI38" s="13" t="n">
        <x:v>37</x:v>
      </x:c>
      <x:c r="AJ38" s="13" t="n">
        <x:v>10927.079999998212</x:v>
      </x:c>
      <x:c r="AK38" s="13" t="n">
        <x:v>0.9812742393832578</x:v>
      </x:c>
      <x:c r="AL38" s="13" t="n">
        <x:v>0.060814383923849816</x:v>
      </x:c>
      <x:c r="AM38" s="13" t="n">
        <x:v>0.009009009009009009</x:v>
      </x:c>
      <x:c r="AN38" s="13" t="n">
        <x:v>0.04343618727437368</x:v>
      </x:c>
      <x:c r="AO38" s="13" t="n">
        <x:v>0.6765835040957462</x:v>
      </x:c>
      <x:c r="AP38" s="13" t="n">
        <x:v>0.0226408525763282</x:v>
      </x:c>
    </x:row>
    <x:row r="39" ht="15" hidden="0" customHeight="1">
      <x:c r="A39" s="2" t="str">
        <x:v>E38</x:v>
      </x:c>
      <x:c r="B39" s="2" t="str">
        <x:v>***建设工程有限公司</x:v>
      </x:c>
      <x:c r="C39" s="2" t="str">
        <x:v>有信贷记录</x:v>
      </x:c>
      <x:c r="D39" s="2" t="str">
        <x:v>B</x:v>
      </x:c>
      <x:c r="E39" s="2" t="str">
        <x:v>否</x:v>
      </x:c>
      <x:c r="F39" s="13" t="n">
        <x:v>991</x:v>
      </x:c>
      <x:c r="G39" s="13" t="n">
        <x:v>958</x:v>
      </x:c>
      <x:c r="H39" s="13" t="n">
        <x:v>33</x:v>
      </x:c>
      <x:c r="I39" s="13" t="n">
        <x:v>4</x:v>
      </x:c>
      <x:c r="J39" s="13" t="n">
        <x:v>13162533.92</x:v>
      </x:c>
      <x:c r="K39" s="13" t="n">
        <x:v>13184015.780000001</x:v>
      </x:c>
      <x:c r="L39" s="13" t="n">
        <x:v>237</x:v>
      </x:c>
      <x:c r="M39" s="13" t="n">
        <x:v>0.033299697275479316</x:v>
      </x:c>
      <x:c r="N39" s="13" t="n">
        <x:v>0.0041753653444676405</x:v>
      </x:c>
      <x:c r="O39" s="13" t="n">
        <x:v>0.12158443401780074</x:v>
      </x:c>
      <x:c r="P39" s="13" t="n">
        <x:v>0.2996052239251795</x:v>
      </x:c>
      <x:c r="Q39" s="13" t="n">
        <x:v>387133.35058823525</x:v>
      </x:c>
      <x:c r="R39" s="13" t="n">
        <x:v>2.4526833096209484</x:v>
      </x:c>
      <x:c r="S39" s="13" t="n">
        <x:v>0.06288859754669548</x:v>
      </x:c>
      <x:c r="T39" s="13" t="n">
        <x:v>31</x:v>
      </x:c>
      <x:c r="U39" s="13" t="n">
        <x:v>628</x:v>
      </x:c>
      <x:c r="V39" s="13" t="n">
        <x:v>552</x:v>
      </x:c>
      <x:c r="W39" s="13" t="n">
        <x:v>76</x:v>
      </x:c>
      <x:c r="X39" s="13" t="n">
        <x:v>4</x:v>
      </x:c>
      <x:c r="Y39" s="13" t="n">
        <x:v>50113398.94</x:v>
      </x:c>
      <x:c r="Z39" s="13" t="n">
        <x:v>50913398.94</x:v>
      </x:c>
      <x:c r="AA39" s="13" t="n">
        <x:v>8</x:v>
      </x:c>
      <x:c r="AB39" s="13" t="n">
        <x:v>0.12101910828025478</x:v>
      </x:c>
      <x:c r="AC39" s="13" t="n">
        <x:v>0.007246376811594203</x:v>
      </x:c>
      <x:c r="AD39" s="13" t="n">
        <x:v>0.420214441687965</x:v>
      </x:c>
      <x:c r="AE39" s="13" t="n">
        <x:v>0.6267524397183765</x:v>
      </x:c>
      <x:c r="AF39" s="13" t="n">
        <x:v>1566043.7168750002</x:v>
      </x:c>
      <x:c r="AG39" s="13" t="n">
        <x:v>1.279875727304427</x:v>
      </x:c>
      <x:c r="AH39" s="13" t="n">
        <x:v>0.012091887765745744</x:v>
      </x:c>
      <x:c r="AI39" s="13" t="n">
        <x:v>24</x:v>
      </x:c>
      <x:c r="AJ39" s="13" t="n">
        <x:v>36950865.019999996</x:v>
      </x:c>
      <x:c r="AK39" s="13" t="n">
        <x:v>0.2589498256743179</x:v>
      </x:c>
      <x:c r="AL39" s="13" t="n">
        <x:v>0.06732550957381099</x:v>
      </x:c>
      <x:c r="AM39" s="13" t="n">
        <x:v>0.005298013245033113</x:v>
      </x:c>
      <x:c r="AN39" s="13" t="n">
        <x:v>0.2708994378528829</x:v>
      </x:c>
      <x:c r="AO39" s="13" t="n">
        <x:v>1.8662795184626877</x:v>
      </x:c>
      <x:c r="AP39" s="13" t="n">
        <x:v>0.03749024265622061</x:v>
      </x:c>
    </x:row>
    <x:row r="40" ht="15" hidden="0" customHeight="1">
      <x:c r="A40" s="2" t="str">
        <x:v>E39</x:v>
      </x:c>
      <x:c r="B40" s="2" t="str">
        <x:v>***建筑劳务有限公司</x:v>
      </x:c>
      <x:c r="C40" s="2" t="str">
        <x:v>有信贷记录</x:v>
      </x:c>
      <x:c r="D40" s="2" t="str">
        <x:v>C</x:v>
      </x:c>
      <x:c r="E40" s="2" t="str">
        <x:v>否</x:v>
      </x:c>
      <x:c r="F40" s="13" t="n">
        <x:v>282</x:v>
      </x:c>
      <x:c r="G40" s="13" t="n">
        <x:v>279</x:v>
      </x:c>
      <x:c r="H40" s="13" t="n">
        <x:v>3</x:v>
      </x:c>
      <x:c r="I40" s="13" t="n">
        <x:v>0</x:v>
      </x:c>
      <x:c r="J40" s="13" t="n">
        <x:v>373240.46</x:v>
      </x:c>
      <x:c r="K40" s="13" t="n">
        <x:v>373240.46</x:v>
      </x:c>
      <x:c r="L40" s="13" t="n">
        <x:v>54</x:v>
      </x:c>
      <x:c r="M40" s="13" t="n">
        <x:v>0.010638297872340425</x:v>
      </x:c>
      <x:c r="N40" s="13" t="n">
        <x:v>0</x:v>
      </x:c>
      <x:c r="O40" s="13" t="n">
        <x:v>0.09624242434509829</x:v>
      </x:c>
      <x:c r="P40" s="13" t="n">
        <x:v>0.1777138523513769</x:v>
      </x:c>
      <x:c r="Q40" s="13" t="n">
        <x:v>12040.014838709678</x:v>
      </x:c>
      <x:c r="R40" s="13" t="n">
        <x:v>1.9318154177303237</x:v>
      </x:c>
      <x:c r="S40" s="13" t="n">
        <x:v>0.08972878570023525</x:v>
      </x:c>
      <x:c r="T40" s="13" t="n">
        <x:v>26</x:v>
      </x:c>
      <x:c r="U40" s="13" t="n">
        <x:v>264</x:v>
      </x:c>
      <x:c r="V40" s="13" t="n">
        <x:v>236</x:v>
      </x:c>
      <x:c r="W40" s="13" t="n">
        <x:v>28</x:v>
      </x:c>
      <x:c r="X40" s="13" t="n">
        <x:v>6</x:v>
      </x:c>
      <x:c r="Y40" s="13" t="n">
        <x:v>32917476.68</x:v>
      </x:c>
      <x:c r="Z40" s="13" t="n">
        <x:v>33730256.68</x:v>
      </x:c>
      <x:c r="AA40" s="13" t="n">
        <x:v>2</x:v>
      </x:c>
      <x:c r="AB40" s="13" t="n">
        <x:v>0.10606060606060606</x:v>
      </x:c>
      <x:c r="AC40" s="13" t="n">
        <x:v>0.025423728813559324</x:v>
      </x:c>
      <x:c r="AD40" s="13" t="n">
        <x:v>0.9424639963004893</x:v>
      </x:c>
      <x:c r="AE40" s="13" t="n">
        <x:v>0.9703530569160199</x:v>
      </x:c>
      <x:c r="AF40" s="13" t="n">
        <x:v>1219165.802962963</x:v>
      </x:c>
      <x:c r="AG40" s="13" t="n">
        <x:v>1.145083766856515</x:v>
      </x:c>
      <x:c r="AH40" s="13" t="n">
        <x:v>0.0048715134950049685</x:v>
      </x:c>
      <x:c r="AI40" s="13" t="n">
        <x:v>24</x:v>
      </x:c>
      <x:c r="AJ40" s="13" t="n">
        <x:v>32544236.22</x:v>
      </x:c>
      <x:c r="AK40" s="13" t="n">
        <x:v>0.011065449739708296</x:v>
      </x:c>
      <x:c r="AL40" s="13" t="n">
        <x:v>0.056776556776556776</x:v>
      </x:c>
      <x:c r="AM40" s="13" t="n">
        <x:v>0.011650485436893204</x:v>
      </x:c>
      <x:c r="AN40" s="13" t="n">
        <x:v>0.5193532103227938</x:v>
      </x:c>
      <x:c r="AO40" s="13" t="n">
        <x:v>1.5384495922934194</x:v>
      </x:c>
      <x:c r="AP40" s="13" t="n">
        <x:v>0.047300149597620106</x:v>
      </x:c>
    </x:row>
    <x:row r="41" ht="15" hidden="0" customHeight="1">
      <x:c r="A41" s="2" t="str">
        <x:v>E40</x:v>
      </x:c>
      <x:c r="B41" s="2" t="str">
        <x:v>***财税咨询服务有限公司</x:v>
      </x:c>
      <x:c r="C41" s="2" t="str">
        <x:v>有信贷记录</x:v>
      </x:c>
      <x:c r="D41" s="2" t="str">
        <x:v>C</x:v>
      </x:c>
      <x:c r="E41" s="2" t="str">
        <x:v>否</x:v>
      </x:c>
      <x:c r="F41" s="13" t="n">
        <x:v>3148</x:v>
      </x:c>
      <x:c r="G41" s="13" t="n">
        <x:v>3068</x:v>
      </x:c>
      <x:c r="H41" s="13" t="n">
        <x:v>80</x:v>
      </x:c>
      <x:c r="I41" s="13" t="n">
        <x:v>34</x:v>
      </x:c>
      <x:c r="J41" s="13" t="n">
        <x:v>4486335.359999999</x:v>
      </x:c>
      <x:c r="K41" s="13" t="n">
        <x:v>4550063.44</x:v>
      </x:c>
      <x:c r="L41" s="13" t="n">
        <x:v>801</x:v>
      </x:c>
      <x:c r="M41" s="13" t="n">
        <x:v>0.025412960609911054</x:v>
      </x:c>
      <x:c r="N41" s="13" t="n">
        <x:v>0.01108213820078227</x:v>
      </x:c>
      <x:c r="O41" s="13" t="n">
        <x:v>0.02142782098188911</x:v>
      </x:c>
      <x:c r="P41" s="13" t="n">
        <x:v>0.07736155872147575</x:v>
      </x:c>
      <x:c r="Q41" s="13" t="n">
        <x:v>131951.04</x:v>
      </x:c>
      <x:c r="R41" s="13" t="n">
        <x:v>1.0597704396105836</x:v>
      </x:c>
      <x:c r="S41" s="13" t="n">
        <x:v>0.0321365874840038</x:v>
      </x:c>
      <x:c r="T41" s="13" t="n">
        <x:v>34</x:v>
      </x:c>
      <x:c r="U41" s="13" t="n">
        <x:v>883</x:v>
      </x:c>
      <x:c r="V41" s="13" t="n">
        <x:v>800</x:v>
      </x:c>
      <x:c r="W41" s="13" t="n">
        <x:v>83</x:v>
      </x:c>
      <x:c r="X41" s="13" t="n">
        <x:v>42</x:v>
      </x:c>
      <x:c r="Y41" s="13" t="n">
        <x:v>34507751.31</x:v>
      </x:c>
      <x:c r="Z41" s="13" t="n">
        <x:v>40064199.31</x:v>
      </x:c>
      <x:c r="AA41" s="13" t="n">
        <x:v>535</x:v>
      </x:c>
      <x:c r="AB41" s="13" t="n">
        <x:v>0.09399773499433749</x:v>
      </x:c>
      <x:c r="AC41" s="13" t="n">
        <x:v>0.0525</x:v>
      </x:c>
      <x:c r="AD41" s="13" t="n">
        <x:v>0.013285559996180111</x:v>
      </x:c>
      <x:c r="AE41" s="13" t="n">
        <x:v>0.08142356658019531</x:v>
      </x:c>
      <x:c r="AF41" s="13" t="n">
        <x:v>985935.7517142858</x:v>
      </x:c>
      <x:c r="AG41" s="13" t="n">
        <x:v>1.1294170193809008</x:v>
      </x:c>
      <x:c r="AH41" s="13" t="n">
        <x:v>0.05791019255607395</x:v>
      </x:c>
      <x:c r="AI41" s="13" t="n">
        <x:v>35</x:v>
      </x:c>
      <x:c r="AJ41" s="13" t="n">
        <x:v>30021415.950000003</x:v>
      </x:c>
      <x:c r="AK41" s="13" t="n">
        <x:v>0.11356930921777605</x:v>
      </x:c>
      <x:c r="AL41" s="13" t="n">
        <x:v>0.04043661622426197</x:v>
      </x:c>
      <x:c r="AM41" s="13" t="n">
        <x:v>0.01964839710444674</x:v>
      </x:c>
      <x:c r="AN41" s="13" t="n">
        <x:v>0.01735669048903461</x:v>
      </x:c>
      <x:c r="AO41" s="13" t="n">
        <x:v>1.0945937294957422</x:v>
      </x:c>
      <x:c r="AP41" s="13" t="n">
        <x:v>0.04502339002003887</x:v>
      </x:c>
    </x:row>
    <x:row r="42" ht="15" hidden="0" customHeight="1">
      <x:c r="A42" s="2" t="str">
        <x:v>E41</x:v>
      </x:c>
      <x:c r="B42" s="2" t="str">
        <x:v>***物业发展有限公司</x:v>
      </x:c>
      <x:c r="C42" s="2" t="str">
        <x:v>有信贷记录</x:v>
      </x:c>
      <x:c r="D42" s="2" t="str">
        <x:v>C</x:v>
      </x:c>
      <x:c r="E42" s="2" t="str">
        <x:v>否</x:v>
      </x:c>
      <x:c r="F42" s="13" t="n">
        <x:v>2033</x:v>
      </x:c>
      <x:c r="G42" s="13" t="n">
        <x:v>1968</x:v>
      </x:c>
      <x:c r="H42" s="13" t="n">
        <x:v>65</x:v>
      </x:c>
      <x:c r="I42" s="13" t="n">
        <x:v>13</x:v>
      </x:c>
      <x:c r="J42" s="13" t="n">
        <x:v>5388727.33</x:v>
      </x:c>
      <x:c r="K42" s="13" t="n">
        <x:v>5672415.33</x:v>
      </x:c>
      <x:c r="L42" s="13" t="n">
        <x:v>486</x:v>
      </x:c>
      <x:c r="M42" s="13" t="n">
        <x:v>0.031972454500737824</x:v>
      </x:c>
      <x:c r="N42" s="13" t="n">
        <x:v>0.0066056910569105695</x:v>
      </x:c>
      <x:c r="O42" s="13" t="n">
        <x:v>0.028753404953953555</x:v>
      </x:c>
      <x:c r="P42" s="13" t="n">
        <x:v>0.09878236648796307</x:v>
      </x:c>
      <x:c r="Q42" s="13" t="n">
        <x:v>153963.63800000004</x:v>
      </x:c>
      <x:c r="R42" s="13" t="n">
        <x:v>0.8521157707009113</x:v>
      </x:c>
      <x:c r="S42" s="13" t="n">
        <x:v>0.0485244483651448</x:v>
      </x:c>
      <x:c r="T42" s="13" t="n">
        <x:v>34</x:v>
      </x:c>
      <x:c r="U42" s="13" t="n">
        <x:v>663</x:v>
      </x:c>
      <x:c r="V42" s="13" t="n">
        <x:v>605</x:v>
      </x:c>
      <x:c r="W42" s="13" t="n">
        <x:v>58</x:v>
      </x:c>
      <x:c r="X42" s="13" t="n">
        <x:v>18</x:v>
      </x:c>
      <x:c r="Y42" s="13" t="n">
        <x:v>33332217.83</x:v>
      </x:c>
      <x:c r="Z42" s="13" t="n">
        <x:v>35706679.89</x:v>
      </x:c>
      <x:c r="AA42" s="13" t="n">
        <x:v>13</x:v>
      </x:c>
      <x:c r="AB42" s="13" t="n">
        <x:v>0.08748114630467571</x:v>
      </x:c>
      <x:c r="AC42" s="13" t="n">
        <x:v>0.02975206611570248</x:v>
      </x:c>
      <x:c r="AD42" s="13" t="n">
        <x:v>0.33529756149687356</x:v>
      </x:c>
      <x:c r="AE42" s="13" t="n">
        <x:v>0.5384763290575432</x:v>
      </x:c>
      <x:c r="AF42" s="13" t="n">
        <x:v>877163.6271052631</x:v>
      </x:c>
      <x:c r="AG42" s="13" t="n">
        <x:v>0.8004247035687851</x:v>
      </x:c>
      <x:c r="AH42" s="13" t="n">
        <x:v>0.05456224340078603</x:v>
      </x:c>
      <x:c r="AI42" s="13" t="n">
        <x:v>38</x:v>
      </x:c>
      <x:c r="AJ42" s="13" t="n">
        <x:v>27943490.5</x:v>
      </x:c>
      <x:c r="AK42" s="13" t="n">
        <x:v>0.1588614608659993</x:v>
      </x:c>
      <x:c r="AL42" s="13" t="n">
        <x:v>0.04562314540059347</x:v>
      </x:c>
      <x:c r="AM42" s="13" t="n">
        <x:v>0.012048192771084338</x:v>
      </x:c>
      <x:c r="AN42" s="13" t="n">
        <x:v>0.18202548322541356</x:v>
      </x:c>
      <x:c r="AO42" s="13" t="n">
        <x:v>0.8262702371348483</x:v>
      </x:c>
      <x:c r="AP42" s="13" t="n">
        <x:v>0.05154334588296541</x:v>
      </x:c>
    </x:row>
    <x:row r="43" ht="15" hidden="0" customHeight="1">
      <x:c r="A43" s="2" t="str">
        <x:v>E42</x:v>
      </x:c>
      <x:c r="B43" s="2" t="str">
        <x:v>***园艺场</x:v>
      </x:c>
      <x:c r="C43" s="2" t="str">
        <x:v>有信贷记录</x:v>
      </x:c>
      <x:c r="D43" s="2" t="str">
        <x:v>A</x:v>
      </x:c>
      <x:c r="E43" s="2" t="str">
        <x:v>否</x:v>
      </x:c>
      <x:c r="F43" s="13" t="n">
        <x:v>47</x:v>
      </x:c>
      <x:c r="G43" s="13" t="n">
        <x:v>47</x:v>
      </x:c>
      <x:c r="H43" s="13" t="n">
        <x:v>0</x:v>
      </x:c>
      <x:c r="I43" s="13" t="n">
        <x:v>0</x:v>
      </x:c>
      <x:c r="J43" s="13" t="n">
        <x:v>11769</x:v>
      </x:c>
      <x:c r="K43" s="13" t="n">
        <x:v>11769</x:v>
      </x:c>
      <x:c r="L43" s="13" t="n">
        <x:v>7</x:v>
      </x:c>
      <x:c r="M43" s="13" t="n">
        <x:v>0</x:v>
      </x:c>
      <x:c r="N43" s="13" t="n">
        <x:v>0</x:v>
      </x:c>
      <x:c r="O43" s="13" t="n">
        <x:v>0.6314892103213153</x:v>
      </x:c>
      <x:c r="P43" s="13" t="n">
        <x:v>0.7849434956240972</x:v>
      </x:c>
      <x:c r="Q43" s="13" t="n">
        <x:v>435.8888888888889</x:v>
      </x:c>
      <x:c r="R43" s="13" t="n">
        <x:v>2.2565804651917953</x:v>
      </x:c>
      <x:c r="S43" s="13" t="n">
        <x:v>0.15599605594471672</x:v>
      </x:c>
      <x:c r="T43" s="13" t="n">
        <x:v>7</x:v>
      </x:c>
      <x:c r="U43" s="13" t="n">
        <x:v>327</x:v>
      </x:c>
      <x:c r="V43" s="13" t="n">
        <x:v>294</x:v>
      </x:c>
      <x:c r="W43" s="13" t="n">
        <x:v>33</x:v>
      </x:c>
      <x:c r="X43" s="13" t="n">
        <x:v>6</x:v>
      </x:c>
      <x:c r="Y43" s="13" t="n">
        <x:v>26235453.61</x:v>
      </x:c>
      <x:c r="Z43" s="13" t="n">
        <x:v>27390653.61</x:v>
      </x:c>
      <x:c r="AA43" s="13" t="n">
        <x:v>28</x:v>
      </x:c>
      <x:c r="AB43" s="13" t="n">
        <x:v>0.10091743119266056</x:v>
      </x:c>
      <x:c r="AC43" s="13" t="n">
        <x:v>0.02040816326530612</x:v>
      </x:c>
      <x:c r="AD43" s="13" t="n">
        <x:v>0.0810005022865488</x:v>
      </x:c>
      <x:c r="AE43" s="13" t="n">
        <x:v>0.15369671859393064</x:v>
      </x:c>
      <x:c r="AF43" s="13" t="n">
        <x:v>936980.4860714285</x:v>
      </x:c>
      <x:c r="AG43" s="13" t="n">
        <x:v>1.2532082784095797</x:v>
      </x:c>
      <x:c r="AH43" s="13" t="n">
        <x:v>0.06509715093309087</x:v>
      </x:c>
      <x:c r="AI43" s="13" t="n">
        <x:v>19</x:v>
      </x:c>
      <x:c r="AJ43" s="13" t="n">
        <x:v>26223684.61</x:v>
      </x:c>
      <x:c r="AK43" s="13" t="n">
        <x:v>0.00042967211252320313</x:v>
      </x:c>
      <x:c r="AL43" s="13" t="n">
        <x:v>0.08823529411764706</x:v>
      </x:c>
      <x:c r="AM43" s="13" t="n">
        <x:v>0.017595307917888565</x:v>
      </x:c>
      <x:c r="AN43" s="13" t="n">
        <x:v>0.35624485630393204</x:v>
      </x:c>
      <x:c r="AO43" s="13" t="n">
        <x:v>1.7548943718006875</x:v>
      </x:c>
      <x:c r="AP43" s="13" t="n">
        <x:v>0.1105466034389038</x:v>
      </x:c>
    </x:row>
    <x:row r="44" ht="15" hidden="0" customHeight="1">
      <x:c r="A44" s="2" t="str">
        <x:v>E43</x:v>
      </x:c>
      <x:c r="B44" s="2" t="str">
        <x:v>***建设工程有限公司</x:v>
      </x:c>
      <x:c r="C44" s="2" t="str">
        <x:v>有信贷记录</x:v>
      </x:c>
      <x:c r="D44" s="2" t="str">
        <x:v>B</x:v>
      </x:c>
      <x:c r="E44" s="2" t="str">
        <x:v>否</x:v>
      </x:c>
      <x:c r="F44" s="13" t="n">
        <x:v>78</x:v>
      </x:c>
      <x:c r="G44" s="13" t="n">
        <x:v>68</x:v>
      </x:c>
      <x:c r="H44" s="13" t="n">
        <x:v>10</x:v>
      </x:c>
      <x:c r="I44" s="13" t="n">
        <x:v>10</x:v>
      </x:c>
      <x:c r="J44" s="13" t="n">
        <x:v>3896529.75</x:v>
      </x:c>
      <x:c r="K44" s="13" t="n">
        <x:v>4025661.81</x:v>
      </x:c>
      <x:c r="L44" s="13" t="n">
        <x:v>19</x:v>
      </x:c>
      <x:c r="M44" s="13" t="n">
        <x:v>0.1282051282051282</x:v>
      </x:c>
      <x:c r="N44" s="13" t="n">
        <x:v>0.14705882352941177</x:v>
      </x:c>
      <x:c r="O44" s="13" t="n">
        <x:v>0.26669958706280933</x:v>
      </x:c>
      <x:c r="P44" s="13" t="n">
        <x:v>0.3651573503637157</x:v>
      </x:c>
      <x:c r="Q44" s="13" t="n">
        <x:v>169414.33695652173</x:v>
      </x:c>
      <x:c r="R44" s="13" t="n">
        <x:v>2.4199606354747054</x:v>
      </x:c>
      <x:c r="S44" s="13" t="n">
        <x:v>-0.0001790398471637507</x:v>
      </x:c>
      <x:c r="T44" s="13" t="n">
        <x:v>13</x:v>
      </x:c>
      <x:c r="U44" s="13" t="n">
        <x:v>245</x:v>
      </x:c>
      <x:c r="V44" s="13" t="n">
        <x:v>214</x:v>
      </x:c>
      <x:c r="W44" s="13" t="n">
        <x:v>31</x:v>
      </x:c>
      <x:c r="X44" s="13" t="n">
        <x:v>5</x:v>
      </x:c>
      <x:c r="Y44" s="13" t="n">
        <x:v>19715447.14</x:v>
      </x:c>
      <x:c r="Z44" s="13" t="n">
        <x:v>20641819.74</x:v>
      </x:c>
      <x:c r="AA44" s="13" t="n">
        <x:v>6</x:v>
      </x:c>
      <x:c r="AB44" s="13" t="n">
        <x:v>0.12653061224489795</x:v>
      </x:c>
      <x:c r="AC44" s="13" t="n">
        <x:v>0.02336448598130841</x:v>
      </x:c>
      <x:c r="AD44" s="13" t="n">
        <x:v>0.4268106697989614</x:v>
      </x:c>
      <x:c r="AE44" s="13" t="n">
        <x:v>0.6055667648224506</x:v>
      </x:c>
      <x:c r="AF44" s="13" t="n">
        <x:v>1314363.1426666668</x:v>
      </x:c>
      <x:c r="AG44" s="13" t="n">
        <x:v>0.553011619447312</x:v>
      </x:c>
      <x:c r="AH44" s="13" t="n">
        <x:v>0.02487913236885091</x:v>
      </x:c>
      <x:c r="AI44" s="13" t="n">
        <x:v>13</x:v>
      </x:c>
      <x:c r="AJ44" s="13" t="n">
        <x:v>15818917.39</x:v>
      </x:c>
      <x:c r="AK44" s="13" t="n">
        <x:v>0.1950245598840793</x:v>
      </x:c>
      <x:c r="AL44" s="13" t="n">
        <x:v>0.12693498452012383</x:v>
      </x:c>
      <x:c r="AM44" s="13" t="n">
        <x:v>0.05319148936170213</x:v>
      </x:c>
      <x:c r="AN44" s="13" t="n">
        <x:v>0.34675512843088535</x:v>
      </x:c>
      <x:c r="AO44" s="13" t="n">
        <x:v>1.4864861274610086</x:v>
      </x:c>
      <x:c r="AP44" s="13" t="n">
        <x:v>0.01235004626084358</x:v>
      </x:c>
    </x:row>
    <x:row r="45" ht="15" hidden="0" customHeight="1">
      <x:c r="A45" s="2" t="str">
        <x:v>E44</x:v>
      </x:c>
      <x:c r="B45" s="2" t="str">
        <x:v>***商贸有限公司</x:v>
      </x:c>
      <x:c r="C45" s="2" t="str">
        <x:v>有信贷记录</x:v>
      </x:c>
      <x:c r="D45" s="2" t="str">
        <x:v>C</x:v>
      </x:c>
      <x:c r="E45" s="2" t="str">
        <x:v>否</x:v>
      </x:c>
      <x:c r="F45" s="13" t="n">
        <x:v>1248</x:v>
      </x:c>
      <x:c r="G45" s="13" t="n">
        <x:v>1222</x:v>
      </x:c>
      <x:c r="H45" s="13" t="n">
        <x:v>26</x:v>
      </x:c>
      <x:c r="I45" s="13" t="n">
        <x:v>2</x:v>
      </x:c>
      <x:c r="J45" s="13" t="n">
        <x:v>34381631.3</x:v>
      </x:c>
      <x:c r="K45" s="13" t="n">
        <x:v>34587747.3</x:v>
      </x:c>
      <x:c r="L45" s="13" t="n">
        <x:v>211</x:v>
      </x:c>
      <x:c r="M45" s="13" t="n">
        <x:v>0.020833333333333332</x:v>
      </x:c>
      <x:c r="N45" s="13" t="n">
        <x:v>0.0016366612111292963</x:v>
      </x:c>
      <x:c r="O45" s="13" t="n">
        <x:v>0.05306251184683225</x:v>
      </x:c>
      <x:c r="P45" s="13" t="n">
        <x:v>0.12394959442761976</x:v>
      </x:c>
      <x:c r="Q45" s="13" t="n">
        <x:v>929233.2783783783</x:v>
      </x:c>
      <x:c r="R45" s="13" t="n">
        <x:v>0.7472583473652226</x:v>
      </x:c>
      <x:c r="S45" s="13" t="n">
        <x:v>0.03758344420321166</x:v>
      </x:c>
      <x:c r="T45" s="13" t="n">
        <x:v>37</x:v>
      </x:c>
      <x:c r="U45" s="13" t="n">
        <x:v>2435</x:v>
      </x:c>
      <x:c r="V45" s="13" t="n">
        <x:v>2242</x:v>
      </x:c>
      <x:c r="W45" s="13" t="n">
        <x:v>193</x:v>
      </x:c>
      <x:c r="X45" s="13" t="n">
        <x:v>56</x:v>
      </x:c>
      <x:c r="Y45" s="13" t="n">
        <x:v>37740524.4</x:v>
      </x:c>
      <x:c r="Z45" s="13" t="n">
        <x:v>38757598.86</x:v>
      </x:c>
      <x:c r="AA45" s="13" t="n">
        <x:v>33</x:v>
      </x:c>
      <x:c r="AB45" s="13" t="n">
        <x:v>0.07926078028747434</x:v>
      </x:c>
      <x:c r="AC45" s="13" t="n">
        <x:v>0.024977698483496878</x:v>
      </x:c>
      <x:c r="AD45" s="13" t="n">
        <x:v>0.35187462095341265</x:v>
      </x:c>
      <x:c r="AE45" s="13" t="n">
        <x:v>0.5086051713679355</x:v>
      </x:c>
      <x:c r="AF45" s="13" t="n">
        <x:v>1020014.172972973</x:v>
      </x:c>
      <x:c r="AG45" s="13" t="n">
        <x:v>0.7047895245283775</x:v>
      </x:c>
      <x:c r="AH45" s="13" t="n">
        <x:v>0.03590958244259107</x:v>
      </x:c>
      <x:c r="AI45" s="13" t="n">
        <x:v>37</x:v>
      </x:c>
      <x:c r="AJ45" s="13" t="n">
        <x:v>3358893.1000000015</x:v>
      </x:c>
      <x:c r="AK45" s="13" t="n">
        <x:v>0.8924120254440344</x:v>
      </x:c>
      <x:c r="AL45" s="13" t="n">
        <x:v>0.05946239478685854</x:v>
      </x:c>
      <x:c r="AM45" s="13" t="n">
        <x:v>0.01674364896073903</x:v>
      </x:c>
      <x:c r="AN45" s="13" t="n">
        <x:v>0.20246856640012245</x:v>
      </x:c>
      <x:c r="AO45" s="13" t="n">
        <x:v>0.7260239359468</x:v>
      </x:c>
      <x:c r="AP45" s="13" t="n">
        <x:v>0.03674651332290137</x:v>
      </x:c>
    </x:row>
    <x:row r="46" ht="15" hidden="0" customHeight="1">
      <x:c r="A46" s="2" t="str">
        <x:v>E45</x:v>
      </x:c>
      <x:c r="B46" s="2" t="str">
        <x:v>个体经营E45</x:v>
      </x:c>
      <x:c r="C46" s="2" t="str">
        <x:v>有信贷记录</x:v>
      </x:c>
      <x:c r="D46" s="2" t="str">
        <x:v>B</x:v>
      </x:c>
      <x:c r="E46" s="2" t="str">
        <x:v>是</x:v>
      </x:c>
      <x:c r="F46" s="13" t="n">
        <x:v>600</x:v>
      </x:c>
      <x:c r="G46" s="13" t="n">
        <x:v>592</x:v>
      </x:c>
      <x:c r="H46" s="13" t="n">
        <x:v>8</x:v>
      </x:c>
      <x:c r="I46" s="13" t="n">
        <x:v>0</x:v>
      </x:c>
      <x:c r="J46" s="13" t="n">
        <x:v>26918289.2</x:v>
      </x:c>
      <x:c r="K46" s="13" t="n">
        <x:v>26918289.2</x:v>
      </x:c>
      <x:c r="L46" s="13" t="n">
        <x:v>114</x:v>
      </x:c>
      <x:c r="M46" s="13" t="n">
        <x:v>0.013333333333333334</x:v>
      </x:c>
      <x:c r="N46" s="13" t="n">
        <x:v>0</x:v>
      </x:c>
      <x:c r="O46" s="13" t="n">
        <x:v>0.4088922686082504</x:v>
      </x:c>
      <x:c r="P46" s="13" t="n">
        <x:v>0.6148577105709973</x:v>
      </x:c>
      <x:c r="Q46" s="13" t="n">
        <x:v>928216.8689655173</x:v>
      </x:c>
      <x:c r="R46" s="13" t="n">
        <x:v>1.207981670784306</x:v>
      </x:c>
      <x:c r="S46" s="13" t="n">
        <x:v>0.09332726881787534</x:v>
      </x:c>
      <x:c r="T46" s="13" t="n">
        <x:v>29</x:v>
      </x:c>
      <x:c r="U46" s="13" t="n">
        <x:v>325</x:v>
      </x:c>
      <x:c r="V46" s="13" t="n">
        <x:v>305</x:v>
      </x:c>
      <x:c r="W46" s="13" t="n">
        <x:v>20</x:v>
      </x:c>
      <x:c r="X46" s="13" t="n">
        <x:v>7</x:v>
      </x:c>
      <x:c r="Y46" s="13" t="n">
        <x:v>27925863.82</x:v>
      </x:c>
      <x:c r="Z46" s="13" t="n">
        <x:v>29129501.82</x:v>
      </x:c>
      <x:c r="AA46" s="13" t="n">
        <x:v>64</x:v>
      </x:c>
      <x:c r="AB46" s="13" t="n">
        <x:v>0.06153846153846154</x:v>
      </x:c>
      <x:c r="AC46" s="13" t="n">
        <x:v>0.022950819672131147</x:v>
      </x:c>
      <x:c r="AD46" s="13" t="n">
        <x:v>0.10662544988134066</x:v>
      </x:c>
      <x:c r="AE46" s="13" t="n">
        <x:v>0.2704036975528337</x:v>
      </x:c>
      <x:c r="AF46" s="13" t="n">
        <x:v>1117034.5528</x:v>
      </x:c>
      <x:c r="AG46" s="13" t="n">
        <x:v>1.0889113136948454</x:v>
      </x:c>
      <x:c r="AH46" s="13" t="n">
        <x:v>0.09429743941688987</x:v>
      </x:c>
      <x:c r="AI46" s="13" t="n">
        <x:v>22</x:v>
      </x:c>
      <x:c r="AJ46" s="13" t="n">
        <x:v>1007574.620000001</x:v>
      </x:c>
      <x:c r="AK46" s="13" t="n">
        <x:v>0.924090269937888</x:v>
      </x:c>
      <x:c r="AL46" s="13" t="n">
        <x:v>0.03027027027027027</x:v>
      </x:c>
      <x:c r="AM46" s="13" t="n">
        <x:v>0.007803790412486065</x:v>
      </x:c>
      <x:c r="AN46" s="13" t="n">
        <x:v>0.2577588592447955</x:v>
      </x:c>
      <x:c r="AO46" s="13" t="n">
        <x:v>1.1484464922395756</x:v>
      </x:c>
      <x:c r="AP46" s="13" t="n">
        <x:v>0.0938123541173826</x:v>
      </x:c>
    </x:row>
    <x:row r="47" ht="15" hidden="0" customHeight="1">
      <x:c r="A47" s="2" t="str">
        <x:v>E46</x:v>
      </x:c>
      <x:c r="B47" s="2" t="str">
        <x:v>***广告传媒有限公司</x:v>
      </x:c>
      <x:c r="C47" s="2" t="str">
        <x:v>有信贷记录</x:v>
      </x:c>
      <x:c r="D47" s="2" t="str">
        <x:v>C</x:v>
      </x:c>
      <x:c r="E47" s="2" t="str">
        <x:v>否</x:v>
      </x:c>
      <x:c r="F47" s="13" t="n">
        <x:v>2544</x:v>
      </x:c>
      <x:c r="G47" s="13" t="n">
        <x:v>2492</x:v>
      </x:c>
      <x:c r="H47" s="13" t="n">
        <x:v>52</x:v>
      </x:c>
      <x:c r="I47" s="13" t="n">
        <x:v>17</x:v>
      </x:c>
      <x:c r="J47" s="13" t="n">
        <x:v>52703543.41</x:v>
      </x:c>
      <x:c r="K47" s="13" t="n">
        <x:v>53617413.17</x:v>
      </x:c>
      <x:c r="L47" s="13" t="n">
        <x:v>441</x:v>
      </x:c>
      <x:c r="M47" s="13" t="n">
        <x:v>0.020440251572327043</x:v>
      </x:c>
      <x:c r="N47" s="13" t="n">
        <x:v>0.006821829855537721</x:v>
      </x:c>
      <x:c r="O47" s="13" t="n">
        <x:v>0.07798738016697833</x:v>
      </x:c>
      <x:c r="P47" s="13" t="n">
        <x:v>0.16544589668796958</x:v>
      </x:c>
      <x:c r="Q47" s="13" t="n">
        <x:v>1424420.0921621618</x:v>
      </x:c>
      <x:c r="R47" s="13" t="n">
        <x:v>0.5474675279828504</x:v>
      </x:c>
      <x:c r="S47" s="13" t="n">
        <x:v>0.002334304832135613</x:v>
      </x:c>
      <x:c r="T47" s="13" t="n">
        <x:v>37</x:v>
      </x:c>
      <x:c r="U47" s="13" t="n">
        <x:v>974</x:v>
      </x:c>
      <x:c r="V47" s="13" t="n">
        <x:v>889</x:v>
      </x:c>
      <x:c r="W47" s="13" t="n">
        <x:v>85</x:v>
      </x:c>
      <x:c r="X47" s="13" t="n">
        <x:v>36</x:v>
      </x:c>
      <x:c r="Y47" s="13" t="n">
        <x:v>62111842.82</x:v>
      </x:c>
      <x:c r="Z47" s="13" t="n">
        <x:v>67377862.82</x:v>
      </x:c>
      <x:c r="AA47" s="13" t="n">
        <x:v>148</x:v>
      </x:c>
      <x:c r="AB47" s="13" t="n">
        <x:v>0.08726899383983573</x:v>
      </x:c>
      <x:c r="AC47" s="13" t="n">
        <x:v>0.04049493813273341</x:v>
      </x:c>
      <x:c r="AD47" s="13" t="n">
        <x:v>0.04885346017546</x:v>
      </x:c>
      <x:c r="AE47" s="13" t="n">
        <x:v>0.1643716427988655</x:v>
      </x:c>
      <x:c r="AF47" s="13" t="n">
        <x:v>1678698.4545945947</x:v>
      </x:c>
      <x:c r="AG47" s="13" t="n">
        <x:v>0.5768256997934345</x:v>
      </x:c>
      <x:c r="AH47" s="13" t="n">
        <x:v>-0.0063049277246442</x:v>
      </x:c>
      <x:c r="AI47" s="13" t="n">
        <x:v>37</x:v>
      </x:c>
      <x:c r="AJ47" s="13" t="n">
        <x:v>9408299.410000004</x:v>
      </x:c>
      <x:c r="AK47" s="13" t="n">
        <x:v>0.7957719483213493</x:v>
      </x:c>
      <x:c r="AL47" s="13" t="n">
        <x:v>0.0389425810119386</x:v>
      </x:c>
      <x:c r="AM47" s="13" t="n">
        <x:v>0.01567583555161195</x:v>
      </x:c>
      <x:c r="AN47" s="13" t="n">
        <x:v>0.06342042017121917</x:v>
      </x:c>
      <x:c r="AO47" s="13" t="n">
        <x:v>0.5621466138881424</x:v>
      </x:c>
      <x:c r="AP47" s="13" t="n">
        <x:v>-0.001985311446254293</x:v>
      </x:c>
    </x:row>
    <x:row r="48" ht="15" hidden="0" customHeight="1">
      <x:c r="A48" s="2" t="str">
        <x:v>E47</x:v>
      </x:c>
      <x:c r="B48" s="2" t="str">
        <x:v>***控制设备有限责任公司</x:v>
      </x:c>
      <x:c r="C48" s="2" t="str">
        <x:v>有信贷记录</x:v>
      </x:c>
      <x:c r="D48" s="2" t="str">
        <x:v>C</x:v>
      </x:c>
      <x:c r="E48" s="2" t="str">
        <x:v>否</x:v>
      </x:c>
      <x:c r="F48" s="13" t="n">
        <x:v>2905</x:v>
      </x:c>
      <x:c r="G48" s="13" t="n">
        <x:v>2811</x:v>
      </x:c>
      <x:c r="H48" s="13" t="n">
        <x:v>94</x:v>
      </x:c>
      <x:c r="I48" s="13" t="n">
        <x:v>11</x:v>
      </x:c>
      <x:c r="J48" s="13" t="n">
        <x:v>47929854.870000005</x:v>
      </x:c>
      <x:c r="K48" s="13" t="n">
        <x:v>48140974.03</x:v>
      </x:c>
      <x:c r="L48" s="13" t="n">
        <x:v>375</x:v>
      </x:c>
      <x:c r="M48" s="13" t="n">
        <x:v>0.03235800344234079</x:v>
      </x:c>
      <x:c r="N48" s="13" t="n">
        <x:v>0.003913198150124511</x:v>
      </x:c>
      <x:c r="O48" s="13" t="n">
        <x:v>0.1558440621812283</x:v>
      </x:c>
      <x:c r="P48" s="13" t="n">
        <x:v>0.3644926357132953</x:v>
      </x:c>
      <x:c r="Q48" s="13" t="n">
        <x:v>1295401.4829729728</x:v>
      </x:c>
      <x:c r="R48" s="13" t="n">
        <x:v>0.3300239898223691</x:v>
      </x:c>
      <x:c r="S48" s="13" t="n">
        <x:v>-0.017134483584786767</x:v>
      </x:c>
      <x:c r="T48" s="13" t="n">
        <x:v>37</x:v>
      </x:c>
      <x:c r="U48" s="13" t="n">
        <x:v>3518</x:v>
      </x:c>
      <x:c r="V48" s="13" t="n">
        <x:v>3356</x:v>
      </x:c>
      <x:c r="W48" s="13" t="n">
        <x:v>162</x:v>
      </x:c>
      <x:c r="X48" s="13" t="n">
        <x:v>20</x:v>
      </x:c>
      <x:c r="Y48" s="13" t="n">
        <x:v>57588277.629999995</x:v>
      </x:c>
      <x:c r="Z48" s="13" t="n">
        <x:v>58452972.39</x:v>
      </x:c>
      <x:c r="AA48" s="13" t="n">
        <x:v>767</x:v>
      </x:c>
      <x:c r="AB48" s="13" t="n">
        <x:v>0.04604889141557703</x:v>
      </x:c>
      <x:c r="AC48" s="13" t="n">
        <x:v>0.0059594755661501785</x:v>
      </x:c>
      <x:c r="AD48" s="13" t="n">
        <x:v>0.019772916894955465</x:v>
      </x:c>
      <x:c r="AE48" s="13" t="n">
        <x:v>0.06597450638215525</x:v>
      </x:c>
      <x:c r="AF48" s="13" t="n">
        <x:v>1556439.9359459458</x:v>
      </x:c>
      <x:c r="AG48" s="13" t="n">
        <x:v>0.3680909984174487</x:v>
      </x:c>
      <x:c r="AH48" s="13" t="n">
        <x:v>-0.016820212634652453</x:v>
      </x:c>
      <x:c r="AI48" s="13" t="n">
        <x:v>37</x:v>
      </x:c>
      <x:c r="AJ48" s="13" t="n">
        <x:v>9658422.75999999</x:v>
      </x:c>
      <x:c r="AK48" s="13" t="n">
        <x:v>0.8235847051335895</x:v>
      </x:c>
      <x:c r="AL48" s="13" t="n">
        <x:v>0.03985676475167367</x:v>
      </x:c>
      <x:c r="AM48" s="13" t="n">
        <x:v>0.005026755310523755</x:v>
      </x:c>
      <x:c r="AN48" s="13" t="n">
        <x:v>0.08780848953809188</x:v>
      </x:c>
      <x:c r="AO48" s="13" t="n">
        <x:v>0.3490574941199089</x:v>
      </x:c>
      <x:c r="AP48" s="13" t="n">
        <x:v>-0.01697734810971961</x:v>
      </x:c>
    </x:row>
    <x:row r="49" ht="15" hidden="0" customHeight="1">
      <x:c r="A49" s="2" t="str">
        <x:v>E48</x:v>
      </x:c>
      <x:c r="B49" s="2" t="str">
        <x:v>***化工有限公司</x:v>
      </x:c>
      <x:c r="C49" s="2" t="str">
        <x:v>有信贷记录</x:v>
      </x:c>
      <x:c r="D49" s="2" t="str">
        <x:v>A</x:v>
      </x:c>
      <x:c r="E49" s="2" t="str">
        <x:v>否</x:v>
      </x:c>
      <x:c r="F49" s="13" t="n">
        <x:v>1235</x:v>
      </x:c>
      <x:c r="G49" s="13" t="n">
        <x:v>1210</x:v>
      </x:c>
      <x:c r="H49" s="13" t="n">
        <x:v>25</x:v>
      </x:c>
      <x:c r="I49" s="13" t="n">
        <x:v>5</x:v>
      </x:c>
      <x:c r="J49" s="13" t="n">
        <x:v>14377295.35</x:v>
      </x:c>
      <x:c r="K49" s="13" t="n">
        <x:v>14517913.35</x:v>
      </x:c>
      <x:c r="L49" s="13" t="n">
        <x:v>233</x:v>
      </x:c>
      <x:c r="M49" s="13" t="n">
        <x:v>0.020242914979757085</x:v>
      </x:c>
      <x:c r="N49" s="13" t="n">
        <x:v>0.004132231404958678</x:v>
      </x:c>
      <x:c r="O49" s="13" t="n">
        <x:v>0.13827332047336144</x:v>
      </x:c>
      <x:c r="P49" s="13" t="n">
        <x:v>0.33042429544463425</x:v>
      </x:c>
      <x:c r="Q49" s="13" t="n">
        <x:v>378349.87763157894</x:v>
      </x:c>
      <x:c r="R49" s="13" t="n">
        <x:v>0.9676758114956664</x:v>
      </x:c>
      <x:c r="S49" s="13" t="n">
        <x:v>0.056767866102081226</x:v>
      </x:c>
      <x:c r="T49" s="13" t="n">
        <x:v>38</x:v>
      </x:c>
      <x:c r="U49" s="13" t="n">
        <x:v>513</x:v>
      </x:c>
      <x:c r="V49" s="13" t="n">
        <x:v>484</x:v>
      </x:c>
      <x:c r="W49" s="13" t="n">
        <x:v>29</x:v>
      </x:c>
      <x:c r="X49" s="13" t="n">
        <x:v>3</x:v>
      </x:c>
      <x:c r="Y49" s="13" t="n">
        <x:v>28922248.75</x:v>
      </x:c>
      <x:c r="Z49" s="13" t="n">
        <x:v>29005118.75</x:v>
      </x:c>
      <x:c r="AA49" s="13" t="n">
        <x:v>59</x:v>
      </x:c>
      <x:c r="AB49" s="13" t="n">
        <x:v>0.056530214424951264</x:v>
      </x:c>
      <x:c r="AC49" s="13" t="n">
        <x:v>0.006198347107438017</x:v>
      </x:c>
      <x:c r="AD49" s="13" t="n">
        <x:v>0.06270623950418232</x:v>
      </x:c>
      <x:c r="AE49" s="13" t="n">
        <x:v>0.16634586265915563</x:v>
      </x:c>
      <x:c r="AF49" s="13" t="n">
        <x:v>781682.3986486486</x:v>
      </x:c>
      <x:c r="AG49" s="13" t="n">
        <x:v>0.7308867202250106</x:v>
      </x:c>
      <x:c r="AH49" s="13" t="n">
        <x:v>0.06019318926514845</x:v>
      </x:c>
      <x:c r="AI49" s="13" t="n">
        <x:v>36</x:v>
      </x:c>
      <x:c r="AJ49" s="13" t="n">
        <x:v>14544953.4</x:v>
      </x:c>
      <x:c r="AK49" s="13" t="n">
        <x:v>0.5005293539782525</x:v>
      </x:c>
      <x:c r="AL49" s="13" t="n">
        <x:v>0.030892448512585814</x:v>
      </x:c>
      <x:c r="AM49" s="13" t="n">
        <x:v>0.004722550177095631</x:v>
      </x:c>
      <x:c r="AN49" s="13" t="n">
        <x:v>0.10048977998877187</x:v>
      </x:c>
      <x:c r="AO49" s="13" t="n">
        <x:v>0.8492812658603385</x:v>
      </x:c>
      <x:c r="AP49" s="13" t="n">
        <x:v>0.058480527683614836</x:v>
      </x:c>
    </x:row>
    <x:row r="50" ht="15" hidden="0" customHeight="1">
      <x:c r="A50" s="2" t="str">
        <x:v>E49</x:v>
      </x:c>
      <x:c r="B50" s="2" t="str">
        <x:v>***地球环保科技有限公司</x:v>
      </x:c>
      <x:c r="C50" s="2" t="str">
        <x:v>有信贷记录</x:v>
      </x:c>
      <x:c r="D50" s="2" t="str">
        <x:v>C</x:v>
      </x:c>
      <x:c r="E50" s="2" t="str">
        <x:v>否</x:v>
      </x:c>
      <x:c r="F50" s="13" t="n">
        <x:v>3615</x:v>
      </x:c>
      <x:c r="G50" s="13" t="n">
        <x:v>3518</x:v>
      </x:c>
      <x:c r="H50" s="13" t="n">
        <x:v>97</x:v>
      </x:c>
      <x:c r="I50" s="13" t="n">
        <x:v>19</x:v>
      </x:c>
      <x:c r="J50" s="13" t="n">
        <x:v>24500732.04</x:v>
      </x:c>
      <x:c r="K50" s="13" t="n">
        <x:v>24699538.66</x:v>
      </x:c>
      <x:c r="L50" s="13" t="n">
        <x:v>715</x:v>
      </x:c>
      <x:c r="M50" s="13" t="n">
        <x:v>0.026832641770401105</x:v>
      </x:c>
      <x:c r="N50" s="13" t="n">
        <x:v>0.005400795906765207</x:v>
      </x:c>
      <x:c r="O50" s="13" t="n">
        <x:v>0.08128554778186624</x:v>
      </x:c>
      <x:c r="P50" s="13" t="n">
        <x:v>0.25999971450478904</x:v>
      </x:c>
      <x:c r="Q50" s="13" t="n">
        <x:v>662181.9470270269</x:v>
      </x:c>
      <x:c r="R50" s="13" t="n">
        <x:v>1.1525122261574656</x:v>
      </x:c>
      <x:c r="S50" s="13" t="n">
        <x:v>0.04298670714258603</x:v>
      </x:c>
      <x:c r="T50" s="13" t="n">
        <x:v>37</x:v>
      </x:c>
      <x:c r="U50" s="13" t="n">
        <x:v>513</x:v>
      </x:c>
      <x:c r="V50" s="13" t="n">
        <x:v>461</x:v>
      </x:c>
      <x:c r="W50" s="13" t="n">
        <x:v>52</x:v>
      </x:c>
      <x:c r="X50" s="13" t="n">
        <x:v>13</x:v>
      </x:c>
      <x:c r="Y50" s="13" t="n">
        <x:v>39206169.22</x:v>
      </x:c>
      <x:c r="Z50" s="13" t="n">
        <x:v>40936840.04</x:v>
      </x:c>
      <x:c r="AA50" s="13" t="n">
        <x:v>295</x:v>
      </x:c>
      <x:c r="AB50" s="13" t="n">
        <x:v>0.10136452241715399</x:v>
      </x:c>
      <x:c r="AC50" s="13" t="n">
        <x:v>0.028199566160520606</x:v>
      </x:c>
      <x:c r="AD50" s="13" t="n">
        <x:v>0.07352066416003313</x:v>
      </x:c>
      <x:c r="AE50" s="13" t="n">
        <x:v>0.24495876892797902</x:v>
      </x:c>
      <x:c r="AF50" s="13" t="n">
        <x:v>1059626.1951351352</x:v>
      </x:c>
      <x:c r="AG50" s="13" t="n">
        <x:v>1.376328299048134</x:v>
      </x:c>
      <x:c r="AH50" s="13" t="n">
        <x:v>0.014645667573539842</x:v>
      </x:c>
      <x:c r="AI50" s="13" t="n">
        <x:v>29</x:v>
      </x:c>
      <x:c r="AJ50" s="13" t="n">
        <x:v>14705437.18</x:v>
      </x:c>
      <x:c r="AK50" s="13" t="n">
        <x:v>0.6033572360706325</x:v>
      </x:c>
      <x:c r="AL50" s="13" t="n">
        <x:v>0.03609496124031008</x:v>
      </x:c>
      <x:c r="AM50" s="13" t="n">
        <x:v>0.008042221663734606</x:v>
      </x:c>
      <x:c r="AN50" s="13" t="n">
        <x:v>0.07740310597094968</x:v>
      </x:c>
      <x:c r="AO50" s="13" t="n">
        <x:v>1.2644202626027998</x:v>
      </x:c>
      <x:c r="AP50" s="13" t="n">
        <x:v>0.028816187358062937</x:v>
      </x:c>
    </x:row>
    <x:row r="51" ht="15" hidden="0" customHeight="1">
      <x:c r="A51" s="2" t="str">
        <x:v>E50</x:v>
      </x:c>
      <x:c r="B51" s="2" t="str">
        <x:v>***建筑劳务有限公司</x:v>
      </x:c>
      <x:c r="C51" s="2" t="str">
        <x:v>有信贷记录</x:v>
      </x:c>
      <x:c r="D51" s="2" t="str">
        <x:v>C</x:v>
      </x:c>
      <x:c r="E51" s="2" t="str">
        <x:v>否</x:v>
      </x:c>
      <x:c r="F51" s="13" t="n">
        <x:v>197</x:v>
      </x:c>
      <x:c r="G51" s="13" t="n">
        <x:v>186</x:v>
      </x:c>
      <x:c r="H51" s="13" t="n">
        <x:v>11</x:v>
      </x:c>
      <x:c r="I51" s="13" t="n">
        <x:v>1</x:v>
      </x:c>
      <x:c r="J51" s="13" t="n">
        <x:v>1879996.2899999998</x:v>
      </x:c>
      <x:c r="K51" s="13" t="n">
        <x:v>1903196.2899999998</x:v>
      </x:c>
      <x:c r="L51" s="13" t="n">
        <x:v>66</x:v>
      </x:c>
      <x:c r="M51" s="13" t="n">
        <x:v>0.05583756345177665</x:v>
      </x:c>
      <x:c r="N51" s="13" t="n">
        <x:v>0.005376344086021506</x:v>
      </x:c>
      <x:c r="O51" s="13" t="n">
        <x:v>0.47891180698863134</x:v>
      </x:c>
      <x:c r="P51" s="13" t="n">
        <x:v>0.685096543562514</x:v>
      </x:c>
      <x:c r="Q51" s="13" t="n">
        <x:v>62666.543</x:v>
      </x:c>
      <x:c r="R51" s="13" t="n">
        <x:v>3.475600038951563</x:v>
      </x:c>
      <x:c r="S51" s="13" t="n">
        <x:v>0.16516646908980923</x:v>
      </x:c>
      <x:c r="T51" s="13" t="n">
        <x:v>28</x:v>
      </x:c>
      <x:c r="U51" s="13" t="n">
        <x:v>285</x:v>
      </x:c>
      <x:c r="V51" s="13" t="n">
        <x:v>255</x:v>
      </x:c>
      <x:c r="W51" s="13" t="n">
        <x:v>30</x:v>
      </x:c>
      <x:c r="X51" s="13" t="n">
        <x:v>18</x:v>
      </x:c>
      <x:c r="Y51" s="13" t="n">
        <x:v>20130478.71</x:v>
      </x:c>
      <x:c r="Z51" s="13" t="n">
        <x:v>23525694.349999998</x:v>
      </x:c>
      <x:c r="AA51" s="13" t="n">
        <x:v>5</x:v>
      </x:c>
      <x:c r="AB51" s="13" t="n">
        <x:v>0.10526315789473684</x:v>
      </x:c>
      <x:c r="AC51" s="13" t="n">
        <x:v>0.07058823529411765</x:v>
      </x:c>
      <x:c r="AD51" s="13" t="n">
        <x:v>0.31535550122126266</x:v>
      </x:c>
      <x:c r="AE51" s="13" t="n">
        <x:v>0.4105065553569942</x:v>
      </x:c>
      <x:c r="AF51" s="13" t="n">
        <x:v>718945.6682142857</x:v>
      </x:c>
      <x:c r="AG51" s="13" t="n">
        <x:v>1.4429828127807498</x:v>
      </x:c>
      <x:c r="AH51" s="13" t="n">
        <x:v>0.06078678387378934</x:v>
      </x:c>
      <x:c r="AI51" s="13" t="n">
        <x:v>13</x:v>
      </x:c>
      <x:c r="AJ51" s="13" t="n">
        <x:v>18250482.42</x:v>
      </x:c>
      <x:c r="AK51" s="13" t="n">
        <x:v>0.08089862350864045</x:v>
      </x:c>
      <x:c r="AL51" s="13" t="n">
        <x:v>0.08506224066390042</x:v>
      </x:c>
      <x:c r="AM51" s="13" t="n">
        <x:v>0.04308390022675737</x:v>
      </x:c>
      <x:c r="AN51" s="13" t="n">
        <x:v>0.397133654104947</x:v>
      </x:c>
      <x:c r="AO51" s="13" t="n">
        <x:v>2.4592914258661565</x:v>
      </x:c>
      <x:c r="AP51" s="13" t="n">
        <x:v>0.11297662648179929</x:v>
      </x:c>
    </x:row>
    <x:row r="52" ht="15" hidden="0" customHeight="1">
      <x:c r="A52" s="2" t="str">
        <x:v>E51</x:v>
      </x:c>
      <x:c r="B52" s="2" t="str">
        <x:v>***物流有限公司</x:v>
      </x:c>
      <x:c r="C52" s="2" t="str">
        <x:v>有信贷记录</x:v>
      </x:c>
      <x:c r="D52" s="2" t="str">
        <x:v>B</x:v>
      </x:c>
      <x:c r="E52" s="2" t="str">
        <x:v>否</x:v>
      </x:c>
      <x:c r="F52" s="13" t="n">
        <x:v>453</x:v>
      </x:c>
      <x:c r="G52" s="13" t="n">
        <x:v>451</x:v>
      </x:c>
      <x:c r="H52" s="13" t="n">
        <x:v>2</x:v>
      </x:c>
      <x:c r="I52" s="13" t="n">
        <x:v>4</x:v>
      </x:c>
      <x:c r="J52" s="13" t="n">
        <x:v>22559091.9</x:v>
      </x:c>
      <x:c r="K52" s="13" t="n">
        <x:v>22711625.380000003</x:v>
      </x:c>
      <x:c r="L52" s="13" t="n">
        <x:v>61</x:v>
      </x:c>
      <x:c r="M52" s="13" t="n">
        <x:v>0.004415011037527594</x:v>
      </x:c>
      <x:c r="N52" s="13" t="n">
        <x:v>0.008869179600886918</x:v>
      </x:c>
      <x:c r="O52" s="13" t="n">
        <x:v>0.2806353558823908</x:v>
      </x:c>
      <x:c r="P52" s="13" t="n">
        <x:v>0.49237735357538726</x:v>
      </x:c>
      <x:c r="Q52" s="13" t="n">
        <x:v>609705.1864864866</x:v>
      </x:c>
      <x:c r="R52" s="13" t="n">
        <x:v>0.7596417551318742</x:v>
      </x:c>
      <x:c r="S52" s="13" t="n">
        <x:v>0.040385918672084124</x:v>
      </x:c>
      <x:c r="T52" s="13" t="n">
        <x:v>37</x:v>
      </x:c>
      <x:c r="U52" s="13" t="n">
        <x:v>895</x:v>
      </x:c>
      <x:c r="V52" s="13" t="n">
        <x:v>834</x:v>
      </x:c>
      <x:c r="W52" s="13" t="n">
        <x:v>61</x:v>
      </x:c>
      <x:c r="X52" s="13" t="n">
        <x:v>3</x:v>
      </x:c>
      <x:c r="Y52" s="13" t="n">
        <x:v>30453335.6</x:v>
      </x:c>
      <x:c r="Z52" s="13" t="n">
        <x:v>30730873.6</x:v>
      </x:c>
      <x:c r="AA52" s="13" t="n">
        <x:v>132</x:v>
      </x:c>
      <x:c r="AB52" s="13" t="n">
        <x:v>0.06815642458100558</x:v>
      </x:c>
      <x:c r="AC52" s="13" t="n">
        <x:v>0.0035971223021582736</x:v>
      </x:c>
      <x:c r="AD52" s="13" t="n">
        <x:v>0.1098561284056973</x:v>
      </x:c>
      <x:c r="AE52" s="13" t="n">
        <x:v>0.300466058016652</x:v>
      </x:c>
      <x:c r="AF52" s="13" t="n">
        <x:v>823063.1243243243</x:v>
      </x:c>
      <x:c r="AG52" s="13" t="n">
        <x:v>0.5781592474702474</x:v>
      </x:c>
      <x:c r="AH52" s="13" t="n">
        <x:v>0.04719643196505489</x:v>
      </x:c>
      <x:c r="AI52" s="13" t="n">
        <x:v>37</x:v>
      </x:c>
      <x:c r="AJ52" s="13" t="n">
        <x:v>7894243.700000003</x:v>
      </x:c>
      <x:c r="AK52" s="13" t="n">
        <x:v>0.739049129407112</x:v>
      </x:c>
      <x:c r="AL52" s="13" t="n">
        <x:v>0.04673590504451038</x:v>
      </x:c>
      <x:c r="AM52" s="13" t="n">
        <x:v>0.005447470817120622</x:v>
      </x:c>
      <x:c r="AN52" s="13" t="n">
        <x:v>0.19524574214404405</x:v>
      </x:c>
      <x:c r="AO52" s="13" t="n">
        <x:v>0.6689005013010607</x:v>
      </x:c>
      <x:c r="AP52" s="13" t="n">
        <x:v>0.043791175318569506</x:v>
      </x:c>
    </x:row>
    <x:row r="53" ht="15" hidden="0" customHeight="1">
      <x:c r="A53" s="2" t="str">
        <x:v>E52</x:v>
      </x:c>
      <x:c r="B53" s="2" t="str">
        <x:v>***商贸有限公司</x:v>
      </x:c>
      <x:c r="C53" s="2" t="str">
        <x:v>有信贷记录</x:v>
      </x:c>
      <x:c r="D53" s="2" t="str">
        <x:v>D</x:v>
      </x:c>
      <x:c r="E53" s="2" t="str">
        <x:v>是</x:v>
      </x:c>
      <x:c r="F53" s="13" t="n">
        <x:v>425</x:v>
      </x:c>
      <x:c r="G53" s="13" t="n">
        <x:v>409</x:v>
      </x:c>
      <x:c r="H53" s="13" t="n">
        <x:v>16</x:v>
      </x:c>
      <x:c r="I53" s="13" t="n">
        <x:v>2</x:v>
      </x:c>
      <x:c r="J53" s="13" t="n">
        <x:v>18437416.54</x:v>
      </x:c>
      <x:c r="K53" s="13" t="n">
        <x:v>18478414.54</x:v>
      </x:c>
      <x:c r="L53" s="13" t="n">
        <x:v>131</x:v>
      </x:c>
      <x:c r="M53" s="13" t="n">
        <x:v>0.03764705882352941</x:v>
      </x:c>
      <x:c r="N53" s="13" t="n">
        <x:v>0.004889975550122249</x:v>
      </x:c>
      <x:c r="O53" s="13" t="n">
        <x:v>0.14027781877763273</x:v>
      </x:c>
      <x:c r="P53" s="13" t="n">
        <x:v>0.2842235186699086</x:v>
      </x:c>
      <x:c r="Q53" s="13" t="n">
        <x:v>635772.984137931</x:v>
      </x:c>
      <x:c r="R53" s="13" t="n">
        <x:v>1.8686203216439745</x:v>
      </x:c>
      <x:c r="S53" s="13" t="n">
        <x:v>0.09284234019544911</x:v>
      </x:c>
      <x:c r="T53" s="13" t="n">
        <x:v>29</x:v>
      </x:c>
      <x:c r="U53" s="13" t="n">
        <x:v>379</x:v>
      </x:c>
      <x:c r="V53" s="13" t="n">
        <x:v>286</x:v>
      </x:c>
      <x:c r="W53" s="13" t="n">
        <x:v>93</x:v>
      </x:c>
      <x:c r="X53" s="13" t="n">
        <x:v>5</x:v>
      </x:c>
      <x:c r="Y53" s="13" t="n">
        <x:v>21270109.97</x:v>
      </x:c>
      <x:c r="Z53" s="13" t="n">
        <x:v>21567346.17</x:v>
      </x:c>
      <x:c r="AA53" s="13" t="n">
        <x:v>13</x:v>
      </x:c>
      <x:c r="AB53" s="13" t="n">
        <x:v>0.24538258575197888</x:v>
      </x:c>
      <x:c r="AC53" s="13" t="n">
        <x:v>0.017482517482517484</x:v>
      </x:c>
      <x:c r="AD53" s="13" t="n">
        <x:v>0.44453000429141487</x:v>
      </x:c>
      <x:c r="AE53" s="13" t="n">
        <x:v>0.6158045359551069</x:v>
      </x:c>
      <x:c r="AF53" s="13" t="n">
        <x:v>787781.8507407407</x:v>
      </x:c>
      <x:c r="AG53" s="13" t="n">
        <x:v>1.6378819915980167</x:v>
      </x:c>
      <x:c r="AH53" s="13" t="n">
        <x:v>0.08164863405357267</x:v>
      </x:c>
      <x:c r="AI53" s="13" t="n">
        <x:v>24</x:v>
      </x:c>
      <x:c r="AJ53" s="13" t="n">
        <x:v>2832693.4299999997</x:v>
      </x:c>
      <x:c r="AK53" s="13" t="n">
        <x:v>0.8567773890374755</x:v>
      </x:c>
      <x:c r="AL53" s="13" t="n">
        <x:v>0.13557213930348258</x:v>
      </x:c>
      <x:c r="AM53" s="13" t="n">
        <x:v>0.010071942446043165</x:v>
      </x:c>
      <x:c r="AN53" s="13" t="n">
        <x:v>0.29240391153452383</x:v>
      </x:c>
      <x:c r="AO53" s="13" t="n">
        <x:v>1.7532511566209956</x:v>
      </x:c>
      <x:c r="AP53" s="13" t="n">
        <x:v>0.08724548712451088</x:v>
      </x:c>
    </x:row>
    <x:row r="54" ht="15" hidden="0" customHeight="1">
      <x:c r="A54" s="2" t="str">
        <x:v>E53</x:v>
      </x:c>
      <x:c r="B54" s="2" t="str">
        <x:v>***文化传媒有限公司</x:v>
      </x:c>
      <x:c r="C54" s="2" t="str">
        <x:v>有信贷记录</x:v>
      </x:c>
      <x:c r="D54" s="2" t="str">
        <x:v>C</x:v>
      </x:c>
      <x:c r="E54" s="2" t="str">
        <x:v>否</x:v>
      </x:c>
      <x:c r="F54" s="13" t="n">
        <x:v>630</x:v>
      </x:c>
      <x:c r="G54" s="13" t="n">
        <x:v>599</x:v>
      </x:c>
      <x:c r="H54" s="13" t="n">
        <x:v>31</x:v>
      </x:c>
      <x:c r="I54" s="13" t="n">
        <x:v>1</x:v>
      </x:c>
      <x:c r="J54" s="13" t="n">
        <x:v>34943306.95</x:v>
      </x:c>
      <x:c r="K54" s="13" t="n">
        <x:v>35092786.35</x:v>
      </x:c>
      <x:c r="L54" s="13" t="n">
        <x:v>63</x:v>
      </x:c>
      <x:c r="M54" s="13" t="n">
        <x:v>0.049206349206349205</x:v>
      </x:c>
      <x:c r="N54" s="13" t="n">
        <x:v>0.001669449081803005</x:v>
      </x:c>
      <x:c r="O54" s="13" t="n">
        <x:v>0.4537526915602672</x:v>
      </x:c>
      <x:c r="P54" s="13" t="n">
        <x:v>0.6546521088656728</x:v>
      </x:c>
      <x:c r="Q54" s="13" t="n">
        <x:v>1091978.3421875</x:v>
      </x:c>
      <x:c r="R54" s="13" t="n">
        <x:v>0.6668303395909596</x:v>
      </x:c>
      <x:c r="S54" s="13" t="n">
        <x:v>0.0372480871667229</x:v>
      </x:c>
      <x:c r="T54" s="13" t="n">
        <x:v>31</x:v>
      </x:c>
      <x:c r="U54" s="13" t="n">
        <x:v>454</x:v>
      </x:c>
      <x:c r="V54" s="13" t="n">
        <x:v>396</x:v>
      </x:c>
      <x:c r="W54" s="13" t="n">
        <x:v>58</x:v>
      </x:c>
      <x:c r="X54" s="13" t="n">
        <x:v>4</x:v>
      </x:c>
      <x:c r="Y54" s="13" t="n">
        <x:v>38127316.11</x:v>
      </x:c>
      <x:c r="Z54" s="13" t="n">
        <x:v>38615826.11</x:v>
      </x:c>
      <x:c r="AA54" s="13" t="n">
        <x:v>46</x:v>
      </x:c>
      <x:c r="AB54" s="13" t="n">
        <x:v>0.1277533039647577</x:v>
      </x:c>
      <x:c r="AC54" s="13" t="n">
        <x:v>0.010101010101010102</x:v>
      </x:c>
      <x:c r="AD54" s="13" t="n">
        <x:v>0.07731155982257257</x:v>
      </x:c>
      <x:c r="AE54" s="13" t="n">
        <x:v>0.1838624397099555</x:v>
      </x:c>
      <x:c r="AF54" s="13" t="n">
        <x:v>1191478.6284375</x:v>
      </x:c>
      <x:c r="AG54" s="13" t="n">
        <x:v>1.09214363037012</x:v>
      </x:c>
      <x:c r="AH54" s="13" t="n">
        <x:v>0.03930131239217635</x:v>
      </x:c>
      <x:c r="AI54" s="13" t="n">
        <x:v>30</x:v>
      </x:c>
      <x:c r="AJ54" s="13" t="n">
        <x:v>3184009.1599999964</x:v>
      </x:c>
      <x:c r="AK54" s="13" t="n">
        <x:v>0.9087669457086232</x:v>
      </x:c>
      <x:c r="AL54" s="13" t="n">
        <x:v>0.08210332103321033</x:v>
      </x:c>
      <x:c r="AM54" s="13" t="n">
        <x:v>0.005025125628140704</x:v>
      </x:c>
      <x:c r="AN54" s="13" t="n">
        <x:v>0.2655321256914199</x:v>
      </x:c>
      <x:c r="AO54" s="13" t="n">
        <x:v>0.8794869849805398</x:v>
      </x:c>
      <x:c r="AP54" s="13" t="n">
        <x:v>0.038274699779449625</x:v>
      </x:c>
    </x:row>
    <x:row r="55" ht="15" hidden="0" customHeight="1">
      <x:c r="A55" s="2" t="str">
        <x:v>E54</x:v>
      </x:c>
      <x:c r="B55" s="2" t="str">
        <x:v>***新技术开发有限公司</x:v>
      </x:c>
      <x:c r="C55" s="2" t="str">
        <x:v>有信贷记录</x:v>
      </x:c>
      <x:c r="D55" s="2" t="str">
        <x:v>A</x:v>
      </x:c>
      <x:c r="E55" s="2" t="str">
        <x:v>否</x:v>
      </x:c>
      <x:c r="F55" s="13" t="n">
        <x:v>1644</x:v>
      </x:c>
      <x:c r="G55" s="13" t="n">
        <x:v>1555</x:v>
      </x:c>
      <x:c r="H55" s="13" t="n">
        <x:v>89</x:v>
      </x:c>
      <x:c r="I55" s="13" t="n">
        <x:v>20</x:v>
      </x:c>
      <x:c r="J55" s="13" t="n">
        <x:v>8163925.74</x:v>
      </x:c>
      <x:c r="K55" s="13" t="n">
        <x:v>8772654.64</x:v>
      </x:c>
      <x:c r="L55" s="13" t="n">
        <x:v>459</x:v>
      </x:c>
      <x:c r="M55" s="13" t="n">
        <x:v>0.054136253041362534</x:v>
      </x:c>
      <x:c r="N55" s="13" t="n">
        <x:v>0.012861736334405145</x:v>
      </x:c>
      <x:c r="O55" s="13" t="n">
        <x:v>0.036544589126179715</x:v>
      </x:c>
      <x:c r="P55" s="13" t="n">
        <x:v>0.107607108536533</x:v>
      </x:c>
      <x:c r="Q55" s="13" t="n">
        <x:v>214840.15105263153</x:v>
      </x:c>
      <x:c r="R55" s="13" t="n">
        <x:v>0.6712162806468056</x:v>
      </x:c>
      <x:c r="S55" s="13" t="n">
        <x:v>-0.006164203704403253</x:v>
      </x:c>
      <x:c r="T55" s="13" t="n">
        <x:v>38</x:v>
      </x:c>
      <x:c r="U55" s="13" t="n">
        <x:v>3501</x:v>
      </x:c>
      <x:c r="V55" s="13" t="n">
        <x:v>3215</x:v>
      </x:c>
      <x:c r="W55" s="13" t="n">
        <x:v>286</x:v>
      </x:c>
      <x:c r="X55" s="13" t="n">
        <x:v>37</x:v>
      </x:c>
      <x:c r="Y55" s="13" t="n">
        <x:v>37510977.72</x:v>
      </x:c>
      <x:c r="Z55" s="13" t="n">
        <x:v>38145037.72</x:v>
      </x:c>
      <x:c r="AA55" s="13" t="n">
        <x:v>1132</x:v>
      </x:c>
      <x:c r="AB55" s="13" t="n">
        <x:v>0.08169094544415881</x:v>
      </x:c>
      <x:c r="AC55" s="13" t="n">
        <x:v>0.011508553654743391</x:v>
      </x:c>
      <x:c r="AD55" s="13" t="n">
        <x:v>0.016772998060125017</x:v>
      </x:c>
      <x:c r="AE55" s="13" t="n">
        <x:v>0.06297254226440441</x:v>
      </x:c>
      <x:c r="AF55" s="13" t="n">
        <x:v>987130.9926315789</x:v>
      </x:c>
      <x:c r="AG55" s="13" t="n">
        <x:v>0.6084525959397217</x:v>
      </x:c>
      <x:c r="AH55" s="13" t="n">
        <x:v>0.012004205085855302</x:v>
      </x:c>
      <x:c r="AI55" s="13" t="n">
        <x:v>38</x:v>
      </x:c>
      <x:c r="AJ55" s="13" t="n">
        <x:v>29347051.979999997</x:v>
      </x:c>
      <x:c r="AK55" s="13" t="n">
        <x:v>0.2299815431929792</x:v>
      </x:c>
      <x:c r="AL55" s="13" t="n">
        <x:v>0.0728862973760933</x:v>
      </x:c>
      <x:c r="AM55" s="13" t="n">
        <x:v>0.011949685534591196</x:v>
      </x:c>
      <x:c r="AN55" s="13" t="n">
        <x:v>0.026658793593152368</x:v>
      </x:c>
      <x:c r="AO55" s="13" t="n">
        <x:v>0.6398344382932637</x:v>
      </x:c>
      <x:c r="AP55" s="13" t="n">
        <x:v>0.002920000690726025</x:v>
      </x:c>
    </x:row>
    <x:row r="56" ht="15" hidden="0" customHeight="1">
      <x:c r="A56" s="2" t="str">
        <x:v>E55</x:v>
      </x:c>
      <x:c r="B56" s="2" t="str">
        <x:v>***集团有限公司***电力设备分公司</x:v>
      </x:c>
      <x:c r="C56" s="2" t="str">
        <x:v>有信贷记录</x:v>
      </x:c>
      <x:c r="D56" s="2" t="str">
        <x:v>C</x:v>
      </x:c>
      <x:c r="E56" s="2" t="str">
        <x:v>否</x:v>
      </x:c>
      <x:c r="F56" s="13" t="n">
        <x:v>823</x:v>
      </x:c>
      <x:c r="G56" s="13" t="n">
        <x:v>752</x:v>
      </x:c>
      <x:c r="H56" s="13" t="n">
        <x:v>71</x:v>
      </x:c>
      <x:c r="I56" s="13" t="n">
        <x:v>30</x:v>
      </x:c>
      <x:c r="J56" s="13" t="n">
        <x:v>10860768.28</x:v>
      </x:c>
      <x:c r="K56" s="13" t="n">
        <x:v>12068501.42</x:v>
      </x:c>
      <x:c r="L56" s="13" t="n">
        <x:v>137</x:v>
      </x:c>
      <x:c r="M56" s="13" t="n">
        <x:v>0.08626974483596597</x:v>
      </x:c>
      <x:c r="N56" s="13" t="n">
        <x:v>0.0398936170212766</x:v>
      </x:c>
      <x:c r="O56" s="13" t="n">
        <x:v>0.055675724990841835</x:v>
      </x:c>
      <x:c r="P56" s="13" t="n">
        <x:v>0.09111582223271594</x:v>
      </x:c>
      <x:c r="Q56" s="13" t="n">
        <x:v>285809.69157894736</x:v>
      </x:c>
      <x:c r="R56" s="13" t="n">
        <x:v>1.230608541391885</x:v>
      </x:c>
      <x:c r="S56" s="13" t="n">
        <x:v>0.07110167611522468</x:v>
      </x:c>
      <x:c r="T56" s="13" t="n">
        <x:v>38</x:v>
      </x:c>
      <x:c r="U56" s="13" t="n">
        <x:v>590</x:v>
      </x:c>
      <x:c r="V56" s="13" t="n">
        <x:v>443</x:v>
      </x:c>
      <x:c r="W56" s="13" t="n">
        <x:v>147</x:v>
      </x:c>
      <x:c r="X56" s="13" t="n">
        <x:v>70</x:v>
      </x:c>
      <x:c r="Y56" s="13" t="n">
        <x:v>25594813.79</x:v>
      </x:c>
      <x:c r="Z56" s="13" t="n">
        <x:v>40222827.43</x:v>
      </x:c>
      <x:c r="AA56" s="13" t="n">
        <x:v>24</x:v>
      </x:c>
      <x:c r="AB56" s="13" t="n">
        <x:v>0.24915254237288137</x:v>
      </x:c>
      <x:c r="AC56" s="13" t="n">
        <x:v>0.1580135440180587</x:v>
      </x:c>
      <x:c r="AD56" s="13" t="n">
        <x:v>0.157623427987664</x:v>
      </x:c>
      <x:c r="AE56" s="13" t="n">
        <x:v>0.32560860205048</x:v>
      </x:c>
      <x:c r="AF56" s="13" t="n">
        <x:v>710967.0497222221</x:v>
      </x:c>
      <x:c r="AG56" s="13" t="n">
        <x:v>1.8101755808799556</x:v>
      </x:c>
      <x:c r="AH56" s="13" t="n">
        <x:v>0.02817987060190445</x:v>
      </x:c>
      <x:c r="AI56" s="13" t="n">
        <x:v>26</x:v>
      </x:c>
      <x:c r="AJ56" s="13" t="n">
        <x:v>14734045.51</x:v>
      </x:c>
      <x:c r="AK56" s="13" t="n">
        <x:v>0.300041100815274</x:v>
      </x:c>
      <x:c r="AL56" s="13" t="n">
        <x:v>0.1542816702052371</x:v>
      </x:c>
      <x:c r="AM56" s="13" t="n">
        <x:v>0.08368200836820083</x:v>
      </x:c>
      <x:c r="AN56" s="13" t="n">
        <x:v>0.10664957648925291</x:v>
      </x:c>
      <x:c r="AO56" s="13" t="n">
        <x:v>1.5203920611359203</x:v>
      </x:c>
      <x:c r="AP56" s="13" t="n">
        <x:v>0.049640773358564566</x:v>
      </x:c>
    </x:row>
    <x:row r="57" ht="15" hidden="0" customHeight="1">
      <x:c r="A57" s="2" t="str">
        <x:v>E56</x:v>
      </x:c>
      <x:c r="B57" s="2" t="str">
        <x:v>***家居材料***有限公司</x:v>
      </x:c>
      <x:c r="C57" s="2" t="str">
        <x:v>有信贷记录</x:v>
      </x:c>
      <x:c r="D57" s="2" t="str">
        <x:v>C</x:v>
      </x:c>
      <x:c r="E57" s="2" t="str">
        <x:v>否</x:v>
      </x:c>
      <x:c r="F57" s="13" t="n">
        <x:v>1201</x:v>
      </x:c>
      <x:c r="G57" s="13" t="n">
        <x:v>1152</x:v>
      </x:c>
      <x:c r="H57" s="13" t="n">
        <x:v>49</x:v>
      </x:c>
      <x:c r="I57" s="13" t="n">
        <x:v>7</x:v>
      </x:c>
      <x:c r="J57" s="13" t="n">
        <x:v>28163715.35</x:v>
      </x:c>
      <x:c r="K57" s="13" t="n">
        <x:v>28806545.35</x:v>
      </x:c>
      <x:c r="L57" s="13" t="n">
        <x:v>163</x:v>
      </x:c>
      <x:c r="M57" s="13" t="n">
        <x:v>0.04079933388842631</x:v>
      </x:c>
      <x:c r="N57" s="13" t="n">
        <x:v>0.006076388888888889</x:v>
      </x:c>
      <x:c r="O57" s="13" t="n">
        <x:v>0.10025273314632935</x:v>
      </x:c>
      <x:c r="P57" s="13" t="n">
        <x:v>0.22315551975759562</x:v>
      </x:c>
      <x:c r="Q57" s="13" t="n">
        <x:v>782325.4263888889</x:v>
      </x:c>
      <x:c r="R57" s="13" t="n">
        <x:v>0.7927597586358893</x:v>
      </x:c>
      <x:c r="S57" s="13" t="n">
        <x:v>0.03740685880662995</x:v>
      </x:c>
      <x:c r="T57" s="13" t="n">
        <x:v>36</x:v>
      </x:c>
      <x:c r="U57" s="13" t="n">
        <x:v>495</x:v>
      </x:c>
      <x:c r="V57" s="13" t="n">
        <x:v>458</x:v>
      </x:c>
      <x:c r="W57" s="13" t="n">
        <x:v>37</x:v>
      </x:c>
      <x:c r="X57" s="13" t="n">
        <x:v>8</x:v>
      </x:c>
      <x:c r="Y57" s="13" t="n">
        <x:v>30141852.04</x:v>
      </x:c>
      <x:c r="Z57" s="13" t="n">
        <x:v>30916843.04</x:v>
      </x:c>
      <x:c r="AA57" s="13" t="n">
        <x:v>39</x:v>
      </x:c>
      <x:c r="AB57" s="13" t="n">
        <x:v>0.07474747474747474</x:v>
      </x:c>
      <x:c r="AC57" s="13" t="n">
        <x:v>0.017467248908296942</x:v>
      </x:c>
      <x:c r="AD57" s="13" t="n">
        <x:v>0.21022429842115678</x:v>
      </x:c>
      <x:c r="AE57" s="13" t="n">
        <x:v>0.3668485147505539</x:v>
      </x:c>
      <x:c r="AF57" s="13" t="n">
        <x:v>861195.7725714287</x:v>
      </x:c>
      <x:c r="AG57" s="13" t="n">
        <x:v>0.6053432594076067</x:v>
      </x:c>
      <x:c r="AH57" s="13" t="n">
        <x:v>0.04852984571672806</x:v>
      </x:c>
      <x:c r="AI57" s="13" t="n">
        <x:v>35</x:v>
      </x:c>
      <x:c r="AJ57" s="13" t="n">
        <x:v>1978136.6899999976</x:v>
      </x:c>
      <x:c r="AK57" s="13" t="n">
        <x:v>0.9317427821699095</x:v>
      </x:c>
      <x:c r="AL57" s="13" t="n">
        <x:v>0.05070754716981132</x:v>
      </x:c>
      <x:c r="AM57" s="13" t="n">
        <x:v>0.009316770186335404</x:v>
      </x:c>
      <x:c r="AN57" s="13" t="n">
        <x:v>0.15523851578374306</x:v>
      </x:c>
      <x:c r="AO57" s="13" t="n">
        <x:v>0.699051509021748</x:v>
      </x:c>
      <x:c r="AP57" s="13" t="n">
        <x:v>0.042968352261679006</x:v>
      </x:c>
    </x:row>
    <x:row r="58" ht="15" hidden="0" customHeight="1">
      <x:c r="A58" s="2" t="str">
        <x:v>E57</x:v>
      </x:c>
      <x:c r="B58" s="2" t="str">
        <x:v>***机械设备有限公司</x:v>
      </x:c>
      <x:c r="C58" s="2" t="str">
        <x:v>有信贷记录</x:v>
      </x:c>
      <x:c r="D58" s="2" t="str">
        <x:v>B</x:v>
      </x:c>
      <x:c r="E58" s="2" t="str">
        <x:v>否</x:v>
      </x:c>
      <x:c r="F58" s="13" t="n">
        <x:v>130</x:v>
      </x:c>
      <x:c r="G58" s="13" t="n">
        <x:v>122</x:v>
      </x:c>
      <x:c r="H58" s="13" t="n">
        <x:v>8</x:v>
      </x:c>
      <x:c r="I58" s="13" t="n">
        <x:v>0</x:v>
      </x:c>
      <x:c r="J58" s="13" t="n">
        <x:v>31823470.549999997</x:v>
      </x:c>
      <x:c r="K58" s="13" t="n">
        <x:v>31823470.549999997</x:v>
      </x:c>
      <x:c r="L58" s="13" t="n">
        <x:v>41</x:v>
      </x:c>
      <x:c r="M58" s="13" t="n">
        <x:v>0.06153846153846154</x:v>
      </x:c>
      <x:c r="N58" s="13" t="n">
        <x:v>0</x:v>
      </x:c>
      <x:c r="O58" s="13" t="n">
        <x:v>0.644872637128591</x:v>
      </x:c>
      <x:c r="P58" s="13" t="n">
        <x:v>0.7862984950269668</x:v>
      </x:c>
      <x:c r="Q58" s="13" t="n">
        <x:v>860093.7986486488</x:v>
      </x:c>
      <x:c r="R58" s="13" t="n">
        <x:v>1.6520347078273647</x:v>
      </x:c>
      <x:c r="S58" s="13" t="n">
        <x:v>0.08264444659047342</x:v>
      </x:c>
      <x:c r="T58" s="13" t="n">
        <x:v>30</x:v>
      </x:c>
      <x:c r="U58" s="13" t="n">
        <x:v>438</x:v>
      </x:c>
      <x:c r="V58" s="13" t="n">
        <x:v>386</x:v>
      </x:c>
      <x:c r="W58" s="13" t="n">
        <x:v>52</x:v>
      </x:c>
      <x:c r="X58" s="13" t="n">
        <x:v>9</x:v>
      </x:c>
      <x:c r="Y58" s="13" t="n">
        <x:v>36787964.86</x:v>
      </x:c>
      <x:c r="Z58" s="13" t="n">
        <x:v>38551464.86</x:v>
      </x:c>
      <x:c r="AA58" s="13" t="n">
        <x:v>25</x:v>
      </x:c>
      <x:c r="AB58" s="13" t="n">
        <x:v>0.1187214611872146</x:v>
      </x:c>
      <x:c r="AC58" s="13" t="n">
        <x:v>0.023316062176165803</x:v>
      </x:c>
      <x:c r="AD58" s="13" t="n">
        <x:v>0.12120966390744549</x:v>
      </x:c>
      <x:c r="AE58" s="13" t="n">
        <x:v>0.2543631749302094</x:v>
      </x:c>
      <x:c r="AF58" s="13" t="n">
        <x:v>994269.3205405405</x:v>
      </x:c>
      <x:c r="AG58" s="13" t="n">
        <x:v>1.1062939812988954</x:v>
      </x:c>
      <x:c r="AH58" s="13" t="n">
        <x:v>0.052284033496751085</x:v>
      </x:c>
      <x:c r="AI58" s="13" t="n">
        <x:v>28</x:v>
      </x:c>
      <x:c r="AJ58" s="13" t="n">
        <x:v>4964494.310000002</x:v>
      </x:c>
      <x:c r="AK58" s="13" t="n">
        <x:v>0.8254801903265472</x:v>
      </x:c>
      <x:c r="AL58" s="13" t="n">
        <x:v>0.1056338028169014</x:v>
      </x:c>
      <x:c r="AM58" s="13" t="n">
        <x:v>0.017716535433070866</x:v>
      </x:c>
      <x:c r="AN58" s="13" t="n">
        <x:v>0.38304115051801824</x:v>
      </x:c>
      <x:c r="AO58" s="13" t="n">
        <x:v>1.37916434456313</x:v>
      </x:c>
      <x:c r="AP58" s="13" t="n">
        <x:v>0.06746424004361225</x:v>
      </x:c>
    </x:row>
    <x:row r="59" ht="15" hidden="0" customHeight="1">
      <x:c r="A59" s="2" t="str">
        <x:v>E58</x:v>
      </x:c>
      <x:c r="B59" s="2" t="str">
        <x:v>***油气工程建设有限责任公司</x:v>
      </x:c>
      <x:c r="C59" s="2" t="str">
        <x:v>有信贷记录</x:v>
      </x:c>
      <x:c r="D59" s="2" t="str">
        <x:v>B</x:v>
      </x:c>
      <x:c r="E59" s="2" t="str">
        <x:v>否</x:v>
      </x:c>
      <x:c r="F59" s="13" t="n">
        <x:v>1352</x:v>
      </x:c>
      <x:c r="G59" s="13" t="n">
        <x:v>1313</x:v>
      </x:c>
      <x:c r="H59" s="13" t="n">
        <x:v>39</x:v>
      </x:c>
      <x:c r="I59" s="13" t="n">
        <x:v>9</x:v>
      </x:c>
      <x:c r="J59" s="13" t="n">
        <x:v>7112292.240000001</x:v>
      </x:c>
      <x:c r="K59" s="13" t="n">
        <x:v>7188644.020000001</x:v>
      </x:c>
      <x:c r="L59" s="13" t="n">
        <x:v>354</x:v>
      </x:c>
      <x:c r="M59" s="13" t="n">
        <x:v>0.028846153846153848</x:v>
      </x:c>
      <x:c r="N59" s="13" t="n">
        <x:v>0.006854531607006854</x:v>
      </x:c>
      <x:c r="O59" s="13" t="n">
        <x:v>0.16880937233991244</x:v>
      </x:c>
      <x:c r="P59" s="13" t="n">
        <x:v>0.33385990366511425</x:v>
      </x:c>
      <x:c r="Q59" s="13" t="n">
        <x:v>237076.40799999997</x:v>
      </x:c>
      <x:c r="R59" s="13" t="n">
        <x:v>2.1317744341371205</x:v>
      </x:c>
      <x:c r="S59" s="13" t="n">
        <x:v>0.07721029817222107</x:v>
      </x:c>
      <x:c r="T59" s="13" t="n">
        <x:v>29</x:v>
      </x:c>
      <x:c r="U59" s="13" t="n">
        <x:v>388</x:v>
      </x:c>
      <x:c r="V59" s="13" t="n">
        <x:v>284</x:v>
      </x:c>
      <x:c r="W59" s="13" t="n">
        <x:v>104</x:v>
      </x:c>
      <x:c r="X59" s="13" t="n">
        <x:v>6</x:v>
      </x:c>
      <x:c r="Y59" s="13" t="n">
        <x:v>24093807.509999998</x:v>
      </x:c>
      <x:c r="Z59" s="13" t="n">
        <x:v>24943011.07</x:v>
      </x:c>
      <x:c r="AA59" s="13" t="n">
        <x:v>23</x:v>
      </x:c>
      <x:c r="AB59" s="13" t="n">
        <x:v>0.26804123711340205</x:v>
      </x:c>
      <x:c r="AC59" s="13" t="n">
        <x:v>0.02112676056338028</x:v>
      </x:c>
      <x:c r="AD59" s="13" t="n">
        <x:v>0.21186651842774695</x:v>
      </x:c>
      <x:c r="AE59" s="13" t="n">
        <x:v>0.3708807659202952</x:v>
      </x:c>
      <x:c r="AF59" s="13" t="n">
        <x:v>860493.1253571428</x:v>
      </x:c>
      <x:c r="AG59" s="13" t="n">
        <x:v>1.2261054570845895</x:v>
      </x:c>
      <x:c r="AH59" s="13" t="n">
        <x:v>0.06134395893102024</x:v>
      </x:c>
      <x:c r="AI59" s="13" t="n">
        <x:v>25</x:v>
      </x:c>
      <x:c r="AJ59" s="13" t="n">
        <x:v>16981515.269999996</x:v>
      </x:c>
      <x:c r="AK59" s="13" t="n">
        <x:v>0.2882027354205878</x:v>
      </x:c>
      <x:c r="AL59" s="13" t="n">
        <x:v>0.08218390804597701</x:v>
      </x:c>
      <x:c r="AM59" s="13" t="n">
        <x:v>0.00939261114589856</x:v>
      </x:c>
      <x:c r="AN59" s="13" t="n">
        <x:v>0.1903379453838297</x:v>
      </x:c>
      <x:c r="AO59" s="13" t="n">
        <x:v>1.6789399456108551</x:v>
      </x:c>
      <x:c r="AP59" s="13" t="n">
        <x:v>0.06927712855162066</x:v>
      </x:c>
    </x:row>
    <x:row r="60" ht="15" hidden="0" customHeight="1">
      <x:c r="A60" s="2" t="str">
        <x:v>E59</x:v>
      </x:c>
      <x:c r="B60" s="2" t="str">
        <x:v>***商贸有限公司</x:v>
      </x:c>
      <x:c r="C60" s="2" t="str">
        <x:v>有信贷记录</x:v>
      </x:c>
      <x:c r="D60" s="2" t="str">
        <x:v>A</x:v>
      </x:c>
      <x:c r="E60" s="2" t="str">
        <x:v>否</x:v>
      </x:c>
      <x:c r="F60" s="13" t="n">
        <x:v>549</x:v>
      </x:c>
      <x:c r="G60" s="13" t="n">
        <x:v>532</x:v>
      </x:c>
      <x:c r="H60" s="13" t="n">
        <x:v>17</x:v>
      </x:c>
      <x:c r="I60" s="13" t="n">
        <x:v>0</x:v>
      </x:c>
      <x:c r="J60" s="13" t="n">
        <x:v>21185926.360000003</x:v>
      </x:c>
      <x:c r="K60" s="13" t="n">
        <x:v>21185926.360000003</x:v>
      </x:c>
      <x:c r="L60" s="13" t="n">
        <x:v>76</x:v>
      </x:c>
      <x:c r="M60" s="13" t="n">
        <x:v>0.030965391621129327</x:v>
      </x:c>
      <x:c r="N60" s="13" t="n">
        <x:v>0</x:v>
      </x:c>
      <x:c r="O60" s="13" t="n">
        <x:v>0.14796138835705702</x:v>
      </x:c>
      <x:c r="P60" s="13" t="n">
        <x:v>0.23623027924090265</x:v>
      </x:c>
      <x:c r="Q60" s="13" t="n">
        <x:v>572592.6043243244</x:v>
      </x:c>
      <x:c r="R60" s="13" t="n">
        <x:v>0.5309263487710738</x:v>
      </x:c>
      <x:c r="S60" s="13" t="n">
        <x:v>-0.0037686042202984336</x:v>
      </x:c>
      <x:c r="T60" s="13" t="n">
        <x:v>37</x:v>
      </x:c>
      <x:c r="U60" s="13" t="n">
        <x:v>2149</x:v>
      </x:c>
      <x:c r="V60" s="13" t="n">
        <x:v>2067</x:v>
      </x:c>
      <x:c r="W60" s="13" t="n">
        <x:v>82</x:v>
      </x:c>
      <x:c r="X60" s="13" t="n">
        <x:v>2</x:v>
      </x:c>
      <x:c r="Y60" s="13" t="n">
        <x:v>30932889.160000004</x:v>
      </x:c>
      <x:c r="Z60" s="13" t="n">
        <x:v>30979669.040000003</x:v>
      </x:c>
      <x:c r="AA60" s="13" t="n">
        <x:v>186</x:v>
      </x:c>
      <x:c r="AB60" s="13" t="n">
        <x:v>0.03815728245695672</x:v>
      </x:c>
      <x:c r="AC60" s="13" t="n">
        <x:v>0.0009675858732462506</x:v>
      </x:c>
      <x:c r="AD60" s="13" t="n">
        <x:v>0.02591282671903705</x:v>
      </x:c>
      <x:c r="AE60" s="13" t="n">
        <x:v>0.08647817336398504</x:v>
      </x:c>
      <x:c r="AF60" s="13" t="n">
        <x:v>836024.0313513514</x:v>
      </x:c>
      <x:c r="AG60" s="13" t="n">
        <x:v>0.6287842203536053</x:v>
      </x:c>
      <x:c r="AH60" s="13" t="n">
        <x:v>0.004116321589460112</x:v>
      </x:c>
      <x:c r="AI60" s="13" t="n">
        <x:v>37</x:v>
      </x:c>
      <x:c r="AJ60" s="13" t="n">
        <x:v>9746962.8</x:v>
      </x:c>
      <x:c r="AK60" s="13" t="n">
        <x:v>0.6838654839290046</x:v>
      </x:c>
      <x:c r="AL60" s="13" t="n">
        <x:v>0.03669384729429207</x:v>
      </x:c>
      <x:c r="AM60" s="13" t="n">
        <x:v>0.0007695267410542517</x:v>
      </x:c>
      <x:c r="AN60" s="13" t="n">
        <x:v>0.08693710753804704</x:v>
      </x:c>
      <x:c r="AO60" s="13" t="n">
        <x:v>0.5798552845623395</x:v>
      </x:c>
      <x:c r="AP60" s="13" t="n">
        <x:v>0.0001738586845808391</x:v>
      </x:c>
    </x:row>
    <x:row r="61" ht="15" hidden="0" customHeight="1">
      <x:c r="A61" s="2" t="str">
        <x:v>E60</x:v>
      </x:c>
      <x:c r="B61" s="2" t="str">
        <x:v>***机械租赁有限公司</x:v>
      </x:c>
      <x:c r="C61" s="2" t="str">
        <x:v>有信贷记录</x:v>
      </x:c>
      <x:c r="D61" s="2" t="str">
        <x:v>B</x:v>
      </x:c>
      <x:c r="E61" s="2" t="str">
        <x:v>否</x:v>
      </x:c>
      <x:c r="F61" s="13" t="n">
        <x:v>538</x:v>
      </x:c>
      <x:c r="G61" s="13" t="n">
        <x:v>530</x:v>
      </x:c>
      <x:c r="H61" s="13" t="n">
        <x:v>8</x:v>
      </x:c>
      <x:c r="I61" s="13" t="n">
        <x:v>0</x:v>
      </x:c>
      <x:c r="J61" s="13" t="n">
        <x:v>5375422.57</x:v>
      </x:c>
      <x:c r="K61" s="13" t="n">
        <x:v>5375422.57</x:v>
      </x:c>
      <x:c r="L61" s="13" t="n">
        <x:v>129</x:v>
      </x:c>
      <x:c r="M61" s="13" t="n">
        <x:v>0.01486988847583643</x:v>
      </x:c>
      <x:c r="N61" s="13" t="n">
        <x:v>0</x:v>
      </x:c>
      <x:c r="O61" s="13" t="n">
        <x:v>0.26706648718358794</x:v>
      </x:c>
      <x:c r="P61" s="13" t="n">
        <x:v>0.45949875899709963</x:v>
      </x:c>
      <x:c r="Q61" s="13" t="n">
        <x:v>191979.37749999997</x:v>
      </x:c>
      <x:c r="R61" s="13" t="n">
        <x:v>2.513266778316404</x:v>
      </x:c>
      <x:c r="S61" s="13" t="n">
        <x:v>-0.07329462349784335</x:v>
      </x:c>
      <x:c r="T61" s="13" t="n">
        <x:v>28</x:v>
      </x:c>
      <x:c r="U61" s="13" t="n">
        <x:v>513</x:v>
      </x:c>
      <x:c r="V61" s="13" t="n">
        <x:v>424</x:v>
      </x:c>
      <x:c r="W61" s="13" t="n">
        <x:v>89</x:v>
      </x:c>
      <x:c r="X61" s="13" t="n">
        <x:v>1</x:v>
      </x:c>
      <x:c r="Y61" s="13" t="n">
        <x:v>8208945</x:v>
      </x:c>
      <x:c r="Z61" s="13" t="n">
        <x:v>8357393</x:v>
      </x:c>
      <x:c r="AA61" s="13" t="n">
        <x:v>8</x:v>
      </x:c>
      <x:c r="AB61" s="13" t="n">
        <x:v>0.17348927875243664</x:v>
      </x:c>
      <x:c r="AC61" s="13" t="n">
        <x:v>0.0023584905660377358</x:v>
      </x:c>
      <x:c r="AD61" s="13" t="n">
        <x:v>0.24998610388333614</x:v>
      </x:c>
      <x:c r="AE61" s="13" t="n">
        <x:v>0.43728744119129015</x:v>
      </x:c>
      <x:c r="AF61" s="13" t="n">
        <x:v>304035</x:v>
      </x:c>
      <x:c r="AG61" s="13" t="n">
        <x:v>1.2240352935262537</x:v>
      </x:c>
      <x:c r="AH61" s="13" t="n">
        <x:v>0.03310300230720565</x:v>
      </x:c>
      <x:c r="AI61" s="13" t="n">
        <x:v>21</x:v>
      </x:c>
      <x:c r="AJ61" s="13" t="n">
        <x:v>2833522.4299999997</x:v>
      </x:c>
      <x:c r="AK61" s="13" t="n">
        <x:v>0.643193705261916</x:v>
      </x:c>
      <x:c r="AL61" s="13" t="n">
        <x:v>0.0922930542340628</x:v>
      </x:c>
      <x:c r="AM61" s="13" t="n">
        <x:v>0.0010482180293501049</x:v>
      </x:c>
      <x:c r="AN61" s="13" t="n">
        <x:v>0.25852629553346207</x:v>
      </x:c>
      <x:c r="AO61" s="13" t="n">
        <x:v>1.8686510359213289</x:v>
      </x:c>
      <x:c r="AP61" s="13" t="n">
        <x:v>-0.020095810595318852</x:v>
      </x:c>
    </x:row>
    <x:row r="62" ht="15" hidden="0" customHeight="1">
      <x:c r="A62" s="2" t="str">
        <x:v>E61</x:v>
      </x:c>
      <x:c r="B62" s="2" t="str">
        <x:v>***调味品有限公司</x:v>
      </x:c>
      <x:c r="C62" s="2" t="str">
        <x:v>有信贷记录</x:v>
      </x:c>
      <x:c r="D62" s="2" t="str">
        <x:v>B</x:v>
      </x:c>
      <x:c r="E62" s="2" t="str">
        <x:v>否</x:v>
      </x:c>
      <x:c r="F62" s="13" t="n">
        <x:v>212</x:v>
      </x:c>
      <x:c r="G62" s="13" t="n">
        <x:v>209</x:v>
      </x:c>
      <x:c r="H62" s="13" t="n">
        <x:v>3</x:v>
      </x:c>
      <x:c r="I62" s="13" t="n">
        <x:v>2</x:v>
      </x:c>
      <x:c r="J62" s="13" t="n">
        <x:v>932031.18</x:v>
      </x:c>
      <x:c r="K62" s="13" t="n">
        <x:v>1057074.3800000001</x:v>
      </x:c>
      <x:c r="L62" s="13" t="n">
        <x:v>44</x:v>
      </x:c>
      <x:c r="M62" s="13" t="n">
        <x:v>0.014150943396226415</x:v>
      </x:c>
      <x:c r="N62" s="13" t="n">
        <x:v>0.009569377990430622</x:v>
      </x:c>
      <x:c r="O62" s="13" t="n">
        <x:v>0.10107863523746081</x:v>
      </x:c>
      <x:c r="P62" s="13" t="n">
        <x:v>0.19016258818040788</x:v>
      </x:c>
      <x:c r="Q62" s="13" t="n">
        <x:v>25190.031891891893</x:v>
      </x:c>
      <x:c r="R62" s="13" t="n">
        <x:v>1.1184007676122</x:v>
      </x:c>
      <x:c r="S62" s="13" t="n">
        <x:v>0.0040036630782187025</x:v>
      </x:c>
      <x:c r="T62" s="13" t="n">
        <x:v>32</x:v>
      </x:c>
      <x:c r="U62" s="13" t="n">
        <x:v>1332</x:v>
      </x:c>
      <x:c r="V62" s="13" t="n">
        <x:v>1307</x:v>
      </x:c>
      <x:c r="W62" s="13" t="n">
        <x:v>25</x:v>
      </x:c>
      <x:c r="X62" s="13" t="n">
        <x:v>40</x:v>
      </x:c>
      <x:c r="Y62" s="13" t="n">
        <x:v>12120706.2</x:v>
      </x:c>
      <x:c r="Z62" s="13" t="n">
        <x:v>12876770.2</x:v>
      </x:c>
      <x:c r="AA62" s="13" t="n">
        <x:v>66</x:v>
      </x:c>
      <x:c r="AB62" s="13" t="n">
        <x:v>0.01876876876876877</x:v>
      </x:c>
      <x:c r="AC62" s="13" t="n">
        <x:v>0.030604437643458302</x:v>
      </x:c>
      <x:c r="AD62" s="13" t="n">
        <x:v>0.1072759395049321</x:v>
      </x:c>
      <x:c r="AE62" s="13" t="n">
        <x:v>0.24329636635124544</x:v>
      </x:c>
      <x:c r="AF62" s="13" t="n">
        <x:v>327586.65405405406</x:v>
      </x:c>
      <x:c r="AG62" s="13" t="n">
        <x:v>0.3518663422179294</x:v>
      </x:c>
      <x:c r="AH62" s="13" t="n">
        <x:v>-0.007078038018795087</x:v>
      </x:c>
      <x:c r="AI62" s="13" t="n">
        <x:v>37</x:v>
      </x:c>
      <x:c r="AJ62" s="13" t="n">
        <x:v>11188675.02</x:v>
      </x:c>
      <x:c r="AK62" s="13" t="n">
        <x:v>0.08209157759140565</x:v>
      </x:c>
      <x:c r="AL62" s="13" t="n">
        <x:v>0.018134715025906734</x:v>
      </x:c>
      <x:c r="AM62" s="13" t="n">
        <x:v>0.027704485488126648</x:v>
      </x:c>
      <x:c r="AN62" s="13" t="n">
        <x:v>0.10417728737119646</x:v>
      </x:c>
      <x:c r="AO62" s="13" t="n">
        <x:v>0.7351335549150647</x:v>
      </x:c>
      <x:c r="AP62" s="13" t="n">
        <x:v>-0.0015371874702881923</x:v>
      </x:c>
    </x:row>
    <x:row r="63" ht="15" hidden="0" customHeight="1">
      <x:c r="A63" s="2" t="str">
        <x:v>E62</x:v>
      </x:c>
      <x:c r="B63" s="2" t="str">
        <x:v>***工程造价咨询有限公司***分公司</x:v>
      </x:c>
      <x:c r="C63" s="2" t="str">
        <x:v>有信贷记录</x:v>
      </x:c>
      <x:c r="D63" s="2" t="str">
        <x:v>B</x:v>
      </x:c>
      <x:c r="E63" s="2" t="str">
        <x:v>否</x:v>
      </x:c>
      <x:c r="F63" s="13" t="n">
        <x:v>530</x:v>
      </x:c>
      <x:c r="G63" s="13" t="n">
        <x:v>527</x:v>
      </x:c>
      <x:c r="H63" s="13" t="n">
        <x:v>3</x:v>
      </x:c>
      <x:c r="I63" s="13" t="n">
        <x:v>0</x:v>
      </x:c>
      <x:c r="J63" s="13" t="n">
        <x:v>1238870.98</x:v>
      </x:c>
      <x:c r="K63" s="13" t="n">
        <x:v>1238870.98</x:v>
      </x:c>
      <x:c r="L63" s="13" t="n">
        <x:v>148</x:v>
      </x:c>
      <x:c r="M63" s="13" t="n">
        <x:v>0.005660377358490566</x:v>
      </x:c>
      <x:c r="N63" s="13" t="n">
        <x:v>0</x:v>
      </x:c>
      <x:c r="O63" s="13" t="n">
        <x:v>0.20038940786433873</x:v>
      </x:c>
      <x:c r="P63" s="13" t="n">
        <x:v>0.4035932781313515</x:v>
      </x:c>
      <x:c r="Q63" s="13" t="n">
        <x:v>33482.99945945947</x:v>
      </x:c>
      <x:c r="R63" s="13" t="n">
        <x:v>1.8659979172462495</x:v>
      </x:c>
      <x:c r="S63" s="13" t="n">
        <x:v>0.03908700106591247</x:v>
      </x:c>
      <x:c r="T63" s="13" t="n">
        <x:v>36</x:v>
      </x:c>
      <x:c r="U63" s="13" t="n">
        <x:v>219</x:v>
      </x:c>
      <x:c r="V63" s="13" t="n">
        <x:v>191</x:v>
      </x:c>
      <x:c r="W63" s="13" t="n">
        <x:v>28</x:v>
      </x:c>
      <x:c r="X63" s="13" t="n">
        <x:v>23</x:v>
      </x:c>
      <x:c r="Y63" s="13" t="n">
        <x:v>10060112.139999999</x:v>
      </x:c>
      <x:c r="Z63" s="13" t="n">
        <x:v>13211201.58</x:v>
      </x:c>
      <x:c r="AA63" s="13" t="n">
        <x:v>30</x:v>
      </x:c>
      <x:c r="AB63" s="13" t="n">
        <x:v>0.1278538812785388</x:v>
      </x:c>
      <x:c r="AC63" s="13" t="n">
        <x:v>0.12041884816753927</x:v>
      </x:c>
      <x:c r="AD63" s="13" t="n">
        <x:v>0.14781108071908625</x:v>
      </x:c>
      <x:c r="AE63" s="13" t="n">
        <x:v>0.2709904695890652</x:v>
      </x:c>
      <x:c r="AF63" s="13" t="n">
        <x:v>271894.92270270275</x:v>
      </x:c>
      <x:c r="AG63" s="13" t="n">
        <x:v>1.1286679062416727</x:v>
      </x:c>
      <x:c r="AH63" s="13" t="n">
        <x:v>-0.019741391434294393</x:v>
      </x:c>
      <x:c r="AI63" s="13" t="n">
        <x:v>26</x:v>
      </x:c>
      <x:c r="AJ63" s="13" t="n">
        <x:v>8821241.159999998</x:v>
      </x:c>
      <x:c r="AK63" s="13" t="n">
        <x:v>0.09377428483685281</x:v>
      </x:c>
      <x:c r="AL63" s="13" t="n">
        <x:v>0.04138851802403204</x:v>
      </x:c>
      <x:c r="AM63" s="13" t="n">
        <x:v>0.03203342618384401</x:v>
      </x:c>
      <x:c r="AN63" s="13" t="n">
        <x:v>0.1741002442917125</x:v>
      </x:c>
      <x:c r="AO63" s="13" t="n">
        <x:v>1.497332911743961</x:v>
      </x:c>
      <x:c r="AP63" s="13" t="n">
        <x:v>0.00967280481580904</x:v>
      </x:c>
    </x:row>
    <x:row r="64" ht="15" hidden="0" customHeight="1">
      <x:c r="A64" s="2" t="str">
        <x:v>E63</x:v>
      </x:c>
      <x:c r="B64" s="2" t="str">
        <x:v>***科技有限公司</x:v>
      </x:c>
      <x:c r="C64" s="2" t="str">
        <x:v>有信贷记录</x:v>
      </x:c>
      <x:c r="D64" s="2" t="str">
        <x:v>B</x:v>
      </x:c>
      <x:c r="E64" s="2" t="str">
        <x:v>否</x:v>
      </x:c>
      <x:c r="F64" s="13" t="n">
        <x:v>1573</x:v>
      </x:c>
      <x:c r="G64" s="13" t="n">
        <x:v>1526</x:v>
      </x:c>
      <x:c r="H64" s="13" t="n">
        <x:v>47</x:v>
      </x:c>
      <x:c r="I64" s="13" t="n">
        <x:v>24</x:v>
      </x:c>
      <x:c r="J64" s="13" t="n">
        <x:v>39440184.87</x:v>
      </x:c>
      <x:c r="K64" s="13" t="n">
        <x:v>42464980.85</x:v>
      </x:c>
      <x:c r="L64" s="13" t="n">
        <x:v>293</x:v>
      </x:c>
      <x:c r="M64" s="13" t="n">
        <x:v>0.029879211697393517</x:v>
      </x:c>
      <x:c r="N64" s="13" t="n">
        <x:v>0.015727391874180863</x:v>
      </x:c>
      <x:c r="O64" s="13" t="n">
        <x:v>0.7767166322135037</x:v>
      </x:c>
      <x:c r="P64" s="13" t="n">
        <x:v>0.8807482573019929</x:v>
      </x:c>
      <x:c r="Q64" s="13" t="n">
        <x:v>1037899.6018421052</x:v>
      </x:c>
      <x:c r="R64" s="13" t="n">
        <x:v>1.19913832215972</x:v>
      </x:c>
      <x:c r="S64" s="13" t="n">
        <x:v>-0.06531183617003687</x:v>
      </x:c>
      <x:c r="T64" s="13" t="n">
        <x:v>38</x:v>
      </x:c>
      <x:c r="U64" s="13" t="n">
        <x:v>673</x:v>
      </x:c>
      <x:c r="V64" s="13" t="n">
        <x:v>625</x:v>
      </x:c>
      <x:c r="W64" s="13" t="n">
        <x:v>48</x:v>
      </x:c>
      <x:c r="X64" s="13" t="n">
        <x:v>3</x:v>
      </x:c>
      <x:c r="Y64" s="13" t="n">
        <x:v>54978242.44</x:v>
      </x:c>
      <x:c r="Z64" s="13" t="n">
        <x:v>55453260.44</x:v>
      </x:c>
      <x:c r="AA64" s="13" t="n">
        <x:v>42</x:v>
      </x:c>
      <x:c r="AB64" s="13" t="n">
        <x:v>0.0713224368499257</x:v>
      </x:c>
      <x:c r="AC64" s="13" t="n">
        <x:v>0.0048</x:v>
      </x:c>
      <x:c r="AD64" s="13" t="n">
        <x:v>0.18900861090349425</x:v>
      </x:c>
      <x:c r="AE64" s="13" t="n">
        <x:v>0.322860754407248</x:v>
      </x:c>
      <x:c r="AF64" s="13" t="n">
        <x:v>1963508.6585714284</x:v>
      </x:c>
      <x:c r="AG64" s="13" t="n">
        <x:v>0.9299210837636294</x:v>
      </x:c>
      <x:c r="AH64" s="13" t="n">
        <x:v>-0.04554266849225595</x:v>
      </x:c>
      <x:c r="AI64" s="13" t="n">
        <x:v>23</x:v>
      </x:c>
      <x:c r="AJ64" s="13" t="n">
        <x:v>15538057.57</x:v>
      </x:c>
      <x:c r="AK64" s="13" t="n">
        <x:v>0.7657796947024744</x:v>
      </x:c>
      <x:c r="AL64" s="13" t="n">
        <x:v>0.04229741763134461</x:v>
      </x:c>
      <x:c r="AM64" s="13" t="n">
        <x:v>0.012552301255230125</x:v>
      </x:c>
      <x:c r="AN64" s="13" t="n">
        <x:v>0.482862621558499</x:v>
      </x:c>
      <x:c r="AO64" s="13" t="n">
        <x:v>1.0645297029616747</x:v>
      </x:c>
      <x:c r="AP64" s="13" t="n">
        <x:v>-0.05542725233114641</x:v>
      </x:c>
    </x:row>
    <x:row r="65" ht="15" hidden="0" customHeight="1">
      <x:c r="A65" s="2" t="str">
        <x:v>E64</x:v>
      </x:c>
      <x:c r="B65" s="2" t="str">
        <x:v>***图书有限责任公司</x:v>
      </x:c>
      <x:c r="C65" s="2" t="str">
        <x:v>有信贷记录</x:v>
      </x:c>
      <x:c r="D65" s="2" t="str">
        <x:v>A</x:v>
      </x:c>
      <x:c r="E65" s="2" t="str">
        <x:v>否</x:v>
      </x:c>
      <x:c r="F65" s="13" t="n">
        <x:v>32</x:v>
      </x:c>
      <x:c r="G65" s="13" t="n">
        <x:v>32</x:v>
      </x:c>
      <x:c r="H65" s="13" t="n">
        <x:v>0</x:v>
      </x:c>
      <x:c r="I65" s="13" t="n">
        <x:v>0</x:v>
      </x:c>
      <x:c r="J65" s="13" t="n">
        <x:v>90634.05</x:v>
      </x:c>
      <x:c r="K65" s="13" t="n">
        <x:v>90634.05</x:v>
      </x:c>
      <x:c r="L65" s="13" t="n">
        <x:v>21</x:v>
      </x:c>
      <x:c r="M65" s="13" t="n">
        <x:v>0</x:v>
      </x:c>
      <x:c r="N65" s="13" t="n">
        <x:v>0</x:v>
      </x:c>
      <x:c r="O65" s="13" t="n">
        <x:v>0.43730388926862784</x:v>
      </x:c>
      <x:c r="P65" s="13" t="n">
        <x:v>0.6146917190614344</x:v>
      </x:c>
      <x:c r="Q65" s="13" t="n">
        <x:v>2746.486363636364</x:v>
      </x:c>
      <x:c r="R65" s="13" t="n">
        <x:v>2.6107968812984783</x:v>
      </x:c>
      <x:c r="S65" s="13" t="n">
        <x:v>-0.006834108606823195</x:v>
      </x:c>
      <x:c r="T65" s="13" t="n">
        <x:v>19</x:v>
      </x:c>
      <x:c r="U65" s="13" t="n">
        <x:v>1375</x:v>
      </x:c>
      <x:c r="V65" s="13" t="n">
        <x:v>1283</x:v>
      </x:c>
      <x:c r="W65" s="13" t="n">
        <x:v>92</x:v>
      </x:c>
      <x:c r="X65" s="13" t="n">
        <x:v>0</x:v>
      </x:c>
      <x:c r="Y65" s="13" t="n">
        <x:v>8944128.07</x:v>
      </x:c>
      <x:c r="Z65" s="13" t="n">
        <x:v>8944128.07</x:v>
      </x:c>
      <x:c r="AA65" s="13" t="n">
        <x:v>186</x:v>
      </x:c>
      <x:c r="AB65" s="13" t="n">
        <x:v>0.0669090909090909</x:v>
      </x:c>
      <x:c r="AC65" s="13" t="n">
        <x:v>0</x:v>
      </x:c>
      <x:c r="AD65" s="13" t="n">
        <x:v>0.07897212531675013</x:v>
      </x:c>
      <x:c r="AE65" s="13" t="n">
        <x:v>0.22624514700179155</x:v>
      </x:c>
      <x:c r="AF65" s="13" t="n">
        <x:v>241733.19108108114</x:v>
      </x:c>
      <x:c r="AG65" s="13" t="n">
        <x:v>0.8298130110275039</x:v>
      </x:c>
      <x:c r="AH65" s="13" t="n">
        <x:v>0.015098964389948604</x:v>
      </x:c>
      <x:c r="AI65" s="13" t="n">
        <x:v>34</x:v>
      </x:c>
      <x:c r="AJ65" s="13" t="n">
        <x:v>8853494.02</x:v>
      </x:c>
      <x:c r="AK65" s="13" t="n">
        <x:v>0.010133357806447418</x:v>
      </x:c>
      <x:c r="AL65" s="13" t="n">
        <x:v>0.06538734896943853</x:v>
      </x:c>
      <x:c r="AM65" s="13" t="n">
        <x:v>0</x:v>
      </x:c>
      <x:c r="AN65" s="13" t="n">
        <x:v>0.258138007292689</x:v>
      </x:c>
      <x:c r="AO65" s="13" t="n">
        <x:v>1.7203049461629911</x:v>
      </x:c>
      <x:c r="AP65" s="13" t="n">
        <x:v>0.004132427891562705</x:v>
      </x:c>
    </x:row>
    <x:row r="66" ht="15" hidden="0" customHeight="1">
      <x:c r="A66" s="2" t="str">
        <x:v>E65</x:v>
      </x:c>
      <x:c r="B66" s="2" t="str">
        <x:v>***商贸有限公司</x:v>
      </x:c>
      <x:c r="C66" s="2" t="str">
        <x:v>有信贷记录</x:v>
      </x:c>
      <x:c r="D66" s="2" t="str">
        <x:v>B</x:v>
      </x:c>
      <x:c r="E66" s="2" t="str">
        <x:v>否</x:v>
      </x:c>
      <x:c r="F66" s="13" t="n">
        <x:v>587</x:v>
      </x:c>
      <x:c r="G66" s="13" t="n">
        <x:v>579</x:v>
      </x:c>
      <x:c r="H66" s="13" t="n">
        <x:v>8</x:v>
      </x:c>
      <x:c r="I66" s="13" t="n">
        <x:v>0</x:v>
      </x:c>
      <x:c r="J66" s="13" t="n">
        <x:v>4839565.890000001</x:v>
      </x:c>
      <x:c r="K66" s="13" t="n">
        <x:v>4839565.890000001</x:v>
      </x:c>
      <x:c r="L66" s="13" t="n">
        <x:v>38</x:v>
      </x:c>
      <x:c r="M66" s="13" t="n">
        <x:v>0.013628620102214651</x:v>
      </x:c>
      <x:c r="N66" s="13" t="n">
        <x:v>0</x:v>
      </x:c>
      <x:c r="O66" s="13" t="n">
        <x:v>0.8249755307226453</x:v>
      </x:c>
      <x:c r="P66" s="13" t="n">
        <x:v>0.9077699322324961</x:v>
      </x:c>
      <x:c r="Q66" s="13" t="n">
        <x:v>138273.31114285713</x:v>
      </x:c>
      <x:c r="R66" s="13" t="n">
        <x:v>1.0147823707183083</x:v>
      </x:c>
      <x:c r="S66" s="13" t="n">
        <x:v>-0.013771276376147081</x:v>
      </x:c>
      <x:c r="T66" s="13" t="n">
        <x:v>33</x:v>
      </x:c>
      <x:c r="U66" s="13" t="n">
        <x:v>485</x:v>
      </x:c>
      <x:c r="V66" s="13" t="n">
        <x:v>455</x:v>
      </x:c>
      <x:c r="W66" s="13" t="n">
        <x:v>30</x:v>
      </x:c>
      <x:c r="X66" s="13" t="n">
        <x:v>7</x:v>
      </x:c>
      <x:c r="Y66" s="13" t="n">
        <x:v>8163565.499999999</x:v>
      </x:c>
      <x:c r="Z66" s="13" t="n">
        <x:v>8299211.619999999</x:v>
      </x:c>
      <x:c r="AA66" s="13" t="n">
        <x:v>58</x:v>
      </x:c>
      <x:c r="AB66" s="13" t="n">
        <x:v>0.061855670103092786</x:v>
      </x:c>
      <x:c r="AC66" s="13" t="n">
        <x:v>0.015384615384615385</x:v>
      </x:c>
      <x:c r="AD66" s="13" t="n">
        <x:v>0.1812098472442812</x:v>
      </x:c>
      <x:c r="AE66" s="13" t="n">
        <x:v>0.3923944356536362</x:v>
      </x:c>
      <x:c r="AF66" s="13" t="n">
        <x:v>226765.70833333337</x:v>
      </x:c>
      <x:c r="AG66" s="13" t="n">
        <x:v>0.4865236860256748</x:v>
      </x:c>
      <x:c r="AH66" s="13" t="n">
        <x:v>0.012019154312245695</x:v>
      </x:c>
      <x:c r="AI66" s="13" t="n">
        <x:v>36</x:v>
      </x:c>
      <x:c r="AJ66" s="13" t="n">
        <x:v>3323999.6099999985</x:v>
      </x:c>
      <x:c r="AK66" s="13" t="n">
        <x:v>0.5831356171635976</x:v>
      </x:c>
      <x:c r="AL66" s="13" t="n">
        <x:v>0.03544776119402985</x:v>
      </x:c>
      <x:c r="AM66" s="13" t="n">
        <x:v>0.006769825918762089</x:v>
      </x:c>
      <x:c r="AN66" s="13" t="n">
        <x:v>0.5030926889834633</x:v>
      </x:c>
      <x:c r="AO66" s="13" t="n">
        <x:v>0.7506530283719915</x:v>
      </x:c>
      <x:c r="AP66" s="13" t="n">
        <x:v>-0.000876061031950693</x:v>
      </x:c>
    </x:row>
    <x:row r="67" ht="15" hidden="0" customHeight="1">
      <x:c r="A67" s="2" t="str">
        <x:v>E66</x:v>
      </x:c>
      <x:c r="B67" s="2" t="str">
        <x:v>***快递有限公司</x:v>
      </x:c>
      <x:c r="C67" s="2" t="str">
        <x:v>有信贷记录</x:v>
      </x:c>
      <x:c r="D67" s="2" t="str">
        <x:v>B</x:v>
      </x:c>
      <x:c r="E67" s="2" t="str">
        <x:v>否</x:v>
      </x:c>
      <x:c r="F67" s="13" t="n">
        <x:v>577</x:v>
      </x:c>
      <x:c r="G67" s="13" t="n">
        <x:v>575</x:v>
      </x:c>
      <x:c r="H67" s="13" t="n">
        <x:v>2</x:v>
      </x:c>
      <x:c r="I67" s="13" t="n">
        <x:v>1</x:v>
      </x:c>
      <x:c r="J67" s="13" t="n">
        <x:v>5378108.3100000005</x:v>
      </x:c>
      <x:c r="K67" s="13" t="n">
        <x:v>5380906.3100000005</x:v>
      </x:c>
      <x:c r="L67" s="13" t="n">
        <x:v>30</x:v>
      </x:c>
      <x:c r="M67" s="13" t="n">
        <x:v>0.0034662045060658577</x:v>
      </x:c>
      <x:c r="N67" s="13" t="n">
        <x:v>0.0017391304347826088</x:v>
      </x:c>
      <x:c r="O67" s="13" t="n">
        <x:v>0.8077734312257288</x:v>
      </x:c>
      <x:c r="P67" s="13" t="n">
        <x:v>0.8964646812443756</x:v>
      </x:c>
      <x:c r="Q67" s="13" t="n">
        <x:v>168065.88468750002</x:v>
      </x:c>
      <x:c r="R67" s="13" t="n">
        <x:v>1.0449366542564118</x:v>
      </x:c>
      <x:c r="S67" s="13" t="n">
        <x:v>0.03877394796997962</x:v>
      </x:c>
      <x:c r="T67" s="13" t="n">
        <x:v>32</x:v>
      </x:c>
      <x:c r="U67" s="13" t="n">
        <x:v>679</x:v>
      </x:c>
      <x:c r="V67" s="13" t="n">
        <x:v>628</x:v>
      </x:c>
      <x:c r="W67" s="13" t="n">
        <x:v>51</x:v>
      </x:c>
      <x:c r="X67" s="13" t="n">
        <x:v>6</x:v>
      </x:c>
      <x:c r="Y67" s="13" t="n">
        <x:v>5029933.5</x:v>
      </x:c>
      <x:c r="Z67" s="13" t="n">
        <x:v>5067333.800000001</x:v>
      </x:c>
      <x:c r="AA67" s="13" t="n">
        <x:v>156</x:v>
      </x:c>
      <x:c r="AB67" s="13" t="n">
        <x:v>0.07511045655375552</x:v>
      </x:c>
      <x:c r="AC67" s="13" t="n">
        <x:v>0.009554140127388535</x:v>
      </x:c>
      <x:c r="AD67" s="13" t="n">
        <x:v>0.15818191089464267</x:v>
      </x:c>
      <x:c r="AE67" s="13" t="n">
        <x:v>0.3465382130539733</x:v>
      </x:c>
      <x:c r="AF67" s="13" t="n">
        <x:v>186293.83333333334</x:v>
      </x:c>
      <x:c r="AG67" s="13" t="n">
        <x:v>1.118827120313128</x:v>
      </x:c>
      <x:c r="AH67" s="13" t="n">
        <x:v>0.10400799318237933</x:v>
      </x:c>
      <x:c r="AI67" s="13" t="n">
        <x:v>27</x:v>
      </x:c>
      <x:c r="AJ67" s="13" t="n">
        <x:v>-348174.8100000005</x:v>
      </x:c>
      <x:c r="AK67" s="13" t="n">
        <x:v>1.06188116322631</x:v>
      </x:c>
      <x:c r="AL67" s="13" t="n">
        <x:v>0.04219745222929936</x:v>
      </x:c>
      <x:c r="AM67" s="13" t="n">
        <x:v>0.005818786367414797</x:v>
      </x:c>
      <x:c r="AN67" s="13" t="n">
        <x:v>0.48297767106018574</x:v>
      </x:c>
      <x:c r="AO67" s="13" t="n">
        <x:v>1.0818818872847697</x:v>
      </x:c>
      <x:c r="AP67" s="13" t="n">
        <x:v>0.07139097057617948</x:v>
      </x:c>
    </x:row>
    <x:row r="68" ht="15" hidden="0" customHeight="1">
      <x:c r="A68" s="2" t="str">
        <x:v>E67</x:v>
      </x:c>
      <x:c r="B68" s="2" t="str">
        <x:v>***信息技术有限公司</x:v>
      </x:c>
      <x:c r="C68" s="2" t="str">
        <x:v>有信贷记录</x:v>
      </x:c>
      <x:c r="D68" s="2" t="str">
        <x:v>B</x:v>
      </x:c>
      <x:c r="E68" s="2" t="str">
        <x:v>否</x:v>
      </x:c>
      <x:c r="F68" s="13" t="n">
        <x:v>647</x:v>
      </x:c>
      <x:c r="G68" s="13" t="n">
        <x:v>627</x:v>
      </x:c>
      <x:c r="H68" s="13" t="n">
        <x:v>20</x:v>
      </x:c>
      <x:c r="I68" s="13" t="n">
        <x:v>2</x:v>
      </x:c>
      <x:c r="J68" s="13" t="n">
        <x:v>1290298.95</x:v>
      </x:c>
      <x:c r="K68" s="13" t="n">
        <x:v>1299500.55</x:v>
      </x:c>
      <x:c r="L68" s="13" t="n">
        <x:v>196</x:v>
      </x:c>
      <x:c r="M68" s="13" t="n">
        <x:v>0.030911901081916538</x:v>
      </x:c>
      <x:c r="N68" s="13" t="n">
        <x:v>0.003189792663476874</x:v>
      </x:c>
      <x:c r="O68" s="13" t="n">
        <x:v>0.05689628801496664</x:v>
      </x:c>
      <x:c r="P68" s="13" t="n">
        <x:v>0.12481718457141092</x:v>
      </x:c>
      <x:c r="Q68" s="13" t="n">
        <x:v>33955.23552631579</x:v>
      </x:c>
      <x:c r="R68" s="13" t="n">
        <x:v>2.265852582418835</x:v>
      </x:c>
      <x:c r="S68" s="13" t="n">
        <x:v>0.08009064789003807</x:v>
      </x:c>
      <x:c r="T68" s="13" t="n">
        <x:v>38</x:v>
      </x:c>
      <x:c r="U68" s="13" t="n">
        <x:v>215</x:v>
      </x:c>
      <x:c r="V68" s="13" t="n">
        <x:v>192</x:v>
      </x:c>
      <x:c r="W68" s="13" t="n">
        <x:v>23</x:v>
      </x:c>
      <x:c r="X68" s="13" t="n">
        <x:v>3</x:v>
      </x:c>
      <x:c r="Y68" s="13" t="n">
        <x:v>5791410</x:v>
      </x:c>
      <x:c r="Z68" s="13" t="n">
        <x:v>6021410</x:v>
      </x:c>
      <x:c r="AA68" s="13" t="n">
        <x:v>24</x:v>
      </x:c>
      <x:c r="AB68" s="13" t="n">
        <x:v>0.10697674418604651</x:v>
      </x:c>
      <x:c r="AC68" s="13" t="n">
        <x:v>0.015625</x:v>
      </x:c>
      <x:c r="AD68" s="13" t="n">
        <x:v>0.1274734041128835</x:v>
      </x:c>
      <x:c r="AE68" s="13" t="n">
        <x:v>0.24520104095220221</x:v>
      </x:c>
      <x:c r="AF68" s="13" t="n">
        <x:v>170335.58823529413</x:v>
      </x:c>
      <x:c r="AG68" s="13" t="n">
        <x:v>1.4857318360132554</x:v>
      </x:c>
      <x:c r="AH68" s="13" t="n">
        <x:v>0.07759215983492927</x:v>
      </x:c>
      <x:c r="AI68" s="13" t="n">
        <x:v>24</x:v>
      </x:c>
      <x:c r="AJ68" s="13" t="n">
        <x:v>4501111.05</x:v>
      </x:c>
      <x:c r="AK68" s="13" t="n">
        <x:v>0.21581333109686932</x:v>
      </x:c>
      <x:c r="AL68" s="13" t="n">
        <x:v>0.04988399071925754</x:v>
      </x:c>
      <x:c r="AM68" s="13" t="n">
        <x:v>0.006105006105006105</x:v>
      </x:c>
      <x:c r="AN68" s="13" t="n">
        <x:v>0.09218484606392507</x:v>
      </x:c>
      <x:c r="AO68" s="13" t="n">
        <x:v>1.8757922092160453</x:v>
      </x:c>
      <x:c r="AP68" s="13" t="n">
        <x:v>0.07884140386248367</x:v>
      </x:c>
    </x:row>
    <x:row r="69" ht="15" hidden="0" customHeight="1">
      <x:c r="A69" s="2" t="str">
        <x:v>E68</x:v>
      </x:c>
      <x:c r="B69" s="2" t="str">
        <x:v>***花木总公司</x:v>
      </x:c>
      <x:c r="C69" s="2" t="str">
        <x:v>有信贷记录</x:v>
      </x:c>
      <x:c r="D69" s="2" t="str">
        <x:v>C</x:v>
      </x:c>
      <x:c r="E69" s="2" t="str">
        <x:v>否</x:v>
      </x:c>
      <x:c r="F69" s="13" t="n">
        <x:v>3</x:v>
      </x:c>
      <x:c r="G69" s="13" t="n">
        <x:v>3</x:v>
      </x:c>
      <x:c r="H69" s="13" t="n">
        <x:v>0</x:v>
      </x:c>
      <x:c r="I69" s="13" t="n">
        <x:v>0</x:v>
      </x:c>
      <x:c r="J69" s="13" t="n">
        <x:v>740</x:v>
      </x:c>
      <x:c r="K69" s="13" t="n">
        <x:v>740</x:v>
      </x:c>
      <x:c r="L69" s="13" t="n">
        <x:v>2</x:v>
      </x:c>
      <x:c r="M69" s="13" t="n">
        <x:v>0</x:v>
      </x:c>
      <x:c r="N69" s="13" t="n">
        <x:v>0</x:v>
      </x:c>
      <x:c r="O69" s="13" t="n">
        <x:v>0.6318480642804968</x:v>
      </x:c>
      <x:c r="P69" s="13" t="n">
        <x:v>0.7567567567567568</x:v>
      </x:c>
      <x:c r="Q69" s="13" t="n">
        <x:v>49.333333333333336</x:v>
      </x:c>
      <x:c r="R69" s="13" t="n">
        <x:v>2.045144260757746</x:v>
      </x:c>
      <x:c r="S69" s="13" t="n">
        <x:v>-0.05067567567464844</x:v>
      </x:c>
      <x:c r="T69" s="13" t="n">
        <x:v>3</x:v>
      </x:c>
      <x:c r="U69" s="13" t="n">
        <x:v>73</x:v>
      </x:c>
      <x:c r="V69" s="13" t="n">
        <x:v>65</x:v>
      </x:c>
      <x:c r="W69" s="13" t="n">
        <x:v>8</x:v>
      </x:c>
      <x:c r="X69" s="13" t="n">
        <x:v>0</x:v>
      </x:c>
      <x:c r="Y69" s="13" t="n">
        <x:v>5957078.2</x:v>
      </x:c>
      <x:c r="Z69" s="13" t="n">
        <x:v>5957078.2</x:v>
      </x:c>
      <x:c r="AA69" s="13" t="n">
        <x:v>8</x:v>
      </x:c>
      <x:c r="AB69" s="13" t="n">
        <x:v>0.1095890410958904</x:v>
      </x:c>
      <x:c r="AC69" s="13" t="n">
        <x:v>0</x:v>
      </x:c>
      <x:c r="AD69" s="13" t="n">
        <x:v>0.47661169869236575</x:v>
      </x:c>
      <x:c r="AE69" s="13" t="n">
        <x:v>0.600033452641263</x:v>
      </x:c>
      <x:c r="AF69" s="13" t="n">
        <x:v>259003.4</x:v>
      </x:c>
      <x:c r="AG69" s="13" t="n">
        <x:v>1.852852738399058</x:v>
      </x:c>
      <x:c r="AH69" s="13" t="n">
        <x:v>-0.09148284457486343</x:v>
      </x:c>
      <x:c r="AI69" s="13" t="n">
        <x:v>11</x:v>
      </x:c>
      <x:c r="AJ69" s="13" t="n">
        <x:v>5956338.2</x:v>
      </x:c>
      <x:c r="AK69" s="13" t="n">
        <x:v>0.00012422197177132908</x:v>
      </x:c>
      <x:c r="AL69" s="13" t="n">
        <x:v>0.10526315789473684</x:v>
      </x:c>
      <x:c r="AM69" s="13" t="n">
        <x:v>0</x:v>
      </x:c>
      <x:c r="AN69" s="13" t="n">
        <x:v>0.5542298814864313</x:v>
      </x:c>
      <x:c r="AO69" s="13" t="n">
        <x:v>1.9489984995784022</x:v>
      </x:c>
      <x:c r="AP69" s="13" t="n">
        <x:v>-0.07107926012475593</x:v>
      </x:c>
    </x:row>
    <x:row r="70" ht="15" hidden="0" customHeight="1">
      <x:c r="A70" s="2" t="str">
        <x:v>E69</x:v>
      </x:c>
      <x:c r="B70" s="2" t="str">
        <x:v>***电子器材经营部</x:v>
      </x:c>
      <x:c r="C70" s="2" t="str">
        <x:v>有信贷记录</x:v>
      </x:c>
      <x:c r="D70" s="2" t="str">
        <x:v>C</x:v>
      </x:c>
      <x:c r="E70" s="2" t="str">
        <x:v>否</x:v>
      </x:c>
      <x:c r="F70" s="13" t="n">
        <x:v>1</x:v>
      </x:c>
      <x:c r="G70" s="13" t="n">
        <x:v>1</x:v>
      </x:c>
      <x:c r="H70" s="13" t="n">
        <x:v>0</x:v>
      </x:c>
      <x:c r="I70" s="13" t="n">
        <x:v>0</x:v>
      </x:c>
      <x:c r="J70" s="13" t="n">
        <x:v>3250</x:v>
      </x:c>
      <x:c r="K70" s="13" t="n">
        <x:v>3250</x:v>
      </x:c>
      <x:c r="L70" s="13" t="n">
        <x:v>1</x:v>
      </x:c>
      <x:c r="M70" s="13" t="n">
        <x:v>0</x:v>
      </x:c>
      <x:c r="N70" s="13" t="n">
        <x:v>0</x:v>
      </x:c>
      <x:c r="O70" s="13" t="n">
        <x:v>1</x:v>
      </x:c>
      <x:c r="P70" s="13" t="n">
        <x:v>1</x:v>
      </x:c>
      <x:c r="Q70" s="13" t="n">
        <x:v>3250</x:v>
      </x:c>
      <x:c r="R70" s="13" t="n">
        <x:v>0</x:v>
      </x:c>
      <x:c r="S70" s="13" t="n">
        <x:v>0</x:v>
      </x:c>
      <x:c r="T70" s="13" t="n">
        <x:v>1</x:v>
      </x:c>
      <x:c r="U70" s="13" t="n">
        <x:v>587</x:v>
      </x:c>
      <x:c r="V70" s="13" t="n">
        <x:v>523</x:v>
      </x:c>
      <x:c r="W70" s="13" t="n">
        <x:v>64</x:v>
      </x:c>
      <x:c r="X70" s="13" t="n">
        <x:v>39</x:v>
      </x:c>
      <x:c r="Y70" s="13" t="n">
        <x:v>3748394.63</x:v>
      </x:c>
      <x:c r="Z70" s="13" t="n">
        <x:v>4468275.87</x:v>
      </x:c>
      <x:c r="AA70" s="13" t="n">
        <x:v>22</x:v>
      </x:c>
      <x:c r="AB70" s="13" t="n">
        <x:v>0.10902896081771721</x:v>
      </x:c>
      <x:c r="AC70" s="13" t="n">
        <x:v>0.0745697896749522</x:v>
      </x:c>
      <x:c r="AD70" s="13" t="n">
        <x:v>0.7404283944631468</x:v>
      </x:c>
      <x:c r="AE70" s="13" t="n">
        <x:v>0.8578408566344853</x:v>
      </x:c>
      <x:c r="AF70" s="13" t="n">
        <x:v>197283.92789473681</x:v>
      </x:c>
      <x:c r="AG70" s="13" t="n">
        <x:v>0.811537649507208</x:v>
      </x:c>
      <x:c r="AH70" s="13" t="n">
        <x:v>0.06179283156213436</x:v>
      </x:c>
      <x:c r="AI70" s="13" t="n">
        <x:v>19</x:v>
      </x:c>
      <x:c r="AJ70" s="13" t="n">
        <x:v>3745144.63</x:v>
      </x:c>
      <x:c r="AK70" s="13" t="n">
        <x:v>0.000727349898384855</x:v>
      </x:c>
      <x:c r="AL70" s="13" t="n">
        <x:v>0.10884353741496598</x:v>
      </x:c>
      <x:c r="AM70" s="13" t="n">
        <x:v>0.07442748091603053</x:v>
      </x:c>
      <x:c r="AN70" s="13" t="n">
        <x:v>0.8702141972315733</x:v>
      </x:c>
      <x:c r="AO70" s="13" t="n">
        <x:v>0.405768824753604</x:v>
      </x:c>
      <x:c r="AP70" s="13" t="n">
        <x:v>0.03089641578106718</x:v>
      </x:c>
    </x:row>
    <x:row r="71" ht="15" hidden="0" customHeight="1">
      <x:c r="A71" s="2" t="str">
        <x:v>E70</x:v>
      </x:c>
      <x:c r="B71" s="2" t="str">
        <x:v>***科技有限公司</x:v>
      </x:c>
      <x:c r="C71" s="2" t="str">
        <x:v>有信贷记录</x:v>
      </x:c>
      <x:c r="D71" s="2" t="str">
        <x:v>B</x:v>
      </x:c>
      <x:c r="E71" s="2" t="str">
        <x:v>否</x:v>
      </x:c>
      <x:c r="F71" s="13" t="n">
        <x:v>1829</x:v>
      </x:c>
      <x:c r="G71" s="13" t="n">
        <x:v>1787</x:v>
      </x:c>
      <x:c r="H71" s="13" t="n">
        <x:v>42</x:v>
      </x:c>
      <x:c r="I71" s="13" t="n">
        <x:v>6</x:v>
      </x:c>
      <x:c r="J71" s="13" t="n">
        <x:v>6089341.9399999995</x:v>
      </x:c>
      <x:c r="K71" s="13" t="n">
        <x:v>6128526.1</x:v>
      </x:c>
      <x:c r="L71" s="13" t="n">
        <x:v>188</x:v>
      </x:c>
      <x:c r="M71" s="13" t="n">
        <x:v>0.022963367960634227</x:v>
      </x:c>
      <x:c r="N71" s="13" t="n">
        <x:v>0.003357582540570789</x:v>
      </x:c>
      <x:c r="O71" s="13" t="n">
        <x:v>0.07277149972031254</x:v>
      </x:c>
      <x:c r="P71" s="13" t="n">
        <x:v>0.2191913076783666</x:v>
      </x:c>
      <x:c r="Q71" s="13" t="n">
        <x:v>160245.84052631576</x:v>
      </x:c>
      <x:c r="R71" s="13" t="n">
        <x:v>1.0298565276703224</x:v>
      </x:c>
      <x:c r="S71" s="13" t="n">
        <x:v>0.028794814010242215</x:v>
      </x:c>
      <x:c r="T71" s="13" t="n">
        <x:v>38</x:v>
      </x:c>
      <x:c r="U71" s="13" t="n">
        <x:v>578</x:v>
      </x:c>
      <x:c r="V71" s="13" t="n">
        <x:v>469</x:v>
      </x:c>
      <x:c r="W71" s="13" t="n">
        <x:v>109</x:v>
      </x:c>
      <x:c r="X71" s="13" t="n">
        <x:v>14</x:v>
      </x:c>
      <x:c r="Y71" s="13" t="n">
        <x:v>10682038.48</x:v>
      </x:c>
      <x:c r="Z71" s="13" t="n">
        <x:v>11130033.08</x:v>
      </x:c>
      <x:c r="AA71" s="13" t="n">
        <x:v>59</x:v>
      </x:c>
      <x:c r="AB71" s="13" t="n">
        <x:v>0.18858131487889274</x:v>
      </x:c>
      <x:c r="AC71" s="13" t="n">
        <x:v>0.029850746268656716</x:v>
      </x:c>
      <x:c r="AD71" s="13" t="n">
        <x:v>0.1393211953194014</x:v>
      </x:c>
      <x:c r="AE71" s="13" t="n">
        <x:v>0.3276281610117191</x:v>
      </x:c>
      <x:c r="AF71" s="13" t="n">
        <x:v>281106.2757894737</x:v>
      </x:c>
      <x:c r="AG71" s="13" t="n">
        <x:v>1.1553575191440038</x:v>
      </x:c>
      <x:c r="AH71" s="13" t="n">
        <x:v>0.0005141275770175391</x:v>
      </x:c>
      <x:c r="AI71" s="13" t="n">
        <x:v>35</x:v>
      </x:c>
      <x:c r="AJ71" s="13" t="n">
        <x:v>4592696.540000001</x:v>
      </x:c>
      <x:c r="AK71" s="13" t="n">
        <x:v>0.550629639278664</x:v>
      </x:c>
      <x:c r="AL71" s="13" t="n">
        <x:v>0.06273369339426672</x:v>
      </x:c>
      <x:c r="AM71" s="13" t="n">
        <x:v>0.008865248226950355</x:v>
      </x:c>
      <x:c r="AN71" s="13" t="n">
        <x:v>0.10604634751985698</x:v>
      </x:c>
      <x:c r="AO71" s="13" t="n">
        <x:v>1.092607023407163</x:v>
      </x:c>
      <x:c r="AP71" s="13" t="n">
        <x:v>0.014654470793629876</x:v>
      </x:c>
    </x:row>
    <x:row r="72" ht="15" hidden="0" customHeight="1">
      <x:c r="A72" s="2" t="str">
        <x:v>E71</x:v>
      </x:c>
      <x:c r="B72" s="2" t="str">
        <x:v>***农业科技有限公司</x:v>
      </x:c>
      <x:c r="C72" s="2" t="str">
        <x:v>有信贷记录</x:v>
      </x:c>
      <x:c r="D72" s="2" t="str">
        <x:v>B</x:v>
      </x:c>
      <x:c r="E72" s="2" t="str">
        <x:v>否</x:v>
      </x:c>
      <x:c r="F72" s="13" t="n">
        <x:v>1259</x:v>
      </x:c>
      <x:c r="G72" s="13" t="n">
        <x:v>1205</x:v>
      </x:c>
      <x:c r="H72" s="13" t="n">
        <x:v>54</x:v>
      </x:c>
      <x:c r="I72" s="13" t="n">
        <x:v>14</x:v>
      </x:c>
      <x:c r="J72" s="13" t="n">
        <x:v>10004879.89</x:v>
      </x:c>
      <x:c r="K72" s="13" t="n">
        <x:v>12123425.29</x:v>
      </x:c>
      <x:c r="L72" s="13" t="n">
        <x:v>283</x:v>
      </x:c>
      <x:c r="M72" s="13" t="n">
        <x:v>0.04289118347895155</x:v>
      </x:c>
      <x:c r="N72" s="13" t="n">
        <x:v>0.011618257261410789</x:v>
      </x:c>
      <x:c r="O72" s="13" t="n">
        <x:v>0.3984773467366303</x:v>
      </x:c>
      <x:c r="P72" s="13" t="n">
        <x:v>0.5779855389367438</x:v>
      </x:c>
      <x:c r="Q72" s="13" t="n">
        <x:v>285853.7111428571</x:v>
      </x:c>
      <x:c r="R72" s="13" t="n">
        <x:v>2.9937536577224537</x:v>
      </x:c>
      <x:c r="S72" s="13" t="n">
        <x:v>-0.06640545205131157</x:v>
      </x:c>
      <x:c r="T72" s="13" t="n">
        <x:v>35</x:v>
      </x:c>
      <x:c r="U72" s="13" t="n">
        <x:v>375</x:v>
      </x:c>
      <x:c r="V72" s="13" t="n">
        <x:v>359</x:v>
      </x:c>
      <x:c r="W72" s="13" t="n">
        <x:v>16</x:v>
      </x:c>
      <x:c r="X72" s="13" t="n">
        <x:v>1</x:v>
      </x:c>
      <x:c r="Y72" s="13" t="n">
        <x:v>12227309.620000001</x:v>
      </x:c>
      <x:c r="Z72" s="13" t="n">
        <x:v>12302136.02</x:v>
      </x:c>
      <x:c r="AA72" s="13" t="n">
        <x:v>289</x:v>
      </x:c>
      <x:c r="AB72" s="13" t="n">
        <x:v>0.042666666666666665</x:v>
      </x:c>
      <x:c r="AC72" s="13" t="n">
        <x:v>0.002785515320334262</x:v>
      </x:c>
      <x:c r="AD72" s="13" t="n">
        <x:v>0.10104409320596129</x:v>
      </x:c>
      <x:c r="AE72" s="13" t="n">
        <x:v>0.3116529514685044</x:v>
      </x:c>
      <x:c r="AF72" s="13" t="n">
        <x:v>370524.533939394</x:v>
      </x:c>
      <x:c r="AG72" s="13" t="n">
        <x:v>2.122411997026468</x:v>
      </x:c>
      <x:c r="AH72" s="13" t="n">
        <x:v>-0.012898781634410397</x:v>
      </x:c>
      <x:c r="AI72" s="13" t="n">
        <x:v>17</x:v>
      </x:c>
      <x:c r="AJ72" s="13" t="n">
        <x:v>2222429.7300000004</x:v>
      </x:c>
      <x:c r="AK72" s="13" t="n">
        <x:v>0.985473195085027</x:v>
      </x:c>
      <x:c r="AL72" s="13" t="n">
        <x:v>0.042839657282741736</x:v>
      </x:c>
      <x:c r="AM72" s="13" t="n">
        <x:v>0.00959079283887468</x:v>
      </x:c>
      <x:c r="AN72" s="13" t="n">
        <x:v>0.2497607199712958</x:v>
      </x:c>
      <x:c r="AO72" s="13" t="n">
        <x:v>2.558082827374461</x:v>
      </x:c>
      <x:c r="AP72" s="13" t="n">
        <x:v>-0.039652116842860984</x:v>
      </x:c>
    </x:row>
    <x:row r="73" ht="15" hidden="0" customHeight="1">
      <x:c r="A73" s="2" t="str">
        <x:v>E72</x:v>
      </x:c>
      <x:c r="B73" s="2" t="str">
        <x:v>***图书有限公司</x:v>
      </x:c>
      <x:c r="C73" s="2" t="str">
        <x:v>有信贷记录</x:v>
      </x:c>
      <x:c r="D73" s="2" t="str">
        <x:v>C</x:v>
      </x:c>
      <x:c r="E73" s="2" t="str">
        <x:v>否</x:v>
      </x:c>
      <x:c r="F73" s="13" t="n">
        <x:v>117</x:v>
      </x:c>
      <x:c r="G73" s="13" t="n">
        <x:v>114</x:v>
      </x:c>
      <x:c r="H73" s="13" t="n">
        <x:v>3</x:v>
      </x:c>
      <x:c r="I73" s="13" t="n">
        <x:v>2</x:v>
      </x:c>
      <x:c r="J73" s="13" t="n">
        <x:v>1547014.77</x:v>
      </x:c>
      <x:c r="K73" s="13" t="n">
        <x:v>2479718.77</x:v>
      </x:c>
      <x:c r="L73" s="13" t="n">
        <x:v>54</x:v>
      </x:c>
      <x:c r="M73" s="13" t="n">
        <x:v>0.02564102564102564</x:v>
      </x:c>
      <x:c r="N73" s="13" t="n">
        <x:v>0.017543859649122806</x:v>
      </x:c>
      <x:c r="O73" s="13" t="n">
        <x:v>0.7231421382129443</x:v>
      </x:c>
      <x:c r="P73" s="13" t="n">
        <x:v>0.840478567656283</x:v>
      </x:c>
      <x:c r="Q73" s="13" t="n">
        <x:v>45500.4344117647</x:v>
      </x:c>
      <x:c r="R73" s="13" t="n">
        <x:v>2.18179253927674</x:v>
      </x:c>
      <x:c r="S73" s="13" t="n">
        <x:v>0.052880127603149286</x:v>
      </x:c>
      <x:c r="T73" s="13" t="n">
        <x:v>31</x:v>
      </x:c>
      <x:c r="U73" s="13" t="n">
        <x:v>248</x:v>
      </x:c>
      <x:c r="V73" s="13" t="n">
        <x:v>176</x:v>
      </x:c>
      <x:c r="W73" s="13" t="n">
        <x:v>72</x:v>
      </x:c>
      <x:c r="X73" s="13" t="n">
        <x:v>0</x:v>
      </x:c>
      <x:c r="Y73" s="13" t="n">
        <x:v>4441013.75</x:v>
      </x:c>
      <x:c r="Z73" s="13" t="n">
        <x:v>4441013.75</x:v>
      </x:c>
      <x:c r="AA73" s="13" t="n">
        <x:v>29</x:v>
      </x:c>
      <x:c r="AB73" s="13" t="n">
        <x:v>0.2903225806451613</x:v>
      </x:c>
      <x:c r="AC73" s="13" t="n">
        <x:v>0</x:v>
      </x:c>
      <x:c r="AD73" s="13" t="n">
        <x:v>0.12430821850386252</x:v>
      </x:c>
      <x:c r="AE73" s="13" t="n">
        <x:v>0.2786261943007945</x:v>
      </x:c>
      <x:c r="AF73" s="13" t="n">
        <x:v>130618.05147058827</x:v>
      </x:c>
      <x:c r="AG73" s="13" t="n">
        <x:v>1.6162834714133396</x:v>
      </x:c>
      <x:c r="AH73" s="13" t="n">
        <x:v>0.060455100744134266</x:v>
      </x:c>
      <x:c r="AI73" s="13" t="n">
        <x:v>18</x:v>
      </x:c>
      <x:c r="AJ73" s="13" t="n">
        <x:v>2893998.98</x:v>
      </x:c>
      <x:c r="AK73" s="13" t="n">
        <x:v>0.558367730791196</x:v>
      </x:c>
      <x:c r="AL73" s="13" t="n">
        <x:v>0.2054794520547945</x:v>
      </x:c>
      <x:c r="AM73" s="13" t="n">
        <x:v>0.006896551724137931</x:v>
      </x:c>
      <x:c r="AN73" s="13" t="n">
        <x:v>0.4237251783584034</x:v>
      </x:c>
      <x:c r="AO73" s="13" t="n">
        <x:v>1.8990380053450397</x:v>
      </x:c>
      <x:c r="AP73" s="13" t="n">
        <x:v>0.05666761417364177</x:v>
      </x:c>
    </x:row>
    <x:row r="74" ht="15" hidden="0" customHeight="1">
      <x:c r="A74" s="2" t="str">
        <x:v>E73</x:v>
      </x:c>
      <x:c r="B74" s="2" t="str">
        <x:v>***商贸有限责任公司</x:v>
      </x:c>
      <x:c r="C74" s="2" t="str">
        <x:v>有信贷记录</x:v>
      </x:c>
      <x:c r="D74" s="2" t="str">
        <x:v>C</x:v>
      </x:c>
      <x:c r="E74" s="2" t="str">
        <x:v>否</x:v>
      </x:c>
      <x:c r="F74" s="13" t="n">
        <x:v>606</x:v>
      </x:c>
      <x:c r="G74" s="13" t="n">
        <x:v>600</x:v>
      </x:c>
      <x:c r="H74" s="13" t="n">
        <x:v>6</x:v>
      </x:c>
      <x:c r="I74" s="13" t="n">
        <x:v>2</x:v>
      </x:c>
      <x:c r="J74" s="13" t="n">
        <x:v>855955.54</x:v>
      </x:c>
      <x:c r="K74" s="13" t="n">
        <x:v>884511.5399999999</x:v>
      </x:c>
      <x:c r="L74" s="13" t="n">
        <x:v>118</x:v>
      </x:c>
      <x:c r="M74" s="13" t="n">
        <x:v>0.009900990099009901</x:v>
      </x:c>
      <x:c r="N74" s="13" t="n">
        <x:v>0.0033333333333333335</x:v>
      </x:c>
      <x:c r="O74" s="13" t="n">
        <x:v>0.07880146706489694</x:v>
      </x:c>
      <x:c r="P74" s="13" t="n">
        <x:v>0.16072147571980802</x:v>
      </x:c>
      <x:c r="Q74" s="13" t="n">
        <x:v>22525.14578947369</x:v>
      </x:c>
      <x:c r="R74" s="13" t="n">
        <x:v>0.7045687614842312</x:v>
      </x:c>
      <x:c r="S74" s="13" t="n">
        <x:v>-0.0048597387811055446</x:v>
      </x:c>
      <x:c r="T74" s="13" t="n">
        <x:v>38</x:v>
      </x:c>
      <x:c r="U74" s="13" t="n">
        <x:v>236</x:v>
      </x:c>
      <x:c r="V74" s="13" t="n">
        <x:v>223</x:v>
      </x:c>
      <x:c r="W74" s="13" t="n">
        <x:v>13</x:v>
      </x:c>
      <x:c r="X74" s="13" t="n">
        <x:v>6</x:v>
      </x:c>
      <x:c r="Y74" s="13" t="n">
        <x:v>7130015.18</x:v>
      </x:c>
      <x:c r="Z74" s="13" t="n">
        <x:v>7803235.18</x:v>
      </x:c>
      <x:c r="AA74" s="13" t="n">
        <x:v>61</x:v>
      </x:c>
      <x:c r="AB74" s="13" t="n">
        <x:v>0.05508474576271186</x:v>
      </x:c>
      <x:c r="AC74" s="13" t="n">
        <x:v>0.026905829596412557</x:v>
      </x:c>
      <x:c r="AD74" s="13" t="n">
        <x:v>0.43842712380794596</x:v>
      </x:c>
      <x:c r="AE74" s="13" t="n">
        <x:v>0.6558519693366464</x:v>
      </x:c>
      <x:c r="AF74" s="13" t="n">
        <x:v>192703.11297297294</x:v>
      </x:c>
      <x:c r="AG74" s="13" t="n">
        <x:v>0.5413248163317177</x:v>
      </x:c>
      <x:c r="AH74" s="13" t="n">
        <x:v>-0.030398451372839985</x:v>
      </x:c>
      <x:c r="AI74" s="13" t="n">
        <x:v>37</x:v>
      </x:c>
      <x:c r="AJ74" s="13" t="n">
        <x:v>6274059.64</x:v>
      </x:c>
      <x:c r="AK74" s="13" t="n">
        <x:v>0.11335190079456248</x:v>
      </x:c>
      <x:c r="AL74" s="13" t="n">
        <x:v>0.022565320665083134</x:v>
      </x:c>
      <x:c r="AM74" s="13" t="n">
        <x:v>0.009720534629404616</x:v>
      </x:c>
      <x:c r="AN74" s="13" t="n">
        <x:v>0.25861429543642145</x:v>
      </x:c>
      <x:c r="AO74" s="13" t="n">
        <x:v>0.6229467889079745</x:v>
      </x:c>
      <x:c r="AP74" s="13" t="n">
        <x:v>-0.017629095076972766</x:v>
      </x:c>
    </x:row>
    <x:row r="75" ht="15" hidden="0" customHeight="1">
      <x:c r="A75" s="2" t="str">
        <x:v>E74</x:v>
      </x:c>
      <x:c r="B75" s="2" t="str">
        <x:v>***蔬菜专业合作社</x:v>
      </x:c>
      <x:c r="C75" s="2" t="str">
        <x:v>有信贷记录</x:v>
      </x:c>
      <x:c r="D75" s="2" t="str">
        <x:v>B</x:v>
      </x:c>
      <x:c r="E75" s="2" t="str">
        <x:v>否</x:v>
      </x:c>
      <x:c r="F75" s="13" t="n">
        <x:v>19</x:v>
      </x:c>
      <x:c r="G75" s="13" t="n">
        <x:v>19</x:v>
      </x:c>
      <x:c r="H75" s="13" t="n">
        <x:v>0</x:v>
      </x:c>
      <x:c r="I75" s="13" t="n">
        <x:v>0</x:v>
      </x:c>
      <x:c r="J75" s="13" t="n">
        <x:v>337315</x:v>
      </x:c>
      <x:c r="K75" s="13" t="n">
        <x:v>337315</x:v>
      </x:c>
      <x:c r="L75" s="13" t="n">
        <x:v>8</x:v>
      </x:c>
      <x:c r="M75" s="13" t="n">
        <x:v>0</x:v>
      </x:c>
      <x:c r="N75" s="13" t="n">
        <x:v>0</x:v>
      </x:c>
      <x:c r="O75" s="13" t="n">
        <x:v>0.3927836849394585</x:v>
      </x:c>
      <x:c r="P75" s="13" t="n">
        <x:v>0.5466700265330625</x:v>
      </x:c>
      <x:c r="Q75" s="13" t="n">
        <x:v>12493.148148148148</x:v>
      </x:c>
      <x:c r="R75" s="13" t="n">
        <x:v>3.0992196035601474</x:v>
      </x:c>
      <x:c r="S75" s="13" t="n">
        <x:v>0.17186412152985045</x:v>
      </x:c>
      <x:c r="T75" s="13" t="n">
        <x:v>8</x:v>
      </x:c>
      <x:c r="U75" s="13" t="n">
        <x:v>555</x:v>
      </x:c>
      <x:c r="V75" s="13" t="n">
        <x:v>512</x:v>
      </x:c>
      <x:c r="W75" s="13" t="n">
        <x:v>43</x:v>
      </x:c>
      <x:c r="X75" s="13" t="n">
        <x:v>14</x:v>
      </x:c>
      <x:c r="Y75" s="13" t="n">
        <x:v>3986839.75</x:v>
      </x:c>
      <x:c r="Z75" s="13" t="n">
        <x:v>4148275.55</x:v>
      </x:c>
      <x:c r="AA75" s="13" t="n">
        <x:v>22</x:v>
      </x:c>
      <x:c r="AB75" s="13" t="n">
        <x:v>0.07747747747747748</x:v>
      </x:c>
      <x:c r="AC75" s="13" t="n">
        <x:v>0.02734375</x:v>
      </x:c>
      <x:c r="AD75" s="13" t="n">
        <x:v>0.14387270819334624</x:v>
      </x:c>
      <x:c r="AE75" s="13" t="n">
        <x:v>0.27767805829581405</x:v>
      </x:c>
      <x:c r="AF75" s="13" t="n">
        <x:v>142387.13392857142</x:v>
      </x:c>
      <x:c r="AG75" s="13" t="n">
        <x:v>0.450828446829056</x:v>
      </x:c>
      <x:c r="AH75" s="13" t="n">
        <x:v>0.03155360326938501</x:v>
      </x:c>
      <x:c r="AI75" s="13" t="n">
        <x:v>28</x:v>
      </x:c>
      <x:c r="AJ75" s="13" t="n">
        <x:v>3649524.75</x:v>
      </x:c>
      <x:c r="AK75" s="13" t="n">
        <x:v>0.08131451152033523</x:v>
      </x:c>
      <x:c r="AL75" s="13" t="n">
        <x:v>0.07491289198606271</x:v>
      </x:c>
      <x:c r="AM75" s="13" t="n">
        <x:v>0.026365348399246705</x:v>
      </x:c>
      <x:c r="AN75" s="13" t="n">
        <x:v>0.2683281965664024</x:v>
      </x:c>
      <x:c r="AO75" s="13" t="n">
        <x:v>1.7750240251946017</x:v>
      </x:c>
      <x:c r="AP75" s="13" t="n">
        <x:v>0.10170886239961772</x:v>
      </x:c>
    </x:row>
    <x:row r="76" ht="15" hidden="0" customHeight="1">
      <x:c r="A76" s="2" t="str">
        <x:v>E75</x:v>
      </x:c>
      <x:c r="B76" s="2" t="str">
        <x:v>***酒店管理有限公司</x:v>
      </x:c>
      <x:c r="C76" s="2" t="str">
        <x:v>有信贷记录</x:v>
      </x:c>
      <x:c r="D76" s="2" t="str">
        <x:v>C</x:v>
      </x:c>
      <x:c r="E76" s="2" t="str">
        <x:v>否</x:v>
      </x:c>
      <x:c r="F76" s="13" t="n">
        <x:v>552</x:v>
      </x:c>
      <x:c r="G76" s="13" t="n">
        <x:v>538</x:v>
      </x:c>
      <x:c r="H76" s="13" t="n">
        <x:v>14</x:v>
      </x:c>
      <x:c r="I76" s="13" t="n">
        <x:v>2</x:v>
      </x:c>
      <x:c r="J76" s="13" t="n">
        <x:v>2721424.25</x:v>
      </x:c>
      <x:c r="K76" s="13" t="n">
        <x:v>2733624.25</x:v>
      </x:c>
      <x:c r="L76" s="13" t="n">
        <x:v>56</x:v>
      </x:c>
      <x:c r="M76" s="13" t="n">
        <x:v>0.025362318840579712</x:v>
      </x:c>
      <x:c r="N76" s="13" t="n">
        <x:v>0.0037174721189591076</x:v>
      </x:c>
      <x:c r="O76" s="13" t="n">
        <x:v>0.17890749724790922</x:v>
      </x:c>
      <x:c r="P76" s="13" t="n">
        <x:v>0.29504770452632617</x:v>
      </x:c>
      <x:c r="Q76" s="13" t="n">
        <x:v>80041.88970588235</x:v>
      </x:c>
      <x:c r="R76" s="13" t="n">
        <x:v>1.033877277777146</x:v>
      </x:c>
      <x:c r="S76" s="13" t="n">
        <x:v>0.006949044926245202</x:v>
      </x:c>
      <x:c r="T76" s="13" t="n">
        <x:v>33</x:v>
      </x:c>
      <x:c r="U76" s="13" t="n">
        <x:v>8317</x:v>
      </x:c>
      <x:c r="V76" s="13" t="n">
        <x:v>7766</x:v>
      </x:c>
      <x:c r="W76" s="13" t="n">
        <x:v>551</x:v>
      </x:c>
      <x:c r="X76" s="13" t="n">
        <x:v>10</x:v>
      </x:c>
      <x:c r="Y76" s="13" t="n">
        <x:v>5902843.800000001</x:v>
      </x:c>
      <x:c r="Z76" s="13" t="n">
        <x:v>5913605.800000001</x:v>
      </x:c>
      <x:c r="AA76" s="13" t="n">
        <x:v>7978</x:v>
      </x:c>
      <x:c r="AB76" s="13" t="n">
        <x:v>0.06624984970542262</x:v>
      </x:c>
      <x:c r="AC76" s="13" t="n">
        <x:v>0.0012876641771825909</x:v>
      </x:c>
      <x:c r="AD76" s="13" t="n">
        <x:v>0.002752585044718713</x:v>
      </x:c>
      <x:c r="AE76" s="13" t="n">
        <x:v>0.03872459675956081</x:v>
      </x:c>
      <x:c r="AF76" s="13" t="n">
        <x:v>159536.3189189189</x:v>
      </x:c>
      <x:c r="AG76" s="13" t="n">
        <x:v>0.4068936533477132</x:v>
      </x:c>
      <x:c r="AH76" s="13" t="n">
        <x:v>-0.02293512323670145</x:v>
      </x:c>
      <x:c r="AI76" s="13" t="n">
        <x:v>37</x:v>
      </x:c>
      <x:c r="AJ76" s="13" t="n">
        <x:v>3181419.5500000007</x:v>
      </x:c>
      <x:c r="AK76" s="13" t="n">
        <x:v>0.46226014084334116</x:v>
      </x:c>
      <x:c r="AL76" s="13" t="n">
        <x:v>0.06370504002706055</x:v>
      </x:c>
      <x:c r="AM76" s="13" t="n">
        <x:v>0.001445086705202312</x:v>
      </x:c>
      <x:c r="AN76" s="13" t="n">
        <x:v>0.09083004114631396</x:v>
      </x:c>
      <x:c r="AO76" s="13" t="n">
        <x:v>0.7203854655624297</x:v>
      </x:c>
      <x:c r="AP76" s="13" t="n">
        <x:v>-0.007993039155228122</x:v>
      </x:c>
    </x:row>
    <x:row r="77" ht="15" hidden="0" customHeight="1">
      <x:c r="A77" s="2" t="str">
        <x:v>E76</x:v>
      </x:c>
      <x:c r="B77" s="2" t="str">
        <x:v>***信息科技有限公司</x:v>
      </x:c>
      <x:c r="C77" s="2" t="str">
        <x:v>有信贷记录</x:v>
      </x:c>
      <x:c r="D77" s="2" t="str">
        <x:v>B</x:v>
      </x:c>
      <x:c r="E77" s="2" t="str">
        <x:v>否</x:v>
      </x:c>
      <x:c r="F77" s="13" t="n">
        <x:v>350</x:v>
      </x:c>
      <x:c r="G77" s="13" t="n">
        <x:v>346</x:v>
      </x:c>
      <x:c r="H77" s="13" t="n">
        <x:v>4</x:v>
      </x:c>
      <x:c r="I77" s="13" t="n">
        <x:v>2</x:v>
      </x:c>
      <x:c r="J77" s="13" t="n">
        <x:v>929316.6100000001</x:v>
      </x:c>
      <x:c r="K77" s="13" t="n">
        <x:v>949264.6100000001</x:v>
      </x:c>
      <x:c r="L77" s="13" t="n">
        <x:v>102</x:v>
      </x:c>
      <x:c r="M77" s="13" t="n">
        <x:v>0.011428571428571429</x:v>
      </x:c>
      <x:c r="N77" s="13" t="n">
        <x:v>0.005780346820809248</x:v>
      </x:c>
      <x:c r="O77" s="13" t="n">
        <x:v>0.13528577590743335</x:v>
      </x:c>
      <x:c r="P77" s="13" t="n">
        <x:v>0.2515631547667199</x:v>
      </x:c>
      <x:c r="Q77" s="13" t="n">
        <x:v>25116.665135135136</x:v>
      </x:c>
      <x:c r="R77" s="13" t="n">
        <x:v>2.0924856710214677</x:v>
      </x:c>
      <x:c r="S77" s="13" t="n">
        <x:v>-0.03824836931762069</x:v>
      </x:c>
      <x:c r="T77" s="13" t="n">
        <x:v>34</x:v>
      </x:c>
      <x:c r="U77" s="13" t="n">
        <x:v>245</x:v>
      </x:c>
      <x:c r="V77" s="13" t="n">
        <x:v>223</x:v>
      </x:c>
      <x:c r="W77" s="13" t="n">
        <x:v>22</x:v>
      </x:c>
      <x:c r="X77" s="13" t="n">
        <x:v>1</x:v>
      </x:c>
      <x:c r="Y77" s="13" t="n">
        <x:v>4296997.8</x:v>
      </x:c>
      <x:c r="Z77" s="13" t="n">
        <x:v>4312597.8</x:v>
      </x:c>
      <x:c r="AA77" s="13" t="n">
        <x:v>73</x:v>
      </x:c>
      <x:c r="AB77" s="13" t="n">
        <x:v>0.08979591836734693</x:v>
      </x:c>
      <x:c r="AC77" s="13" t="n">
        <x:v>0.004484304932735426</x:v>
      </x:c>
      <x:c r="AD77" s="13" t="n">
        <x:v>0.09881435654280328</x:v>
      </x:c>
      <x:c r="AE77" s="13" t="n">
        <x:v>0.17577108628122012</x:v>
      </x:c>
      <x:c r="AF77" s="13" t="n">
        <x:v>116135.07567567567</x:v>
      </x:c>
      <x:c r="AG77" s="13" t="n">
        <x:v>1.1472959581216495</x:v>
      </x:c>
      <x:c r="AH77" s="13" t="n">
        <x:v>0.015209388056364218</x:v>
      </x:c>
      <x:c r="AI77" s="13" t="n">
        <x:v>36</x:v>
      </x:c>
      <x:c r="AJ77" s="13" t="n">
        <x:v>3367681.1899999995</x:v>
      </x:c>
      <x:c r="AK77" s="13" t="n">
        <x:v>0.22011433804469313</x:v>
      </x:c>
      <x:c r="AL77" s="13" t="n">
        <x:v>0.043697478991596636</x:v>
      </x:c>
      <x:c r="AM77" s="13" t="n">
        <x:v>0.005272407732864675</x:v>
      </x:c>
      <x:c r="AN77" s="13" t="n">
        <x:v>0.11705006622511832</x:v>
      </x:c>
      <x:c r="AO77" s="13" t="n">
        <x:v>1.6198908145715585</x:v>
      </x:c>
      <x:c r="AP77" s="13" t="n">
        <x:v>-0.011519490630628237</x:v>
      </x:c>
    </x:row>
    <x:row r="78" ht="15" hidden="0" customHeight="1">
      <x:c r="A78" s="2" t="str">
        <x:v>E77</x:v>
      </x:c>
      <x:c r="B78" s="2" t="str">
        <x:v>***机电设备有限公司</x:v>
      </x:c>
      <x:c r="C78" s="2" t="str">
        <x:v>有信贷记录</x:v>
      </x:c>
      <x:c r="D78" s="2" t="str">
        <x:v>C</x:v>
      </x:c>
      <x:c r="E78" s="2" t="str">
        <x:v>否</x:v>
      </x:c>
      <x:c r="F78" s="13" t="n">
        <x:v>54</x:v>
      </x:c>
      <x:c r="G78" s="13" t="n">
        <x:v>53</x:v>
      </x:c>
      <x:c r="H78" s="13" t="n">
        <x:v>1</x:v>
      </x:c>
      <x:c r="I78" s="13" t="n">
        <x:v>0</x:v>
      </x:c>
      <x:c r="J78" s="13" t="n">
        <x:v>807881</x:v>
      </x:c>
      <x:c r="K78" s="13" t="n">
        <x:v>807881</x:v>
      </x:c>
      <x:c r="L78" s="13" t="n">
        <x:v>16</x:v>
      </x:c>
      <x:c r="M78" s="13" t="n">
        <x:v>0.018518518518518517</x:v>
      </x:c>
      <x:c r="N78" s="13" t="n">
        <x:v>0</x:v>
      </x:c>
      <x:c r="O78" s="13" t="n">
        <x:v>0.9229216495907407</x:v>
      </x:c>
      <x:c r="P78" s="13" t="n">
        <x:v>0.9605375049048065</x:v>
      </x:c>
      <x:c r="Q78" s="13" t="n">
        <x:v>22441.13888888889</x:v>
      </x:c>
      <x:c r="R78" s="13" t="n">
        <x:v>2.0589416899836883</x:v>
      </x:c>
      <x:c r="S78" s="13" t="n">
        <x:v>-0.011792216101018466</x:v>
      </x:c>
      <x:c r="T78" s="13" t="n">
        <x:v>17</x:v>
      </x:c>
      <x:c r="U78" s="13" t="n">
        <x:v>258</x:v>
      </x:c>
      <x:c r="V78" s="13" t="n">
        <x:v>252</x:v>
      </x:c>
      <x:c r="W78" s="13" t="n">
        <x:v>6</x:v>
      </x:c>
      <x:c r="X78" s="13" t="n">
        <x:v>6</x:v>
      </x:c>
      <x:c r="Y78" s="13" t="n">
        <x:v>4576822.99</x:v>
      </x:c>
      <x:c r="Z78" s="13" t="n">
        <x:v>4689777.59</x:v>
      </x:c>
      <x:c r="AA78" s="13" t="n">
        <x:v>2</x:v>
      </x:c>
      <x:c r="AB78" s="13" t="n">
        <x:v>0.023255813953488372</x:v>
      </x:c>
      <x:c r="AC78" s="13" t="n">
        <x:v>0.023809523809523808</x:v>
      </x:c>
      <x:c r="AD78" s="13" t="n">
        <x:v>0.9854228632515281</x:v>
      </x:c>
      <x:c r="AE78" s="13" t="n">
        <x:v>0.9926575196074491</x:v>
      </x:c>
      <x:c r="AF78" s="13" t="n">
        <x:v>152560.76633333333</x:v>
      </x:c>
      <x:c r="AG78" s="13" t="n">
        <x:v>1.7438622743248413</x:v>
      </x:c>
      <x:c r="AH78" s="13" t="n">
        <x:v>0.006418135313274846</x:v>
      </x:c>
      <x:c r="AI78" s="13" t="n">
        <x:v>15</x:v>
      </x:c>
      <x:c r="AJ78" s="13" t="n">
        <x:v>3768941.99</x:v>
      </x:c>
      <x:c r="AK78" s="13" t="n">
        <x:v>0.17226424590424977</x:v>
      </x:c>
      <x:c r="AL78" s="13" t="n">
        <x:v>0.022435897435897436</x:v>
      </x:c>
      <x:c r="AM78" s="13" t="n">
        <x:v>0.019672131147540985</x:v>
      </x:c>
      <x:c r="AN78" s="13" t="n">
        <x:v>0.9541722564211343</x:v>
      </x:c>
      <x:c r="AO78" s="13" t="n">
        <x:v>1.901401982154265</x:v>
      </x:c>
      <x:c r="AP78" s="13" t="n">
        <x:v>-0.0026870403938718096</x:v>
      </x:c>
    </x:row>
    <x:row r="79" ht="15" hidden="0" customHeight="1">
      <x:c r="A79" s="2" t="str">
        <x:v>E78</x:v>
      </x:c>
      <x:c r="B79" s="2" t="str">
        <x:v>个体经营E78</x:v>
      </x:c>
      <x:c r="C79" s="2" t="str">
        <x:v>有信贷记录</x:v>
      </x:c>
      <x:c r="D79" s="2" t="str">
        <x:v>C</x:v>
      </x:c>
      <x:c r="E79" s="2" t="str">
        <x:v>否</x:v>
      </x:c>
      <x:c r="F79" s="13" t="n">
        <x:v>52</x:v>
      </x:c>
      <x:c r="G79" s="13" t="n">
        <x:v>52</x:v>
      </x:c>
      <x:c r="H79" s="13" t="n">
        <x:v>0</x:v>
      </x:c>
      <x:c r="I79" s="13" t="n">
        <x:v>0</x:v>
      </x:c>
      <x:c r="J79" s="13" t="n">
        <x:v>3748968.62</x:v>
      </x:c>
      <x:c r="K79" s="13" t="n">
        <x:v>3748968.62</x:v>
      </x:c>
      <x:c r="L79" s="13" t="n">
        <x:v>16</x:v>
      </x:c>
      <x:c r="M79" s="13" t="n">
        <x:v>0</x:v>
      </x:c>
      <x:c r="N79" s="13" t="n">
        <x:v>0</x:v>
      </x:c>
      <x:c r="O79" s="13" t="n">
        <x:v>0.3970480264600911</x:v>
      </x:c>
      <x:c r="P79" s="13" t="n">
        <x:v>0.6034866864263057</x:v>
      </x:c>
      <x:c r="Q79" s="13" t="n">
        <x:v>124965.62066666667</x:v>
      </x:c>
      <x:c r="R79" s="13" t="n">
        <x:v>0.9642622432326015</x:v>
      </x:c>
      <x:c r="S79" s="13" t="n">
        <x:v>-0.05508854608972144</x:v>
      </x:c>
      <x:c r="T79" s="13" t="n">
        <x:v>22</x:v>
      </x:c>
      <x:c r="U79" s="13" t="n">
        <x:v>268</x:v>
      </x:c>
      <x:c r="V79" s="13" t="n">
        <x:v>248</x:v>
      </x:c>
      <x:c r="W79" s="13" t="n">
        <x:v>20</x:v>
      </x:c>
      <x:c r="X79" s="13" t="n">
        <x:v>0</x:v>
      </x:c>
      <x:c r="Y79" s="13" t="n">
        <x:v>10039067.1</x:v>
      </x:c>
      <x:c r="Z79" s="13" t="n">
        <x:v>10039067.1</x:v>
      </x:c>
      <x:c r="AA79" s="13" t="n">
        <x:v>39</x:v>
      </x:c>
      <x:c r="AB79" s="13" t="n">
        <x:v>0.07462686567164178</x:v>
      </x:c>
      <x:c r="AC79" s="13" t="n">
        <x:v>0</x:v>
      </x:c>
      <x:c r="AD79" s="13" t="n">
        <x:v>0.2267167600212571</x:v>
      </x:c>
      <x:c r="AE79" s="13" t="n">
        <x:v>0.39947788375674864</x:v>
      </x:c>
      <x:c r="AF79" s="13" t="n">
        <x:v>313720.84687499993</x:v>
      </x:c>
      <x:c r="AG79" s="13" t="n">
        <x:v>0.6754600499689551</x:v>
      </x:c>
      <x:c r="AH79" s="13" t="n">
        <x:v>-0.05038996326707392</x:v>
      </x:c>
      <x:c r="AI79" s="13" t="n">
        <x:v>32</x:v>
      </x:c>
      <x:c r="AJ79" s="13" t="n">
        <x:v>6290098.4799999995</x:v>
      </x:c>
      <x:c r="AK79" s="13" t="n">
        <x:v>0.3734379482332576</x:v>
      </x:c>
      <x:c r="AL79" s="13" t="n">
        <x:v>0.0625</x:v>
      </x:c>
      <x:c r="AM79" s="13" t="n">
        <x:v>0</x:v>
      </x:c>
      <x:c r="AN79" s="13" t="n">
        <x:v>0.31188239324067407</x:v>
      </x:c>
      <x:c r="AO79" s="13" t="n">
        <x:v>0.8198611466007784</x:v>
      </x:c>
      <x:c r="AP79" s="13" t="n">
        <x:v>-0.052739254678397685</x:v>
      </x:c>
    </x:row>
    <x:row r="80" ht="15" hidden="0" customHeight="1">
      <x:c r="A80" s="2" t="str">
        <x:v>E79</x:v>
      </x:c>
      <x:c r="B80" s="2" t="str">
        <x:v>***鞋业有限公司</x:v>
      </x:c>
      <x:c r="C80" s="2" t="str">
        <x:v>有信贷记录</x:v>
      </x:c>
      <x:c r="D80" s="2" t="str">
        <x:v>B</x:v>
      </x:c>
      <x:c r="E80" s="2" t="str">
        <x:v>否</x:v>
      </x:c>
      <x:c r="F80" s="13" t="n">
        <x:v>154</x:v>
      </x:c>
      <x:c r="G80" s="13" t="n">
        <x:v>152</x:v>
      </x:c>
      <x:c r="H80" s="13" t="n">
        <x:v>2</x:v>
      </x:c>
      <x:c r="I80" s="13" t="n">
        <x:v>0</x:v>
      </x:c>
      <x:c r="J80" s="13" t="n">
        <x:v>3318032.58</x:v>
      </x:c>
      <x:c r="K80" s="13" t="n">
        <x:v>3318032.58</x:v>
      </x:c>
      <x:c r="L80" s="13" t="n">
        <x:v>46</x:v>
      </x:c>
      <x:c r="M80" s="13" t="n">
        <x:v>0.012987012987012988</x:v>
      </x:c>
      <x:c r="N80" s="13" t="n">
        <x:v>0</x:v>
      </x:c>
      <x:c r="O80" s="13" t="n">
        <x:v>0.5436362144180595</x:v>
      </x:c>
      <x:c r="P80" s="13" t="n">
        <x:v>0.7270677703833758</x:v>
      </x:c>
      <x:c r="Q80" s="13" t="n">
        <x:v>87316.64684210527</x:v>
      </x:c>
      <x:c r="R80" s="13" t="n">
        <x:v>0.6433931839508644</x:v>
      </x:c>
      <x:c r="S80" s="13" t="n">
        <x:v>-0.017389806651984224</x:v>
      </x:c>
      <x:c r="T80" s="13" t="n">
        <x:v>38</x:v>
      </x:c>
      <x:c r="U80" s="13" t="n">
        <x:v>86</x:v>
      </x:c>
      <x:c r="V80" s="13" t="n">
        <x:v>74</x:v>
      </x:c>
      <x:c r="W80" s="13" t="n">
        <x:v>12</x:v>
      </x:c>
      <x:c r="X80" s="13" t="n">
        <x:v>0</x:v>
      </x:c>
      <x:c r="Y80" s="13" t="n">
        <x:v>3497419.09</x:v>
      </x:c>
      <x:c r="Z80" s="13" t="n">
        <x:v>3497419.09</x:v>
      </x:c>
      <x:c r="AA80" s="13" t="n">
        <x:v>15</x:v>
      </x:c>
      <x:c r="AB80" s="13" t="n">
        <x:v>0.13953488372093023</x:v>
      </x:c>
      <x:c r="AC80" s="13" t="n">
        <x:v>0</x:v>
      </x:c>
      <x:c r="AD80" s="13" t="n">
        <x:v>0.24051506152988106</x:v>
      </x:c>
      <x:c r="AE80" s="13" t="n">
        <x:v>0.4372270095889481</x:v>
      </x:c>
      <x:c r="AF80" s="13" t="n">
        <x:v>99926.25971428571</x:v>
      </x:c>
      <x:c r="AG80" s="13" t="n">
        <x:v>1.0640181266173527</x:v>
      </x:c>
      <x:c r="AH80" s="13" t="n">
        <x:v>0.025444482441894043</x:v>
      </x:c>
      <x:c r="AI80" s="13" t="n">
        <x:v>24</x:v>
      </x:c>
      <x:c r="AJ80" s="13" t="n">
        <x:v>179386.50999999978</x:v>
      </x:c>
      <x:c r="AK80" s="13" t="n">
        <x:v>0.9487088892169337</x:v>
      </x:c>
      <x:c r="AL80" s="13" t="n">
        <x:v>0.058333333333333334</x:v>
      </x:c>
      <x:c r="AM80" s="13" t="n">
        <x:v>0</x:v>
      </x:c>
      <x:c r="AN80" s="13" t="n">
        <x:v>0.39207563797397027</x:v>
      </x:c>
      <x:c r="AO80" s="13" t="n">
        <x:v>0.8537056552841086</x:v>
      </x:c>
      <x:c r="AP80" s="13" t="n">
        <x:v>0.004027337894954909</x:v>
      </x:c>
    </x:row>
    <x:row r="81" ht="15" hidden="0" customHeight="1">
      <x:c r="A81" s="2" t="str">
        <x:v>E80</x:v>
      </x:c>
      <x:c r="B81" s="2" t="str">
        <x:v>***实业有限责任公司</x:v>
      </x:c>
      <x:c r="C81" s="2" t="str">
        <x:v>有信贷记录</x:v>
      </x:c>
      <x:c r="D81" s="2" t="str">
        <x:v>C</x:v>
      </x:c>
      <x:c r="E81" s="2" t="str">
        <x:v>否</x:v>
      </x:c>
      <x:c r="F81" s="13" t="n">
        <x:v>395</x:v>
      </x:c>
      <x:c r="G81" s="13" t="n">
        <x:v>390</x:v>
      </x:c>
      <x:c r="H81" s="13" t="n">
        <x:v>5</x:v>
      </x:c>
      <x:c r="I81" s="13" t="n">
        <x:v>0</x:v>
      </x:c>
      <x:c r="J81" s="13" t="n">
        <x:v>2600684.8200000003</x:v>
      </x:c>
      <x:c r="K81" s="13" t="n">
        <x:v>2600684.8200000003</x:v>
      </x:c>
      <x:c r="L81" s="13" t="n">
        <x:v>106</x:v>
      </x:c>
      <x:c r="M81" s="13" t="n">
        <x:v>0.012658227848101266</x:v>
      </x:c>
      <x:c r="N81" s="13" t="n">
        <x:v>0</x:v>
      </x:c>
      <x:c r="O81" s="13" t="n">
        <x:v>0.4000710846432577</x:v>
      </x:c>
      <x:c r="P81" s="13" t="n">
        <x:v>0.4577255924460697</x:v>
      </x:c>
      <x:c r="Q81" s="13" t="n">
        <x:v>76490.73</x:v>
      </x:c>
      <x:c r="R81" s="13" t="n">
        <x:v>3.1176163903463734</x:v>
      </x:c>
      <x:c r="S81" s="13" t="n">
        <x:v>-0.0379776698210574</x:v>
      </x:c>
      <x:c r="T81" s="13" t="n">
        <x:v>33</x:v>
      </x:c>
      <x:c r="U81" s="13" t="n">
        <x:v>48</x:v>
      </x:c>
      <x:c r="V81" s="13" t="n">
        <x:v>47</x:v>
      </x:c>
      <x:c r="W81" s="13" t="n">
        <x:v>1</x:v>
      </x:c>
      <x:c r="X81" s="13" t="n">
        <x:v>0</x:v>
      </x:c>
      <x:c r="Y81" s="13" t="n">
        <x:v>3779239.6700000004</x:v>
      </x:c>
      <x:c r="Z81" s="13" t="n">
        <x:v>3779239.6700000004</x:v>
      </x:c>
      <x:c r="AA81" s="13" t="n">
        <x:v>39</x:v>
      </x:c>
      <x:c r="AB81" s="13" t="n">
        <x:v>0.020833333333333332</x:v>
      </x:c>
      <x:c r="AC81" s="13" t="n">
        <x:v>0</x:v>
      </x:c>
      <x:c r="AD81" s="13" t="n">
        <x:v>0.06307460513513058</x:v>
      </x:c>
      <x:c r="AE81" s="13" t="n">
        <x:v>0.2130678179507996</x:v>
      </x:c>
      <x:c r="AF81" s="13" t="n">
        <x:v>107978.27628571428</x:v>
      </x:c>
      <x:c r="AG81" s="13" t="n">
        <x:v>2.6381329061966374</x:v>
      </x:c>
      <x:c r="AH81" s="13" t="n">
        <x:v>0.09932560627216971</x:v>
      </x:c>
      <x:c r="AI81" s="13" t="n">
        <x:v>8</x:v>
      </x:c>
      <x:c r="AJ81" s="13" t="n">
        <x:v>1178554.85</x:v>
      </x:c>
      <x:c r="AK81" s="13" t="n">
        <x:v>0.6881502754759132</x:v>
      </x:c>
      <x:c r="AL81" s="13" t="n">
        <x:v>0.013544018058690745</x:v>
      </x:c>
      <x:c r="AM81" s="13" t="n">
        <x:v>0</x:v>
      </x:c>
      <x:c r="AN81" s="13" t="n">
        <x:v>0.23157284488919413</x:v>
      </x:c>
      <x:c r="AO81" s="13" t="n">
        <x:v>2.877874648271505</x:v>
      </x:c>
      <x:c r="AP81" s="13" t="n">
        <x:v>0.030673968225556156</x:v>
      </x:c>
    </x:row>
    <x:row r="82" ht="15" hidden="0" customHeight="1">
      <x:c r="A82" s="2" t="str">
        <x:v>E81</x:v>
      </x:c>
      <x:c r="B82" s="2" t="str">
        <x:v>***机械设备有限公司</x:v>
      </x:c>
      <x:c r="C82" s="2" t="str">
        <x:v>有信贷记录</x:v>
      </x:c>
      <x:c r="D82" s="2" t="str">
        <x:v>A</x:v>
      </x:c>
      <x:c r="E82" s="2" t="str">
        <x:v>否</x:v>
      </x:c>
      <x:c r="F82" s="13" t="n">
        <x:v>211</x:v>
      </x:c>
      <x:c r="G82" s="13" t="n">
        <x:v>205</x:v>
      </x:c>
      <x:c r="H82" s="13" t="n">
        <x:v>6</x:v>
      </x:c>
      <x:c r="I82" s="13" t="n">
        <x:v>3</x:v>
      </x:c>
      <x:c r="J82" s="13" t="n">
        <x:v>2255424.5300000003</x:v>
      </x:c>
      <x:c r="K82" s="13" t="n">
        <x:v>2414570.17</x:v>
      </x:c>
      <x:c r="L82" s="13" t="n">
        <x:v>68</x:v>
      </x:c>
      <x:c r="M82" s="13" t="n">
        <x:v>0.02843601895734597</x:v>
      </x:c>
      <x:c r="N82" s="13" t="n">
        <x:v>0.014634146341463415</x:v>
      </x:c>
      <x:c r="O82" s="13" t="n">
        <x:v>0.4703261574877649</x:v>
      </x:c>
      <x:c r="P82" s="13" t="n">
        <x:v>0.6811643001453961</x:v>
      </x:c>
      <x:c r="Q82" s="13" t="n">
        <x:v>60957.41972972972</x:v>
      </x:c>
      <x:c r="R82" s="13" t="n">
        <x:v>0.819548051915051</x:v>
      </x:c>
      <x:c r="S82" s="13" t="n">
        <x:v>0.004231162655905797</x:v>
      </x:c>
      <x:c r="T82" s="13" t="n">
        <x:v>36</x:v>
      </x:c>
      <x:c r="U82" s="13" t="n">
        <x:v>649</x:v>
      </x:c>
      <x:c r="V82" s="13" t="n">
        <x:v>609</x:v>
      </x:c>
      <x:c r="W82" s="13" t="n">
        <x:v>40</x:v>
      </x:c>
      <x:c r="X82" s="13" t="n">
        <x:v>3</x:v>
      </x:c>
      <x:c r="Y82" s="13" t="n">
        <x:v>3910186.16</x:v>
      </x:c>
      <x:c r="Z82" s="13" t="n">
        <x:v>3932711.16</x:v>
      </x:c>
      <x:c r="AA82" s="13" t="n">
        <x:v>121</x:v>
      </x:c>
      <x:c r="AB82" s="13" t="n">
        <x:v>0.061633281972265024</x:v>
      </x:c>
      <x:c r="AC82" s="13" t="n">
        <x:v>0.0049261083743842365</x:v>
      </x:c>
      <x:c r="AD82" s="13" t="n">
        <x:v>0.047413501633771914</x:v>
      </x:c>
      <x:c r="AE82" s="13" t="n">
        <x:v>0.14199008706248337</x:v>
      </x:c>
      <x:c r="AF82" s="13" t="n">
        <x:v>105680.70702702703</x:v>
      </x:c>
      <x:c r="AG82" s="13" t="n">
        <x:v>0.46231586301059724</x:v>
      </x:c>
      <x:c r="AH82" s="13" t="n">
        <x:v>0.004829305450084548</x:v>
      </x:c>
      <x:c r="AI82" s="13" t="n">
        <x:v>37</x:v>
      </x:c>
      <x:c r="AJ82" s="13" t="n">
        <x:v>1654761.63</x:v>
      </x:c>
      <x:c r="AK82" s="13" t="n">
        <x:v>0.6139708897411117</x:v>
      </x:c>
      <x:c r="AL82" s="13" t="n">
        <x:v>0.053488372093023255</x:v>
      </x:c>
      <x:c r="AM82" s="13" t="n">
        <x:v>0.007371007371007371</x:v>
      </x:c>
      <x:c r="AN82" s="13" t="n">
        <x:v>0.2588698295607684</x:v>
      </x:c>
      <x:c r="AO82" s="13" t="n">
        <x:v>0.640931957462824</x:v>
      </x:c>
      <x:c r="AP82" s="13" t="n">
        <x:v>0.004530234052995172</x:v>
      </x:c>
    </x:row>
    <x:row r="83" ht="15" hidden="0" customHeight="1">
      <x:c r="A83" s="2" t="str">
        <x:v>E82</x:v>
      </x:c>
      <x:c r="B83" s="2" t="str">
        <x:v>***商贸有限公司</x:v>
      </x:c>
      <x:c r="C83" s="2" t="str">
        <x:v>有信贷记录</x:v>
      </x:c>
      <x:c r="D83" s="2" t="str">
        <x:v>D</x:v>
      </x:c>
      <x:c r="E83" s="2" t="str">
        <x:v>是</x:v>
      </x:c>
      <x:c r="F83" s="13" t="n">
        <x:v>315</x:v>
      </x:c>
      <x:c r="G83" s="13" t="n">
        <x:v>311</x:v>
      </x:c>
      <x:c r="H83" s="13" t="n">
        <x:v>4</x:v>
      </x:c>
      <x:c r="I83" s="13" t="n">
        <x:v>3</x:v>
      </x:c>
      <x:c r="J83" s="13" t="n">
        <x:v>1693976.72</x:v>
      </x:c>
      <x:c r="K83" s="13" t="n">
        <x:v>1694684.6</x:v>
      </x:c>
      <x:c r="L83" s="13" t="n">
        <x:v>68</x:v>
      </x:c>
      <x:c r="M83" s="13" t="n">
        <x:v>0.012698412698412698</x:v>
      </x:c>
      <x:c r="N83" s="13" t="n">
        <x:v>0.00964630225080386</x:v>
      </x:c>
      <x:c r="O83" s="13" t="n">
        <x:v>0.06818678898624388</x:v>
      </x:c>
      <x:c r="P83" s="13" t="n">
        <x:v>0.1921694750751851</x:v>
      </x:c>
      <x:c r="Q83" s="13" t="n">
        <x:v>45783.15459459459</x:v>
      </x:c>
      <x:c r="R83" s="13" t="n">
        <x:v>1.0227534966228182</x:v>
      </x:c>
      <x:c r="S83" s="13" t="n">
        <x:v>0.008998025228562516</x:v>
      </x:c>
      <x:c r="T83" s="13" t="n">
        <x:v>35</x:v>
      </x:c>
      <x:c r="U83" s="13" t="n">
        <x:v>343</x:v>
      </x:c>
      <x:c r="V83" s="13" t="n">
        <x:v>335</x:v>
      </x:c>
      <x:c r="W83" s="13" t="n">
        <x:v>8</x:v>
      </x:c>
      <x:c r="X83" s="13" t="n">
        <x:v>2</x:v>
      </x:c>
      <x:c r="Y83" s="13" t="n">
        <x:v>3401276.1799999997</x:v>
      </x:c>
      <x:c r="Z83" s="13" t="n">
        <x:v>3433971.4399999995</x:v>
      </x:c>
      <x:c r="AA83" s="13" t="n">
        <x:v>8</x:v>
      </x:c>
      <x:c r="AB83" s="13" t="n">
        <x:v>0.023323615160349854</x:v>
      </x:c>
      <x:c r="AC83" s="13" t="n">
        <x:v>0.005970149253731343</x:v>
      </x:c>
      <x:c r="AD83" s="13" t="n">
        <x:v>0.9544683481280435</x:v>
      </x:c>
      <x:c r="AE83" s="13" t="n">
        <x:v>0.9769197265076847</x:v>
      </x:c>
      <x:c r="AF83" s="13" t="n">
        <x:v>94479.8938888889</x:v>
      </x:c>
      <x:c r="AG83" s="13" t="n">
        <x:v>1.2980437635278372</x:v>
      </x:c>
      <x:c r="AH83" s="13" t="n">
        <x:v>0.007010275005060354</x:v>
      </x:c>
      <x:c r="AI83" s="13" t="n">
        <x:v>26</x:v>
      </x:c>
      <x:c r="AJ83" s="13" t="n">
        <x:v>1707299.4599999997</x:v>
      </x:c>
      <x:c r="AK83" s="13" t="n">
        <x:v>0.4935057351554444</x:v>
      </x:c>
      <x:c r="AL83" s="13" t="n">
        <x:v>0.0182370820668693</x:v>
      </x:c>
      <x:c r="AM83" s="13" t="n">
        <x:v>0.007739938080495356</x:v>
      </x:c>
      <x:c r="AN83" s="13" t="n">
        <x:v>0.5113275685571437</x:v>
      </x:c>
      <x:c r="AO83" s="13" t="n">
        <x:v>1.1603986300753277</x:v>
      </x:c>
      <x:c r="AP83" s="13" t="n">
        <x:v>0.008004150116811435</x:v>
      </x:c>
    </x:row>
    <x:row r="84" ht="15" hidden="0" customHeight="1">
      <x:c r="A84" s="2" t="str">
        <x:v>E83</x:v>
      </x:c>
      <x:c r="B84" s="2" t="str">
        <x:v>***社会福利院（***社会福利社会化服务中心）</x:v>
      </x:c>
      <x:c r="C84" s="2" t="str">
        <x:v>有信贷记录</x:v>
      </x:c>
      <x:c r="D84" s="2" t="str">
        <x:v>B</x:v>
      </x:c>
      <x:c r="E84" s="2" t="str">
        <x:v>否</x:v>
      </x:c>
      <x:c r="F84" s="13" t="n">
        <x:v>2890</x:v>
      </x:c>
      <x:c r="G84" s="13" t="n">
        <x:v>2699</x:v>
      </x:c>
      <x:c r="H84" s="13" t="n">
        <x:v>191</x:v>
      </x:c>
      <x:c r="I84" s="13" t="n">
        <x:v>54</x:v>
      </x:c>
      <x:c r="J84" s="13" t="n">
        <x:v>37570784.98</x:v>
      </x:c>
      <x:c r="K84" s="13" t="n">
        <x:v>38175265.32</x:v>
      </x:c>
      <x:c r="L84" s="13" t="n">
        <x:v>262</x:v>
      </x:c>
      <x:c r="M84" s="13" t="n">
        <x:v>0.06608996539792387</x:v>
      </x:c>
      <x:c r="N84" s="13" t="n">
        <x:v>0.020007410151908114</x:v>
      </x:c>
      <x:c r="O84" s="13" t="n">
        <x:v>0.05026488743408646</x:v>
      </x:c>
      <x:c r="P84" s="13" t="n">
        <x:v>0.16921567160964004</x:v>
      </x:c>
      <x:c r="Q84" s="13" t="n">
        <x:v>1043632.9161111112</x:v>
      </x:c>
      <x:c r="R84" s="13" t="n">
        <x:v>0.662735355942065</x:v>
      </x:c>
      <x:c r="S84" s="13" t="n">
        <x:v>0.03146561490833548</x:v>
      </x:c>
      <x:c r="T84" s="13" t="n">
        <x:v>35</x:v>
      </x:c>
      <x:c r="U84" s="13" t="n">
        <x:v>706</x:v>
      </x:c>
      <x:c r="V84" s="13" t="n">
        <x:v>649</x:v>
      </x:c>
      <x:c r="W84" s="13" t="n">
        <x:v>57</x:v>
      </x:c>
      <x:c r="X84" s="13" t="n">
        <x:v>3</x:v>
      </x:c>
      <x:c r="Y84" s="13" t="n">
        <x:v>3481120.81</x:v>
      </x:c>
      <x:c r="Z84" s="13" t="n">
        <x:v>3498760.81</x:v>
      </x:c>
      <x:c r="AA84" s="13" t="n">
        <x:v>186</x:v>
      </x:c>
      <x:c r="AB84" s="13" t="n">
        <x:v>0.08073654390934844</x:v>
      </x:c>
      <x:c r="AC84" s="13" t="n">
        <x:v>0.004622496147919877</x:v>
      </x:c>
      <x:c r="AD84" s="13" t="n">
        <x:v>0.03492203987852535</x:v>
      </x:c>
      <x:c r="AE84" s="13" t="n">
        <x:v>0.07699297397812113</x:v>
      </x:c>
      <x:c r="AF84" s="13" t="n">
        <x:v>94084.34621621622</x:v>
      </x:c>
      <x:c r="AG84" s="13" t="n">
        <x:v>1.9150629161599497</x:v>
      </x:c>
      <x:c r="AH84" s="13" t="n">
        <x:v>-0.019741339188589065</x:v>
      </x:c>
      <x:c r="AI84" s="13" t="n">
        <x:v>23</x:v>
      </x:c>
      <x:c r="AJ84" s="13" t="n">
        <x:v>-34089664.169999994</x:v>
      </x:c>
      <x:c r="AK84" s="13" t="n">
        <x:v>10.911081778122464</x:v>
      </x:c>
      <x:c r="AL84" s="13" t="n">
        <x:v>0.06896551724137931</x:v>
      </x:c>
      <x:c r="AM84" s="13" t="n">
        <x:v>0.017025089605734768</x:v>
      </x:c>
      <x:c r="AN84" s="13" t="n">
        <x:v>0.04259346365630591</x:v>
      </x:c>
      <x:c r="AO84" s="13" t="n">
        <x:v>1.2888991360510074</x:v>
      </x:c>
      <x:c r="AP84" s="13" t="n">
        <x:v>0.005862137859873207</x:v>
      </x:c>
    </x:row>
    <x:row r="85" ht="15" hidden="0" customHeight="1">
      <x:c r="A85" s="2" t="str">
        <x:v>E84</x:v>
      </x:c>
      <x:c r="B85" s="2" t="str">
        <x:v>***建材有限公司</x:v>
      </x:c>
      <x:c r="C85" s="2" t="str">
        <x:v>有信贷记录</x:v>
      </x:c>
      <x:c r="D85" s="2" t="str">
        <x:v>A</x:v>
      </x:c>
      <x:c r="E85" s="2" t="str">
        <x:v>否</x:v>
      </x:c>
      <x:c r="F85" s="13" t="n">
        <x:v>54</x:v>
      </x:c>
      <x:c r="G85" s="13" t="n">
        <x:v>53</x:v>
      </x:c>
      <x:c r="H85" s="13" t="n">
        <x:v>1</x:v>
      </x:c>
      <x:c r="I85" s="13" t="n">
        <x:v>0</x:v>
      </x:c>
      <x:c r="J85" s="13" t="n">
        <x:v>1658750.05</x:v>
      </x:c>
      <x:c r="K85" s="13" t="n">
        <x:v>1658750.05</x:v>
      </x:c>
      <x:c r="L85" s="13" t="n">
        <x:v>19</x:v>
      </x:c>
      <x:c r="M85" s="13" t="n">
        <x:v>0.018518518518518517</x:v>
      </x:c>
      <x:c r="N85" s="13" t="n">
        <x:v>0</x:v>
      </x:c>
      <x:c r="O85" s="13" t="n">
        <x:v>0.1254818681828775</x:v>
      </x:c>
      <x:c r="P85" s="13" t="n">
        <x:v>0.18990202894040606</x:v>
      </x:c>
      <x:c r="Q85" s="13" t="n">
        <x:v>44831.082432432435</x:v>
      </x:c>
      <x:c r="R85" s="13" t="n">
        <x:v>1.5697561198319399</x:v>
      </x:c>
      <x:c r="S85" s="13" t="n">
        <x:v>-0.01693339718124016</x:v>
      </x:c>
      <x:c r="T85" s="13" t="n">
        <x:v>18</x:v>
      </x:c>
      <x:c r="U85" s="13" t="n">
        <x:v>498</x:v>
      </x:c>
      <x:c r="V85" s="13" t="n">
        <x:v>445</x:v>
      </x:c>
      <x:c r="W85" s="13" t="n">
        <x:v>53</x:v>
      </x:c>
      <x:c r="X85" s="13" t="n">
        <x:v>6</x:v>
      </x:c>
      <x:c r="Y85" s="13" t="n">
        <x:v>5576905.35</x:v>
      </x:c>
      <x:c r="Z85" s="13" t="n">
        <x:v>5765461.41</x:v>
      </x:c>
      <x:c r="AA85" s="13" t="n">
        <x:v>35</x:v>
      </x:c>
      <x:c r="AB85" s="13" t="n">
        <x:v>0.10642570281124498</x:v>
      </x:c>
      <x:c r="AC85" s="13" t="n">
        <x:v>0.01348314606741573</x:v>
      </x:c>
      <x:c r="AD85" s="13" t="n">
        <x:v>0.08391824846030264</x:v>
      </x:c>
      <x:c r="AE85" s="13" t="n">
        <x:v>0.15090775536038145</x:v>
      </x:c>
      <x:c r="AF85" s="13" t="n">
        <x:v>150727.17162162162</x:v>
      </x:c>
      <x:c r="AG85" s="13" t="n">
        <x:v>0.8876031278117273</x:v>
      </x:c>
      <x:c r="AH85" s="13" t="n">
        <x:v>0.008975817848324625</x:v>
      </x:c>
      <x:c r="AI85" s="13" t="n">
        <x:v>32</x:v>
      </x:c>
      <x:c r="AJ85" s="13" t="n">
        <x:v>3918155.3</x:v>
      </x:c>
      <x:c r="AK85" s="13" t="n">
        <x:v>0.2877046487767576</x:v>
      </x:c>
      <x:c r="AL85" s="13" t="n">
        <x:v>0.09782608695652174</x:v>
      </x:c>
      <x:c r="AM85" s="13" t="n">
        <x:v>0.012048192771084338</x:v>
      </x:c>
      <x:c r="AN85" s="13" t="n">
        <x:v>0.10470005832159007</x:v>
      </x:c>
      <x:c r="AO85" s="13" t="n">
        <x:v>1.2286796238218336</x:v>
      </x:c>
      <x:c r="AP85" s="13" t="n">
        <x:v>-0.003978789666457768</x:v>
      </x:c>
    </x:row>
    <x:row r="86" ht="15" hidden="0" customHeight="1">
      <x:c r="A86" s="2" t="str">
        <x:v>E85</x:v>
      </x:c>
      <x:c r="B86" s="2" t="str">
        <x:v>***安防科技有限公司</x:v>
      </x:c>
      <x:c r="C86" s="2" t="str">
        <x:v>有信贷记录</x:v>
      </x:c>
      <x:c r="D86" s="2" t="str">
        <x:v>B</x:v>
      </x:c>
      <x:c r="E86" s="2" t="str">
        <x:v>否</x:v>
      </x:c>
      <x:c r="F86" s="13" t="n">
        <x:v>229</x:v>
      </x:c>
      <x:c r="G86" s="13" t="n">
        <x:v>228</x:v>
      </x:c>
      <x:c r="H86" s="13" t="n">
        <x:v>1</x:v>
      </x:c>
      <x:c r="I86" s="13" t="n">
        <x:v>1</x:v>
      </x:c>
      <x:c r="J86" s="13" t="n">
        <x:v>432211.42</x:v>
      </x:c>
      <x:c r="K86" s="13" t="n">
        <x:v>433008.84</x:v>
      </x:c>
      <x:c r="L86" s="13" t="n">
        <x:v>38</x:v>
      </x:c>
      <x:c r="M86" s="13" t="n">
        <x:v>0.004366812227074236</x:v>
      </x:c>
      <x:c r="N86" s="13" t="n">
        <x:v>0.0043859649122807015</x:v>
      </x:c>
      <x:c r="O86" s="13" t="n">
        <x:v>0.14653986568234514</x:v>
      </x:c>
      <x:c r="P86" s="13" t="n">
        <x:v>0.22655426619003896</x:v>
      </x:c>
      <x:c r="Q86" s="13" t="n">
        <x:v>13097.315757575756</x:v>
      </x:c>
      <x:c r="R86" s="13" t="n">
        <x:v>2.350624194264044</x:v>
      </x:c>
      <x:c r="S86" s="13" t="n">
        <x:v>-0.00048098473563753</x:v>
      </x:c>
      <x:c r="T86" s="13" t="n">
        <x:v>31</x:v>
      </x:c>
      <x:c r="U86" s="13" t="n">
        <x:v>293</x:v>
      </x:c>
      <x:c r="V86" s="13" t="n">
        <x:v>247</x:v>
      </x:c>
      <x:c r="W86" s="13" t="n">
        <x:v>46</x:v>
      </x:c>
      <x:c r="X86" s="13" t="n">
        <x:v>0</x:v>
      </x:c>
      <x:c r="Y86" s="13" t="n">
        <x:v>2739277</x:v>
      </x:c>
      <x:c r="Z86" s="13" t="n">
        <x:v>2739277</x:v>
      </x:c>
      <x:c r="AA86" s="13" t="n">
        <x:v>26</x:v>
      </x:c>
      <x:c r="AB86" s="13" t="n">
        <x:v>0.15699658703071673</x:v>
      </x:c>
      <x:c r="AC86" s="13" t="n">
        <x:v>0</x:v>
      </x:c>
      <x:c r="AD86" s="13" t="n">
        <x:v>0.14174672292890544</x:v>
      </x:c>
      <x:c r="AE86" s="13" t="n">
        <x:v>0.24016884747325662</x:v>
      </x:c>
      <x:c r="AF86" s="13" t="n">
        <x:v>74034.51351351352</x:v>
      </x:c>
      <x:c r="AG86" s="13" t="n">
        <x:v>1.2946191410219268</x:v>
      </x:c>
      <x:c r="AH86" s="13" t="n">
        <x:v>0.03015603874063565</x:v>
      </x:c>
      <x:c r="AI86" s="13" t="n">
        <x:v>37</x:v>
      </x:c>
      <x:c r="AJ86" s="13" t="n">
        <x:v>2307065.58</x:v>
      </x:c>
      <x:c r="AK86" s="13" t="n">
        <x:v>0.15807413416021815</x:v>
      </x:c>
      <x:c r="AL86" s="13" t="n">
        <x:v>0.09003831417624521</x:v>
      </x:c>
      <x:c r="AM86" s="13" t="n">
        <x:v>0.002105263157894737</x:v>
      </x:c>
      <x:c r="AN86" s="13" t="n">
        <x:v>0.14414329430562528</x:v>
      </x:c>
      <x:c r="AO86" s="13" t="n">
        <x:v>1.8226216676429852</x:v>
      </x:c>
      <x:c r="AP86" s="13" t="n">
        <x:v>0.01483752700249906</x:v>
      </x:c>
    </x:row>
    <x:row r="87" ht="15" hidden="0" customHeight="1">
      <x:c r="A87" s="2" t="str">
        <x:v>E86</x:v>
      </x:c>
      <x:c r="B87" s="2" t="str">
        <x:v>***地质工程勘察院***分院</x:v>
      </x:c>
      <x:c r="C87" s="2" t="str">
        <x:v>有信贷记录</x:v>
      </x:c>
      <x:c r="D87" s="2" t="str">
        <x:v>C</x:v>
      </x:c>
      <x:c r="E87" s="2" t="str">
        <x:v>否</x:v>
      </x:c>
      <x:c r="F87" s="13" t="n">
        <x:v>138</x:v>
      </x:c>
      <x:c r="G87" s="13" t="n">
        <x:v>137</x:v>
      </x:c>
      <x:c r="H87" s="13" t="n">
        <x:v>1</x:v>
      </x:c>
      <x:c r="I87" s="13" t="n">
        <x:v>1</x:v>
      </x:c>
      <x:c r="J87" s="13" t="n">
        <x:v>1741768.38</x:v>
      </x:c>
      <x:c r="K87" s="13" t="n">
        <x:v>1745966.38</x:v>
      </x:c>
      <x:c r="L87" s="13" t="n">
        <x:v>36</x:v>
      </x:c>
      <x:c r="M87" s="13" t="n">
        <x:v>0.007246376811594203</x:v>
      </x:c>
      <x:c r="N87" s="13" t="n">
        <x:v>0.0072992700729927005</x:v>
      </x:c>
      <x:c r="O87" s="13" t="n">
        <x:v>0.41880553254947434</x:v>
      </x:c>
      <x:c r="P87" s="13" t="n">
        <x:v>0.5757805485349609</x:v>
      </x:c>
      <x:c r="Q87" s="13" t="n">
        <x:v>54430.261875</x:v>
      </x:c>
      <x:c r="R87" s="13" t="n">
        <x:v>3.5845200877573973</x:v>
      </x:c>
      <x:c r="S87" s="13" t="n">
        <x:v>0.018543960740335305</x:v>
      </x:c>
      <x:c r="T87" s="13" t="n">
        <x:v>23</x:v>
      </x:c>
      <x:c r="U87" s="13" t="n">
        <x:v>22</x:v>
      </x:c>
      <x:c r="V87" s="13" t="n">
        <x:v>19</x:v>
      </x:c>
      <x:c r="W87" s="13" t="n">
        <x:v>3</x:v>
      </x:c>
      <x:c r="X87" s="13" t="n">
        <x:v>6</x:v>
      </x:c>
      <x:c r="Y87" s="13" t="n">
        <x:v>2229051.16</x:v>
      </x:c>
      <x:c r="Z87" s="13" t="n">
        <x:v>5498263.16</x:v>
      </x:c>
      <x:c r="AA87" s="13" t="n">
        <x:v>7</x:v>
      </x:c>
      <x:c r="AB87" s="13" t="n">
        <x:v>0.13636363636363635</x:v>
      </x:c>
      <x:c r="AC87" s="13" t="n">
        <x:v>0.3157894736842105</x:v>
      </x:c>
      <x:c r="AD87" s="13" t="n">
        <x:v>0.23158302271798364</x:v>
      </x:c>
      <x:c r="AE87" s="13" t="n">
        <x:v>0.38037466362377603</x:v>
      </x:c>
      <x:c r="AF87" s="13" t="n">
        <x:v>71904.87612903226</x:v>
      </x:c>
      <x:c r="AG87" s="13" t="n">
        <x:v>2.003115526561836</x:v>
      </x:c>
      <x:c r="AH87" s="13" t="n">
        <x:v>-0.045398932377753394</x:v>
      </x:c>
      <x:c r="AI87" s="13" t="n">
        <x:v>13</x:v>
      </x:c>
      <x:c r="AJ87" s="13" t="n">
        <x:v>487282.78000000026</x:v>
      </x:c>
      <x:c r="AK87" s="13" t="n">
        <x:v>0.3175487111460848</x:v>
      </x:c>
      <x:c r="AL87" s="13" t="n">
        <x:v>0.025</x:v>
      </x:c>
      <x:c r="AM87" s="13" t="n">
        <x:v>0.04487179487179487</x:v>
      </x:c>
      <x:c r="AN87" s="13" t="n">
        <x:v>0.325194277633729</x:v>
      </x:c>
      <x:c r="AO87" s="13" t="n">
        <x:v>2.7938178071596167</x:v>
      </x:c>
      <x:c r="AP87" s="13" t="n">
        <x:v>-0.013427485818709044</x:v>
      </x:c>
    </x:row>
    <x:row r="88" ht="15" hidden="0" customHeight="1">
      <x:c r="A88" s="2" t="str">
        <x:v>E87</x:v>
      </x:c>
      <x:c r="B88" s="2" t="str">
        <x:v>***实业有限责任公司</x:v>
      </x:c>
      <x:c r="C88" s="2" t="str">
        <x:v>有信贷记录</x:v>
      </x:c>
      <x:c r="D88" s="2" t="str">
        <x:v>C</x:v>
      </x:c>
      <x:c r="E88" s="2" t="str">
        <x:v>是</x:v>
      </x:c>
      <x:c r="F88" s="13" t="n">
        <x:v>379</x:v>
      </x:c>
      <x:c r="G88" s="13" t="n">
        <x:v>371</x:v>
      </x:c>
      <x:c r="H88" s="13" t="n">
        <x:v>8</x:v>
      </x:c>
      <x:c r="I88" s="13" t="n">
        <x:v>0</x:v>
      </x:c>
      <x:c r="J88" s="13" t="n">
        <x:v>1706273.9200000002</x:v>
      </x:c>
      <x:c r="K88" s="13" t="n">
        <x:v>1706273.9200000002</x:v>
      </x:c>
      <x:c r="L88" s="13" t="n">
        <x:v>82</x:v>
      </x:c>
      <x:c r="M88" s="13" t="n">
        <x:v>0.021108179419525065</x:v>
      </x:c>
      <x:c r="N88" s="13" t="n">
        <x:v>0</x:v>
      </x:c>
      <x:c r="O88" s="13" t="n">
        <x:v>0.08206424220446842</x:v>
      </x:c>
      <x:c r="P88" s="13" t="n">
        <x:v>0.16263106805266064</x:v>
      </x:c>
      <x:c r="Q88" s="13" t="n">
        <x:v>55041.09419354838</x:v>
      </x:c>
      <x:c r="R88" s="13" t="n">
        <x:v>1.194385836781783</x:v>
      </x:c>
      <x:c r="S88" s="13" t="n">
        <x:v>-0.04601427426435651</x:v>
      </x:c>
      <x:c r="T88" s="13" t="n">
        <x:v>31</x:v>
      </x:c>
      <x:c r="U88" s="13" t="n">
        <x:v>74</x:v>
      </x:c>
      <x:c r="V88" s="13" t="n">
        <x:v>71</x:v>
      </x:c>
      <x:c r="W88" s="13" t="n">
        <x:v>3</x:v>
      </x:c>
      <x:c r="X88" s="13" t="n">
        <x:v>0</x:v>
      </x:c>
      <x:c r="Y88" s="13" t="n">
        <x:v>4328051.6</x:v>
      </x:c>
      <x:c r="Z88" s="13" t="n">
        <x:v>4328051.6</x:v>
      </x:c>
      <x:c r="AA88" s="13" t="n">
        <x:v>13</x:v>
      </x:c>
      <x:c r="AB88" s="13" t="n">
        <x:v>0.04054054054054054</x:v>
      </x:c>
      <x:c r="AC88" s="13" t="n">
        <x:v>0</x:v>
      </x:c>
      <x:c r="AD88" s="13" t="n">
        <x:v>0.3408858101047195</x:v>
      </x:c>
      <x:c r="AE88" s="13" t="n">
        <x:v>0.5006906572001129</x:v>
      </x:c>
      <x:c r="AF88" s="13" t="n">
        <x:v>139614.56774193546</x:v>
      </x:c>
      <x:c r="AG88" s="13" t="n">
        <x:v>1.613783567293574</x:v>
      </x:c>
      <x:c r="AH88" s="13" t="n">
        <x:v>-0.01821882989449563</x:v>
      </x:c>
      <x:c r="AI88" s="13" t="n">
        <x:v>22</x:v>
      </x:c>
      <x:c r="AJ88" s="13" t="n">
        <x:v>2621777.6799999997</x:v>
      </x:c>
      <x:c r="AK88" s="13" t="n">
        <x:v>0.39423603914518945</x:v>
      </x:c>
      <x:c r="AL88" s="13" t="n">
        <x:v>0.024282560706401765</x:v>
      </x:c>
      <x:c r="AM88" s="13" t="n">
        <x:v>0</x:v>
      </x:c>
      <x:c r="AN88" s="13" t="n">
        <x:v>0.21147502615459396</x:v>
      </x:c>
      <x:c r="AO88" s="13" t="n">
        <x:v>1.4040847020376785</x:v>
      </x:c>
      <x:c r="AP88" s="13" t="n">
        <x:v>-0.03211655207942607</x:v>
      </x:c>
    </x:row>
    <x:row r="89" ht="15" hidden="0" customHeight="1">
      <x:c r="A89" s="2" t="str">
        <x:v>E88</x:v>
      </x:c>
      <x:c r="B89" s="2" t="str">
        <x:v>***贸易有限公司</x:v>
      </x:c>
      <x:c r="C89" s="2" t="str">
        <x:v>有信贷记录</x:v>
      </x:c>
      <x:c r="D89" s="2" t="str">
        <x:v>A</x:v>
      </x:c>
      <x:c r="E89" s="2" t="str">
        <x:v>否</x:v>
      </x:c>
      <x:c r="F89" s="13" t="n">
        <x:v>214</x:v>
      </x:c>
      <x:c r="G89" s="13" t="n">
        <x:v>214</x:v>
      </x:c>
      <x:c r="H89" s="13" t="n">
        <x:v>0</x:v>
      </x:c>
      <x:c r="I89" s="13" t="n">
        <x:v>0</x:v>
      </x:c>
      <x:c r="J89" s="13" t="n">
        <x:v>683458.4600000001</x:v>
      </x:c>
      <x:c r="K89" s="13" t="n">
        <x:v>683458.4600000001</x:v>
      </x:c>
      <x:c r="L89" s="13" t="n">
        <x:v>26</x:v>
      </x:c>
      <x:c r="M89" s="13" t="n">
        <x:v>0</x:v>
      </x:c>
      <x:c r="N89" s="13" t="n">
        <x:v>0</x:v>
      </x:c>
      <x:c r="O89" s="13" t="n">
        <x:v>0.4122467929126147</x:v>
      </x:c>
      <x:c r="P89" s="13" t="n">
        <x:v>0.5129207121088237</x:v>
      </x:c>
      <x:c r="Q89" s="13" t="n">
        <x:v>21358.076875</x:v>
      </x:c>
      <x:c r="R89" s="13" t="n">
        <x:v>1.212584229291783</x:v>
      </x:c>
      <x:c r="S89" s="13" t="n">
        <x:v>0.034273174274687894</x:v>
      </x:c>
      <x:c r="T89" s="13" t="n">
        <x:v>32</x:v>
      </x:c>
      <x:c r="U89" s="13" t="n">
        <x:v>400</x:v>
      </x:c>
      <x:c r="V89" s="13" t="n">
        <x:v>364</x:v>
      </x:c>
      <x:c r="W89" s="13" t="n">
        <x:v>36</x:v>
      </x:c>
      <x:c r="X89" s="13" t="n">
        <x:v>4</x:v>
      </x:c>
      <x:c r="Y89" s="13" t="n">
        <x:v>2721179.6500000004</x:v>
      </x:c>
      <x:c r="Z89" s="13" t="n">
        <x:v>2794034.69</x:v>
      </x:c>
      <x:c r="AA89" s="13" t="n">
        <x:v>91</x:v>
      </x:c>
      <x:c r="AB89" s="13" t="n">
        <x:v>0.09</x:v>
      </x:c>
      <x:c r="AC89" s="13" t="n">
        <x:v>0.01098901098901099</x:v>
      </x:c>
      <x:c r="AD89" s="13" t="n">
        <x:v>0.04346768992309741</x:v>
      </x:c>
      <x:c r="AE89" s="13" t="n">
        <x:v>0.12293870266872027</x:v>
      </x:c>
      <x:c r="AF89" s="13" t="n">
        <x:v>73545.39594594594</x:v>
      </x:c>
      <x:c r="AG89" s="13" t="n">
        <x:v>0.9891941409479341</x:v>
      </x:c>
      <x:c r="AH89" s="13" t="n">
        <x:v>0.043726208974463554</x:v>
      </x:c>
      <x:c r="AI89" s="13" t="n">
        <x:v>35</x:v>
      </x:c>
      <x:c r="AJ89" s="13" t="n">
        <x:v>2037721.1900000004</x:v>
      </x:c>
      <x:c r="AK89" s="13" t="n">
        <x:v>0.2446134482317397</x:v>
      </x:c>
      <x:c r="AL89" s="13" t="n">
        <x:v>0.05863192182410423</x:v>
      </x:c>
      <x:c r="AM89" s="13" t="n">
        <x:v>0.006920415224913495</x:v>
      </x:c>
      <x:c r="AN89" s="13" t="n">
        <x:v>0.22785724141785604</x:v>
      </x:c>
      <x:c r="AO89" s="13" t="n">
        <x:v>1.1008891851198586</x:v>
      </x:c>
      <x:c r="AP89" s="13" t="n">
        <x:v>0.03899969162457573</x:v>
      </x:c>
    </x:row>
    <x:row r="90" ht="15" hidden="0" customHeight="1">
      <x:c r="A90" s="2" t="str">
        <x:v>E89</x:v>
      </x:c>
      <x:c r="B90" s="2" t="str">
        <x:v>***物资有限公司</x:v>
      </x:c>
      <x:c r="C90" s="2" t="str">
        <x:v>有信贷记录</x:v>
      </x:c>
      <x:c r="D90" s="2" t="str">
        <x:v>A</x:v>
      </x:c>
      <x:c r="E90" s="2" t="str">
        <x:v>否</x:v>
      </x:c>
      <x:c r="F90" s="13" t="n">
        <x:v>65</x:v>
      </x:c>
      <x:c r="G90" s="13" t="n">
        <x:v>63</x:v>
      </x:c>
      <x:c r="H90" s="13" t="n">
        <x:v>2</x:v>
      </x:c>
      <x:c r="I90" s="13" t="n">
        <x:v>0</x:v>
      </x:c>
      <x:c r="J90" s="13" t="n">
        <x:v>2718420.6900000004</x:v>
      </x:c>
      <x:c r="K90" s="13" t="n">
        <x:v>2718420.6900000004</x:v>
      </x:c>
      <x:c r="L90" s="13" t="n">
        <x:v>12</x:v>
      </x:c>
      <x:c r="M90" s="13" t="n">
        <x:v>0.03076923076923077</x:v>
      </x:c>
      <x:c r="N90" s="13" t="n">
        <x:v>0</x:v>
      </x:c>
      <x:c r="O90" s="13" t="n">
        <x:v>0.9765675376364001</x:v>
      </x:c>
      <x:c r="P90" s="13" t="n">
        <x:v>0.9881973051051197</x:v>
      </x:c>
      <x:c r="Q90" s="13" t="n">
        <x:v>77669.16257142858</x:v>
      </x:c>
      <x:c r="R90" s="13" t="n">
        <x:v>5.760162237160675</x:v>
      </x:c>
      <x:c r="S90" s="13" t="n">
        <x:v>-0.16368305241029632</x:v>
      </x:c>
      <x:c r="T90" s="13" t="n">
        <x:v>16</x:v>
      </x:c>
      <x:c r="U90" s="13" t="n">
        <x:v>172</x:v>
      </x:c>
      <x:c r="V90" s="13" t="n">
        <x:v>165</x:v>
      </x:c>
      <x:c r="W90" s="13" t="n">
        <x:v>7</x:v>
      </x:c>
      <x:c r="X90" s="13" t="n">
        <x:v>0</x:v>
      </x:c>
      <x:c r="Y90" s="13" t="n">
        <x:v>2158396</x:v>
      </x:c>
      <x:c r="Z90" s="13" t="n">
        <x:v>2158396</x:v>
      </x:c>
      <x:c r="AA90" s="13" t="n">
        <x:v>25</x:v>
      </x:c>
      <x:c r="AB90" s="13" t="n">
        <x:v>0.040697674418604654</x:v>
      </x:c>
      <x:c r="AC90" s="13" t="n">
        <x:v>0</x:v>
      </x:c>
      <x:c r="AD90" s="13" t="n">
        <x:v>0.09461584035356593</x:v>
      </x:c>
      <x:c r="AE90" s="13" t="n">
        <x:v>0.19744662239922608</x:v>
      </x:c>
      <x:c r="AF90" s="13" t="n">
        <x:v>58335.02702702703</x:v>
      </x:c>
      <x:c r="AG90" s="13" t="n">
        <x:v>1.5683199351701587</x:v>
      </x:c>
      <x:c r="AH90" s="13" t="n">
        <x:v>0.013268497093504205</x:v>
      </x:c>
      <x:c r="AI90" s="13" t="n">
        <x:v>23</x:v>
      </x:c>
      <x:c r="AJ90" s="13" t="n">
        <x:v>-560024.6900000004</x:v>
      </x:c>
      <x:c r="AK90" s="13" t="n">
        <x:v>1.2594633653880007</x:v>
      </x:c>
      <x:c r="AL90" s="13" t="n">
        <x:v>0.0379746835443038</x:v>
      </x:c>
      <x:c r="AM90" s="13" t="n">
        <x:v>0</x:v>
      </x:c>
      <x:c r="AN90" s="13" t="n">
        <x:v>0.535591688994983</x:v>
      </x:c>
      <x:c r="AO90" s="13" t="n">
        <x:v>3.664241086165417</x:v>
      </x:c>
      <x:c r="AP90" s="13" t="n">
        <x:v>-0.07520727765839606</x:v>
      </x:c>
    </x:row>
    <x:row r="91" ht="15" hidden="0" customHeight="1">
      <x:c r="A91" s="2" t="str">
        <x:v>E90</x:v>
      </x:c>
      <x:c r="B91" s="2" t="str">
        <x:v>***文化传媒有限责任公司</x:v>
      </x:c>
      <x:c r="C91" s="2" t="str">
        <x:v>有信贷记录</x:v>
      </x:c>
      <x:c r="D91" s="2" t="str">
        <x:v>C</x:v>
      </x:c>
      <x:c r="E91" s="2" t="str">
        <x:v>否</x:v>
      </x:c>
      <x:c r="F91" s="13" t="n">
        <x:v>139</x:v>
      </x:c>
      <x:c r="G91" s="13" t="n">
        <x:v>135</x:v>
      </x:c>
      <x:c r="H91" s="13" t="n">
        <x:v>4</x:v>
      </x:c>
      <x:c r="I91" s="13" t="n">
        <x:v>0</x:v>
      </x:c>
      <x:c r="J91" s="13" t="n">
        <x:v>757788.5700000001</x:v>
      </x:c>
      <x:c r="K91" s="13" t="n">
        <x:v>757788.5700000001</x:v>
      </x:c>
      <x:c r="L91" s="13" t="n">
        <x:v>36</x:v>
      </x:c>
      <x:c r="M91" s="13" t="n">
        <x:v>0.02877697841726619</x:v>
      </x:c>
      <x:c r="N91" s="13" t="n">
        <x:v>0</x:v>
      </x:c>
      <x:c r="O91" s="13" t="n">
        <x:v>0.12043028794953416</x:v>
      </x:c>
      <x:c r="P91" s="13" t="n">
        <x:v>0.22139024873389154</x:v>
      </x:c>
      <x:c r="Q91" s="13" t="n">
        <x:v>22963.289999999997</x:v>
      </x:c>
      <x:c r="R91" s="13" t="n">
        <x:v>2.2173795501401177</x:v>
      </x:c>
      <x:c r="S91" s="13" t="n">
        <x:v>0.11067794667472065</x:v>
      </x:c>
      <x:c r="T91" s="13" t="n">
        <x:v>23</x:v>
      </x:c>
      <x:c r="U91" s="13" t="n">
        <x:v>261</x:v>
      </x:c>
      <x:c r="V91" s="13" t="n">
        <x:v>187</x:v>
      </x:c>
      <x:c r="W91" s="13" t="n">
        <x:v>74</x:v>
      </x:c>
      <x:c r="X91" s="13" t="n">
        <x:v>6</x:v>
      </x:c>
      <x:c r="Y91" s="13" t="n">
        <x:v>3443969.33</x:v>
      </x:c>
      <x:c r="Z91" s="13" t="n">
        <x:v>3692574.9299999997</x:v>
      </x:c>
      <x:c r="AA91" s="13" t="n">
        <x:v>54</x:v>
      </x:c>
      <x:c r="AB91" s="13" t="n">
        <x:v>0.2835249042145594</x:v>
      </x:c>
      <x:c r="AC91" s="13" t="n">
        <x:v>0.03208556149732621</x:v>
      </x:c>
      <x:c r="AD91" s="13" t="n">
        <x:v>0.3238791518411551</x:v>
      </x:c>
      <x:c r="AE91" s="13" t="n">
        <x:v>0.5060158955257815</x:v>
      </x:c>
      <x:c r="AF91" s="13" t="n">
        <x:v>104362.70696969697</x:v>
      </x:c>
      <x:c r="AG91" s="13" t="n">
        <x:v>1.3803760717421436</x:v>
      </x:c>
      <x:c r="AH91" s="13" t="n">
        <x:v>0.046065887949516486</x:v>
      </x:c>
      <x:c r="AI91" s="13" t="n">
        <x:v>32</x:v>
      </x:c>
      <x:c r="AJ91" s="13" t="n">
        <x:v>2686180.76</x:v>
      </x:c>
      <x:c r="AK91" s="13" t="n">
        <x:v>0.2052195512251934</x:v>
      </x:c>
      <x:c r="AL91" s="13" t="n">
        <x:v>0.195</x:v>
      </x:c>
      <x:c r="AM91" s="13" t="n">
        <x:v>0.018633540372670808</x:v>
      </x:c>
      <x:c r="AN91" s="13" t="n">
        <x:v>0.22215471989534463</x:v>
      </x:c>
      <x:c r="AO91" s="13" t="n">
        <x:v>1.7988778109411308</x:v>
      </x:c>
      <x:c r="AP91" s="13" t="n">
        <x:v>0.07837191731211857</x:v>
      </x:c>
    </x:row>
    <x:row r="92" ht="15" hidden="0" customHeight="1">
      <x:c r="A92" s="2" t="str">
        <x:v>E91</x:v>
      </x:c>
      <x:c r="B92" s="2" t="str">
        <x:v>***科技实业有限公司</x:v>
      </x:c>
      <x:c r="C92" s="2" t="str">
        <x:v>有信贷记录</x:v>
      </x:c>
      <x:c r="D92" s="2" t="str">
        <x:v>A</x:v>
      </x:c>
      <x:c r="E92" s="2" t="str">
        <x:v>否</x:v>
      </x:c>
      <x:c r="F92" s="13" t="n">
        <x:v>177</x:v>
      </x:c>
      <x:c r="G92" s="13" t="n">
        <x:v>168</x:v>
      </x:c>
      <x:c r="H92" s="13" t="n">
        <x:v>9</x:v>
      </x:c>
      <x:c r="I92" s="13" t="n">
        <x:v>1</x:v>
      </x:c>
      <x:c r="J92" s="13" t="n">
        <x:v>1493945.65</x:v>
      </x:c>
      <x:c r="K92" s="13" t="n">
        <x:v>1529945.65</x:v>
      </x:c>
      <x:c r="L92" s="13" t="n">
        <x:v>35</x:v>
      </x:c>
      <x:c r="M92" s="13" t="n">
        <x:v>0.05084745762711865</x:v>
      </x:c>
      <x:c r="N92" s="13" t="n">
        <x:v>0.005952380952380952</x:v>
      </x:c>
      <x:c r="O92" s="13" t="n">
        <x:v>0.17935334539661604</x:v>
      </x:c>
      <x:c r="P92" s="13" t="n">
        <x:v>0.37481527530079256</x:v>
      </x:c>
      <x:c r="Q92" s="13" t="n">
        <x:v>40376.90945945946</x:v>
      </x:c>
      <x:c r="R92" s="13" t="n">
        <x:v>0.7800452198898821</x:v>
      </x:c>
      <x:c r="S92" s="13" t="n">
        <x:v>-0.004697254419541539</x:v>
      </x:c>
      <x:c r="T92" s="13" t="n">
        <x:v>36</x:v>
      </x:c>
      <x:c r="U92" s="13" t="n">
        <x:v>129</x:v>
      </x:c>
      <x:c r="V92" s="13" t="n">
        <x:v>123</x:v>
      </x:c>
      <x:c r="W92" s="13" t="n">
        <x:v>6</x:v>
      </x:c>
      <x:c r="X92" s="13" t="n">
        <x:v>1</x:v>
      </x:c>
      <x:c r="Y92" s="13" t="n">
        <x:v>2694565.5</x:v>
      </x:c>
      <x:c r="Z92" s="13" t="n">
        <x:v>2711505.5</x:v>
      </x:c>
      <x:c r="AA92" s="13" t="n">
        <x:v>73</x:v>
      </x:c>
      <x:c r="AB92" s="13" t="n">
        <x:v>0.046511627906976744</x:v>
      </x:c>
      <x:c r="AC92" s="13" t="n">
        <x:v>0.008130081300813009</x:v>
      </x:c>
      <x:c r="AD92" s="13" t="n">
        <x:v>0.036464215254248894</x:v>
      </x:c>
      <x:c r="AE92" s="13" t="n">
        <x:v>0.10953324638286738</x:v>
      </x:c>
      <x:c r="AF92" s="13" t="n">
        <x:v>72826.0945945946</x:v>
      </x:c>
      <x:c r="AG92" s="13" t="n">
        <x:v>0.29606018348502655</x:v>
      </x:c>
      <x:c r="AH92" s="13" t="n">
        <x:v>0.007875518660501176</x:v>
      </x:c>
      <x:c r="AI92" s="13" t="n">
        <x:v>37</x:v>
      </x:c>
      <x:c r="AJ92" s="13" t="n">
        <x:v>1200619.85</x:v>
      </x:c>
      <x:c r="AK92" s="13" t="n">
        <x:v>0.564242134120694</x:v>
      </x:c>
      <x:c r="AL92" s="13" t="n">
        <x:v>0.049019607843137254</x:v>
      </x:c>
      <x:c r="AM92" s="13" t="n">
        <x:v>0.006872852233676976</x:v>
      </x:c>
      <x:c r="AN92" s="13" t="n">
        <x:v>0.10790878032543247</x:v>
      </x:c>
      <x:c r="AO92" s="13" t="n">
        <x:v>0.5380527016874543</x:v>
      </x:c>
      <x:c r="AP92" s="13" t="n">
        <x:v>0.0015891321204798184</x:v>
      </x:c>
    </x:row>
    <x:row r="93" ht="15" hidden="0" customHeight="1">
      <x:c r="A93" s="2" t="str">
        <x:v>E92</x:v>
      </x:c>
      <x:c r="B93" s="2" t="str">
        <x:v>***地质灾害防治有限公司</x:v>
      </x:c>
      <x:c r="C93" s="2" t="str">
        <x:v>有信贷记录</x:v>
      </x:c>
      <x:c r="D93" s="2" t="str">
        <x:v>C</x:v>
      </x:c>
      <x:c r="E93" s="2" t="str">
        <x:v>否</x:v>
      </x:c>
      <x:c r="F93" s="13" t="n">
        <x:v>213</x:v>
      </x:c>
      <x:c r="G93" s="13" t="n">
        <x:v>212</x:v>
      </x:c>
      <x:c r="H93" s="13" t="n">
        <x:v>1</x:v>
      </x:c>
      <x:c r="I93" s="13" t="n">
        <x:v>0</x:v>
      </x:c>
      <x:c r="J93" s="13" t="n">
        <x:v>159392.41</x:v>
      </x:c>
      <x:c r="K93" s="13" t="n">
        <x:v>159392.41</x:v>
      </x:c>
      <x:c r="L93" s="13" t="n">
        <x:v>89</x:v>
      </x:c>
      <x:c r="M93" s="13" t="n">
        <x:v>0.004694835680751174</x:v>
      </x:c>
      <x:c r="N93" s="13" t="n">
        <x:v>0</x:v>
      </x:c>
      <x:c r="O93" s="13" t="n">
        <x:v>0.05606064484991598</x:v>
      </x:c>
      <x:c r="P93" s="13" t="n">
        <x:v>0.1769218496664929</x:v>
      </x:c>
      <x:c r="Q93" s="13" t="n">
        <x:v>5141.69064516129</x:v>
      </x:c>
      <x:c r="R93" s="13" t="n">
        <x:v>1.2380574093923835</x:v>
      </x:c>
      <x:c r="S93" s="13" t="n">
        <x:v>0.0014547618672680314</x:v>
      </x:c>
      <x:c r="T93" s="13" t="n">
        <x:v>30</x:v>
      </x:c>
      <x:c r="U93" s="13" t="n">
        <x:v>39</x:v>
      </x:c>
      <x:c r="V93" s="13" t="n">
        <x:v>36</x:v>
      </x:c>
      <x:c r="W93" s="13" t="n">
        <x:v>3</x:v>
      </x:c>
      <x:c r="X93" s="13" t="n">
        <x:v>2</x:v>
      </x:c>
      <x:c r="Y93" s="13" t="n">
        <x:v>2275840</x:v>
      </x:c>
      <x:c r="Z93" s="13" t="n">
        <x:v>2527840</x:v>
      </x:c>
      <x:c r="AA93" s="13" t="n">
        <x:v>13</x:v>
      </x:c>
      <x:c r="AB93" s="13" t="n">
        <x:v>0.07692307692307693</x:v>
      </x:c>
      <x:c r="AC93" s="13" t="n">
        <x:v>0.05555555555555555</x:v>
      </x:c>
      <x:c r="AD93" s="13" t="n">
        <x:v>0.36811363572654754</x:v>
      </x:c>
      <x:c r="AE93" s="13" t="n">
        <x:v>0.5797835306032028</x:v>
      </x:c>
      <x:c r="AF93" s="13" t="n">
        <x:v>61509.18918918919</x:v>
      </x:c>
      <x:c r="AG93" s="13" t="n">
        <x:v>2.462191205094594</x:v>
      </x:c>
      <x:c r="AH93" s="13" t="n">
        <x:v>0.07734028247401728</x:v>
      </x:c>
      <x:c r="AI93" s="13" t="n">
        <x:v>12</x:v>
      </x:c>
      <x:c r="AJ93" s="13" t="n">
        <x:v>2116447.59</x:v>
      </x:c>
      <x:c r="AK93" s="13" t="n">
        <x:v>0.06305478590417113</x:v>
      </x:c>
      <x:c r="AL93" s="13" t="n">
        <x:v>0.015873015873015872</x:v>
      </x:c>
      <x:c r="AM93" s="13" t="n">
        <x:v>0.008064516129032258</x:v>
      </x:c>
      <x:c r="AN93" s="13" t="n">
        <x:v>0.21208714028823175</x:v>
      </x:c>
      <x:c r="AO93" s="13" t="n">
        <x:v>1.8501243072434888</x:v>
      </x:c>
      <x:c r="AP93" s="13" t="n">
        <x:v>0.03939752217064266</x:v>
      </x:c>
    </x:row>
    <x:row r="94" ht="15" hidden="0" customHeight="1">
      <x:c r="A94" s="2" t="str">
        <x:v>E93</x:v>
      </x:c>
      <x:c r="B94" s="2" t="str">
        <x:v>***电脑设计事务所</x:v>
      </x:c>
      <x:c r="C94" s="2" t="str">
        <x:v>有信贷记录</x:v>
      </x:c>
      <x:c r="D94" s="2" t="str">
        <x:v>B</x:v>
      </x:c>
      <x:c r="E94" s="2" t="str">
        <x:v>否</x:v>
      </x:c>
      <x:c r="F94" s="13" t="n">
        <x:v>213</x:v>
      </x:c>
      <x:c r="G94" s="13" t="n">
        <x:v>208</x:v>
      </x:c>
      <x:c r="H94" s="13" t="n">
        <x:v>5</x:v>
      </x:c>
      <x:c r="I94" s="13" t="n">
        <x:v>1</x:v>
      </x:c>
      <x:c r="J94" s="13" t="n">
        <x:v>302914.82999999996</x:v>
      </x:c>
      <x:c r="K94" s="13" t="n">
        <x:v>315214.82999999996</x:v>
      </x:c>
      <x:c r="L94" s="13" t="n">
        <x:v>66</x:v>
      </x:c>
      <x:c r="M94" s="13" t="n">
        <x:v>0.023474178403755867</x:v>
      </x:c>
      <x:c r="N94" s="13" t="n">
        <x:v>0.004807692307692308</x:v>
      </x:c>
      <x:c r="O94" s="13" t="n">
        <x:v>0.16133797597818983</x:v>
      </x:c>
      <x:c r="P94" s="13" t="n">
        <x:v>0.3710644578492706</x:v>
      </x:c>
      <x:c r="Q94" s="13" t="n">
        <x:v>9771.446129032256</x:v>
      </x:c>
      <x:c r="R94" s="13" t="n">
        <x:v>1.4374098518495961</x:v>
      </x:c>
      <x:c r="S94" s="13" t="n">
        <x:v>0.043749320147180144</x:v>
      </x:c>
      <x:c r="T94" s="13" t="n">
        <x:v>29</x:v>
      </x:c>
      <x:c r="U94" s="13" t="n">
        <x:v>148</x:v>
      </x:c>
      <x:c r="V94" s="13" t="n">
        <x:v>141</x:v>
      </x:c>
      <x:c r="W94" s="13" t="n">
        <x:v>7</x:v>
      </x:c>
      <x:c r="X94" s="13" t="n">
        <x:v>5</x:v>
      </x:c>
      <x:c r="Y94" s="13" t="n">
        <x:v>1520337</x:v>
      </x:c>
      <x:c r="Z94" s="13" t="n">
        <x:v>1609109</x:v>
      </x:c>
      <x:c r="AA94" s="13" t="n">
        <x:v>29</x:v>
      </x:c>
      <x:c r="AB94" s="13" t="n">
        <x:v>0.0472972972972973</x:v>
      </x:c>
      <x:c r="AC94" s="13" t="n">
        <x:v>0.03546099290780142</x:v>
      </x:c>
      <x:c r="AD94" s="13" t="n">
        <x:v>0.11480734557008494</x:v>
      </x:c>
      <x:c r="AE94" s="13" t="n">
        <x:v>0.21994905255020014</x:v>
      </x:c>
      <x:c r="AF94" s="13" t="n">
        <x:v>41090.18918918919</x:v>
      </x:c>
      <x:c r="AG94" s="13" t="n">
        <x:v>1.2226896161074157</x:v>
      </x:c>
      <x:c r="AH94" s="13" t="n">
        <x:v>0.03367511120485683</x:v>
      </x:c>
      <x:c r="AI94" s="13" t="n">
        <x:v>34</x:v>
      </x:c>
      <x:c r="AJ94" s="13" t="n">
        <x:v>1217422.17</x:v>
      </x:c>
      <x:c r="AK94" s="13" t="n">
        <x:v>0.1958940196096099</x:v>
      </x:c>
      <x:c r="AL94" s="13" t="n">
        <x:v>0.0332409972299169</x:v>
      </x:c>
      <x:c r="AM94" s="13" t="n">
        <x:v>0.017191977077363897</x:v>
      </x:c>
      <x:c r="AN94" s="13" t="n">
        <x:v>0.13807266077413738</x:v>
      </x:c>
      <x:c r="AO94" s="13" t="n">
        <x:v>1.3300497339785058</x:v>
      </x:c>
      <x:c r="AP94" s="13" t="n">
        <x:v>0.038712215676018485</x:v>
      </x:c>
    </x:row>
    <x:row r="95" ht="15" hidden="0" customHeight="1">
      <x:c r="A95" s="2" t="str">
        <x:v>E94</x:v>
      </x:c>
      <x:c r="B95" s="2" t="str">
        <x:v>***汽车美容有限公司</x:v>
      </x:c>
      <x:c r="C95" s="2" t="str">
        <x:v>有信贷记录</x:v>
      </x:c>
      <x:c r="D95" s="2" t="str">
        <x:v>C</x:v>
      </x:c>
      <x:c r="E95" s="2" t="str">
        <x:v>否</x:v>
      </x:c>
      <x:c r="F95" s="13" t="n">
        <x:v>4</x:v>
      </x:c>
      <x:c r="G95" s="13" t="n">
        <x:v>4</x:v>
      </x:c>
      <x:c r="H95" s="13" t="n">
        <x:v>0</x:v>
      </x:c>
      <x:c r="I95" s="13" t="n">
        <x:v>0</x:v>
      </x:c>
      <x:c r="J95" s="13" t="n">
        <x:v>16346</x:v>
      </x:c>
      <x:c r="K95" s="13" t="n">
        <x:v>16346</x:v>
      </x:c>
      <x:c r="L95" s="13" t="n">
        <x:v>4</x:v>
      </x:c>
      <x:c r="M95" s="13" t="n">
        <x:v>0</x:v>
      </x:c>
      <x:c r="N95" s="13" t="n">
        <x:v>0</x:v>
      </x:c>
      <x:c r="O95" s="13" t="n">
        <x:v>0.8950638125322719</x:v>
      </x:c>
      <x:c r="P95" s="13" t="n">
        <x:v>0.945552428728741</x:v>
      </x:c>
      <x:c r="Q95" s="13" t="n">
        <x:v>710.695652173913</x:v>
      </x:c>
      <x:c r="R95" s="13" t="n">
        <x:v>4.509049292006841</x:v>
      </x:c>
      <x:c r="S95" s="13" t="n">
        <x:v>-0.044522985884724316</x:v>
      </x:c>
      <x:c r="T95" s="13" t="n">
        <x:v>3</x:v>
      </x:c>
      <x:c r="U95" s="13" t="n">
        <x:v>196</x:v>
      </x:c>
      <x:c r="V95" s="13" t="n">
        <x:v>178</x:v>
      </x:c>
      <x:c r="W95" s="13" t="n">
        <x:v>18</x:v>
      </x:c>
      <x:c r="X95" s="13" t="n">
        <x:v>9</x:v>
      </x:c>
      <x:c r="Y95" s="13" t="n">
        <x:v>1084795.8900000001</x:v>
      </x:c>
      <x:c r="Z95" s="13" t="n">
        <x:v>1264795.8900000001</x:v>
      </x:c>
      <x:c r="AA95" s="13" t="n">
        <x:v>61</x:v>
      </x:c>
      <x:c r="AB95" s="13" t="n">
        <x:v>0.09183673469387756</x:v>
      </x:c>
      <x:c r="AC95" s="13" t="n">
        <x:v>0.05056179775280899</x:v>
      </x:c>
      <x:c r="AD95" s="13" t="n">
        <x:v>0.1397663799028288</x:v>
      </x:c>
      <x:c r="AE95" s="13" t="n">
        <x:v>0.22697417209349094</x:v>
      </x:c>
      <x:c r="AF95" s="13" t="n">
        <x:v>32872.60272727273</x:v>
      </x:c>
      <x:c r="AG95" s="13" t="n">
        <x:v>1.8836551357807463</x:v>
      </x:c>
      <x:c r="AH95" s="13" t="n">
        <x:v>0.06275555735976039</x:v>
      </x:c>
      <x:c r="AI95" s="13" t="n">
        <x:v>23</x:v>
      </x:c>
      <x:c r="AJ95" s="13" t="n">
        <x:v>1068449.8900000001</x:v>
      </x:c>
      <x:c r="AK95" s="13" t="n">
        <x:v>0.012923824412490766</x:v>
      </x:c>
      <x:c r="AL95" s="13" t="n">
        <x:v>0.09</x:v>
      </x:c>
      <x:c r="AM95" s="13" t="n">
        <x:v>0.04945054945054945</x:v>
      </x:c>
      <x:c r="AN95" s="13" t="n">
        <x:v>0.5174150962175503</x:v>
      </x:c>
      <x:c r="AO95" s="13" t="n">
        <x:v>3.1963522138937934</x:v>
      </x:c>
      <x:c r="AP95" s="13" t="n">
        <x:v>0.009116285737518038</x:v>
      </x:c>
    </x:row>
    <x:row r="96" ht="15" hidden="0" customHeight="1">
      <x:c r="A96" s="2" t="str">
        <x:v>E95</x:v>
      </x:c>
      <x:c r="B96" s="2" t="str">
        <x:v>***兰花店</x:v>
      </x:c>
      <x:c r="C96" s="2" t="str">
        <x:v>有信贷记录</x:v>
      </x:c>
      <x:c r="D96" s="2" t="str">
        <x:v>B</x:v>
      </x:c>
      <x:c r="E96" s="2" t="str">
        <x:v>否</x:v>
      </x:c>
      <x:c r="F96" s="13" t="n">
        <x:v>4</x:v>
      </x:c>
      <x:c r="G96" s="13" t="n">
        <x:v>4</x:v>
      </x:c>
      <x:c r="H96" s="13" t="n">
        <x:v>0</x:v>
      </x:c>
      <x:c r="I96" s="13" t="n">
        <x:v>0</x:v>
      </x:c>
      <x:c r="J96" s="13" t="n">
        <x:v>1138</x:v>
      </x:c>
      <x:c r="K96" s="13" t="n">
        <x:v>1138</x:v>
      </x:c>
      <x:c r="L96" s="13" t="n">
        <x:v>1</x:v>
      </x:c>
      <x:c r="M96" s="13" t="n">
        <x:v>0</x:v>
      </x:c>
      <x:c r="N96" s="13" t="n">
        <x:v>0</x:v>
      </x:c>
      <x:c r="O96" s="13" t="n">
        <x:v>1</x:v>
      </x:c>
      <x:c r="P96" s="13" t="n">
        <x:v>1</x:v>
      </x:c>
      <x:c r="Q96" s="13" t="n">
        <x:v>45.52</x:v>
      </x:c>
      <x:c r="R96" s="13" t="n">
        <x:v>2.911391956568605</x:v>
      </x:c>
      <x:c r="S96" s="13" t="n">
        <x:v>-0.06516155197910115</x:v>
      </x:c>
      <x:c r="T96" s="13" t="n">
        <x:v>3</x:v>
      </x:c>
      <x:c r="U96" s="13" t="n">
        <x:v>913</x:v>
      </x:c>
      <x:c r="V96" s="13" t="n">
        <x:v>864</x:v>
      </x:c>
      <x:c r="W96" s="13" t="n">
        <x:v>49</x:v>
      </x:c>
      <x:c r="X96" s="13" t="n">
        <x:v>0</x:v>
      </x:c>
      <x:c r="Y96" s="13" t="n">
        <x:v>2380080.45</x:v>
      </x:c>
      <x:c r="Z96" s="13" t="n">
        <x:v>2380080.45</x:v>
      </x:c>
      <x:c r="AA96" s="13" t="n">
        <x:v>489</x:v>
      </x:c>
      <x:c r="AB96" s="13" t="n">
        <x:v>0.05366922234392114</x:v>
      </x:c>
      <x:c r="AC96" s="13" t="n">
        <x:v>0</x:v>
      </x:c>
      <x:c r="AD96" s="13" t="n">
        <x:v>0.03414053093362807</x:v>
      </x:c>
      <x:c r="AE96" s="13" t="n">
        <x:v>0.1603391179487231</x:v>
      </x:c>
      <x:c r="AF96" s="13" t="n">
        <x:v>64326.49864864865</x:v>
      </x:c>
      <x:c r="AG96" s="13" t="n">
        <x:v>0.8183452642176934</x:v>
      </x:c>
      <x:c r="AH96" s="13" t="n">
        <x:v>-0.013025626485595423</x:v>
      </x:c>
      <x:c r="AI96" s="13" t="n">
        <x:v>35</x:v>
      </x:c>
      <x:c r="AJ96" s="13" t="n">
        <x:v>2378942.45</x:v>
      </x:c>
      <x:c r="AK96" s="13" t="n">
        <x:v>0.0004781350983324952</x:v>
      </x:c>
      <x:c r="AL96" s="13" t="n">
        <x:v>0.05343511450381679</x:v>
      </x:c>
      <x:c r="AM96" s="13" t="n">
        <x:v>0</x:v>
      </x:c>
      <x:c r="AN96" s="13" t="n">
        <x:v>0.517070265466814</x:v>
      </x:c>
      <x:c r="AO96" s="13" t="n">
        <x:v>1.864868610393149</x:v>
      </x:c>
      <x:c r="AP96" s="13" t="n">
        <x:v>-0.039093589232348284</x:v>
      </x:c>
    </x:row>
    <x:row r="97" ht="15" hidden="0" customHeight="1">
      <x:c r="A97" s="2" t="str">
        <x:v>E96</x:v>
      </x:c>
      <x:c r="B97" s="2" t="str">
        <x:v>***土地整理有限公司</x:v>
      </x:c>
      <x:c r="C97" s="2" t="str">
        <x:v>有信贷记录</x:v>
      </x:c>
      <x:c r="D97" s="2" t="str">
        <x:v>C</x:v>
      </x:c>
      <x:c r="E97" s="2" t="str">
        <x:v>否</x:v>
      </x:c>
      <x:c r="F97" s="13" t="n">
        <x:v>11</x:v>
      </x:c>
      <x:c r="G97" s="13" t="n">
        <x:v>11</x:v>
      </x:c>
      <x:c r="H97" s="13" t="n">
        <x:v>0</x:v>
      </x:c>
      <x:c r="I97" s="13" t="n">
        <x:v>0</x:v>
      </x:c>
      <x:c r="J97" s="13" t="n">
        <x:v>2435469.96</x:v>
      </x:c>
      <x:c r="K97" s="13" t="n">
        <x:v>2435469.96</x:v>
      </x:c>
      <x:c r="L97" s="13" t="n">
        <x:v>6</x:v>
      </x:c>
      <x:c r="M97" s="13" t="n">
        <x:v>0</x:v>
      </x:c>
      <x:c r="N97" s="13" t="n">
        <x:v>0</x:v>
      </x:c>
      <x:c r="O97" s="13" t="n">
        <x:v>0.9925939087894139</x:v>
      </x:c>
      <x:c r="P97" s="13" t="n">
        <x:v>0.9962865647499097</x:v>
      </x:c>
      <x:c r="Q97" s="13" t="n">
        <x:v>101477.915</x:v>
      </x:c>
      <x:c r="R97" s="13" t="n">
        <x:v>4.777269503111377</x:v>
      </x:c>
      <x:c r="S97" s="13" t="n">
        <x:v>-0.052654605684398906</x:v>
      </x:c>
      <x:c r="T97" s="13" t="n">
        <x:v>7</x:v>
      </x:c>
      <x:c r="U97" s="13" t="n">
        <x:v>20</x:v>
      </x:c>
      <x:c r="V97" s="13" t="n">
        <x:v>18</x:v>
      </x:c>
      <x:c r="W97" s="13" t="n">
        <x:v>2</x:v>
      </x:c>
      <x:c r="X97" s="13" t="n">
        <x:v>0</x:v>
      </x:c>
      <x:c r="Y97" s="13" t="n">
        <x:v>1481350</x:v>
      </x:c>
      <x:c r="Z97" s="13" t="n">
        <x:v>1481350</x:v>
      </x:c>
      <x:c r="AA97" s="13" t="n">
        <x:v>3</x:v>
      </x:c>
      <x:c r="AB97" s="13" t="n">
        <x:v>0.1</x:v>
      </x:c>
      <x:c r="AC97" s="13" t="n">
        <x:v>0</x:v>
      </x:c>
      <x:c r="AD97" s="13" t="n">
        <x:v>0.7469536998686117</x:v>
      </x:c>
      <x:c r="AE97" s="13" t="n">
        <x:v>0.8565497687919803</x:v>
      </x:c>
      <x:c r="AF97" s="13" t="n">
        <x:v>74067.5</x:v>
      </x:c>
      <x:c r="AG97" s="13" t="n">
        <x:v>2.7393616492846546</x:v>
      </x:c>
      <x:c r="AH97" s="13" t="n">
        <x:v>0.20507254229338892</x:v>
      </x:c>
      <x:c r="AI97" s="13" t="n">
        <x:v>4</x:v>
      </x:c>
      <x:c r="AJ97" s="13" t="n">
        <x:v>-954119.96</x:v>
      </x:c>
      <x:c r="AK97" s="13" t="n">
        <x:v>1.6440881358220532</x:v>
      </x:c>
      <x:c r="AL97" s="13" t="n">
        <x:v>0.06451612903225806</x:v>
      </x:c>
      <x:c r="AM97" s="13" t="n">
        <x:v>0</x:v>
      </x:c>
      <x:c r="AN97" s="13" t="n">
        <x:v>0.8697738043290129</x:v>
      </x:c>
      <x:c r="AO97" s="13" t="n">
        <x:v>3.758315576198016</x:v>
      </x:c>
      <x:c r="AP97" s="13" t="n">
        <x:v>0.076208968304495</x:v>
      </x:c>
    </x:row>
    <x:row r="98" ht="15" hidden="0" customHeight="1">
      <x:c r="A98" s="2" t="str">
        <x:v>E97</x:v>
      </x:c>
      <x:c r="B98" s="2" t="str">
        <x:v>***美工装饰部</x:v>
      </x:c>
      <x:c r="C98" s="2" t="str">
        <x:v>有信贷记录</x:v>
      </x:c>
      <x:c r="D98" s="2" t="str">
        <x:v>B</x:v>
      </x:c>
      <x:c r="E98" s="2" t="str">
        <x:v>否</x:v>
      </x:c>
      <x:c r="F98" s="13" t="n">
        <x:v>9</x:v>
      </x:c>
      <x:c r="G98" s="13" t="n">
        <x:v>9</x:v>
      </x:c>
      <x:c r="H98" s="13" t="n">
        <x:v>0</x:v>
      </x:c>
      <x:c r="I98" s="13" t="n">
        <x:v>0</x:v>
      </x:c>
      <x:c r="J98" s="13" t="n">
        <x:v>19880</x:v>
      </x:c>
      <x:c r="K98" s="13" t="n">
        <x:v>19880</x:v>
      </x:c>
      <x:c r="L98" s="13" t="n">
        <x:v>2</x:v>
      </x:c>
      <x:c r="M98" s="13" t="n">
        <x:v>0</x:v>
      </x:c>
      <x:c r="N98" s="13" t="n">
        <x:v>0</x:v>
      </x:c>
      <x:c r="O98" s="13" t="n">
        <x:v>0.9722277325927395</x:v>
      </x:c>
      <x:c r="P98" s="13" t="n">
        <x:v>0.9859154929577465</x:v>
      </x:c>
      <x:c r="Q98" s="13" t="n">
        <x:v>1169.4117647058824</x:v>
      </x:c>
      <x:c r="R98" s="13" t="n">
        <x:v>1.2786740110186563</x:v>
      </x:c>
      <x:c r="S98" s="13" t="n">
        <x:v>-0.023264587525130945</x:v>
      </x:c>
      <x:c r="T98" s="13" t="n">
        <x:v>9</x:v>
      </x:c>
      <x:c r="U98" s="13" t="n">
        <x:v>264</x:v>
      </x:c>
      <x:c r="V98" s="13" t="n">
        <x:v>255</x:v>
      </x:c>
      <x:c r="W98" s="13" t="n">
        <x:v>9</x:v>
      </x:c>
      <x:c r="X98" s="13" t="n">
        <x:v>4</x:v>
      </x:c>
      <x:c r="Y98" s="13" t="n">
        <x:v>1000542.9</x:v>
      </x:c>
      <x:c r="Z98" s="13" t="n">
        <x:v>1024162.9</x:v>
      </x:c>
      <x:c r="AA98" s="13" t="n">
        <x:v>67</x:v>
      </x:c>
      <x:c r="AB98" s="13" t="n">
        <x:v>0.03409090909090909</x:v>
      </x:c>
      <x:c r="AC98" s="13" t="n">
        <x:v>0.01568627450980392</x:v>
      </x:c>
      <x:c r="AD98" s="13" t="n">
        <x:v>0.11151899008411378</x:v>
      </x:c>
      <x:c r="AE98" s="13" t="n">
        <x:v>0.20779604494558435</x:v>
      </x:c>
      <x:c r="AF98" s="13" t="n">
        <x:v>52660.152631578945</x:v>
      </x:c>
      <x:c r="AG98" s="13" t="n">
        <x:v>0.7495549431514696</x:v>
      </x:c>
      <x:c r="AH98" s="13" t="n">
        <x:v>0.061542765099492996</x:v>
      </x:c>
      <x:c r="AI98" s="13" t="n">
        <x:v>19</x:v>
      </x:c>
      <x:c r="AJ98" s="13" t="n">
        <x:v>980662.9</x:v>
      </x:c>
      <x:c r="AK98" s="13" t="n">
        <x:v>0.019410974562737996</x:v>
      </x:c>
      <x:c r="AL98" s="13" t="n">
        <x:v>0.03296703296703297</x:v>
      </x:c>
      <x:c r="AM98" s="13" t="n">
        <x:v>0.015151515151515152</x:v>
      </x:c>
      <x:c r="AN98" s="13" t="n">
        <x:v>0.5418733613384267</x:v>
      </x:c>
      <x:c r="AO98" s="13" t="n">
        <x:v>1.014114477085063</x:v>
      </x:c>
      <x:c r="AP98" s="13" t="n">
        <x:v>0.019139088787181027</x:v>
      </x:c>
    </x:row>
    <x:row r="99" ht="15" hidden="0" customHeight="1">
      <x:c r="A99" s="2" t="str">
        <x:v>E98</x:v>
      </x:c>
      <x:c r="B99" s="2" t="str">
        <x:v>***文化传播有限公司</x:v>
      </x:c>
      <x:c r="C99" s="2" t="str">
        <x:v>有信贷记录</x:v>
      </x:c>
      <x:c r="D99" s="2" t="str">
        <x:v>B</x:v>
      </x:c>
      <x:c r="E99" s="2" t="str">
        <x:v>否</x:v>
      </x:c>
      <x:c r="F99" s="13" t="n">
        <x:v>51</x:v>
      </x:c>
      <x:c r="G99" s="13" t="n">
        <x:v>50</x:v>
      </x:c>
      <x:c r="H99" s="13" t="n">
        <x:v>1</x:v>
      </x:c>
      <x:c r="I99" s="13" t="n">
        <x:v>1</x:v>
      </x:c>
      <x:c r="J99" s="13" t="n">
        <x:v>209282.97999999998</x:v>
      </x:c>
      <x:c r="K99" s="13" t="n">
        <x:v>213276.97999999998</x:v>
      </x:c>
      <x:c r="L99" s="13" t="n">
        <x:v>27</x:v>
      </x:c>
      <x:c r="M99" s="13" t="n">
        <x:v>0.0196078431372549</x:v>
      </x:c>
      <x:c r="N99" s="13" t="n">
        <x:v>0.02</x:v>
      </x:c>
      <x:c r="O99" s="13" t="n">
        <x:v>0.26244662658752166</x:v>
      </x:c>
      <x:c r="P99" s="13" t="n">
        <x:v>0.4688738559595133</x:v>
      </x:c>
      <x:c r="Q99" s="13" t="n">
        <x:v>6751.063870967741</x:v>
      </x:c>
      <x:c r="R99" s="13" t="n">
        <x:v>2.7249117468761836</x:v>
      </x:c>
      <x:c r="S99" s="13" t="n">
        <x:v>0.08315232203783329</x:v>
      </x:c>
      <x:c r="T99" s="13" t="n">
        <x:v>20</x:v>
      </x:c>
      <x:c r="U99" s="13" t="n">
        <x:v>153</x:v>
      </x:c>
      <x:c r="V99" s="13" t="n">
        <x:v>133</x:v>
      </x:c>
      <x:c r="W99" s="13" t="n">
        <x:v>20</x:v>
      </x:c>
      <x:c r="X99" s="13" t="n">
        <x:v>6</x:v>
      </x:c>
      <x:c r="Y99" s="13" t="n">
        <x:v>1445110.8</x:v>
      </x:c>
      <x:c r="Z99" s="13" t="n">
        <x:v>1630434.7999999998</x:v>
      </x:c>
      <x:c r="AA99" s="13" t="n">
        <x:v>25</x:v>
      </x:c>
      <x:c r="AB99" s="13" t="n">
        <x:v>0.13071895424836602</x:v>
      </x:c>
      <x:c r="AC99" s="13" t="n">
        <x:v>0.045112781954887216</x:v>
      </x:c>
      <x:c r="AD99" s="13" t="n">
        <x:v>0.1671773396750808</x:v>
      </x:c>
      <x:c r="AE99" s="13" t="n">
        <x:v>0.2744948770720546</x:v>
      </x:c>
      <x:c r="AF99" s="13" t="n">
        <x:v>39057.04864864865</x:v>
      </x:c>
      <x:c r="AG99" s="13" t="n">
        <x:v>1.440977845508769</x:v>
      </x:c>
      <x:c r="AH99" s="13" t="n">
        <x:v>0.01835858362197473</x:v>
      </x:c>
      <x:c r="AI99" s="13" t="n">
        <x:v>31</x:v>
      </x:c>
      <x:c r="AJ99" s="13" t="n">
        <x:v>1235827.82</x:v>
      </x:c>
      <x:c r="AK99" s="13" t="n">
        <x:v>0.1308098796713612</x:v>
      </x:c>
      <x:c r="AL99" s="13" t="n">
        <x:v>0.10294117647058823</x:v>
      </x:c>
      <x:c r="AM99" s="13" t="n">
        <x:v>0.03825136612021858</x:v>
      </x:c>
      <x:c r="AN99" s="13" t="n">
        <x:v>0.21481198313130123</x:v>
      </x:c>
      <x:c r="AO99" s="13" t="n">
        <x:v>2.0829447961924763</x:v>
      </x:c>
      <x:c r="AP99" s="13" t="n">
        <x:v>0.05075545282990401</x:v>
      </x:c>
    </x:row>
    <x:row r="100" ht="15" hidden="0" customHeight="1">
      <x:c r="A100" s="2" t="str">
        <x:v>E99</x:v>
      </x:c>
      <x:c r="B100" s="2" t="str">
        <x:v>***建筑工程有限责任公司</x:v>
      </x:c>
      <x:c r="C100" s="2" t="str">
        <x:v>有信贷记录</x:v>
      </x:c>
      <x:c r="D100" s="2" t="str">
        <x:v>D</x:v>
      </x:c>
      <x:c r="E100" s="2" t="str">
        <x:v>是</x:v>
      </x:c>
      <x:c r="F100" s="13" t="n">
        <x:v>880</x:v>
      </x:c>
      <x:c r="G100" s="13" t="n">
        <x:v>871</x:v>
      </x:c>
      <x:c r="H100" s="13" t="n">
        <x:v>9</x:v>
      </x:c>
      <x:c r="I100" s="13" t="n">
        <x:v>11</x:v>
      </x:c>
      <x:c r="J100" s="13" t="n">
        <x:v>4536061.600000001</x:v>
      </x:c>
      <x:c r="K100" s="13" t="n">
        <x:v>4779930.4</x:v>
      </x:c>
      <x:c r="L100" s="13" t="n">
        <x:v>81</x:v>
      </x:c>
      <x:c r="M100" s="13" t="n">
        <x:v>0.010227272727272727</x:v>
      </x:c>
      <x:c r="N100" s="13" t="n">
        <x:v>0.012629161882893225</x:v>
      </x:c>
      <x:c r="O100" s="13" t="n">
        <x:v>0.2415305012626281</x:v>
      </x:c>
      <x:c r="P100" s="13" t="n">
        <x:v>0.46866020894362814</x:v>
      </x:c>
      <x:c r="Q100" s="13" t="n">
        <x:v>174463.90769230772</x:v>
      </x:c>
      <x:c r="R100" s="13" t="n">
        <x:v>2.542119817582092</x:v>
      </x:c>
      <x:c r="S100" s="13" t="n">
        <x:v>0.02627734383305342</x:v>
      </x:c>
      <x:c r="T100" s="13" t="n">
        <x:v>25</x:v>
      </x:c>
      <x:c r="U100" s="13" t="n">
        <x:v>8</x:v>
      </x:c>
      <x:c r="V100" s="13" t="n">
        <x:v>5</x:v>
      </x:c>
      <x:c r="W100" s="13" t="n">
        <x:v>3</x:v>
      </x:c>
      <x:c r="X100" s="13" t="n">
        <x:v>0</x:v>
      </x:c>
      <x:c r="Y100" s="13" t="n">
        <x:v>1235004.8</x:v>
      </x:c>
      <x:c r="Z100" s="13" t="n">
        <x:v>1235004.8</x:v>
      </x:c>
      <x:c r="AA100" s="13" t="n">
        <x:v>3</x:v>
      </x:c>
      <x:c r="AB100" s="13" t="n">
        <x:v>0.375</x:v>
      </x:c>
      <x:c r="AC100" s="13" t="n">
        <x:v>0</x:v>
      </x:c>
      <x:c r="AD100" s="13" t="n">
        <x:v>0.6063163449314594</x:v>
      </x:c>
      <x:c r="AE100" s="13" t="n">
        <x:v>0.730560561384053</x:v>
      </x:c>
      <x:c r="AF100" s="13" t="n">
        <x:v>68611.37777777779</x:v>
      </x:c>
      <x:c r="AG100" s="13" t="n">
        <x:v>1.9581074330877934</x:v>
      </x:c>
      <x:c r="AH100" s="13" t="n">
        <x:v>-0.06949984203618528</x:v>
      </x:c>
      <x:c r="AI100" s="13" t="n">
        <x:v>4</x:v>
      </x:c>
      <x:c r="AJ100" s="13" t="n">
        <x:v>-3301056.8000000007</x:v>
      </x:c>
      <x:c r="AK100" s="13" t="n">
        <x:v>3.8703739451053116</x:v>
      </x:c>
      <x:c r="AL100" s="13" t="n">
        <x:v>0.013513513513513514</x:v>
      </x:c>
      <x:c r="AM100" s="13" t="n">
        <x:v>0.012557077625570776</x:v>
      </x:c>
      <x:c r="AN100" s="13" t="n">
        <x:v>0.42392342309704373</x:v>
      </x:c>
      <x:c r="AO100" s="13" t="n">
        <x:v>2.2501136253349427</x:v>
      </x:c>
      <x:c r="AP100" s="13" t="n">
        <x:v>-0.021611249101565932</x:v>
      </x:c>
    </x:row>
    <x:row r="101" ht="15" hidden="0" customHeight="1">
      <x:c r="A101" s="2" t="str">
        <x:v>E100</x:v>
      </x:c>
      <x:c r="B101" s="2" t="str">
        <x:v>***装饰工程有限公司</x:v>
      </x:c>
      <x:c r="C101" s="2" t="str">
        <x:v>有信贷记录</x:v>
      </x:c>
      <x:c r="D101" s="2" t="str">
        <x:v>D</x:v>
      </x:c>
      <x:c r="E101" s="2" t="str">
        <x:v>是</x:v>
      </x:c>
      <x:c r="F101" s="13" t="n">
        <x:v>58</x:v>
      </x:c>
      <x:c r="G101" s="13" t="n">
        <x:v>58</x:v>
      </x:c>
      <x:c r="H101" s="13" t="n">
        <x:v>0</x:v>
      </x:c>
      <x:c r="I101" s="13" t="n">
        <x:v>0</x:v>
      </x:c>
      <x:c r="J101" s="13" t="n">
        <x:v>23323.02</x:v>
      </x:c>
      <x:c r="K101" s="13" t="n">
        <x:v>23323.02</x:v>
      </x:c>
      <x:c r="L101" s="13" t="n">
        <x:v>21</x:v>
      </x:c>
      <x:c r="M101" s="13" t="n">
        <x:v>0</x:v>
      </x:c>
      <x:c r="N101" s="13" t="n">
        <x:v>0</x:v>
      </x:c>
      <x:c r="O101" s="13" t="n">
        <x:v>0.12134763507256721</x:v>
      </x:c>
      <x:c r="P101" s="13" t="n">
        <x:v>0.2389055962735529</x:v>
      </x:c>
      <x:c r="Q101" s="13" t="n">
        <x:v>706.7581818181818</x:v>
      </x:c>
      <x:c r="R101" s="13" t="n">
        <x:v>1.555544718364199</x:v>
      </x:c>
      <x:c r="S101" s="13" t="n">
        <x:v>0.051318390711815313</x:v>
      </x:c>
      <x:c r="T101" s="13" t="n">
        <x:v>27</x:v>
      </x:c>
      <x:c r="U101" s="13" t="n">
        <x:v>99</x:v>
      </x:c>
      <x:c r="V101" s="13" t="n">
        <x:v>98</x:v>
      </x:c>
      <x:c r="W101" s="13" t="n">
        <x:v>1</x:v>
      </x:c>
      <x:c r="X101" s="13" t="n">
        <x:v>15</x:v>
      </x:c>
      <x:c r="Y101" s="13" t="n">
        <x:v>691489.21</x:v>
      </x:c>
      <x:c r="Z101" s="13" t="n">
        <x:v>948353.41</x:v>
      </x:c>
      <x:c r="AA101" s="13" t="n">
        <x:v>13</x:v>
      </x:c>
      <x:c r="AB101" s="13" t="n">
        <x:v>0.010101010101010102</x:v>
      </x:c>
      <x:c r="AC101" s="13" t="n">
        <x:v>0.15306122448979592</x:v>
      </x:c>
      <x:c r="AD101" s="13" t="n">
        <x:v>0.17043580339290926</x:v>
      </x:c>
      <x:c r="AE101" s="13" t="n">
        <x:v>0.25285169797617957</x:v>
      </x:c>
      <x:c r="AF101" s="13" t="n">
        <x:v>18688.89756756757</x:v>
      </x:c>
      <x:c r="AG101" s="13" t="n">
        <x:v>1.988869651597594</x:v>
      </x:c>
      <x:c r="AH101" s="13" t="n">
        <x:v>-0.014776802483774533</x:v>
      </x:c>
      <x:c r="AI101" s="13" t="n">
        <x:v>29</x:v>
      </x:c>
      <x:c r="AJ101" s="13" t="n">
        <x:v>668166.19</x:v>
      </x:c>
      <x:c r="AK101" s="13" t="n">
        <x:v>0.024593173551197518</x:v>
      </x:c>
      <x:c r="AL101" s="13" t="n">
        <x:v>0.006369426751592357</x:v>
      </x:c>
      <x:c r="AM101" s="13" t="n">
        <x:v>0.09615384615384616</x:v>
      </x:c>
      <x:c r="AN101" s="13" t="n">
        <x:v>0.14589171923273825</x:v>
      </x:c>
      <x:c r="AO101" s="13" t="n">
        <x:v>1.7722071849808967</x:v>
      </x:c>
      <x:c r="AP101" s="13" t="n">
        <x:v>0.01827079411402039</x:v>
      </x:c>
    </x:row>
    <x:row r="102" ht="15" hidden="0" customHeight="1">
      <x:c r="A102" s="2" t="str">
        <x:v>E101</x:v>
      </x:c>
      <x:c r="B102" s="2" t="str">
        <x:v>***灯饰工程有限公司</x:v>
      </x:c>
      <x:c r="C102" s="2" t="str">
        <x:v>有信贷记录</x:v>
      </x:c>
      <x:c r="D102" s="2" t="str">
        <x:v>D</x:v>
      </x:c>
      <x:c r="E102" s="2" t="str">
        <x:v>是</x:v>
      </x:c>
      <x:c r="F102" s="13" t="n">
        <x:v>16</x:v>
      </x:c>
      <x:c r="G102" s="13" t="n">
        <x:v>16</x:v>
      </x:c>
      <x:c r="H102" s="13" t="n">
        <x:v>0</x:v>
      </x:c>
      <x:c r="I102" s="13" t="n">
        <x:v>0</x:v>
      </x:c>
      <x:c r="J102" s="13" t="n">
        <x:v>53158</x:v>
      </x:c>
      <x:c r="K102" s="13" t="n">
        <x:v>53158</x:v>
      </x:c>
      <x:c r="L102" s="13" t="n">
        <x:v>6</x:v>
      </x:c>
      <x:c r="M102" s="13" t="n">
        <x:v>0</x:v>
      </x:c>
      <x:c r="N102" s="13" t="n">
        <x:v>0</x:v>
      </x:c>
      <x:c r="O102" s="13" t="n">
        <x:v>0.6109382119490051</x:v>
      </x:c>
      <x:c r="P102" s="13" t="n">
        <x:v>0.7612212649083864</x:v>
      </x:c>
      <x:c r="Q102" s="13" t="n">
        <x:v>3543.866666666667</x:v>
      </x:c>
      <x:c r="R102" s="13" t="n">
        <x:v>2.9034410139298874</x:v>
      </x:c>
      <x:c r="S102" s="13" t="n">
        <x:v>-0.1581515079036172</x:v>
      </x:c>
      <x:c r="T102" s="13" t="n">
        <x:v>12</x:v>
      </x:c>
      <x:c r="U102" s="13" t="n">
        <x:v>63</x:v>
      </x:c>
      <x:c r="V102" s="13" t="n">
        <x:v>32</x:v>
      </x:c>
      <x:c r="W102" s="13" t="n">
        <x:v>31</x:v>
      </x:c>
      <x:c r="X102" s="13" t="n">
        <x:v>0</x:v>
      </x:c>
      <x:c r="Y102" s="13" t="n">
        <x:v>392378</x:v>
      </x:c>
      <x:c r="Z102" s="13" t="n">
        <x:v>392378</x:v>
      </x:c>
      <x:c r="AA102" s="13" t="n">
        <x:v>2</x:v>
      </x:c>
      <x:c r="AB102" s="13" t="n">
        <x:v>0.49206349206349204</x:v>
      </x:c>
      <x:c r="AC102" s="13" t="n">
        <x:v>0</x:v>
      </x:c>
      <x:c r="AD102" s="13" t="n">
        <x:v>0.6201908804978975</x:v>
      </x:c>
      <x:c r="AE102" s="13" t="n">
        <x:v>0.7451437134599799</x:v>
      </x:c>
      <x:c r="AF102" s="13" t="n">
        <x:v>30182.923076923078</x:v>
      </x:c>
      <x:c r="AG102" s="13" t="n">
        <x:v>1.8044104939239183</x:v>
      </x:c>
      <x:c r="AH102" s="13" t="n">
        <x:v>-0.13083812038391127</x:v>
      </x:c>
      <x:c r="AI102" s="13" t="n">
        <x:v>4</x:v>
      </x:c>
      <x:c r="AJ102" s="13" t="n">
        <x:v>339220</x:v>
      </x:c>
      <x:c r="AK102" s="13" t="n">
        <x:v>0.13547650479894352</x:v>
      </x:c>
      <x:c r="AL102" s="13" t="n">
        <x:v>0.3924050632911392</x:v>
      </x:c>
      <x:c r="AM102" s="13" t="n">
        <x:v>0</x:v>
      </x:c>
      <x:c r="AN102" s="13" t="n">
        <x:v>0.6155645462234514</x:v>
      </x:c>
      <x:c r="AO102" s="13" t="n">
        <x:v>2.353925753926903</x:v>
      </x:c>
      <x:c r="AP102" s="13" t="n">
        <x:v>-0.14449481414376425</x:v>
      </x:c>
    </x:row>
    <x:row r="103" ht="15" hidden="0" customHeight="1">
      <x:c r="A103" s="2" t="str">
        <x:v>E102</x:v>
      </x:c>
      <x:c r="B103" s="2" t="str">
        <x:v>***大药房有限责任公司</x:v>
      </x:c>
      <x:c r="C103" s="2" t="str">
        <x:v>有信贷记录</x:v>
      </x:c>
      <x:c r="D103" s="2" t="str">
        <x:v>D</x:v>
      </x:c>
      <x:c r="E103" s="2" t="str">
        <x:v>是</x:v>
      </x:c>
      <x:c r="F103" s="13" t="n">
        <x:v>730</x:v>
      </x:c>
      <x:c r="G103" s="13" t="n">
        <x:v>710</x:v>
      </x:c>
      <x:c r="H103" s="13" t="n">
        <x:v>20</x:v>
      </x:c>
      <x:c r="I103" s="13" t="n">
        <x:v>7</x:v>
      </x:c>
      <x:c r="J103" s="13" t="n">
        <x:v>3658317.08</x:v>
      </x:c>
      <x:c r="K103" s="13" t="n">
        <x:v>3702483.96</x:v>
      </x:c>
      <x:c r="L103" s="13" t="n">
        <x:v>70</x:v>
      </x:c>
      <x:c r="M103" s="13" t="n">
        <x:v>0.0273972602739726</x:v>
      </x:c>
      <x:c r="N103" s="13" t="n">
        <x:v>0.009859154929577466</x:v>
      </x:c>
      <x:c r="O103" s="13" t="n">
        <x:v>0.1581436596137278</x:v>
      </x:c>
      <x:c r="P103" s="13" t="n">
        <x:v>0.30715414902162064</x:v>
      </x:c>
      <x:c r="Q103" s="13" t="n">
        <x:v>96271.50210526315</x:v>
      </x:c>
      <x:c r="R103" s="13" t="n">
        <x:v>0.4081393420419017</x:v>
      </x:c>
      <x:c r="S103" s="13" t="n">
        <x:v>-0.002796297512894326</x:v>
      </x:c>
      <x:c r="T103" s="13" t="n">
        <x:v>38</x:v>
      </x:c>
      <x:c r="U103" s="13" t="n">
        <x:v>177</x:v>
      </x:c>
      <x:c r="V103" s="13" t="n">
        <x:v>151</x:v>
      </x:c>
      <x:c r="W103" s="13" t="n">
        <x:v>26</x:v>
      </x:c>
      <x:c r="X103" s="13" t="n">
        <x:v>3</x:v>
      </x:c>
      <x:c r="Y103" s="13" t="n">
        <x:v>438885.1</x:v>
      </x:c>
      <x:c r="Z103" s="13" t="n">
        <x:v>501782.3</x:v>
      </x:c>
      <x:c r="AA103" s="13" t="n">
        <x:v>105</x:v>
      </x:c>
      <x:c r="AB103" s="13" t="n">
        <x:v>0.14689265536723164</x:v>
      </x:c>
      <x:c r="AC103" s="13" t="n">
        <x:v>0.019867549668874173</x:v>
      </x:c>
      <x:c r="AD103" s="13" t="n">
        <x:v>0.31606172060998833</x:v>
      </x:c>
      <x:c r="AE103" s="13" t="n">
        <x:v>0.5451950776262933</x:v>
      </x:c>
      <x:c r="AF103" s="13" t="n">
        <x:v>11549.607894736842</x:v>
      </x:c>
      <x:c r="AG103" s="13" t="n">
        <x:v>1.4790738844347544</x:v>
      </x:c>
      <x:c r="AH103" s="13" t="n">
        <x:v>0.013486170794768155</x:v>
      </x:c>
      <x:c r="AI103" s="13" t="n">
        <x:v>22</x:v>
      </x:c>
      <x:c r="AJ103" s="13" t="n">
        <x:v>-3219431.98</x:v>
      </x:c>
      <x:c r="AK103" s="13" t="n">
        <x:v>7.37866592743505</x:v>
      </x:c>
      <x:c r="AL103" s="13" t="n">
        <x:v>0.050716648291069456</x:v>
      </x:c>
      <x:c r="AM103" s="13" t="n">
        <x:v>0.011614401858304297</x:v>
      </x:c>
      <x:c r="AN103" s="13" t="n">
        <x:v>0.23710269011185808</x:v>
      </x:c>
      <x:c r="AO103" s="13" t="n">
        <x:v>0.9436066132383281</x:v>
      </x:c>
      <x:c r="AP103" s="13" t="n">
        <x:v>0.0053449366409369144</x:v>
      </x:c>
    </x:row>
    <x:row r="104" ht="15" hidden="0" customHeight="1">
      <x:c r="A104" s="2" t="str">
        <x:v>E103</x:v>
      </x:c>
      <x:c r="B104" s="2" t="str">
        <x:v>***科技有限公司</x:v>
      </x:c>
      <x:c r="C104" s="2" t="str">
        <x:v>有信贷记录</x:v>
      </x:c>
      <x:c r="D104" s="2" t="str">
        <x:v>D</x:v>
      </x:c>
      <x:c r="E104" s="2" t="str">
        <x:v>是</x:v>
      </x:c>
      <x:c r="F104" s="13" t="n">
        <x:v>172</x:v>
      </x:c>
      <x:c r="G104" s="13" t="n">
        <x:v>169</x:v>
      </x:c>
      <x:c r="H104" s="13" t="n">
        <x:v>3</x:v>
      </x:c>
      <x:c r="I104" s="13" t="n">
        <x:v>0</x:v>
      </x:c>
      <x:c r="J104" s="13" t="n">
        <x:v>738265.6100000001</x:v>
      </x:c>
      <x:c r="K104" s="13" t="n">
        <x:v>738265.6100000001</x:v>
      </x:c>
      <x:c r="L104" s="13" t="n">
        <x:v>66</x:v>
      </x:c>
      <x:c r="M104" s="13" t="n">
        <x:v>0.01744186046511628</x:v>
      </x:c>
      <x:c r="N104" s="13" t="n">
        <x:v>0</x:v>
      </x:c>
      <x:c r="O104" s="13" t="n">
        <x:v>0.11906687244407928</x:v>
      </x:c>
      <x:c r="P104" s="13" t="n">
        <x:v>0.2760950764048186</x:v>
      </x:c>
      <x:c r="Q104" s="13" t="n">
        <x:v>23070.8003125</x:v>
      </x:c>
      <x:c r="R104" s="13" t="n">
        <x:v>2.335677461231703</x:v>
      </x:c>
      <x:c r="S104" s="13" t="n">
        <x:v>0.09750140295342974</x:v>
      </x:c>
      <x:c r="T104" s="13" t="n">
        <x:v>28</x:v>
      </x:c>
      <x:c r="U104" s="13" t="n">
        <x:v>64</x:v>
      </x:c>
      <x:c r="V104" s="13" t="n">
        <x:v>54</x:v>
      </x:c>
      <x:c r="W104" s="13" t="n">
        <x:v>10</x:v>
      </x:c>
      <x:c r="X104" s="13" t="n">
        <x:v>2</x:v>
      </x:c>
      <x:c r="Y104" s="13" t="n">
        <x:v>1822451.77</x:v>
      </x:c>
      <x:c r="Z104" s="13" t="n">
        <x:v>1851202.07</x:v>
      </x:c>
      <x:c r="AA104" s="13" t="n">
        <x:v>20</x:v>
      </x:c>
      <x:c r="AB104" s="13" t="n">
        <x:v>0.15625</x:v>
      </x:c>
      <x:c r="AC104" s="13" t="n">
        <x:v>0.037037037037037035</x:v>
      </x:c>
      <x:c r="AD104" s="13" t="n">
        <x:v>0.26725700273519476</x:v>
      </x:c>
      <x:c r="AE104" s="13" t="n">
        <x:v>0.44778829034044887</x:v>
      </x:c>
      <x:c r="AF104" s="13" t="n">
        <x:v>79237.03347826087</x:v>
      </x:c>
      <x:c r="AG104" s="13" t="n">
        <x:v>2.5093244240662567</x:v>
      </x:c>
      <x:c r="AH104" s="13" t="n">
        <x:v>0.08334025387229654</x:v>
      </x:c>
      <x:c r="AI104" s="13" t="n">
        <x:v>15</x:v>
      </x:c>
      <x:c r="AJ104" s="13" t="n">
        <x:v>1084186.16</x:v>
      </x:c>
      <x:c r="AK104" s="13" t="n">
        <x:v>0.39880336240116654</x:v>
      </x:c>
      <x:c r="AL104" s="13" t="n">
        <x:v>0.05508474576271186</x:v>
      </x:c>
      <x:c r="AM104" s="13" t="n">
        <x:v>0.008968609865470852</x:v>
      </x:c>
      <x:c r="AN104" s="13" t="n">
        <x:v>0.193161937589637</x:v>
      </x:c>
      <x:c r="AO104" s="13" t="n">
        <x:v>2.4225009426489796</x:v>
      </x:c>
      <x:c r="AP104" s="13" t="n">
        <x:v>0.09042082841286314</x:v>
      </x:c>
    </x:row>
    <x:row r="105" ht="15" hidden="0" customHeight="1">
      <x:c r="A105" s="2" t="str">
        <x:v>E104</x:v>
      </x:c>
      <x:c r="B105" s="2" t="str">
        <x:v>***管理咨询有限责任公司</x:v>
      </x:c>
      <x:c r="C105" s="2" t="str">
        <x:v>有信贷记录</x:v>
      </x:c>
      <x:c r="D105" s="2" t="str">
        <x:v>C</x:v>
      </x:c>
      <x:c r="E105" s="2" t="str">
        <x:v>否</x:v>
      </x:c>
      <x:c r="F105" s="13" t="n">
        <x:v>1</x:v>
      </x:c>
      <x:c r="G105" s="13" t="n">
        <x:v>1</x:v>
      </x:c>
      <x:c r="H105" s="13" t="n">
        <x:v>0</x:v>
      </x:c>
      <x:c r="I105" s="13" t="n">
        <x:v>0</x:v>
      </x:c>
      <x:c r="J105" s="13" t="n">
        <x:v>280</x:v>
      </x:c>
      <x:c r="K105" s="13" t="n">
        <x:v>280</x:v>
      </x:c>
      <x:c r="L105" s="13" t="n">
        <x:v>1</x:v>
      </x:c>
      <x:c r="M105" s="13" t="n">
        <x:v>0</x:v>
      </x:c>
      <x:c r="N105" s="13" t="n">
        <x:v>0</x:v>
      </x:c>
      <x:c r="O105" s="13" t="n">
        <x:v>1</x:v>
      </x:c>
      <x:c r="P105" s="13" t="n">
        <x:v>1</x:v>
      </x:c>
      <x:c r="Q105" s="13" t="n">
        <x:v>280</x:v>
      </x:c>
      <x:c r="R105" s="13" t="n">
        <x:v>0</x:v>
      </x:c>
      <x:c r="S105" s="13" t="n">
        <x:v>0</x:v>
      </x:c>
      <x:c r="T105" s="13" t="n">
        <x:v>1</x:v>
      </x:c>
      <x:c r="U105" s="13" t="n">
        <x:v>21</x:v>
      </x:c>
      <x:c r="V105" s="13" t="n">
        <x:v>19</x:v>
      </x:c>
      <x:c r="W105" s="13" t="n">
        <x:v>2</x:v>
      </x:c>
      <x:c r="X105" s="13" t="n">
        <x:v>1</x:v>
      </x:c>
      <x:c r="Y105" s="13" t="n">
        <x:v>270530</x:v>
      </x:c>
      <x:c r="Z105" s="13" t="n">
        <x:v>390930</x:v>
      </x:c>
      <x:c r="AA105" s="13" t="n">
        <x:v>10</x:v>
      </x:c>
      <x:c r="AB105" s="13" t="n">
        <x:v>0.09523809523809523</x:v>
      </x:c>
      <x:c r="AC105" s="13" t="n">
        <x:v>0.05263157894736842</x:v>
      </x:c>
      <x:c r="AD105" s="13" t="n">
        <x:v>0.27192333024164617</x:v>
      </x:c>
      <x:c r="AE105" s="13" t="n">
        <x:v>0.4619752896938071</x:v>
      </x:c>
      <x:c r="AF105" s="13" t="n">
        <x:v>18035.333333333332</x:v>
      </x:c>
      <x:c r="AG105" s="13" t="n">
        <x:v>1.1565325585014745</x:v>
      </x:c>
      <x:c r="AH105" s="13" t="n">
        <x:v>0.001546567320233759</x:v>
      </x:c>
      <x:c r="AI105" s="13" t="n">
        <x:v>9</x:v>
      </x:c>
      <x:c r="AJ105" s="13" t="n">
        <x:v>270250</x:v>
      </x:c>
      <x:c r="AK105" s="13" t="n">
        <x:v>0.000716240759215203</x:v>
      </x:c>
      <x:c r="AL105" s="13" t="n">
        <x:v>0.09090909090909091</x:v>
      </x:c>
      <x:c r="AM105" s="13" t="n">
        <x:v>0.05</x:v>
      </x:c>
      <x:c r="AN105" s="13" t="n">
        <x:v>0.6359616651208231</x:v>
      </x:c>
      <x:c r="AO105" s="13" t="n">
        <x:v>0.5782662792507373</x:v>
      </x:c>
      <x:c r="AP105" s="13" t="n">
        <x:v>0.0007732836601168795</x:v>
      </x:c>
    </x:row>
    <x:row r="106" ht="15" hidden="0" customHeight="1">
      <x:c r="A106" s="2" t="str">
        <x:v>E105</x:v>
      </x:c>
      <x:c r="B106" s="2" t="str">
        <x:v>***建材经营部</x:v>
      </x:c>
      <x:c r="C106" s="2" t="str">
        <x:v>有信贷记录</x:v>
      </x:c>
      <x:c r="D106" s="2" t="str">
        <x:v>C</x:v>
      </x:c>
      <x:c r="E106" s="2" t="str">
        <x:v>否</x:v>
      </x:c>
      <x:c r="F106" s="13" t="n">
        <x:v>6</x:v>
      </x:c>
      <x:c r="G106" s="13" t="n">
        <x:v>6</x:v>
      </x:c>
      <x:c r="H106" s="13" t="n">
        <x:v>0</x:v>
      </x:c>
      <x:c r="I106" s="13" t="n">
        <x:v>0</x:v>
      </x:c>
      <x:c r="J106" s="13" t="n">
        <x:v>8480</x:v>
      </x:c>
      <x:c r="K106" s="13" t="n">
        <x:v>8480</x:v>
      </x:c>
      <x:c r="L106" s="13" t="n">
        <x:v>4</x:v>
      </x:c>
      <x:c r="M106" s="13" t="n">
        <x:v>0</x:v>
      </x:c>
      <x:c r="N106" s="13" t="n">
        <x:v>0</x:v>
      </x:c>
      <x:c r="O106" s="13" t="n">
        <x:v>0.6423549305802777</x:v>
      </x:c>
      <x:c r="P106" s="13" t="n">
        <x:v>0.7924528301886793</x:v>
      </x:c>
      <x:c r="Q106" s="13" t="n">
        <x:v>446.3157894736842</x:v>
      </x:c>
      <x:c r="R106" s="13" t="n">
        <x:v>2.502561877098774</x:v>
      </x:c>
      <x:c r="S106" s="13" t="n">
        <x:v>-0.22971698113156064</x:v>
      </x:c>
      <x:c r="T106" s="13" t="n">
        <x:v>5</x:v>
      </x:c>
      <x:c r="U106" s="13" t="n">
        <x:v>122</x:v>
      </x:c>
      <x:c r="V106" s="13" t="n">
        <x:v>121</x:v>
      </x:c>
      <x:c r="W106" s="13" t="n">
        <x:v>1</x:v>
      </x:c>
      <x:c r="X106" s="13" t="n">
        <x:v>4</x:v>
      </x:c>
      <x:c r="Y106" s="13" t="n">
        <x:v>952563.89</x:v>
      </x:c>
      <x:c r="Z106" s="13" t="n">
        <x:v>1006606.47</x:v>
      </x:c>
      <x:c r="AA106" s="13" t="n">
        <x:v>101</x:v>
      </x:c>
      <x:c r="AB106" s="13" t="n">
        <x:v>0.00819672131147541</x:v>
      </x:c>
      <x:c r="AC106" s="13" t="n">
        <x:v>0.03305785123966942</x:v>
      </x:c>
      <x:c r="AD106" s="13" t="n">
        <x:v>0.026427401031680797</x:v>
      </x:c>
      <x:c r="AE106" s="13" t="n">
        <x:v>0.12551926076930542</x:v>
      </x:c>
      <x:c r="AF106" s="13" t="n">
        <x:v>31752.129666666668</x:v>
      </x:c>
      <x:c r="AG106" s="13" t="n">
        <x:v>0.9832840967934364</x:v>
      </x:c>
      <x:c r="AH106" s="13" t="n">
        <x:v>-0.06409911035866127</x:v>
      </x:c>
      <x:c r="AI106" s="13" t="n">
        <x:v>22</x:v>
      </x:c>
      <x:c r="AJ106" s="13" t="n">
        <x:v>944083.89</x:v>
      </x:c>
      <x:c r="AK106" s="13" t="n">
        <x:v>0.008424344818685689</x:v>
      </x:c>
      <x:c r="AL106" s="13" t="n">
        <x:v>0.0078125</x:v>
      </x:c>
      <x:c r="AM106" s="13" t="n">
        <x:v>0.031496062992125984</x:v>
      </x:c>
      <x:c r="AN106" s="13" t="n">
        <x:v>0.3343911658059793</x:v>
      </x:c>
      <x:c r="AO106" s="13" t="n">
        <x:v>1.7429229869461054</x:v>
      </x:c>
      <x:c r="AP106" s="13" t="n">
        <x:v>-0.14690804574511096</x:v>
      </x:c>
    </x:row>
    <x:row r="107" ht="15" hidden="0" customHeight="1">
      <x:c r="A107" s="2" t="str">
        <x:v>E106</x:v>
      </x:c>
      <x:c r="B107" s="2" t="str">
        <x:v>***财务管理有限公司</x:v>
      </x:c>
      <x:c r="C107" s="2" t="str">
        <x:v>有信贷记录</x:v>
      </x:c>
      <x:c r="D107" s="2" t="str">
        <x:v>B</x:v>
      </x:c>
      <x:c r="E107" s="2" t="str">
        <x:v>否</x:v>
      </x:c>
      <x:c r="F107" s="13" t="n">
        <x:v>36</x:v>
      </x:c>
      <x:c r="G107" s="13" t="n">
        <x:v>35</x:v>
      </x:c>
      <x:c r="H107" s="13" t="n">
        <x:v>1</x:v>
      </x:c>
      <x:c r="I107" s="13" t="n">
        <x:v>0</x:v>
      </x:c>
      <x:c r="J107" s="13" t="n">
        <x:v>52461.1</x:v>
      </x:c>
      <x:c r="K107" s="13" t="n">
        <x:v>52461.1</x:v>
      </x:c>
      <x:c r="L107" s="13" t="n">
        <x:v>19</x:v>
      </x:c>
      <x:c r="M107" s="13" t="n">
        <x:v>0.027777777777777776</x:v>
      </x:c>
      <x:c r="N107" s="13" t="n">
        <x:v>0</x:v>
      </x:c>
      <x:c r="O107" s="13" t="n">
        <x:v>0.3240644091034844</x:v>
      </x:c>
      <x:c r="P107" s="13" t="n">
        <x:v>0.5114265617762495</x:v>
      </x:c>
      <x:c r="Q107" s="13" t="n">
        <x:v>1748.7033333333334</x:v>
      </x:c>
      <x:c r="R107" s="13" t="n">
        <x:v>2.300449137177647</x:v>
      </x:c>
      <x:c r="S107" s="13" t="n">
        <x:v>-0.0392915189922935</x:v>
      </x:c>
      <x:c r="T107" s="13" t="n">
        <x:v>18</x:v>
      </x:c>
      <x:c r="U107" s="13" t="n">
        <x:v>153</x:v>
      </x:c>
      <x:c r="V107" s="13" t="n">
        <x:v>138</x:v>
      </x:c>
      <x:c r="W107" s="13" t="n">
        <x:v>15</x:v>
      </x:c>
      <x:c r="X107" s="13" t="n">
        <x:v>4</x:v>
      </x:c>
      <x:c r="Y107" s="13" t="n">
        <x:v>603677.86</x:v>
      </x:c>
      <x:c r="Z107" s="13" t="n">
        <x:v>648877.86</x:v>
      </x:c>
      <x:c r="AA107" s="13" t="n">
        <x:v>105</x:v>
      </x:c>
      <x:c r="AB107" s="13" t="n">
        <x:v>0.09803921568627451</x:v>
      </x:c>
      <x:c r="AC107" s="13" t="n">
        <x:v>0.028985507246376812</x:v>
      </x:c>
      <x:c r="AD107" s="13" t="n">
        <x:v>0.05662539748728868</x:v>
      </x:c>
      <x:c r="AE107" s="13" t="n">
        <x:v>0.2034281151155319</x:v>
      </x:c>
      <x:c r="AF107" s="13" t="n">
        <x:v>18293.268484848486</x:v>
      </x:c>
      <x:c r="AG107" s="13" t="n">
        <x:v>0.9108147587192273</x:v>
      </x:c>
      <x:c r="AH107" s="13" t="n">
        <x:v>0.024925104264947456</x:v>
      </x:c>
      <x:c r="AI107" s="13" t="n">
        <x:v>31</x:v>
      </x:c>
      <x:c r="AJ107" s="13" t="n">
        <x:v>551216.76</x:v>
      </x:c>
      <x:c r="AK107" s="13" t="n">
        <x:v>0.08084895977187435</x:v>
      </x:c>
      <x:c r="AL107" s="13" t="n">
        <x:v>0.08465608465608465</x:v>
      </x:c>
      <x:c r="AM107" s="13" t="n">
        <x:v>0.023121387283236993</x:v>
      </x:c>
      <x:c r="AN107" s="13" t="n">
        <x:v>0.19034490329538653</x:v>
      </x:c>
      <x:c r="AO107" s="13" t="n">
        <x:v>1.605631947948437</x:v>
      </x:c>
      <x:c r="AP107" s="13" t="n">
        <x:v>-0.007183207363673023</x:v>
      </x:c>
    </x:row>
    <x:row r="108" ht="15" hidden="0" customHeight="1">
      <x:c r="A108" s="2" t="str">
        <x:v>E107</x:v>
      </x:c>
      <x:c r="B108" s="2" t="str">
        <x:v>***科技有限公司</x:v>
      </x:c>
      <x:c r="C108" s="2" t="str">
        <x:v>有信贷记录</x:v>
      </x:c>
      <x:c r="D108" s="2" t="str">
        <x:v>D</x:v>
      </x:c>
      <x:c r="E108" s="2" t="str">
        <x:v>是</x:v>
      </x:c>
      <x:c r="F108" s="13" t="n">
        <x:v>9</x:v>
      </x:c>
      <x:c r="G108" s="13" t="n">
        <x:v>9</x:v>
      </x:c>
      <x:c r="H108" s="13" t="n">
        <x:v>0</x:v>
      </x:c>
      <x:c r="I108" s="13" t="n">
        <x:v>0</x:v>
      </x:c>
      <x:c r="J108" s="13" t="n">
        <x:v>110910</x:v>
      </x:c>
      <x:c r="K108" s="13" t="n">
        <x:v>110910</x:v>
      </x:c>
      <x:c r="L108" s="13" t="n">
        <x:v>7</x:v>
      </x:c>
      <x:c r="M108" s="13" t="n">
        <x:v>0</x:v>
      </x:c>
      <x:c r="N108" s="13" t="n">
        <x:v>0</x:v>
      </x:c>
      <x:c r="O108" s="13" t="n">
        <x:v>0.6822643917056007</x:v>
      </x:c>
      <x:c r="P108" s="13" t="n">
        <x:v>0.8060409340907042</x:v>
      </x:c>
      <x:c r="Q108" s="13" t="n">
        <x:v>3824.4827586206898</x:v>
      </x:c>
      <x:c r="R108" s="13" t="n">
        <x:v>3.567736511749187</x:v>
      </x:c>
      <x:c r="S108" s="13" t="n">
        <x:v>-0.05660690134856897</x:v>
      </x:c>
      <x:c r="T108" s="13" t="n">
        <x:v>7</x:v>
      </x:c>
      <x:c r="U108" s="13" t="n">
        <x:v>54</x:v>
      </x:c>
      <x:c r="V108" s="13" t="n">
        <x:v>34</x:v>
      </x:c>
      <x:c r="W108" s="13" t="n">
        <x:v>20</x:v>
      </x:c>
      <x:c r="X108" s="13" t="n">
        <x:v>0</x:v>
      </x:c>
      <x:c r="Y108" s="13" t="n">
        <x:v>834000</x:v>
      </x:c>
      <x:c r="Z108" s="13" t="n">
        <x:v>834000</x:v>
      </x:c>
      <x:c r="AA108" s="13" t="n">
        <x:v>4</x:v>
      </x:c>
      <x:c r="AB108" s="13" t="n">
        <x:v>0.37037037037037035</x:v>
      </x:c>
      <x:c r="AC108" s="13" t="n">
        <x:v>0</x:v>
      </x:c>
      <x:c r="AD108" s="13" t="n">
        <x:v>0.5662750375239377</x:v>
      </x:c>
      <x:c r="AE108" s="13" t="n">
        <x:v>0.7194244604316546</x:v>
      </x:c>
      <x:c r="AF108" s="13" t="n">
        <x:v>36260.86956521739</x:v>
      </x:c>
      <x:c r="AG108" s="13" t="n">
        <x:v>3.3389114300633955</x:v>
      </x:c>
      <x:c r="AH108" s="13" t="n">
        <x:v>0.13141759319816512</x:v>
      </x:c>
      <x:c r="AI108" s="13" t="n">
        <x:v>10</x:v>
      </x:c>
      <x:c r="AJ108" s="13" t="n">
        <x:v>723090</x:v>
      </x:c>
      <x:c r="AK108" s="13" t="n">
        <x:v>0.1329856115107912</x:v>
      </x:c>
      <x:c r="AL108" s="13" t="n">
        <x:v>0.31746031746031744</x:v>
      </x:c>
      <x:c r="AM108" s="13" t="n">
        <x:v>0</x:v>
      </x:c>
      <x:c r="AN108" s="13" t="n">
        <x:v>0.6242697146147692</x:v>
      </x:c>
      <x:c r="AO108" s="13" t="n">
        <x:v>3.4533239709062915</x:v>
      </x:c>
      <x:c r="AP108" s="13" t="n">
        <x:v>0.03740534592479808</x:v>
      </x:c>
    </x:row>
    <x:row r="109" ht="15" hidden="0" customHeight="1">
      <x:c r="A109" s="2" t="str">
        <x:v>E108</x:v>
      </x:c>
      <x:c r="B109" s="2" t="str">
        <x:v>***商贸有限公司</x:v>
      </x:c>
      <x:c r="C109" s="2" t="str">
        <x:v>有信贷记录</x:v>
      </x:c>
      <x:c r="D109" s="2" t="str">
        <x:v>D</x:v>
      </x:c>
      <x:c r="E109" s="2" t="str">
        <x:v>是</x:v>
      </x:c>
      <x:c r="F109" s="13" t="n">
        <x:v>218</x:v>
      </x:c>
      <x:c r="G109" s="13" t="n">
        <x:v>218</x:v>
      </x:c>
      <x:c r="H109" s="13" t="n">
        <x:v>0</x:v>
      </x:c>
      <x:c r="I109" s="13" t="n">
        <x:v>4</x:v>
      </x:c>
      <x:c r="J109" s="13" t="n">
        <x:v>106222.95</x:v>
      </x:c>
      <x:c r="K109" s="13" t="n">
        <x:v>107228.01000000001</x:v>
      </x:c>
      <x:c r="L109" s="13" t="n">
        <x:v>70</x:v>
      </x:c>
      <x:c r="M109" s="13" t="n">
        <x:v>0</x:v>
      </x:c>
      <x:c r="N109" s="13" t="n">
        <x:v>0.01834862385321101</x:v>
      </x:c>
      <x:c r="O109" s="13" t="n">
        <x:v>0.07437748359220703</x:v>
      </x:c>
      <x:c r="P109" s="13" t="n">
        <x:v>0.1882437247506505</x:v>
      </x:c>
      <x:c r="Q109" s="13" t="n">
        <x:v>3934.1833333333334</x:v>
      </x:c>
      <x:c r="R109" s="13" t="n">
        <x:v>1.5413081750581434</x:v>
      </x:c>
      <x:c r="S109" s="13" t="n">
        <x:v>0.001403774061800986</x:v>
      </x:c>
      <x:c r="T109" s="13" t="n">
        <x:v>25</x:v>
      </x:c>
      <x:c r="U109" s="13" t="n">
        <x:v>33</x:v>
      </x:c>
      <x:c r="V109" s="13" t="n">
        <x:v>33</x:v>
      </x:c>
      <x:c r="W109" s="13" t="n">
        <x:v>0</x:v>
      </x:c>
      <x:c r="X109" s="13" t="n">
        <x:v>1</x:v>
      </x:c>
      <x:c r="Y109" s="13" t="n">
        <x:v>197215.26</x:v>
      </x:c>
      <x:c r="Z109" s="13" t="n">
        <x:v>197217.26</x:v>
      </x:c>
      <x:c r="AA109" s="13" t="n">
        <x:v>19</x:v>
      </x:c>
      <x:c r="AB109" s="13" t="n">
        <x:v>0</x:v>
      </x:c>
      <x:c r="AC109" s="13" t="n">
        <x:v>0.030303030303030304</x:v>
      </x:c>
      <x:c r="AD109" s="13" t="n">
        <x:v>0.2200411657691996</x:v>
      </x:c>
      <x:c r="AE109" s="13" t="n">
        <x:v>0.4257348469398672</x:v>
      </x:c>
      <x:c r="AF109" s="13" t="n">
        <x:v>12325.95375</x:v>
      </x:c>
      <x:c r="AG109" s="13" t="n">
        <x:v>1.9782045407927316</x:v>
      </x:c>
      <x:c r="AH109" s="13" t="n">
        <x:v>-0.12272136368685084</x:v>
      </x:c>
      <x:c r="AI109" s="13" t="n">
        <x:v>4</x:v>
      </x:c>
      <x:c r="AJ109" s="13" t="n">
        <x:v>90992.31000000001</x:v>
      </x:c>
      <x:c r="AK109" s="13" t="n">
        <x:v>0.5437049982339247</x:v>
      </x:c>
      <x:c r="AL109" s="13" t="n">
        <x:v>0</x:v>
      </x:c>
      <x:c r="AM109" s="13" t="n">
        <x:v>0.0199203187250996</x:v>
      </x:c>
      <x:c r="AN109" s="13" t="n">
        <x:v>0.1472093246807033</x:v>
      </x:c>
      <x:c r="AO109" s="13" t="n">
        <x:v>1.7597563579254376</x:v>
      </x:c>
      <x:c r="AP109" s="13" t="n">
        <x:v>-0.060658794812524924</x:v>
      </x:c>
    </x:row>
    <x:row r="110" ht="15" hidden="0" customHeight="1">
      <x:c r="A110" s="2" t="str">
        <x:v>E109</x:v>
      </x:c>
      <x:c r="B110" s="2" t="str">
        <x:v>***服饰有限公司</x:v>
      </x:c>
      <x:c r="C110" s="2" t="str">
        <x:v>有信贷记录</x:v>
      </x:c>
      <x:c r="D110" s="2" t="str">
        <x:v>D</x:v>
      </x:c>
      <x:c r="E110" s="2" t="str">
        <x:v>是</x:v>
      </x:c>
      <x:c r="F110" s="13" t="n">
        <x:v>10</x:v>
      </x:c>
      <x:c r="G110" s="13" t="n">
        <x:v>10</x:v>
      </x:c>
      <x:c r="H110" s="13" t="n">
        <x:v>0</x:v>
      </x:c>
      <x:c r="I110" s="13" t="n">
        <x:v>0</x:v>
      </x:c>
      <x:c r="J110" s="13" t="n">
        <x:v>3371</x:v>
      </x:c>
      <x:c r="K110" s="13" t="n">
        <x:v>3371</x:v>
      </x:c>
      <x:c r="L110" s="13" t="n">
        <x:v>7</x:v>
      </x:c>
      <x:c r="M110" s="13" t="n">
        <x:v>0</x:v>
      </x:c>
      <x:c r="N110" s="13" t="n">
        <x:v>0</x:v>
      </x:c>
      <x:c r="O110" s="13" t="n">
        <x:v>0.17926481485995555</x:v>
      </x:c>
      <x:c r="P110" s="13" t="n">
        <x:v>0.25304064075941857</x:v>
      </x:c>
      <x:c r="Q110" s="13" t="n">
        <x:v>160.52380952380952</x:v>
      </x:c>
      <x:c r="R110" s="13" t="n">
        <x:v>1.9063267603559948</x:v>
      </x:c>
      <x:c r="S110" s="13" t="n">
        <x:v>0.17535934845229337</x:v>
      </x:c>
      <x:c r="T110" s="13" t="n">
        <x:v>7</x:v>
      </x:c>
      <x:c r="U110" s="13" t="n">
        <x:v>33</x:v>
      </x:c>
      <x:c r="V110" s="13" t="n">
        <x:v>23</x:v>
      </x:c>
      <x:c r="W110" s="13" t="n">
        <x:v>10</x:v>
      </x:c>
      <x:c r="X110" s="13" t="n">
        <x:v>0</x:v>
      </x:c>
      <x:c r="Y110" s="13" t="n">
        <x:v>456807</x:v>
      </x:c>
      <x:c r="Z110" s="13" t="n">
        <x:v>456807</x:v>
      </x:c>
      <x:c r="AA110" s="13" t="n">
        <x:v>17</x:v>
      </x:c>
      <x:c r="AB110" s="13" t="n">
        <x:v>0.30303030303030304</x:v>
      </x:c>
      <x:c r="AC110" s="13" t="n">
        <x:v>0</x:v>
      </x:c>
      <x:c r="AD110" s="13" t="n">
        <x:v>0.15349648763854146</x:v>
      </x:c>
      <x:c r="AE110" s="13" t="n">
        <x:v>0.2914578804615516</x:v>
      </x:c>
      <x:c r="AF110" s="13" t="n">
        <x:v>18272.28</x:v>
      </x:c>
      <x:c r="AG110" s="13" t="n">
        <x:v>2.0481899725500825</x:v>
      </x:c>
      <x:c r="AH110" s="13" t="n">
        <x:v>0.1370319496989985</x:v>
      </x:c>
      <x:c r="AI110" s="13" t="n">
        <x:v>12</x:v>
      </x:c>
      <x:c r="AJ110" s="13" t="n">
        <x:v>453436</x:v>
      </x:c>
      <x:c r="AK110" s="13" t="n">
        <x:v>0.007379484114735529</x:v>
      </x:c>
      <x:c r="AL110" s="13" t="n">
        <x:v>0.23255813953488372</x:v>
      </x:c>
      <x:c r="AM110" s="13" t="n">
        <x:v>0</x:v>
      </x:c>
      <x:c r="AN110" s="13" t="n">
        <x:v>0.1663806512492485</x:v>
      </x:c>
      <x:c r="AO110" s="13" t="n">
        <x:v>1.9772583664530385</x:v>
      </x:c>
      <x:c r="AP110" s="13" t="n">
        <x:v>0.15619564907564593</x:v>
      </x:c>
    </x:row>
    <x:row r="111" ht="15" hidden="0" customHeight="1">
      <x:c r="A111" s="2" t="str">
        <x:v>E110</x:v>
      </x:c>
      <x:c r="B111" s="2" t="str">
        <x:v>***通讯器材经营部</x:v>
      </x:c>
      <x:c r="C111" s="2" t="str">
        <x:v>有信贷记录</x:v>
      </x:c>
      <x:c r="D111" s="2" t="str">
        <x:v>C</x:v>
      </x:c>
      <x:c r="E111" s="2" t="str">
        <x:v>否</x:v>
      </x:c>
      <x:c r="F111" s="13" t="n">
        <x:v>3</x:v>
      </x:c>
      <x:c r="G111" s="13" t="n">
        <x:v>3</x:v>
      </x:c>
      <x:c r="H111" s="13" t="n">
        <x:v>0</x:v>
      </x:c>
      <x:c r="I111" s="13" t="n">
        <x:v>0</x:v>
      </x:c>
      <x:c r="J111" s="13" t="n">
        <x:v>1040</x:v>
      </x:c>
      <x:c r="K111" s="13" t="n">
        <x:v>1040</x:v>
      </x:c>
      <x:c r="L111" s="13" t="n">
        <x:v>1</x:v>
      </x:c>
      <x:c r="M111" s="13" t="n">
        <x:v>0</x:v>
      </x:c>
      <x:c r="N111" s="13" t="n">
        <x:v>0</x:v>
      </x:c>
      <x:c r="O111" s="13" t="n">
        <x:v>1</x:v>
      </x:c>
      <x:c r="P111" s="13" t="n">
        <x:v>1</x:v>
      </x:c>
      <x:c r="Q111" s="13" t="n">
        <x:v>41.6</x:v>
      </x:c>
      <x:c r="R111" s="13" t="n">
        <x:v>2.8195219704108774</x:v>
      </x:c>
      <x:c r="S111" s="13" t="n">
        <x:v>-0.039201183431010304</x:v>
      </x:c>
      <x:c r="T111" s="13" t="n">
        <x:v>3</x:v>
      </x:c>
      <x:c r="U111" s="13" t="n">
        <x:v>83</x:v>
      </x:c>
      <x:c r="V111" s="13" t="n">
        <x:v>62</x:v>
      </x:c>
      <x:c r="W111" s="13" t="n">
        <x:v>21</x:v>
      </x:c>
      <x:c r="X111" s="13" t="n">
        <x:v>0</x:v>
      </x:c>
      <x:c r="Y111" s="13" t="n">
        <x:v>202827.51</x:v>
      </x:c>
      <x:c r="Z111" s="13" t="n">
        <x:v>202827.51</x:v>
      </x:c>
      <x:c r="AA111" s="13" t="n">
        <x:v>37</x:v>
      </x:c>
      <x:c r="AB111" s="13" t="n">
        <x:v>0.25301204819277107</x:v>
      </x:c>
      <x:c r="AC111" s="13" t="n">
        <x:v>0</x:v>
      </x:c>
      <x:c r="AD111" s="13" t="n">
        <x:v>0.1544117119662041</x:v>
      </x:c>
      <x:c r="AE111" s="13" t="n">
        <x:v>0.2800434221176408</x:v>
      </x:c>
      <x:c r="AF111" s="13" t="n">
        <x:v>7512.13</x:v>
      </x:c>
      <x:c r="AG111" s="13" t="n">
        <x:v>1.2758807890162727</x:v>
      </x:c>
      <x:c r="AH111" s="13" t="n">
        <x:v>-0.04952573676090849</x:v>
      </x:c>
      <x:c r="AI111" s="13" t="n">
        <x:v>21</x:v>
      </x:c>
      <x:c r="AJ111" s="13" t="n">
        <x:v>201787.51</x:v>
      </x:c>
      <x:c r="AK111" s="13" t="n">
        <x:v>0.005127509576979942</x:v>
      </x:c>
      <x:c r="AL111" s="13" t="n">
        <x:v>0.2441860465116279</x:v>
      </x:c>
      <x:c r="AM111" s="13" t="n">
        <x:v>0</x:v>
      </x:c>
      <x:c r="AN111" s="13" t="n">
        <x:v>0.577205855983102</x:v>
      </x:c>
      <x:c r="AO111" s="13" t="n">
        <x:v>2.0477013797135752</x:v>
      </x:c>
      <x:c r="AP111" s="13" t="n">
        <x:v>-0.0443634600959594</x:v>
      </x:c>
    </x:row>
    <x:row r="112" ht="15" hidden="0" customHeight="1">
      <x:c r="A112" s="2" t="str">
        <x:v>E111</x:v>
      </x:c>
      <x:c r="B112" s="2" t="str">
        <x:v>***科技有限公司</x:v>
      </x:c>
      <x:c r="C112" s="2" t="str">
        <x:v>有信贷记录</x:v>
      </x:c>
      <x:c r="D112" s="2" t="str">
        <x:v>D</x:v>
      </x:c>
      <x:c r="E112" s="2" t="str">
        <x:v>是</x:v>
      </x:c>
      <x:c r="F112" s="13" t="n">
        <x:v>278</x:v>
      </x:c>
      <x:c r="G112" s="13" t="n">
        <x:v>264</x:v>
      </x:c>
      <x:c r="H112" s="13" t="n">
        <x:v>14</x:v>
      </x:c>
      <x:c r="I112" s="13" t="n">
        <x:v>4</x:v>
      </x:c>
      <x:c r="J112" s="13" t="n">
        <x:v>529274.01</x:v>
      </x:c>
      <x:c r="K112" s="13" t="n">
        <x:v>1129274.01</x:v>
      </x:c>
      <x:c r="L112" s="13" t="n">
        <x:v>96</x:v>
      </x:c>
      <x:c r="M112" s="13" t="n">
        <x:v>0.050359712230215826</x:v>
      </x:c>
      <x:c r="N112" s="13" t="n">
        <x:v>0.015151515151515152</x:v>
      </x:c>
      <x:c r="O112" s="13" t="n">
        <x:v>0.1625895170320415</x:v>
      </x:c>
      <x:c r="P112" s="13" t="n">
        <x:v>0.29006246234250976</x:v>
      </x:c>
      <x:c r="Q112" s="13" t="n">
        <x:v>17073.35516129032</x:v>
      </x:c>
      <x:c r="R112" s="13" t="n">
        <x:v>1.6866057887995187</x:v>
      </x:c>
      <x:c r="S112" s="13" t="n">
        <x:v>0.01681754875758252</x:v>
      </x:c>
      <x:c r="T112" s="13" t="n">
        <x:v>30</x:v>
      </x:c>
      <x:c r="U112" s="13" t="n">
        <x:v>250</x:v>
      </x:c>
      <x:c r="V112" s="13" t="n">
        <x:v>204</x:v>
      </x:c>
      <x:c r="W112" s="13" t="n">
        <x:v>46</x:v>
      </x:c>
      <x:c r="X112" s="13" t="n">
        <x:v>28</x:v>
      </x:c>
      <x:c r="Y112" s="13" t="n">
        <x:v>879141.8</x:v>
      </x:c>
      <x:c r="Z112" s="13" t="n">
        <x:v>5054338.199999999</x:v>
      </x:c>
      <x:c r="AA112" s="13" t="n">
        <x:v>11</x:v>
      </x:c>
      <x:c r="AB112" s="13" t="n">
        <x:v>0.184</x:v>
      </x:c>
      <x:c r="AC112" s="13" t="n">
        <x:v>0.13725490196078433</x:v>
      </x:c>
      <x:c r="AD112" s="13" t="n">
        <x:v>0.36465431430562395</x:v>
      </x:c>
      <x:c r="AE112" s="13" t="n">
        <x:v>0.5539795496866434</x:v>
      </x:c>
      <x:c r="AF112" s="13" t="n">
        <x:v>29304.726666666666</x:v>
      </x:c>
      <x:c r="AG112" s="13" t="n">
        <x:v>1.3387663595481205</x:v>
      </x:c>
      <x:c r="AH112" s="13" t="n">
        <x:v>-0.0016622966944117913</x:v>
      </x:c>
      <x:c r="AI112" s="13" t="n">
        <x:v>30</x:v>
      </x:c>
      <x:c r="AJ112" s="13" t="n">
        <x:v>349867.79000000004</x:v>
      </x:c>
      <x:c r="AK112" s="13" t="n">
        <x:v>0.2234266812616536</x:v>
      </x:c>
      <x:c r="AL112" s="13" t="n">
        <x:v>0.11363636363636363</x:v>
      </x:c>
      <x:c r="AM112" s="13" t="n">
        <x:v>0.06837606837606838</x:v>
      </x:c>
      <x:c r="AN112" s="13" t="n">
        <x:v>0.26362191566883275</x:v>
      </x:c>
      <x:c r="AO112" s="13" t="n">
        <x:v>1.5126860741738195</x:v>
      </x:c>
      <x:c r="AP112" s="13" t="n">
        <x:v>0.007577626031585364</x:v>
      </x:c>
    </x:row>
    <x:row r="113" ht="15" hidden="0" customHeight="1">
      <x:c r="A113" s="2" t="str">
        <x:v>E112</x:v>
      </x:c>
      <x:c r="B113" s="2" t="str">
        <x:v>***机械设备有限公司</x:v>
      </x:c>
      <x:c r="C113" s="2" t="str">
        <x:v>有信贷记录</x:v>
      </x:c>
      <x:c r="D113" s="2" t="str">
        <x:v>D</x:v>
      </x:c>
      <x:c r="E113" s="2" t="str">
        <x:v>是</x:v>
      </x:c>
      <x:c r="F113" s="13" t="n">
        <x:v>106</x:v>
      </x:c>
      <x:c r="G113" s="13" t="n">
        <x:v>102</x:v>
      </x:c>
      <x:c r="H113" s="13" t="n">
        <x:v>4</x:v>
      </x:c>
      <x:c r="I113" s="13" t="n">
        <x:v>2</x:v>
      </x:c>
      <x:c r="J113" s="13" t="n">
        <x:v>920245.8899999999</x:v>
      </x:c>
      <x:c r="K113" s="13" t="n">
        <x:v>934545.8899999999</x:v>
      </x:c>
      <x:c r="L113" s="13" t="n">
        <x:v>25</x:v>
      </x:c>
      <x:c r="M113" s="13" t="n">
        <x:v>0.03773584905660377</x:v>
      </x:c>
      <x:c r="N113" s="13" t="n">
        <x:v>0.0196078431372549</x:v>
      </x:c>
      <x:c r="O113" s="13" t="n">
        <x:v>0.3103819959976823</x:v>
      </x:c>
      <x:c r="P113" s="13" t="n">
        <x:v>0.5366750904013927</x:v>
      </x:c>
      <x:c r="Q113" s="13" t="n">
        <x:v>31732.61689655172</x:v>
      </x:c>
      <x:c r="R113" s="13" t="n">
        <x:v>1.0680153381087083</x:v>
      </x:c>
      <x:c r="S113" s="13" t="n">
        <x:v>-0.04848018143746806</x:v>
      </x:c>
      <x:c r="T113" s="13" t="n">
        <x:v>26</x:v>
      </x:c>
      <x:c r="U113" s="13" t="n">
        <x:v>22</x:v>
      </x:c>
      <x:c r="V113" s="13" t="n">
        <x:v>16</x:v>
      </x:c>
      <x:c r="W113" s="13" t="n">
        <x:v>6</x:v>
      </x:c>
      <x:c r="X113" s="13" t="n">
        <x:v>1</x:v>
      </x:c>
      <x:c r="Y113" s="13" t="n">
        <x:v>1094803</x:v>
      </x:c>
      <x:c r="Z113" s="13" t="n">
        <x:v>1293414.06</x:v>
      </x:c>
      <x:c r="AA113" s="13" t="n">
        <x:v>2</x:v>
      </x:c>
      <x:c r="AB113" s="13" t="n">
        <x:v>0.2727272727272727</x:v>
      </x:c>
      <x:c r="AC113" s="13" t="n">
        <x:v>0.0625</x:v>
      </x:c>
      <x:c r="AD113" s="13" t="n">
        <x:v>0.9924472539162199</x:v>
      </x:c>
      <x:c r="AE113" s="13" t="n">
        <x:v>0.9962092572273414</x:v>
      </x:c>
      <x:c r="AF113" s="13" t="n">
        <x:v>52133.47619047619</x:v>
      </x:c>
      <x:c r="AG113" s="13" t="n">
        <x:v>1.3523007942572605</x:v>
      </x:c>
      <x:c r="AH113" s="13" t="n">
        <x:v>-0.03434328276411308</x:v>
      </x:c>
      <x:c r="AI113" s="13" t="n">
        <x:v>10</x:v>
      </x:c>
      <x:c r="AJ113" s="13" t="n">
        <x:v>174557.1100000001</x:v>
      </x:c>
      <x:c r="AK113" s="13" t="n">
        <x:v>0.7225419290710349</x:v>
      </x:c>
      <x:c r="AL113" s="13" t="n">
        <x:v>0.078125</x:v>
      </x:c>
      <x:c r="AM113" s="13" t="n">
        <x:v>0.025423728813559324</x:v>
      </x:c>
      <x:c r="AN113" s="13" t="n">
        <x:v>0.6514146249569511</x:v>
      </x:c>
      <x:c r="AO113" s="13" t="n">
        <x:v>1.2101580661829843</x:v>
      </x:c>
      <x:c r="AP113" s="13" t="n">
        <x:v>-0.04141173210079057</x:v>
      </x:c>
    </x:row>
    <x:row r="114" ht="15" hidden="0" customHeight="1">
      <x:c r="A114" s="2" t="str">
        <x:v>E113</x:v>
      </x:c>
      <x:c r="B114" s="2" t="str">
        <x:v>***美居科技有限公司</x:v>
      </x:c>
      <x:c r="C114" s="2" t="str">
        <x:v>有信贷记录</x:v>
      </x:c>
      <x:c r="D114" s="2" t="str">
        <x:v>D</x:v>
      </x:c>
      <x:c r="E114" s="2" t="str">
        <x:v>是</x:v>
      </x:c>
      <x:c r="F114" s="13" t="n">
        <x:v>104</x:v>
      </x:c>
      <x:c r="G114" s="13" t="n">
        <x:v>102</x:v>
      </x:c>
      <x:c r="H114" s="13" t="n">
        <x:v>2</x:v>
      </x:c>
      <x:c r="I114" s="13" t="n">
        <x:v>0</x:v>
      </x:c>
      <x:c r="J114" s="13" t="n">
        <x:v>1357580.73</x:v>
      </x:c>
      <x:c r="K114" s="13" t="n">
        <x:v>1357580.73</x:v>
      </x:c>
      <x:c r="L114" s="13" t="n">
        <x:v>35</x:v>
      </x:c>
      <x:c r="M114" s="13" t="n">
        <x:v>0.019230769230769232</x:v>
      </x:c>
      <x:c r="N114" s="13" t="n">
        <x:v>0</x:v>
      </x:c>
      <x:c r="O114" s="13" t="n">
        <x:v>0.4882788118407224</x:v>
      </x:c>
      <x:c r="P114" s="13" t="n">
        <x:v>0.6681053877363153</x:v>
      </x:c>
      <x:c r="Q114" s="13" t="n">
        <x:v>45252.691</x:v>
      </x:c>
      <x:c r="R114" s="13" t="n">
        <x:v>3.647859287690587</x:v>
      </x:c>
      <x:c r="S114" s="13" t="n">
        <x:v>-0.06446315535750181</x:v>
      </x:c>
      <x:c r="T114" s="13" t="n">
        <x:v>22</x:v>
      </x:c>
      <x:c r="U114" s="13" t="n">
        <x:v>47</x:v>
      </x:c>
      <x:c r="V114" s="13" t="n">
        <x:v>31</x:v>
      </x:c>
      <x:c r="W114" s="13" t="n">
        <x:v>16</x:v>
      </x:c>
      <x:c r="X114" s="13" t="n">
        <x:v>0</x:v>
      </x:c>
      <x:c r="Y114" s="13" t="n">
        <x:v>329500</x:v>
      </x:c>
      <x:c r="Z114" s="13" t="n">
        <x:v>329500</x:v>
      </x:c>
      <x:c r="AA114" s="13" t="n">
        <x:v>4</x:v>
      </x:c>
      <x:c r="AB114" s="13" t="n">
        <x:v>0.3404255319148936</x:v>
      </x:c>
      <x:c r="AC114" s="13" t="n">
        <x:v>0</x:v>
      </x:c>
      <x:c r="AD114" s="13" t="n">
        <x:v>0.4562783082842675</x:v>
      </x:c>
      <x:c r="AE114" s="13" t="n">
        <x:v>0.5948406676783005</x:v>
      </x:c>
      <x:c r="AF114" s="13" t="n">
        <x:v>16475</x:v>
      </x:c>
      <x:c r="AG114" s="13" t="n">
        <x:v>2.528338332019476</x:v>
      </x:c>
      <x:c r="AH114" s="13" t="n">
        <x:v>-0.12392894223418202</x:v>
      </x:c>
      <x:c r="AI114" s="13" t="n">
        <x:v>4</x:v>
      </x:c>
      <x:c r="AJ114" s="13" t="n">
        <x:v>-1028080.73</x:v>
      </x:c>
      <x:c r="AK114" s="13" t="n">
        <x:v>4.1201236115326125</x:v>
      </x:c>
      <x:c r="AL114" s="13" t="n">
        <x:v>0.11920529801324503</x:v>
      </x:c>
      <x:c r="AM114" s="13" t="n">
        <x:v>0</x:v>
      </x:c>
      <x:c r="AN114" s="13" t="n">
        <x:v>0.47227856006249497</x:v>
      </x:c>
      <x:c r="AO114" s="13" t="n">
        <x:v>3.0880988098550315</x:v>
      </x:c>
      <x:c r="AP114" s="13" t="n">
        <x:v>-0.09419604879584192</x:v>
      </x:c>
    </x:row>
    <x:row r="115" ht="15" hidden="0" customHeight="1">
      <x:c r="A115" s="2" t="str">
        <x:v>E114</x:v>
      </x:c>
      <x:c r="B115" s="2" t="str">
        <x:v>***食品有限责任公司</x:v>
      </x:c>
      <x:c r="C115" s="2" t="str">
        <x:v>有信贷记录</x:v>
      </x:c>
      <x:c r="D115" s="2" t="str">
        <x:v>D</x:v>
      </x:c>
      <x:c r="E115" s="2" t="str">
        <x:v>是</x:v>
      </x:c>
      <x:c r="F115" s="13" t="n">
        <x:v>76</x:v>
      </x:c>
      <x:c r="G115" s="13" t="n">
        <x:v>69</x:v>
      </x:c>
      <x:c r="H115" s="13" t="n">
        <x:v>7</x:v>
      </x:c>
      <x:c r="I115" s="13" t="n">
        <x:v>0</x:v>
      </x:c>
      <x:c r="J115" s="13" t="n">
        <x:v>644317</x:v>
      </x:c>
      <x:c r="K115" s="13" t="n">
        <x:v>644317</x:v>
      </x:c>
      <x:c r="L115" s="13" t="n">
        <x:v>20</x:v>
      </x:c>
      <x:c r="M115" s="13" t="n">
        <x:v>0.09210526315789473</x:v>
      </x:c>
      <x:c r="N115" s="13" t="n">
        <x:v>0</x:v>
      </x:c>
      <x:c r="O115" s="13" t="n">
        <x:v>0.1838579503529983</x:v>
      </x:c>
      <x:c r="P115" s="13" t="n">
        <x:v>0.2923995486693662</x:v>
      </x:c>
      <x:c r="Q115" s="13" t="n">
        <x:v>20134.90625</x:v>
      </x:c>
      <x:c r="R115" s="13" t="n">
        <x:v>1.773179413926206</x:v>
      </x:c>
      <x:c r="S115" s="13" t="n">
        <x:v>0.030062149923404852</x:v>
      </x:c>
      <x:c r="T115" s="13" t="n">
        <x:v>27</x:v>
      </x:c>
      <x:c r="U115" s="13" t="n">
        <x:v>75</x:v>
      </x:c>
      <x:c r="V115" s="13" t="n">
        <x:v>66</x:v>
      </x:c>
      <x:c r="W115" s="13" t="n">
        <x:v>9</x:v>
      </x:c>
      <x:c r="X115" s="13" t="n">
        <x:v>1</x:v>
      </x:c>
      <x:c r="Y115" s="13" t="n">
        <x:v>226217.64</x:v>
      </x:c>
      <x:c r="Z115" s="13" t="n">
        <x:v>235665.64</x:v>
      </x:c>
      <x:c r="AA115" s="13" t="n">
        <x:v>23</x:v>
      </x:c>
      <x:c r="AB115" s="13" t="n">
        <x:v>0.12</x:v>
      </x:c>
      <x:c r="AC115" s="13" t="n">
        <x:v>0.015151515151515152</x:v>
      </x:c>
      <x:c r="AD115" s="13" t="n">
        <x:v>0.08047287640443872</x:v>
      </x:c>
      <x:c r="AE115" s="13" t="n">
        <x:v>0.16363861952892242</x:v>
      </x:c>
      <x:c r="AF115" s="13" t="n">
        <x:v>6113.99027027027</x:v>
      </x:c>
      <x:c r="AG115" s="13" t="n">
        <x:v>1.3475509777941062</x:v>
      </x:c>
      <x:c r="AH115" s="13" t="n">
        <x:v>-0.030480639887550336</x:v>
      </x:c>
      <x:c r="AI115" s="13" t="n">
        <x:v>24</x:v>
      </x:c>
      <x:c r="AJ115" s="13" t="n">
        <x:v>-418099.36</x:v>
      </x:c>
      <x:c r="AK115" s="13" t="n">
        <x:v>2.734030298180071</x:v>
      </x:c>
      <x:c r="AL115" s="13" t="n">
        <x:v>0.10596026490066225</x:v>
      </x:c>
      <x:c r="AM115" s="13" t="n">
        <x:v>0.007407407407407408</x:v>
      </x:c>
      <x:c r="AN115" s="13" t="n">
        <x:v>0.1321654133787185</x:v>
      </x:c>
      <x:c r="AO115" s="13" t="n">
        <x:v>1.560365195860156</x:v>
      </x:c>
      <x:c r="AP115" s="13" t="n">
        <x:v>-0.00020924498207274163</x:v>
      </x:c>
    </x:row>
    <x:row r="116" ht="15" hidden="0" customHeight="1">
      <x:c r="A116" s="2" t="str">
        <x:v>E115</x:v>
      </x:c>
      <x:c r="B116" s="2" t="str">
        <x:v>***装饰工程有限公司</x:v>
      </x:c>
      <x:c r="C116" s="2" t="str">
        <x:v>有信贷记录</x:v>
      </x:c>
      <x:c r="D116" s="2" t="str">
        <x:v>D</x:v>
      </x:c>
      <x:c r="E116" s="2" t="str">
        <x:v>是</x:v>
      </x:c>
      <x:c r="F116" s="13" t="n">
        <x:v>2</x:v>
      </x:c>
      <x:c r="G116" s="13" t="n">
        <x:v>2</x:v>
      </x:c>
      <x:c r="H116" s="13" t="n">
        <x:v>0</x:v>
      </x:c>
      <x:c r="I116" s="13" t="n">
        <x:v>0</x:v>
      </x:c>
      <x:c r="J116" s="13" t="n">
        <x:v>560</x:v>
      </x:c>
      <x:c r="K116" s="13" t="n">
        <x:v>560</x:v>
      </x:c>
      <x:c r="L116" s="13" t="n">
        <x:v>2</x:v>
      </x:c>
      <x:c r="M116" s="13" t="n">
        <x:v>0</x:v>
      </x:c>
      <x:c r="N116" s="13" t="n">
        <x:v>0</x:v>
      </x:c>
      <x:c r="O116" s="13" t="n">
        <x:v>0.5</x:v>
      </x:c>
      <x:c r="P116" s="13" t="n">
        <x:v>0.5</x:v>
      </x:c>
      <x:c r="Q116" s="13" t="n">
        <x:v>37.333333333333336</x:v>
      </x:c>
      <x:c r="R116" s="13" t="n">
        <x:v>2.5495097567281024</x:v>
      </x:c>
      <x:c r="S116" s="13" t="n">
        <x:v>-1.0883905894593727e-17</x:v>
      </x:c>
      <x:c r="T116" s="13" t="n">
        <x:v>2</x:v>
      </x:c>
      <x:c r="U116" s="13" t="n">
        <x:v>6</x:v>
      </x:c>
      <x:c r="V116" s="13" t="n">
        <x:v>4</x:v>
      </x:c>
      <x:c r="W116" s="13" t="n">
        <x:v>2</x:v>
      </x:c>
      <x:c r="X116" s="13" t="n">
        <x:v>0</x:v>
      </x:c>
      <x:c r="Y116" s="13" t="n">
        <x:v>57200</x:v>
      </x:c>
      <x:c r="Z116" s="13" t="n">
        <x:v>57200</x:v>
      </x:c>
      <x:c r="AA116" s="13" t="n">
        <x:v>4</x:v>
      </x:c>
      <x:c r="AB116" s="13" t="n">
        <x:v>0.3333333333333333</x:v>
      </x:c>
      <x:c r="AC116" s="13" t="n">
        <x:v>0</x:v>
      </x:c>
      <x:c r="AD116" s="13" t="n">
        <x:v>0.4502176145532789</x:v>
      </x:c>
      <x:c r="AE116" s="13" t="n">
        <x:v>0.6118881118881119</x:v>
      </x:c>
      <x:c r="AF116" s="13" t="n">
        <x:v>4085.714285714286</x:v>
      </x:c>
      <x:c r="AG116" s="13" t="n">
        <x:v>2.3028344716334495</x:v>
      </x:c>
      <x:c r="AH116" s="13" t="n">
        <x:v>0.21968800430333518</x:v>
      </x:c>
      <x:c r="AI116" s="13" t="n">
        <x:v>3</x:v>
      </x:c>
      <x:c r="AJ116" s="13" t="n">
        <x:v>56640</x:v>
      </x:c>
      <x:c r="AK116" s="13" t="n">
        <x:v>0.00979020979020962</x:v>
      </x:c>
      <x:c r="AL116" s="13" t="n">
        <x:v>0.25</x:v>
      </x:c>
      <x:c r="AM116" s="13" t="n">
        <x:v>0</x:v>
      </x:c>
      <x:c r="AN116" s="13" t="n">
        <x:v>0.47510880727663946</x:v>
      </x:c>
      <x:c r="AO116" s="13" t="n">
        <x:v>2.426172114180776</x:v>
      </x:c>
      <x:c r="AP116" s="13" t="n">
        <x:v>0.10984400215166759</x:v>
      </x:c>
    </x:row>
    <x:row r="117" ht="15" hidden="0" customHeight="1">
      <x:c r="A117" s="2" t="str">
        <x:v>E116</x:v>
      </x:c>
      <x:c r="B117" s="2" t="str">
        <x:v>***门窗有限公司</x:v>
      </x:c>
      <x:c r="C117" s="2" t="str">
        <x:v>有信贷记录</x:v>
      </x:c>
      <x:c r="D117" s="2" t="str">
        <x:v>D</x:v>
      </x:c>
      <x:c r="E117" s="2" t="str">
        <x:v>是</x:v>
      </x:c>
      <x:c r="F117" s="13" t="n">
        <x:v>10</x:v>
      </x:c>
      <x:c r="G117" s="13" t="n">
        <x:v>10</x:v>
      </x:c>
      <x:c r="H117" s="13" t="n">
        <x:v>0</x:v>
      </x:c>
      <x:c r="I117" s="13" t="n">
        <x:v>0</x:v>
      </x:c>
      <x:c r="J117" s="13" t="n">
        <x:v>2806.25</x:v>
      </x:c>
      <x:c r="K117" s="13" t="n">
        <x:v>2806.25</x:v>
      </x:c>
      <x:c r="L117" s="13" t="n">
        <x:v>8</x:v>
      </x:c>
      <x:c r="M117" s="13" t="n">
        <x:v>0</x:v>
      </x:c>
      <x:c r="N117" s="13" t="n">
        <x:v>0</x:v>
      </x:c>
      <x:c r="O117" s="13" t="n">
        <x:v>0.15307137563801768</x:v>
      </x:c>
      <x:c r="P117" s="13" t="n">
        <x:v>0.23839643652561246</x:v>
      </x:c>
      <x:c r="Q117" s="13" t="n">
        <x:v>140.3125</x:v>
      </x:c>
      <x:c r="R117" s="13" t="n">
        <x:v>1.5187460193361848</x:v>
      </x:c>
      <x:c r="S117" s="13" t="n">
        <x:v>0.07770383642793391</x:v>
      </x:c>
      <x:c r="T117" s="13" t="n">
        <x:v>7</x:v>
      </x:c>
      <x:c r="U117" s="13" t="n">
        <x:v>47</x:v>
      </x:c>
      <x:c r="V117" s="13" t="n">
        <x:v>43</x:v>
      </x:c>
      <x:c r="W117" s="13" t="n">
        <x:v>4</x:v>
      </x:c>
      <x:c r="X117" s="13" t="n">
        <x:v>0</x:v>
      </x:c>
      <x:c r="Y117" s="13" t="n">
        <x:v>238370.32</x:v>
      </x:c>
      <x:c r="Z117" s="13" t="n">
        <x:v>238370.32</x:v>
      </x:c>
      <x:c r="AA117" s="13" t="n">
        <x:v>25</x:v>
      </x:c>
      <x:c r="AB117" s="13" t="n">
        <x:v>0.0851063829787234</x:v>
      </x:c>
      <x:c r="AC117" s="13" t="n">
        <x:v>0</x:v>
      </x:c>
      <x:c r="AD117" s="13" t="n">
        <x:v>0.08963906870255182</x:v>
      </x:c>
      <x:c r="AE117" s="13" t="n">
        <x:v>0.1600414011274558</x:v>
      </x:c>
      <x:c r="AF117" s="13" t="n">
        <x:v>8828.53037037037</x:v>
      </x:c>
      <x:c r="AG117" s="13" t="n">
        <x:v>1.499292712482626</x:v>
      </x:c>
      <x:c r="AH117" s="13" t="n">
        <x:v>-0.020618478871836283</x:v>
      </x:c>
      <x:c r="AI117" s="13" t="n">
        <x:v>15</x:v>
      </x:c>
      <x:c r="AJ117" s="13" t="n">
        <x:v>235564.07</x:v>
      </x:c>
      <x:c r="AK117" s="13" t="n">
        <x:v>0.011772648541143831</x:v>
      </x:c>
      <x:c r="AL117" s="13" t="n">
        <x:v>0.07017543859649122</x:v>
      </x:c>
      <x:c r="AM117" s="13" t="n">
        <x:v>0</x:v>
      </x:c>
      <x:c r="AN117" s="13" t="n">
        <x:v>0.12135522217028474</x:v>
      </x:c>
      <x:c r="AO117" s="13" t="n">
        <x:v>1.5090193659094053</x:v>
      </x:c>
      <x:c r="AP117" s="13" t="n">
        <x:v>0.028542678778048815</x:v>
      </x:c>
    </x:row>
    <x:row r="118" ht="15" hidden="0" customHeight="1">
      <x:c r="A118" s="2" t="str">
        <x:v>E117</x:v>
      </x:c>
      <x:c r="B118" s="2" t="str">
        <x:v>***人力资源管理咨询有限公司</x:v>
      </x:c>
      <x:c r="C118" s="2" t="str">
        <x:v>有信贷记录</x:v>
      </x:c>
      <x:c r="D118" s="2" t="str">
        <x:v>D</x:v>
      </x:c>
      <x:c r="E118" s="2" t="str">
        <x:v>是</x:v>
      </x:c>
      <x:c r="F118" s="13" t="n">
        <x:v>4</x:v>
      </x:c>
      <x:c r="G118" s="13" t="n">
        <x:v>4</x:v>
      </x:c>
      <x:c r="H118" s="13" t="n">
        <x:v>0</x:v>
      </x:c>
      <x:c r="I118" s="13" t="n">
        <x:v>0</x:v>
      </x:c>
      <x:c r="J118" s="13" t="n">
        <x:v>7120</x:v>
      </x:c>
      <x:c r="K118" s="13" t="n">
        <x:v>7120</x:v>
      </x:c>
      <x:c r="L118" s="13" t="n">
        <x:v>3</x:v>
      </x:c>
      <x:c r="M118" s="13" t="n">
        <x:v>0</x:v>
      </x:c>
      <x:c r="N118" s="13" t="n">
        <x:v>0</x:v>
      </x:c>
      <x:c r="O118" s="13" t="n">
        <x:v>0.5585035033455372</x:v>
      </x:c>
      <x:c r="P118" s="13" t="n">
        <x:v>0.702247191011236</x:v>
      </x:c>
      <x:c r="Q118" s="13" t="n">
        <x:v>418.8235294117647</x:v>
      </x:c>
      <x:c r="R118" s="13" t="n">
        <x:v>2.3315732002029996</x:v>
      </x:c>
      <x:c r="S118" s="13" t="n">
        <x:v>0.0671816479399145</x:v>
      </x:c>
      <x:c r="T118" s="13" t="n">
        <x:v>4</x:v>
      </x:c>
      <x:c r="U118" s="13" t="n">
        <x:v>44</x:v>
      </x:c>
      <x:c r="V118" s="13" t="n">
        <x:v>26</x:v>
      </x:c>
      <x:c r="W118" s="13" t="n">
        <x:v>18</x:v>
      </x:c>
      <x:c r="X118" s="13" t="n">
        <x:v>0</x:v>
      </x:c>
      <x:c r="Y118" s="13" t="n">
        <x:v>525168</x:v>
      </x:c>
      <x:c r="Z118" s="13" t="n">
        <x:v>525168</x:v>
      </x:c>
      <x:c r="AA118" s="13" t="n">
        <x:v>1</x:v>
      </x:c>
      <x:c r="AB118" s="13" t="n">
        <x:v>0.4090909090909091</x:v>
      </x:c>
      <x:c r="AC118" s="13" t="n">
        <x:v>0</x:v>
      </x:c>
      <x:c r="AD118" s="13" t="n">
        <x:v>1</x:v>
      </x:c>
      <x:c r="AE118" s="13" t="n">
        <x:v>1</x:v>
      </x:c>
      <x:c r="AF118" s="13" t="n">
        <x:v>40397.53846153846</x:v>
      </x:c>
      <x:c r="AG118" s="13" t="n">
        <x:v>1.108658558302464</x:v>
      </x:c>
      <x:c r="AH118" s="13" t="n">
        <x:v>-0.23385605041760216</x:v>
      </x:c>
      <x:c r="AI118" s="13" t="n">
        <x:v>10</x:v>
      </x:c>
      <x:c r="AJ118" s="13" t="n">
        <x:v>518048</x:v>
      </x:c>
      <x:c r="AK118" s="13" t="n">
        <x:v>0.013557566340675719</x:v>
      </x:c>
      <x:c r="AL118" s="13" t="n">
        <x:v>0.375</x:v>
      </x:c>
      <x:c r="AM118" s="13" t="n">
        <x:v>0</x:v>
      </x:c>
      <x:c r="AN118" s="13" t="n">
        <x:v>0.7792517516727686</x:v>
      </x:c>
      <x:c r="AO118" s="13" t="n">
        <x:v>1.7201158792527318</x:v>
      </x:c>
      <x:c r="AP118" s="13" t="n">
        <x:v>-0.08333720123884383</x:v>
      </x:c>
    </x:row>
    <x:row r="119" ht="15" hidden="0" customHeight="1">
      <x:c r="A119" s="2" t="str">
        <x:v>E118</x:v>
      </x:c>
      <x:c r="B119" s="2" t="str">
        <x:v>***体育用品有限公司</x:v>
      </x:c>
      <x:c r="C119" s="2" t="str">
        <x:v>有信贷记录</x:v>
      </x:c>
      <x:c r="D119" s="2" t="str">
        <x:v>D</x:v>
      </x:c>
      <x:c r="E119" s="2" t="str">
        <x:v>是</x:v>
      </x:c>
      <x:c r="F119" s="13" t="n">
        <x:v>29</x:v>
      </x:c>
      <x:c r="G119" s="13" t="n">
        <x:v>27</x:v>
      </x:c>
      <x:c r="H119" s="13" t="n">
        <x:v>2</x:v>
      </x:c>
      <x:c r="I119" s="13" t="n">
        <x:v>0</x:v>
      </x:c>
      <x:c r="J119" s="13" t="n">
        <x:v>67712.79000000001</x:v>
      </x:c>
      <x:c r="K119" s="13" t="n">
        <x:v>67712.79000000001</x:v>
      </x:c>
      <x:c r="L119" s="13" t="n">
        <x:v>9</x:v>
      </x:c>
      <x:c r="M119" s="13" t="n">
        <x:v>0.06896551724137931</x:v>
      </x:c>
      <x:c r="N119" s="13" t="n">
        <x:v>0</x:v>
      </x:c>
      <x:c r="O119" s="13" t="n">
        <x:v>0.35150815697631616</x:v>
      </x:c>
      <x:c r="P119" s="13" t="n">
        <x:v>0.49687806395217204</x:v>
      </x:c>
      <x:c r="Q119" s="13" t="n">
        <x:v>2116.0246875</x:v>
      </x:c>
      <x:c r="R119" s="13" t="n">
        <x:v>3.0165793414440003</x:v>
      </x:c>
      <x:c r="S119" s="13" t="n">
        <x:v>0.07909039257860269</x:v>
      </x:c>
      <x:c r="T119" s="13" t="n">
        <x:v>14</x:v>
      </x:c>
      <x:c r="U119" s="13" t="n">
        <x:v>144</x:v>
      </x:c>
      <x:c r="V119" s="13" t="n">
        <x:v>136</x:v>
      </x:c>
      <x:c r="W119" s="13" t="n">
        <x:v>8</x:v>
      </x:c>
      <x:c r="X119" s="13" t="n">
        <x:v>1</x:v>
      </x:c>
      <x:c r="Y119" s="13" t="n">
        <x:v>280941.2</x:v>
      </x:c>
      <x:c r="Z119" s="13" t="n">
        <x:v>281975.2</x:v>
      </x:c>
      <x:c r="AA119" s="13" t="n">
        <x:v>118</x:v>
      </x:c>
      <x:c r="AB119" s="13" t="n">
        <x:v>0.05555555555555555</x:v>
      </x:c>
      <x:c r="AC119" s="13" t="n">
        <x:v>0.007352941176470588</x:v>
      </x:c>
      <x:c r="AD119" s="13" t="n">
        <x:v>0.10417633788542648</x:v>
      </x:c>
      <x:c r="AE119" s="13" t="n">
        <x:v>0.24674155741355977</x:v>
      </x:c>
      <x:c r="AF119" s="13" t="n">
        <x:v>8026.891428571429</x:v>
      </x:c>
      <x:c r="AG119" s="13" t="n">
        <x:v>1.6257112497152482</x:v>
      </x:c>
      <x:c r="AH119" s="13" t="n">
        <x:v>-0.04100308073675528</x:v>
      </x:c>
      <x:c r="AI119" s="13" t="n">
        <x:v>30</x:v>
      </x:c>
      <x:c r="AJ119" s="13" t="n">
        <x:v>213228.41</x:v>
      </x:c>
      <x:c r="AK119" s="13" t="n">
        <x:v>0.24013739506169254</x:v>
      </x:c>
      <x:c r="AL119" s="13" t="n">
        <x:v>0.057803468208092484</x:v>
      </x:c>
      <x:c r="AM119" s="13" t="n">
        <x:v>0.006134969325153374</x:v>
      </x:c>
      <x:c r="AN119" s="13" t="n">
        <x:v>0.2278422474308713</x:v>
      </x:c>
      <x:c r="AO119" s="13" t="n">
        <x:v>2.3211452955796243</x:v>
      </x:c>
      <x:c r="AP119" s="13" t="n">
        <x:v>0.019043655920923705</x:v>
      </x:c>
    </x:row>
    <x:row r="120" ht="15" hidden="0" customHeight="1">
      <x:c r="A120" s="2" t="str">
        <x:v>E119</x:v>
      </x:c>
      <x:c r="B120" s="2" t="str">
        <x:v>***药房</x:v>
      </x:c>
      <x:c r="C120" s="2" t="str">
        <x:v>有信贷记录</x:v>
      </x:c>
      <x:c r="D120" s="2" t="str">
        <x:v>D</x:v>
      </x:c>
      <x:c r="E120" s="2" t="str">
        <x:v>是</x:v>
      </x:c>
      <x:c r="F120" s="13" t="n">
        <x:v>315</x:v>
      </x:c>
      <x:c r="G120" s="13" t="n">
        <x:v>314</x:v>
      </x:c>
      <x:c r="H120" s="13" t="n">
        <x:v>1</x:v>
      </x:c>
      <x:c r="I120" s="13" t="n">
        <x:v>1</x:v>
      </x:c>
      <x:c r="J120" s="13" t="n">
        <x:v>249734.83</x:v>
      </x:c>
      <x:c r="K120" s="13" t="n">
        <x:v>249812.83</x:v>
      </x:c>
      <x:c r="L120" s="13" t="n">
        <x:v>17</x:v>
      </x:c>
      <x:c r="M120" s="13" t="n">
        <x:v>0.0031746031746031746</x:v>
      </x:c>
      <x:c r="N120" s="13" t="n">
        <x:v>0.0031847133757961785</x:v>
      </x:c>
      <x:c r="O120" s="13" t="n">
        <x:v>0.16407953489760188</x:v>
      </x:c>
      <x:c r="P120" s="13" t="n">
        <x:v>0.24419318255191297</x:v>
      </x:c>
      <x:c r="Q120" s="13" t="n">
        <x:v>7804.2134375000005</x:v>
      </x:c>
      <x:c r="R120" s="13" t="n">
        <x:v>0.8084788395880776</x:v>
      </x:c>
      <x:c r="S120" s="13" t="n">
        <x:v>0.03379543675969371</x:v>
      </x:c>
      <x:c r="T120" s="13" t="n">
        <x:v>31</x:v>
      </x:c>
      <x:c r="U120" s="13" t="n">
        <x:v>21</x:v>
      </x:c>
      <x:c r="V120" s="13" t="n">
        <x:v>18</x:v>
      </x:c>
      <x:c r="W120" s="13" t="n">
        <x:v>3</x:v>
      </x:c>
      <x:c r="X120" s="13" t="n">
        <x:v>0</x:v>
      </x:c>
      <x:c r="Y120" s="13" t="n">
        <x:v>36742</x:v>
      </x:c>
      <x:c r="Z120" s="13" t="n">
        <x:v>36742</x:v>
      </x:c>
      <x:c r="AA120" s="13" t="n">
        <x:v>17</x:v>
      </x:c>
      <x:c r="AB120" s="13" t="n">
        <x:v>0.14285714285714285</x:v>
      </x:c>
      <x:c r="AC120" s="13" t="n">
        <x:v>0</x:v>
      </x:c>
      <x:c r="AD120" s="13" t="n">
        <x:v>0.09667370592028429</x:v>
      </x:c>
      <x:c r="AE120" s="13" t="n">
        <x:v>0.19596102552936695</x:v>
      </x:c>
      <x:c r="AF120" s="13" t="n">
        <x:v>1413.1538461538462</x:v>
      </x:c>
      <x:c r="AG120" s="13" t="n">
        <x:v>1.7161583916565988</x:v>
      </x:c>
      <x:c r="AH120" s="13" t="n">
        <x:v>0.07571788870134175</x:v>
      </x:c>
      <x:c r="AI120" s="13" t="n">
        <x:v>9</x:v>
      </x:c>
      <x:c r="AJ120" s="13" t="n">
        <x:v>-212992.83</x:v>
      </x:c>
      <x:c r="AK120" s="13" t="n">
        <x:v>6.7991081051655655</x:v>
      </x:c>
      <x:c r="AL120" s="13" t="n">
        <x:v>0.011904761904761904</x:v>
      </x:c>
      <x:c r="AM120" s="13" t="n">
        <x:v>0.0030120481927710845</x:v>
      </x:c>
      <x:c r="AN120" s="13" t="n">
        <x:v>0.1303766204089431</x:v>
      </x:c>
      <x:c r="AO120" s="13" t="n">
        <x:v>1.2623186156223383</x:v>
      </x:c>
      <x:c r="AP120" s="13" t="n">
        <x:v>0.05475666273051773</x:v>
      </x:c>
    </x:row>
    <x:row r="121" ht="15" hidden="0" customHeight="1">
      <x:c r="A121" s="2" t="str">
        <x:v>E120</x:v>
      </x:c>
      <x:c r="B121" s="2" t="str">
        <x:v>***陈列广告有限公司</x:v>
      </x:c>
      <x:c r="C121" s="2" t="str">
        <x:v>有信贷记录</x:v>
      </x:c>
      <x:c r="D121" s="2" t="str">
        <x:v>D</x:v>
      </x:c>
      <x:c r="E121" s="2" t="str">
        <x:v>是</x:v>
      </x:c>
      <x:c r="F121" s="13" t="n">
        <x:v>36</x:v>
      </x:c>
      <x:c r="G121" s="13" t="n">
        <x:v>35</x:v>
      </x:c>
      <x:c r="H121" s="13" t="n">
        <x:v>1</x:v>
      </x:c>
      <x:c r="I121" s="13" t="n">
        <x:v>0</x:v>
      </x:c>
      <x:c r="J121" s="13" t="n">
        <x:v>19446.34</x:v>
      </x:c>
      <x:c r="K121" s="13" t="n">
        <x:v>19446.34</x:v>
      </x:c>
      <x:c r="L121" s="13" t="n">
        <x:v>16</x:v>
      </x:c>
      <x:c r="M121" s="13" t="n">
        <x:v>0.027777777777777776</x:v>
      </x:c>
      <x:c r="N121" s="13" t="n">
        <x:v>0</x:v>
      </x:c>
      <x:c r="O121" s="13" t="n">
        <x:v>0.34269541391307157</x:v>
      </x:c>
      <x:c r="P121" s="13" t="n">
        <x:v>0.5528032524372195</x:v>
      </x:c>
      <x:c r="Q121" s="13" t="n">
        <x:v>926.0161904761904</x:v>
      </x:c>
      <x:c r="R121" s="13" t="n">
        <x:v>2.484467774249283</x:v>
      </x:c>
      <x:c r="S121" s="13" t="n">
        <x:v>-0.1736273532937767</x:v>
      </x:c>
      <x:c r="T121" s="13" t="n">
        <x:v>12</x:v>
      </x:c>
      <x:c r="U121" s="13" t="n">
        <x:v>29</x:v>
      </x:c>
      <x:c r="V121" s="13" t="n">
        <x:v>9</x:v>
      </x:c>
      <x:c r="W121" s="13" t="n">
        <x:v>20</x:v>
      </x:c>
      <x:c r="X121" s="13" t="n">
        <x:v>0</x:v>
      </x:c>
      <x:c r="Y121" s="13" t="n">
        <x:v>196393.41999999998</x:v>
      </x:c>
      <x:c r="Z121" s="13" t="n">
        <x:v>196393.41999999998</x:v>
      </x:c>
      <x:c r="AA121" s="13" t="n">
        <x:v>26</x:v>
      </x:c>
      <x:c r="AB121" s="13" t="n">
        <x:v>0.6896551724137931</x:v>
      </x:c>
      <x:c r="AC121" s="13" t="n">
        <x:v>0</x:v>
      </x:c>
      <x:c r="AD121" s="13" t="n">
        <x:v>0.30542091856442954</x:v>
      </x:c>
      <x:c r="AE121" s="13" t="n">
        <x:v>0.3971619823108127</x:v>
      </x:c>
      <x:c r="AF121" s="13" t="n">
        <x:v>7553.593076923076</x:v>
      </x:c>
      <x:c r="AG121" s="13" t="n">
        <x:v>2.63497142769265</x:v>
      </x:c>
      <x:c r="AH121" s="13" t="n">
        <x:v>-0.027114636415909832</x:v>
      </x:c>
      <x:c r="AI121" s="13" t="n">
        <x:v>6</x:v>
      </x:c>
      <x:c r="AJ121" s="13" t="n">
        <x:v>176947.08</x:v>
      </x:c>
      <x:c r="AK121" s="13" t="n">
        <x:v>0.09901726850115398</x:v>
      </x:c>
      <x:c r="AL121" s="13" t="n">
        <x:v>0.3230769230769231</x:v>
      </x:c>
      <x:c r="AM121" s="13" t="n">
        <x:v>0</x:v>
      </x:c>
      <x:c r="AN121" s="13" t="n">
        <x:v>0.32405816623875056</x:v>
      </x:c>
      <x:c r="AO121" s="13" t="n">
        <x:v>2.5597196009709666</x:v>
      </x:c>
      <x:c r="AP121" s="13" t="n">
        <x:v>-0.10037099485484327</x:v>
      </x:c>
    </x:row>
    <x:row r="122" ht="15" hidden="0" customHeight="1">
      <x:c r="A122" s="2" t="str">
        <x:v>E121</x:v>
      </x:c>
      <x:c r="B122" s="2" t="str">
        <x:v>***药业连锁有限公司***药店</x:v>
      </x:c>
      <x:c r="C122" s="2" t="str">
        <x:v>有信贷记录</x:v>
      </x:c>
      <x:c r="D122" s="2" t="str">
        <x:v>D</x:v>
      </x:c>
      <x:c r="E122" s="2" t="str">
        <x:v>是</x:v>
      </x:c>
      <x:c r="F122" s="13" t="n">
        <x:v>50</x:v>
      </x:c>
      <x:c r="G122" s="13" t="n">
        <x:v>50</x:v>
      </x:c>
      <x:c r="H122" s="13" t="n">
        <x:v>0</x:v>
      </x:c>
      <x:c r="I122" s="13" t="n">
        <x:v>1</x:v>
      </x:c>
      <x:c r="J122" s="13" t="n">
        <x:v>1251119.88</x:v>
      </x:c>
      <x:c r="K122" s="13" t="n">
        <x:v>1255919.88</x:v>
      </x:c>
      <x:c r="L122" s="13" t="n">
        <x:v>11</x:v>
      </x:c>
      <x:c r="M122" s="13" t="n">
        <x:v>0</x:v>
      </x:c>
      <x:c r="N122" s="13" t="n">
        <x:v>0.02</x:v>
      </x:c>
      <x:c r="O122" s="13" t="n">
        <x:v>0.9653322090172383</x:v>
      </x:c>
      <x:c r="P122" s="13" t="n">
        <x:v>0.982448530076616</x:v>
      </x:c>
      <x:c r="Q122" s="13" t="n">
        <x:v>39097.49625</x:v>
      </x:c>
      <x:c r="R122" s="13" t="n">
        <x:v>0.7799513303477996</x:v>
      </x:c>
      <x:c r="S122" s="13" t="n">
        <x:v>-0.07652131561523196</x:v>
      </x:c>
      <x:c r="T122" s="13" t="n">
        <x:v>24</x:v>
      </x:c>
      <x:c r="U122" s="13" t="n">
        <x:v>186</x:v>
      </x:c>
      <x:c r="V122" s="13" t="n">
        <x:v>163</x:v>
      </x:c>
      <x:c r="W122" s="13" t="n">
        <x:v>23</x:v>
      </x:c>
      <x:c r="X122" s="13" t="n">
        <x:v>0</x:v>
      </x:c>
      <x:c r="Y122" s="13" t="n">
        <x:v>114287.54999999999</x:v>
      </x:c>
      <x:c r="Z122" s="13" t="n">
        <x:v>114287.54999999999</x:v>
      </x:c>
      <x:c r="AA122" s="13" t="n">
        <x:v>123</x:v>
      </x:c>
      <x:c r="AB122" s="13" t="n">
        <x:v>0.12365591397849462</x:v>
      </x:c>
      <x:c r="AC122" s="13" t="n">
        <x:v>0</x:v>
      </x:c>
      <x:c r="AD122" s="13" t="n">
        <x:v>0.0435382041350571</x:v>
      </x:c>
      <x:c r="AE122" s="13" t="n">
        <x:v>0.17826561160861354</x:v>
      </x:c>
      <x:c r="AF122" s="13" t="n">
        <x:v>4761.981250000001</x:v>
      </x:c>
      <x:c r="AG122" s="13" t="n">
        <x:v>0.7960697009762673</x:v>
      </x:c>
      <x:c r="AH122" s="13" t="n">
        <x:v>0.010837508661645267</x:v>
      </x:c>
      <x:c r="AI122" s="13" t="n">
        <x:v>24</x:v>
      </x:c>
      <x:c r="AJ122" s="13" t="n">
        <x:v>-1136832.3299999998</x:v>
      </x:c>
      <x:c r="AK122" s="13" t="n">
        <x:v>10.989122437220756</x:v>
      </x:c>
      <x:c r="AL122" s="13" t="n">
        <x:v>0.09745762711864407</x:v>
      </x:c>
      <x:c r="AM122" s="13" t="n">
        <x:v>0.004694835680751174</x:v>
      </x:c>
      <x:c r="AN122" s="13" t="n">
        <x:v>0.5044352065761477</x:v>
      </x:c>
      <x:c r="AO122" s="13" t="n">
        <x:v>0.7880105156620334</x:v>
      </x:c>
      <x:c r="AP122" s="13" t="n">
        <x:v>-0.03284190347679335</x:v>
      </x:c>
    </x:row>
    <x:row r="123" ht="15" hidden="0" customHeight="1">
      <x:c r="A123" s="2" t="str">
        <x:v>E122</x:v>
      </x:c>
      <x:c r="B123" s="2" t="str">
        <x:v>***商贸有限责任公司</x:v>
      </x:c>
      <x:c r="C123" s="2" t="str">
        <x:v>有信贷记录</x:v>
      </x:c>
      <x:c r="D123" s="2" t="str">
        <x:v>D</x:v>
      </x:c>
      <x:c r="E123" s="2" t="str">
        <x:v>是</x:v>
      </x:c>
      <x:c r="F123" s="13" t="n">
        <x:v>48</x:v>
      </x:c>
      <x:c r="G123" s="13" t="n">
        <x:v>47</x:v>
      </x:c>
      <x:c r="H123" s="13" t="n">
        <x:v>1</x:v>
      </x:c>
      <x:c r="I123" s="13" t="n">
        <x:v>1</x:v>
      </x:c>
      <x:c r="J123" s="13" t="n">
        <x:v>53746.259999999995</x:v>
      </x:c>
      <x:c r="K123" s="13" t="n">
        <x:v>64922.259999999995</x:v>
      </x:c>
      <x:c r="L123" s="13" t="n">
        <x:v>22</x:v>
      </x:c>
      <x:c r="M123" s="13" t="n">
        <x:v>0.020833333333333332</x:v>
      </x:c>
      <x:c r="N123" s="13" t="n">
        <x:v>0.02127659574468085</x:v>
      </x:c>
      <x:c r="O123" s="13" t="n">
        <x:v>0.2732453471513963</x:v>
      </x:c>
      <x:c r="P123" s="13" t="n">
        <x:v>0.3989540721472112</x:v>
      </x:c>
      <x:c r="Q123" s="13" t="n">
        <x:v>1679.5706249999998</x:v>
      </x:c>
      <x:c r="R123" s="13" t="n">
        <x:v>2.0813936760049763</x:v>
      </x:c>
      <x:c r="S123" s="13" t="n">
        <x:v>-0.043672044013046994</x:v>
      </x:c>
      <x:c r="T123" s="13" t="n">
        <x:v>19</x:v>
      </x:c>
      <x:c r="U123" s="13" t="n">
        <x:v>118</x:v>
      </x:c>
      <x:c r="V123" s="13" t="n">
        <x:v>102</x:v>
      </x:c>
      <x:c r="W123" s="13" t="n">
        <x:v>16</x:v>
      </x:c>
      <x:c r="X123" s="13" t="n">
        <x:v>8</x:v>
      </x:c>
      <x:c r="Y123" s="13" t="n">
        <x:v>60740.600000000006</x:v>
      </x:c>
      <x:c r="Z123" s="13" t="n">
        <x:v>64840.600000000006</x:v>
      </x:c>
      <x:c r="AA123" s="13" t="n">
        <x:v>70</x:v>
      </x:c>
      <x:c r="AB123" s="13" t="n">
        <x:v>0.13559322033898305</x:v>
      </x:c>
      <x:c r="AC123" s="13" t="n">
        <x:v>0.0784313725490196</x:v>
      </x:c>
      <x:c r="AD123" s="13" t="n">
        <x:v>0.0695326837347435</x:v>
      </x:c>
      <x:c r="AE123" s="13" t="n">
        <x:v>0.1480553850519582</x:v>
      </x:c>
      <x:c r="AF123" s="13" t="n">
        <x:v>1786.4882352941177</x:v>
      </x:c>
      <x:c r="AG123" s="13" t="n">
        <x:v>1.4566769602590526</x:v>
      </x:c>
      <x:c r="AH123" s="13" t="n">
        <x:v>-0.07141749257061415</x:v>
      </x:c>
      <x:c r="AI123" s="13" t="n">
        <x:v>26</x:v>
      </x:c>
      <x:c r="AJ123" s="13" t="n">
        <x:v>6994.340000000011</x:v>
      </x:c>
      <x:c r="AK123" s="13" t="n">
        <x:v>1.0012593961190825</x:v>
      </x:c>
      <x:c r="AL123" s="13" t="n">
        <x:v>0.10240963855421686</x:v>
      </x:c>
      <x:c r="AM123" s="13" t="n">
        <x:v>0.06040268456375839</x:v>
      </x:c>
      <x:c r="AN123" s="13" t="n">
        <x:v>0.1713890154430699</x:v>
      </x:c>
      <x:c r="AO123" s="13" t="n">
        <x:v>1.7690353181320144</x:v>
      </x:c>
      <x:c r="AP123" s="13" t="n">
        <x:v>-0.05754476829183057</x:v>
      </x:c>
    </x:row>
    <x:row r="124" ht="15" hidden="0" customHeight="1">
      <x:c r="A124" s="2" t="str">
        <x:v>E123</x:v>
      </x:c>
      <x:c r="B124" s="2" t="str">
        <x:v>***创科技有限责任公司</x:v>
      </x:c>
      <x:c r="C124" s="2" t="str">
        <x:v>有信贷记录</x:v>
      </x:c>
      <x:c r="D124" s="2" t="str">
        <x:v>D</x:v>
      </x:c>
      <x:c r="E124" s="2" t="str">
        <x:v>是</x:v>
      </x:c>
      <x:c r="F124" s="13" t="n">
        <x:v>3</x:v>
      </x:c>
      <x:c r="G124" s="13" t="n">
        <x:v>3</x:v>
      </x:c>
      <x:c r="H124" s="13" t="n">
        <x:v>0</x:v>
      </x:c>
      <x:c r="I124" s="13" t="n">
        <x:v>0</x:v>
      </x:c>
      <x:c r="J124" s="13" t="n">
        <x:v>840</x:v>
      </x:c>
      <x:c r="K124" s="13" t="n">
        <x:v>840</x:v>
      </x:c>
      <x:c r="L124" s="13" t="n">
        <x:v>2</x:v>
      </x:c>
      <x:c r="M124" s="13" t="n">
        <x:v>0</x:v>
      </x:c>
      <x:c r="N124" s="13" t="n">
        <x:v>0</x:v>
      </x:c>
      <x:c r="O124" s="13" t="n">
        <x:v>0.5555555555555556</x:v>
      </x:c>
      <x:c r="P124" s="13" t="n">
        <x:v>0.6666666666666666</x:v>
      </x:c>
      <x:c r="Q124" s="13" t="n">
        <x:v>33.6</x:v>
      </x:c>
      <x:c r="R124" s="13" t="n">
        <x:v>2.708012801464725</x:v>
      </x:c>
      <x:c r="S124" s="13" t="n">
        <x:v>2.317634513930293e-17</x:v>
      </x:c>
      <x:c r="T124" s="13" t="n">
        <x:v>3</x:v>
      </x:c>
      <x:c r="U124" s="13" t="n">
        <x:v>65</x:v>
      </x:c>
      <x:c r="V124" s="13" t="n">
        <x:v>33</x:v>
      </x:c>
      <x:c r="W124" s="13" t="n">
        <x:v>32</x:v>
      </x:c>
      <x:c r="X124" s="13" t="n">
        <x:v>0</x:v>
      </x:c>
      <x:c r="Y124" s="13" t="n">
        <x:v>227559.7</x:v>
      </x:c>
      <x:c r="Z124" s="13" t="n">
        <x:v>227559.7</x:v>
      </x:c>
      <x:c r="AA124" s="13" t="n">
        <x:v>7</x:v>
      </x:c>
      <x:c r="AB124" s="13" t="n">
        <x:v>0.49230769230769234</x:v>
      </x:c>
      <x:c r="AC124" s="13" t="n">
        <x:v>0</x:v>
      </x:c>
      <x:c r="AD124" s="13" t="n">
        <x:v>0.42341615401921556</x:v>
      </x:c>
      <x:c r="AE124" s="13" t="n">
        <x:v>0.5888845872094225</x:v>
      </x:c>
      <x:c r="AF124" s="13" t="n">
        <x:v>6692.932352941178</x:v>
      </x:c>
      <x:c r="AG124" s="13" t="n">
        <x:v>3.4285536963346552</x:v>
      </x:c>
      <x:c r="AH124" s="13" t="n">
        <x:v>-0.0067825010144751605</x:v>
      </x:c>
      <x:c r="AI124" s="13" t="n">
        <x:v>14</x:v>
      </x:c>
      <x:c r="AJ124" s="13" t="n">
        <x:v>226719.7</x:v>
      </x:c>
      <x:c r="AK124" s="13" t="n">
        <x:v>0.003691339020046152</x:v>
      </x:c>
      <x:c r="AL124" s="13" t="n">
        <x:v>0.47058823529411764</x:v>
      </x:c>
      <x:c r="AM124" s="13" t="n">
        <x:v>0</x:v>
      </x:c>
      <x:c r="AN124" s="13" t="n">
        <x:v>0.4894858547873856</x:v>
      </x:c>
      <x:c r="AO124" s="13" t="n">
        <x:v>3.0682832488996903</x:v>
      </x:c>
      <x:c r="AP124" s="13" t="n">
        <x:v>-0.0033912505072375685</x:v>
      </x:c>
    </x:row>
    <x:row r="125" ht="15" hidden="0" customHeight="1">
      <x:c r="A125" s="2" t="str">
        <x:v>E124</x:v>
      </x:c>
      <x:c r="B125" s="2" t="str">
        <x:v>个体经营E124 </x:v>
      </x:c>
      <x:c r="C125" s="2" t="str">
        <x:v>无信贷记录</x:v>
      </x:c>
      <x:c r="D125" s="2" t="str"/>
      <x:c r="E125" s="2" t="str"/>
      <x:c r="F125" s="13" t="n">
        <x:v>17411</x:v>
      </x:c>
      <x:c r="G125" s="13" t="n">
        <x:v>15264</x:v>
      </x:c>
      <x:c r="H125" s="13" t="n">
        <x:v>2147</x:v>
      </x:c>
      <x:c r="I125" s="13" t="n">
        <x:v>342</x:v>
      </x:c>
      <x:c r="J125" s="13" t="n">
        <x:v>844202797.23</x:v>
      </x:c>
      <x:c r="K125" s="13" t="n">
        <x:v>887265509.01</x:v>
      </x:c>
      <x:c r="L125" s="13" t="n">
        <x:v>1422</x:v>
      </x:c>
      <x:c r="M125" s="13" t="n">
        <x:v>0.12331284819941417</x:v>
      </x:c>
      <x:c r="N125" s="13" t="n">
        <x:v>0.02240566037735849</x:v>
      </x:c>
      <x:c r="O125" s="13" t="n">
        <x:v>0.02939501306898939</x:v>
      </x:c>
      <x:c r="P125" s="13" t="n">
        <x:v>0.14461439378294808</x:v>
      </x:c>
      <x:c r="Q125" s="13" t="n">
        <x:v>33768111.889199995</x:v>
      </x:c>
      <x:c r="R125" s="13" t="n">
        <x:v>0.5837264089547443</x:v>
      </x:c>
      <x:c r="S125" s="13" t="n">
        <x:v>0.04650635968583834</x:v>
      </x:c>
      <x:c r="T125" s="13" t="n">
        <x:v>25</x:v>
      </x:c>
      <x:c r="U125" s="13" t="n">
        <x:v>1293</x:v>
      </x:c>
      <x:c r="V125" s="13" t="n">
        <x:v>1099</x:v>
      </x:c>
      <x:c r="W125" s="13" t="n">
        <x:v>194</x:v>
      </x:c>
      <x:c r="X125" s="13" t="n">
        <x:v>41</x:v>
      </x:c>
      <x:c r="Y125" s="13" t="n">
        <x:v>808437748.17</x:v>
      </x:c>
      <x:c r="Z125" s="13" t="n">
        <x:v>880804606.17</x:v>
      </x:c>
      <x:c r="AA125" s="13" t="n">
        <x:v>54</x:v>
      </x:c>
      <x:c r="AB125" s="13" t="n">
        <x:v>0.1500386697602475</x:v>
      </x:c>
      <x:c r="AC125" s="13" t="n">
        <x:v>0.0373066424021838</x:v>
      </x:c>
      <x:c r="AD125" s="13" t="n">
        <x:v>0.07352453907471611</x:v>
      </x:c>
      <x:c r="AE125" s="13" t="n">
        <x:v>0.17421077619839803</x:v>
      </x:c>
      <x:c r="AF125" s="13" t="n">
        <x:v>32337509.926799998</x:v>
      </x:c>
      <x:c r="AG125" s="13" t="n">
        <x:v>0.6394485338453969</x:v>
      </x:c>
      <x:c r="AH125" s="13" t="n">
        <x:v>0.04100101936067093</x:v>
      </x:c>
      <x:c r="AI125" s="13" t="n">
        <x:v>25</x:v>
      </x:c>
      <x:c r="AJ125" s="13" t="n">
        <x:v>-35765049.06000006</x:v>
      </x:c>
      <x:c r="AK125" s="13" t="n">
        <x:v>1.0073352282614574</x:v>
      </x:c>
      <x:c r="AL125" s="13" t="n">
        <x:v>0.12516039349871685</x:v>
      </x:c>
      <x:c r="AM125" s="13" t="n">
        <x:v>0.023406465807003604</x:v>
      </x:c>
      <x:c r="AN125" s="13" t="n">
        <x:v>0.05145977607185275</x:v>
      </x:c>
      <x:c r="AO125" s="13" t="n">
        <x:v>0.6115874714000706</x:v>
      </x:c>
      <x:c r="AP125" s="13" t="n">
        <x:v>0.04375368952325463</x:v>
      </x:c>
    </x:row>
    <x:row r="126" ht="15" hidden="0" customHeight="1">
      <x:c r="A126" s="2" t="str">
        <x:v>E125</x:v>
      </x:c>
      <x:c r="B126" s="2" t="str">
        <x:v>个体经营E125 </x:v>
      </x:c>
      <x:c r="C126" s="2" t="str">
        <x:v>无信贷记录</x:v>
      </x:c>
      <x:c r="D126" s="2" t="str"/>
      <x:c r="E126" s="2" t="str"/>
      <x:c r="F126" s="13" t="n">
        <x:v>20288</x:v>
      </x:c>
      <x:c r="G126" s="13" t="n">
        <x:v>17776</x:v>
      </x:c>
      <x:c r="H126" s="13" t="n">
        <x:v>2512</x:v>
      </x:c>
      <x:c r="I126" s="13" t="n">
        <x:v>396</x:v>
      </x:c>
      <x:c r="J126" s="13" t="n">
        <x:v>1001201808.6000001</x:v>
      </x:c>
      <x:c r="K126" s="13" t="n">
        <x:v>1052840607.24</x:v>
      </x:c>
      <x:c r="L126" s="13" t="n">
        <x:v>1810</x:v>
      </x:c>
      <x:c r="M126" s="13" t="n">
        <x:v>0.12381703470031545</x:v>
      </x:c>
      <x:c r="N126" s="13" t="n">
        <x:v>0.022277227722772276</x:v>
      </x:c>
      <x:c r="O126" s="13" t="n">
        <x:v>0.01585890387603721</x:v>
      </x:c>
      <x:c r="P126" s="13" t="n">
        <x:v>0.10233596444617316</x:v>
      </x:c>
      <x:c r="Q126" s="13" t="n">
        <x:v>27811161.35</x:v>
      </x:c>
      <x:c r="R126" s="13" t="n">
        <x:v>0.7356870563408974</x:v>
      </x:c>
      <x:c r="S126" s="13" t="n">
        <x:v>0.052615634585258655</x:v>
      </x:c>
      <x:c r="T126" s="13" t="n">
        <x:v>36</x:v>
      </x:c>
      <x:c r="U126" s="13" t="n">
        <x:v>1595</x:v>
      </x:c>
      <x:c r="V126" s="13" t="n">
        <x:v>1380</x:v>
      </x:c>
      <x:c r="W126" s="13" t="n">
        <x:v>215</x:v>
      </x:c>
      <x:c r="X126" s="13" t="n">
        <x:v>42</x:v>
      </x:c>
      <x:c r="Y126" s="13" t="n">
        <x:v>1024841109.95</x:v>
      </x:c>
      <x:c r="Z126" s="13" t="n">
        <x:v>1097347967.9499998</x:v>
      </x:c>
      <x:c r="AA126" s="13" t="n">
        <x:v>64</x:v>
      </x:c>
      <x:c r="AB126" s="13" t="n">
        <x:v>0.13479623824451412</x:v>
      </x:c>
      <x:c r="AC126" s="13" t="n">
        <x:v>0.030434782608695653</x:v>
      </x:c>
      <x:c r="AD126" s="13" t="n">
        <x:v>0.05958869318322667</x:v>
      </x:c>
      <x:c r="AE126" s="13" t="n">
        <x:v>0.16255232156052765</x:v>
      </x:c>
      <x:c r="AF126" s="13" t="n">
        <x:v>28467808.60972222</x:v>
      </x:c>
      <x:c r="AG126" s="13" t="n">
        <x:v>0.7236097188850178</x:v>
      </x:c>
      <x:c r="AH126" s="13" t="n">
        <x:v>0.04241114851425772</x:v>
      </x:c>
      <x:c r="AI126" s="13" t="n">
        <x:v>35</x:v>
      </x:c>
      <x:c r="AJ126" s="13" t="n">
        <x:v>23639301.349999905</x:v>
      </x:c>
      <x:c r="AK126" s="13" t="n">
        <x:v>0.9594409776935698</x:v>
      </x:c>
      <x:c r="AL126" s="13" t="n">
        <x:v>0.12461728282228214</x:v>
      </x:c>
      <x:c r="AM126" s="13" t="n">
        <x:v>0.02286489872624765</x:v>
      </x:c>
      <x:c r="AN126" s="13" t="n">
        <x:v>0.03772379852963194</x:v>
      </x:c>
      <x:c r="AO126" s="13" t="n">
        <x:v>0.7296483876129576</x:v>
      </x:c>
      <x:c r="AP126" s="13" t="n">
        <x:v>0.047513391549758185</x:v>
      </x:c>
    </x:row>
    <x:row r="127" ht="15" hidden="0" customHeight="1">
      <x:c r="A127" s="2" t="str">
        <x:v>E126</x:v>
      </x:c>
      <x:c r="B127" s="2" t="str">
        <x:v>个体经营E126 </x:v>
      </x:c>
      <x:c r="C127" s="2" t="str">
        <x:v>无信贷记录</x:v>
      </x:c>
      <x:c r="D127" s="2" t="str"/>
      <x:c r="E127" s="2" t="str"/>
      <x:c r="F127" s="13" t="n">
        <x:v>533</x:v>
      </x:c>
      <x:c r="G127" s="13" t="n">
        <x:v>515</x:v>
      </x:c>
      <x:c r="H127" s="13" t="n">
        <x:v>18</x:v>
      </x:c>
      <x:c r="I127" s="13" t="n">
        <x:v>3</x:v>
      </x:c>
      <x:c r="J127" s="13" t="n">
        <x:v>128818723.63</x:v>
      </x:c>
      <x:c r="K127" s="13" t="n">
        <x:v>129033779.99</x:v>
      </x:c>
      <x:c r="L127" s="13" t="n">
        <x:v>72</x:v>
      </x:c>
      <x:c r="M127" s="13" t="n">
        <x:v>0.03377110694183865</x:v>
      </x:c>
      <x:c r="N127" s="13" t="n">
        <x:v>0.005825242718446602</x:v>
      </x:c>
      <x:c r="O127" s="13" t="n">
        <x:v>0.2959809647970487</x:v>
      </x:c>
      <x:c r="P127" s="13" t="n">
        <x:v>0.4231506959203358</x:v>
      </x:c>
      <x:c r="Q127" s="13" t="n">
        <x:v>3578297.87861111</x:v>
      </x:c>
      <x:c r="R127" s="13" t="n">
        <x:v>0.7917223978771537</x:v>
      </x:c>
      <x:c r="S127" s="13" t="n">
        <x:v>0.038213930735914364</x:v>
      </x:c>
      <x:c r="T127" s="13" t="n">
        <x:v>36</x:v>
      </x:c>
      <x:c r="U127" s="13" t="n">
        <x:v>1516</x:v>
      </x:c>
      <x:c r="V127" s="13" t="n">
        <x:v>1264</x:v>
      </x:c>
      <x:c r="W127" s="13" t="n">
        <x:v>252</x:v>
      </x:c>
      <x:c r="X127" s="13" t="n">
        <x:v>32</x:v>
      </x:c>
      <x:c r="Y127" s="13" t="n">
        <x:v>538007376.38</x:v>
      </x:c>
      <x:c r="Z127" s="13" t="n">
        <x:v>573569899.72</x:v>
      </x:c>
      <x:c r="AA127" s="13" t="n">
        <x:v>149</x:v>
      </x:c>
      <x:c r="AB127" s="13" t="n">
        <x:v>0.1662269129287599</x:v>
      </x:c>
      <x:c r="AC127" s="13" t="n">
        <x:v>0.02531645569620253</x:v>
      </x:c>
      <x:c r="AD127" s="13" t="n">
        <x:v>0.062417407846749484</x:v>
      </x:c>
      <x:c r="AE127" s="13" t="n">
        <x:v>0.17824868165137261</x:v>
      </x:c>
      <x:c r="AF127" s="13" t="n">
        <x:v>14944649.343888888</x:v>
      </x:c>
      <x:c r="AG127" s="13" t="n">
        <x:v>0.6731765901655583</x:v>
      </x:c>
      <x:c r="AH127" s="13" t="n">
        <x:v>0.03929693533855011</x:v>
      </x:c>
      <x:c r="AI127" s="13" t="n">
        <x:v>36</x:v>
      </x:c>
      <x:c r="AJ127" s="13" t="n">
        <x:v>409188652.75</x:v>
      </x:c>
      <x:c r="AK127" s="13" t="n">
        <x:v>0.22496609402444323</x:v>
      </x:c>
      <x:c r="AL127" s="13" t="n">
        <x:v>0.13177159590043924</x:v>
      </x:c>
      <x:c r="AM127" s="13" t="n">
        <x:v>0.01967397414277684</x:v>
      </x:c>
      <x:c r="AN127" s="13" t="n">
        <x:v>0.1791991863218991</x:v>
      </x:c>
      <x:c r="AO127" s="13" t="n">
        <x:v>0.732449494021356</x:v>
      </x:c>
      <x:c r="AP127" s="13" t="n">
        <x:v>0.03875543303723224</x:v>
      </x:c>
    </x:row>
    <x:row r="128" ht="15" hidden="0" customHeight="1">
      <x:c r="A128" s="2" t="str">
        <x:v>E127</x:v>
      </x:c>
      <x:c r="B128" s="2" t="str">
        <x:v>个体经营E127 </x:v>
      </x:c>
      <x:c r="C128" s="2" t="str">
        <x:v>无信贷记录</x:v>
      </x:c>
      <x:c r="D128" s="2" t="str"/>
      <x:c r="E128" s="2" t="str"/>
      <x:c r="F128" s="13" t="n">
        <x:v>1450</x:v>
      </x:c>
      <x:c r="G128" s="13" t="n">
        <x:v>1424</x:v>
      </x:c>
      <x:c r="H128" s="13" t="n">
        <x:v>26</x:v>
      </x:c>
      <x:c r="I128" s="13" t="n">
        <x:v>2</x:v>
      </x:c>
      <x:c r="J128" s="13" t="n">
        <x:v>1765558.94</x:v>
      </x:c>
      <x:c r="K128" s="13" t="n">
        <x:v>1767638.94</x:v>
      </x:c>
      <x:c r="L128" s="13" t="n">
        <x:v>297</x:v>
      </x:c>
      <x:c r="M128" s="13" t="n">
        <x:v>0.01793103448275862</x:v>
      </x:c>
      <x:c r="N128" s="13" t="n">
        <x:v>0.0014044943820224719</x:v>
      </x:c>
      <x:c r="O128" s="13" t="n">
        <x:v>0.06343612990304914</x:v>
      </x:c>
      <x:c r="P128" s="13" t="n">
        <x:v>0.16971791761953378</x:v>
      </x:c>
      <x:c r="Q128" s="13" t="n">
        <x:v>50444.54114285714</x:v>
      </x:c>
      <x:c r="R128" s="13" t="n">
        <x:v>1.6272785441345055</x:v>
      </x:c>
      <x:c r="S128" s="13" t="n">
        <x:v>0.0535625000898305</x:v>
      </x:c>
      <x:c r="T128" s="13" t="n">
        <x:v>32</x:v>
      </x:c>
      <x:c r="U128" s="13" t="n">
        <x:v>4026</x:v>
      </x:c>
      <x:c r="V128" s="13" t="n">
        <x:v>3904</x:v>
      </x:c>
      <x:c r="W128" s="13" t="n">
        <x:v>122</x:v>
      </x:c>
      <x:c r="X128" s="13" t="n">
        <x:v>4</x:v>
      </x:c>
      <x:c r="Y128" s="13" t="n">
        <x:v>671508175.53</x:v>
      </x:c>
      <x:c r="Z128" s="13" t="n">
        <x:v>674253327.53</x:v>
      </x:c>
      <x:c r="AA128" s="13" t="n">
        <x:v>26</x:v>
      </x:c>
      <x:c r="AB128" s="13" t="n">
        <x:v>0.030303030303030304</x:v>
      </x:c>
      <x:c r="AC128" s="13" t="n">
        <x:v>0.0010245901639344263</x:v>
      </x:c>
      <x:c r="AD128" s="13" t="n">
        <x:v>0.1337747936642815</x:v>
      </x:c>
      <x:c r="AE128" s="13" t="n">
        <x:v>0.22384145962302984</x:v>
      </x:c>
      <x:c r="AF128" s="13" t="n">
        <x:v>18653004.875833333</x:v>
      </x:c>
      <x:c r="AG128" s="13" t="n">
        <x:v>0.794319371758695</x:v>
      </x:c>
      <x:c r="AH128" s="13" t="n">
        <x:v>-0.015680394894984878</x:v>
      </x:c>
      <x:c r="AI128" s="13" t="n">
        <x:v>36</x:v>
      </x:c>
      <x:c r="AJ128" s="13" t="n">
        <x:v>669742616.5899999</x:v>
      </x:c>
      <x:c r="AK128" s="13" t="n">
        <x:v>0.0026216243477439143</x:v>
      </x:c>
      <x:c r="AL128" s="13" t="n">
        <x:v>0.02702702702702703</x:v>
      </x:c>
      <x:c r="AM128" s="13" t="n">
        <x:v>0.0011261261261261261</x:v>
      </x:c>
      <x:c r="AN128" s="13" t="n">
        <x:v>0.09860546178366532</x:v>
      </x:c>
      <x:c r="AO128" s="13" t="n">
        <x:v>1.2107989579466003</x:v>
      </x:c>
      <x:c r="AP128" s="13" t="n">
        <x:v>0.018941052597422812</x:v>
      </x:c>
    </x:row>
    <x:row r="129" ht="15" hidden="0" customHeight="1">
      <x:c r="A129" s="2" t="str">
        <x:v>E128</x:v>
      </x:c>
      <x:c r="B129" s="2" t="str">
        <x:v>个体经营E128 </x:v>
      </x:c>
      <x:c r="C129" s="2" t="str">
        <x:v>无信贷记录</x:v>
      </x:c>
      <x:c r="D129" s="2" t="str"/>
      <x:c r="E129" s="2" t="str"/>
      <x:c r="F129" s="13" t="n">
        <x:v>3222</x:v>
      </x:c>
      <x:c r="G129" s="13" t="n">
        <x:v>3134</x:v>
      </x:c>
      <x:c r="H129" s="13" t="n">
        <x:v>88</x:v>
      </x:c>
      <x:c r="I129" s="13" t="n">
        <x:v>15</x:v>
      </x:c>
      <x:c r="J129" s="13" t="n">
        <x:v>9360499.950000001</x:v>
      </x:c>
      <x:c r="K129" s="13" t="n">
        <x:v>10112352.07</x:v>
      </x:c>
      <x:c r="L129" s="13" t="n">
        <x:v>533</x:v>
      </x:c>
      <x:c r="M129" s="13" t="n">
        <x:v>0.027312228429546864</x:v>
      </x:c>
      <x:c r="N129" s="13" t="n">
        <x:v>0.004786215698787492</x:v>
      </x:c>
      <x:c r="O129" s="13" t="n">
        <x:v>0.025959505264150983</x:v>
      </x:c>
      <x:c r="P129" s="13" t="n">
        <x:v>0.07209628333282506</x:v>
      </x:c>
      <x:c r="Q129" s="13" t="n">
        <x:v>301951.61129032256</x:v>
      </x:c>
      <x:c r="R129" s="13" t="n">
        <x:v>1.107517389801912</x:v>
      </x:c>
      <x:c r="S129" s="13" t="n">
        <x:v>0.02660208707868614</x:v>
      </x:c>
      <x:c r="T129" s="13" t="n">
        <x:v>31</x:v>
      </x:c>
      <x:c r="U129" s="13" t="n">
        <x:v>1255</x:v>
      </x:c>
      <x:c r="V129" s="13" t="n">
        <x:v>1161</x:v>
      </x:c>
      <x:c r="W129" s="13" t="n">
        <x:v>94</x:v>
      </x:c>
      <x:c r="X129" s="13" t="n">
        <x:v>0</x:v>
      </x:c>
      <x:c r="Y129" s="13" t="n">
        <x:v>250689218.79</x:v>
      </x:c>
      <x:c r="Z129" s="13" t="n">
        <x:v>250689218.79</x:v>
      </x:c>
      <x:c r="AA129" s="13" t="n">
        <x:v>8</x:v>
      </x:c>
      <x:c r="AB129" s="13" t="n">
        <x:v>0.0749003984063745</x:v>
      </x:c>
      <x:c r="AC129" s="13" t="n">
        <x:v>0</x:v>
      </x:c>
      <x:c r="AD129" s="13" t="n">
        <x:v>0.9524462050655</x:v>
      </x:c>
      <x:c r="AE129" s="13" t="n">
        <x:v>0.9758447200512735</x:v>
      </x:c>
      <x:c r="AF129" s="13" t="n">
        <x:v>6963589.410833334</x:v>
      </x:c>
      <x:c r="AG129" s="13" t="n">
        <x:v>1.4085090663229716</x:v>
      </x:c>
      <x:c r="AH129" s="13" t="n">
        <x:v>0.026797743664556402</x:v>
      </x:c>
      <x:c r="AI129" s="13" t="n">
        <x:v>33</x:v>
      </x:c>
      <x:c r="AJ129" s="13" t="n">
        <x:v>241328718.84</x:v>
      </x:c>
      <x:c r="AK129" s="13" t="n">
        <x:v>0.04033820089595087</x:v>
      </x:c>
      <x:c r="AL129" s="13" t="n">
        <x:v>0.04065222247040429</x:v>
      </x:c>
      <x:c r="AM129" s="13" t="n">
        <x:v>0.0034924330616996507</x:v>
      </x:c>
      <x:c r="AN129" s="13" t="n">
        <x:v>0.48920285516482553</x:v>
      </x:c>
      <x:c r="AO129" s="13" t="n">
        <x:v>1.2580132280624419</x:v>
      </x:c>
      <x:c r="AP129" s="13" t="n">
        <x:v>0.026699915371621273</x:v>
      </x:c>
    </x:row>
    <x:row r="130" ht="15" hidden="0" customHeight="1">
      <x:c r="A130" s="2" t="str">
        <x:v>E129</x:v>
      </x:c>
      <x:c r="B130" s="2" t="str">
        <x:v>个体经营E129 </x:v>
      </x:c>
      <x:c r="C130" s="2" t="str">
        <x:v>无信贷记录</x:v>
      </x:c>
      <x:c r="D130" s="2" t="str"/>
      <x:c r="E130" s="2" t="str"/>
      <x:c r="F130" s="13" t="n">
        <x:v>6326</x:v>
      </x:c>
      <x:c r="G130" s="13" t="n">
        <x:v>5928</x:v>
      </x:c>
      <x:c r="H130" s="13" t="n">
        <x:v>398</x:v>
      </x:c>
      <x:c r="I130" s="13" t="n">
        <x:v>29</x:v>
      </x:c>
      <x:c r="J130" s="13" t="n">
        <x:v>85577806.82</x:v>
      </x:c>
      <x:c r="K130" s="13" t="n">
        <x:v>88421244.62</x:v>
      </x:c>
      <x:c r="L130" s="13" t="n">
        <x:v>1373</x:v>
      </x:c>
      <x:c r="M130" s="13" t="n">
        <x:v>0.06291495415744547</x:v>
      </x:c>
      <x:c r="N130" s="13" t="n">
        <x:v>0.004892037786774629</x:v>
      </x:c>
      <x:c r="O130" s="13" t="n">
        <x:v>0.04293611134786823</x:v>
      </x:c>
      <x:c r="P130" s="13" t="n">
        <x:v>0.15371234660189065</x:v>
      </x:c>
      <x:c r="Q130" s="13" t="n">
        <x:v>2377161.3005555556</x:v>
      </x:c>
      <x:c r="R130" s="13" t="n">
        <x:v>0.9760192661713903</x:v>
      </x:c>
      <x:c r="S130" s="13" t="n">
        <x:v>-0.025448173256749838</x:v>
      </x:c>
      <x:c r="T130" s="13" t="n">
        <x:v>36</x:v>
      </x:c>
      <x:c r="U130" s="13" t="n">
        <x:v>5817</x:v>
      </x:c>
      <x:c r="V130" s="13" t="n">
        <x:v>5181</x:v>
      </x:c>
      <x:c r="W130" s="13" t="n">
        <x:v>636</x:v>
      </x:c>
      <x:c r="X130" s="13" t="n">
        <x:v>86</x:v>
      </x:c>
      <x:c r="Y130" s="13" t="n">
        <x:v>374399072.29999995</x:v>
      </x:c>
      <x:c r="Z130" s="13" t="n">
        <x:v>388511348.32</x:v>
      </x:c>
      <x:c r="AA130" s="13" t="n">
        <x:v>799</x:v>
      </x:c>
      <x:c r="AB130" s="13" t="n">
        <x:v>0.10933470861268695</x:v>
      </x:c>
      <x:c r="AC130" s="13" t="n">
        <x:v>0.016599112140513416</x:v>
      </x:c>
      <x:c r="AD130" s="13" t="n">
        <x:v>0.010703010402562487</x:v>
      </x:c>
      <x:c r="AE130" s="13" t="n">
        <x:v>0.04298458738004464</x:v>
      </x:c>
      <x:c r="AF130" s="13" t="n">
        <x:v>10399974.230555557</x:v>
      </x:c>
      <x:c r="AG130" s="13" t="n">
        <x:v>0.575401536821687</x:v>
      </x:c>
      <x:c r="AH130" s="13" t="n">
        <x:v>-0.007807709490726273</x:v>
      </x:c>
      <x:c r="AI130" s="13" t="n">
        <x:v>36</x:v>
      </x:c>
      <x:c r="AJ130" s="13" t="n">
        <x:v>288821265.47999996</x:v>
      </x:c>
      <x:c r="AK130" s="13" t="n">
        <x:v>0.22758986321081992</x:v>
      </x:c>
      <x:c r="AL130" s="13" t="n">
        <x:v>0.08515193938894837</x:v>
      </x:c>
      <x:c r="AM130" s="13" t="n">
        <x:v>0.010351966873706004</x:v>
      </x:c>
      <x:c r="AN130" s="13" t="n">
        <x:v>0.02681956087521536</x:v>
      </x:c>
      <x:c r="AO130" s="13" t="n">
        <x:v>0.7757104014965387</x:v>
      </x:c>
      <x:c r="AP130" s="13" t="n">
        <x:v>-0.016627941373738055</x:v>
      </x:c>
    </x:row>
    <x:row r="131" ht="15" hidden="0" customHeight="1">
      <x:c r="A131" s="2" t="str">
        <x:v>E130</x:v>
      </x:c>
      <x:c r="B131" s="2" t="str">
        <x:v>个体经营E130 </x:v>
      </x:c>
      <x:c r="C131" s="2" t="str">
        <x:v>无信贷记录</x:v>
      </x:c>
      <x:c r="D131" s="2" t="str"/>
      <x:c r="E131" s="2" t="str"/>
      <x:c r="F131" s="13" t="n">
        <x:v>3251</x:v>
      </x:c>
      <x:c r="G131" s="13" t="n">
        <x:v>3123</x:v>
      </x:c>
      <x:c r="H131" s="13" t="n">
        <x:v>128</x:v>
      </x:c>
      <x:c r="I131" s="13" t="n">
        <x:v>18</x:v>
      </x:c>
      <x:c r="J131" s="13" t="n">
        <x:v>77406976.12</x:v>
      </x:c>
      <x:c r="K131" s="13" t="n">
        <x:v>78332392.28</x:v>
      </x:c>
      <x:c r="L131" s="13" t="n">
        <x:v>520</x:v>
      </x:c>
      <x:c r="M131" s="13" t="n">
        <x:v>0.03937250076899416</x:v>
      </x:c>
      <x:c r="N131" s="13" t="n">
        <x:v>0.005763688760806916</x:v>
      </x:c>
      <x:c r="O131" s="13" t="n">
        <x:v>0.04461509468494275</x:v>
      </x:c>
      <x:c r="P131" s="13" t="n">
        <x:v>0.13212924690214758</x:v>
      </x:c>
      <x:c r="Q131" s="13" t="n">
        <x:v>2496999.229677419</x:v>
      </x:c>
      <x:c r="R131" s="13" t="n">
        <x:v>1.5465538714447737</x:v>
      </x:c>
      <x:c r="S131" s="13" t="n">
        <x:v>0.1200190045713861</x:v>
      </x:c>
      <x:c r="T131" s="13" t="n">
        <x:v>31</x:v>
      </x:c>
      <x:c r="U131" s="13" t="n">
        <x:v>1382</x:v>
      </x:c>
      <x:c r="V131" s="13" t="n">
        <x:v>1321</x:v>
      </x:c>
      <x:c r="W131" s="13" t="n">
        <x:v>61</x:v>
      </x:c>
      <x:c r="X131" s="13" t="n">
        <x:v>21</x:v>
      </x:c>
      <x:c r="Y131" s="13" t="n">
        <x:v>120144422.13</x:v>
      </x:c>
      <x:c r="Z131" s="13" t="n">
        <x:v>124146034.13</x:v>
      </x:c>
      <x:c r="AA131" s="13" t="n">
        <x:v>14</x:v>
      </x:c>
      <x:c r="AB131" s="13" t="n">
        <x:v>0.04413892908827786</x:v>
      </x:c>
      <x:c r="AC131" s="13" t="n">
        <x:v>0.015897047691143074</x:v>
      </x:c>
      <x:c r="AD131" s="13" t="n">
        <x:v>0.7656296210641086</x:v>
      </x:c>
      <x:c r="AE131" s="13" t="n">
        <x:v>0.8710639092728625</x:v>
      </x:c>
      <x:c r="AF131" s="13" t="n">
        <x:v>4004814.071</x:v>
      </x:c>
      <x:c r="AG131" s="13" t="n">
        <x:v>1.7730741577246172</x:v>
      </x:c>
      <x:c r="AH131" s="13" t="n">
        <x:v>0.11716436618905002</x:v>
      </x:c>
      <x:c r="AI131" s="13" t="n">
        <x:v>22</x:v>
      </x:c>
      <x:c r="AJ131" s="13" t="n">
        <x:v>42737446.00999999</x:v>
      </x:c>
      <x:c r="AK131" s="13" t="n">
        <x:v>0.6309697513009069</x:v>
      </x:c>
      <x:c r="AL131" s="13" t="n">
        <x:v>0.04079430174832722</x:v>
      </x:c>
      <x:c r="AM131" s="13" t="n">
        <x:v>0.008775877587758775</x:v>
      </x:c>
      <x:c r="AN131" s="13" t="n">
        <x:v>0.40512235787452566</x:v>
      </x:c>
      <x:c r="AO131" s="13" t="n">
        <x:v>1.6598140145846956</x:v>
      </x:c>
      <x:c r="AP131" s="13" t="n">
        <x:v>0.11859168538021805</x:v>
      </x:c>
    </x:row>
    <x:row r="132" ht="15" hidden="0" customHeight="1">
      <x:c r="A132" s="2" t="str">
        <x:v>E131</x:v>
      </x:c>
      <x:c r="B132" s="2" t="str">
        <x:v>个体经营E131 </x:v>
      </x:c>
      <x:c r="C132" s="2" t="str">
        <x:v>无信贷记录</x:v>
      </x:c>
      <x:c r="D132" s="2" t="str"/>
      <x:c r="E132" s="2" t="str"/>
      <x:c r="F132" s="13" t="n">
        <x:v>7077</x:v>
      </x:c>
      <x:c r="G132" s="13" t="n">
        <x:v>6527</x:v>
      </x:c>
      <x:c r="H132" s="13" t="n">
        <x:v>550</x:v>
      </x:c>
      <x:c r="I132" s="13" t="n">
        <x:v>130</x:v>
      </x:c>
      <x:c r="J132" s="13" t="n">
        <x:v>125103670.24</x:v>
      </x:c>
      <x:c r="K132" s="13" t="n">
        <x:v>130138254.88</x:v>
      </x:c>
      <x:c r="L132" s="13" t="n">
        <x:v>910</x:v>
      </x:c>
      <x:c r="M132" s="13" t="n">
        <x:v>0.07771654655927653</x:v>
      </x:c>
      <x:c r="N132" s="13" t="n">
        <x:v>0.019917266738164546</x:v>
      </x:c>
      <x:c r="O132" s="13" t="n">
        <x:v>0.06288906393385504</x:v>
      </x:c>
      <x:c r="P132" s="13" t="n">
        <x:v>0.22253256758901455</x:v>
      </x:c>
      <x:c r="Q132" s="13" t="n">
        <x:v>3475101.9511111113</x:v>
      </x:c>
      <x:c r="R132" s="13" t="n">
        <x:v>1.130893214119648</x:v>
      </x:c>
      <x:c r="S132" s="13" t="n">
        <x:v>0.009213045585495981</x:v>
      </x:c>
      <x:c r="T132" s="13" t="n">
        <x:v>36</x:v>
      </x:c>
      <x:c r="U132" s="13" t="n">
        <x:v>3336</x:v>
      </x:c>
      <x:c r="V132" s="13" t="n">
        <x:v>3097</x:v>
      </x:c>
      <x:c r="W132" s="13" t="n">
        <x:v>239</x:v>
      </x:c>
      <x:c r="X132" s="13" t="n">
        <x:v>42</x:v>
      </x:c>
      <x:c r="Y132" s="13" t="n">
        <x:v>241760597.37</x:v>
      </x:c>
      <x:c r="Z132" s="13" t="n">
        <x:v>246959854.71</x:v>
      </x:c>
      <x:c r="AA132" s="13" t="n">
        <x:v>826</x:v>
      </x:c>
      <x:c r="AB132" s="13" t="n">
        <x:v>0.07164268585131894</x:v>
      </x:c>
      <x:c r="AC132" s="13" t="n">
        <x:v>0.013561511139812722</x:v>
      </x:c>
      <x:c r="AD132" s="13" t="n">
        <x:v>0.009677477552675708</x:v>
      </x:c>
      <x:c r="AE132" s="13" t="n">
        <x:v>0.037357691236228376</x:v>
      </x:c>
      <x:c r="AF132" s="13" t="n">
        <x:v>6715572.149166666</x:v>
      </x:c>
      <x:c r="AG132" s="13" t="n">
        <x:v>0.3806614339261747</x:v>
      </x:c>
      <x:c r="AH132" s="13" t="n">
        <x:v>0.006149468490871172</x:v>
      </x:c>
      <x:c r="AI132" s="13" t="n">
        <x:v>36</x:v>
      </x:c>
      <x:c r="AJ132" s="13" t="n">
        <x:v>116656927.13000001</x:v>
      </x:c>
      <x:c r="AK132" s="13" t="n">
        <x:v>0.5269611736402208</x:v>
      </x:c>
      <x:c r="AL132" s="13" t="n">
        <x:v>0.07577067127628925</x:v>
      </x:c>
      <x:c r="AM132" s="13" t="n">
        <x:v>0.017871986699916874</x:v>
      </x:c>
      <x:c r="AN132" s="13" t="n">
        <x:v>0.03628327074326537</x:v>
      </x:c>
      <x:c r="AO132" s="13" t="n">
        <x:v>0.7557773240229113</x:v>
      </x:c>
      <x:c r="AP132" s="13" t="n">
        <x:v>0.0076812570381835765</x:v>
      </x:c>
    </x:row>
    <x:row r="133" ht="15" hidden="0" customHeight="1">
      <x:c r="A133" s="2" t="str">
        <x:v>E132</x:v>
      </x:c>
      <x:c r="B133" s="2" t="str">
        <x:v>个体经营E132 </x:v>
      </x:c>
      <x:c r="C133" s="2" t="str">
        <x:v>无信贷记录</x:v>
      </x:c>
      <x:c r="D133" s="2" t="str"/>
      <x:c r="E133" s="2" t="str"/>
      <x:c r="F133" s="13" t="n">
        <x:v>5159</x:v>
      </x:c>
      <x:c r="G133" s="13" t="n">
        <x:v>5050</x:v>
      </x:c>
      <x:c r="H133" s="13" t="n">
        <x:v>109</x:v>
      </x:c>
      <x:c r="I133" s="13" t="n">
        <x:v>10</x:v>
      </x:c>
      <x:c r="J133" s="13" t="n">
        <x:v>70171887.8</x:v>
      </x:c>
      <x:c r="K133" s="13" t="n">
        <x:v>71328514.36</x:v>
      </x:c>
      <x:c r="L133" s="13" t="n">
        <x:v>682</x:v>
      </x:c>
      <x:c r="M133" s="13" t="n">
        <x:v>0.021128125605737545</x:v>
      </x:c>
      <x:c r="N133" s="13" t="n">
        <x:v>0.0019801980198019802</x:v>
      </x:c>
      <x:c r="O133" s="13" t="n">
        <x:v>0.07142378351840878</x:v>
      </x:c>
      <x:c r="P133" s="13" t="n">
        <x:v>0.2248750046726755</x:v>
      </x:c>
      <x:c r="Q133" s="13" t="n">
        <x:v>2263609.2838709676</x:v>
      </x:c>
      <x:c r="R133" s="13" t="n">
        <x:v>0.722358195160648</x:v>
      </x:c>
      <x:c r="S133" s="13" t="n">
        <x:v>0.020964550621652204</x:v>
      </x:c>
      <x:c r="T133" s="13" t="n">
        <x:v>31</x:v>
      </x:c>
      <x:c r="U133" s="13" t="n">
        <x:v>1798</x:v>
      </x:c>
      <x:c r="V133" s="13" t="n">
        <x:v>1659</x:v>
      </x:c>
      <x:c r="W133" s="13" t="n">
        <x:v>139</x:v>
      </x:c>
      <x:c r="X133" s="13" t="n">
        <x:v>8</x:v>
      </x:c>
      <x:c r="Y133" s="13" t="n">
        <x:v>221026234.73999995</x:v>
      </x:c>
      <x:c r="Z133" s="13" t="n">
        <x:v>226278037.94</x:v>
      </x:c>
      <x:c r="AA133" s="13" t="n">
        <x:v>99</x:v>
      </x:c>
      <x:c r="AB133" s="13" t="n">
        <x:v>0.07730812013348165</x:v>
      </x:c>
      <x:c r="AC133" s="13" t="n">
        <x:v>0.004822182037371911</x:v>
      </x:c>
      <x:c r="AD133" s="13" t="n">
        <x:v>0.026332123383524718</x:v>
      </x:c>
      <x:c r="AE133" s="13" t="n">
        <x:v>0.07115989862113616</x:v>
      </x:c>
      <x:c r="AF133" s="13" t="n">
        <x:v>6500771.61</x:v>
      </x:c>
      <x:c r="AG133" s="13" t="n">
        <x:v>0.6691773770312863</x:v>
      </x:c>
      <x:c r="AH133" s="13" t="n">
        <x:v>0.01257956549700184</x:v>
      </x:c>
      <x:c r="AI133" s="13" t="n">
        <x:v>34</x:v>
      </x:c>
      <x:c r="AJ133" s="13" t="n">
        <x:v>150854346.93999994</x:v>
      </x:c>
      <x:c r="AK133" s="13" t="n">
        <x:v>0.3152250877255419</x:v>
      </x:c>
      <x:c r="AL133" s="13" t="n">
        <x:v>0.035647549230990366</x:v>
      </x:c>
      <x:c r="AM133" s="13" t="n">
        <x:v>0.002682963183782978</x:v>
      </x:c>
      <x:c r="AN133" s="13" t="n">
        <x:v>0.04887795345096675</x:v>
      </x:c>
      <x:c r="AO133" s="13" t="n">
        <x:v>0.6957677860959672</x:v>
      </x:c>
      <x:c r="AP133" s="13" t="n">
        <x:v>0.016772058059327022</x:v>
      </x:c>
    </x:row>
    <x:row r="134" ht="15" hidden="0" customHeight="1">
      <x:c r="A134" s="2" t="str">
        <x:v>E133</x:v>
      </x:c>
      <x:c r="B134" s="2" t="str">
        <x:v>个体经营E133 </x:v>
      </x:c>
      <x:c r="C134" s="2" t="str">
        <x:v>无信贷记录</x:v>
      </x:c>
      <x:c r="D134" s="2" t="str"/>
      <x:c r="E134" s="2" t="str"/>
      <x:c r="F134" s="13" t="n">
        <x:v>1645</x:v>
      </x:c>
      <x:c r="G134" s="13" t="n">
        <x:v>1599</x:v>
      </x:c>
      <x:c r="H134" s="13" t="n">
        <x:v>46</x:v>
      </x:c>
      <x:c r="I134" s="13" t="n">
        <x:v>2</x:v>
      </x:c>
      <x:c r="J134" s="13" t="n">
        <x:v>40659032.04</x:v>
      </x:c>
      <x:c r="K134" s="13" t="n">
        <x:v>40659807.04</x:v>
      </x:c>
      <x:c r="L134" s="13" t="n">
        <x:v>283</x:v>
      </x:c>
      <x:c r="M134" s="13" t="n">
        <x:v>0.02796352583586626</x:v>
      </x:c>
      <x:c r="N134" s="13" t="n">
        <x:v>0.0012507817385866166</x:v>
      </x:c>
      <x:c r="O134" s="13" t="n">
        <x:v>0.06980302972608228</x:v>
      </x:c>
      <x:c r="P134" s="13" t="n">
        <x:v>0.18021236531672433</x:v>
      </x:c>
      <x:c r="Q134" s="13" t="n">
        <x:v>1232091.88</x:v>
      </x:c>
      <x:c r="R134" s="13" t="n">
        <x:v>1.3411350497729633</x:v>
      </x:c>
      <x:c r="S134" s="13" t="n">
        <x:v>0.034397075557362836</x:v>
      </x:c>
      <x:c r="T134" s="13" t="n">
        <x:v>32</x:v>
      </x:c>
      <x:c r="U134" s="13" t="n">
        <x:v>170</x:v>
      </x:c>
      <x:c r="V134" s="13" t="n">
        <x:v>140</x:v>
      </x:c>
      <x:c r="W134" s="13" t="n">
        <x:v>30</x:v>
      </x:c>
      <x:c r="X134" s="13" t="n">
        <x:v>3</x:v>
      </x:c>
      <x:c r="Y134" s="13" t="n">
        <x:v>117064664.86</x:v>
      </x:c>
      <x:c r="Z134" s="13" t="n">
        <x:v>121864664.86</x:v>
      </x:c>
      <x:c r="AA134" s="13" t="n">
        <x:v>9</x:v>
      </x:c>
      <x:c r="AB134" s="13" t="n">
        <x:v>0.17647058823529413</x:v>
      </x:c>
      <x:c r="AC134" s="13" t="n">
        <x:v>0.02142857142857143</x:v>
      </x:c>
      <x:c r="AD134" s="13" t="n">
        <x:v>0.45631708764999973</x:v>
      </x:c>
      <x:c r="AE134" s="13" t="n">
        <x:v>0.6250550962209407</x:v>
      </x:c>
      <x:c r="AF134" s="13" t="n">
        <x:v>3251796.2461111117</x:v>
      </x:c>
      <x:c r="AG134" s="13" t="n">
        <x:v>1.8516013843117145</x:v>
      </x:c>
      <x:c r="AH134" s="13" t="n">
        <x:v>0.01947997287815682</x:v>
      </x:c>
      <x:c r="AI134" s="13" t="n">
        <x:v>20</x:v>
      </x:c>
      <x:c r="AJ134" s="13" t="n">
        <x:v>76405632.82</x:v>
      </x:c>
      <x:c r="AK134" s="13" t="n">
        <x:v>0.33364722322677054</x:v>
      </x:c>
      <x:c r="AL134" s="13" t="n">
        <x:v>0.0418732782369146</x:v>
      </x:c>
      <x:c r="AM134" s="13" t="n">
        <x:v>0.002875215641173088</x:v>
      </x:c>
      <x:c r="AN134" s="13" t="n">
        <x:v>0.263060058688041</x:v>
      </x:c>
      <x:c r="AO134" s="13" t="n">
        <x:v>1.5963682170423388</x:v>
      </x:c>
      <x:c r="AP134" s="13" t="n">
        <x:v>0.02693852421775983</x:v>
      </x:c>
    </x:row>
    <x:row r="135" ht="15" hidden="0" customHeight="1">
      <x:c r="A135" s="2" t="str">
        <x:v>E134</x:v>
      </x:c>
      <x:c r="B135" s="2" t="str">
        <x:v>***工程咨询有限公司</x:v>
      </x:c>
      <x:c r="C135" s="2" t="str">
        <x:v>无信贷记录</x:v>
      </x:c>
      <x:c r="D135" s="2" t="str"/>
      <x:c r="E135" s="2" t="str"/>
      <x:c r="F135" s="13" t="n">
        <x:v>1695</x:v>
      </x:c>
      <x:c r="G135" s="13" t="n">
        <x:v>1664</x:v>
      </x:c>
      <x:c r="H135" s="13" t="n">
        <x:v>31</x:v>
      </x:c>
      <x:c r="I135" s="13" t="n">
        <x:v>7</x:v>
      </x:c>
      <x:c r="J135" s="13" t="n">
        <x:v>4295229.39</x:v>
      </x:c>
      <x:c r="K135" s="13" t="n">
        <x:v>4303115.369999999</x:v>
      </x:c>
      <x:c r="L135" s="13" t="n">
        <x:v>583</x:v>
      </x:c>
      <x:c r="M135" s="13" t="n">
        <x:v>0.018289085545722714</x:v>
      </x:c>
      <x:c r="N135" s="13" t="n">
        <x:v>0.004206730769230769</x:v>
      </x:c>
      <x:c r="O135" s="13" t="n">
        <x:v>0.12122744903342586</x:v>
      </x:c>
      <x:c r="P135" s="13" t="n">
        <x:v>0.32883152747075894</x:v>
      </x:c>
      <x:c r="Q135" s="13" t="n">
        <x:v>116087.28081081083</x:v>
      </x:c>
      <x:c r="R135" s="13" t="n">
        <x:v>2.2713293265696017</x:v>
      </x:c>
      <x:c r="S135" s="13" t="n">
        <x:v>0.08105630104454677</x:v>
      </x:c>
      <x:c r="T135" s="13" t="n">
        <x:v>36</x:v>
      </x:c>
      <x:c r="U135" s="13" t="n">
        <x:v>3070</x:v>
      </x:c>
      <x:c r="V135" s="13" t="n">
        <x:v>2835</x:v>
      </x:c>
      <x:c r="W135" s="13" t="n">
        <x:v>235</x:v>
      </x:c>
      <x:c r="X135" s="13" t="n">
        <x:v>58</x:v>
      </x:c>
      <x:c r="Y135" s="13" t="n">
        <x:v>130184400.25</x:v>
      </x:c>
      <x:c r="Z135" s="13" t="n">
        <x:v>136342986.89</x:v>
      </x:c>
      <x:c r="AA135" s="13" t="n">
        <x:v>1762</x:v>
      </x:c>
      <x:c r="AB135" s="13" t="n">
        <x:v>0.07654723127035831</x:v>
      </x:c>
      <x:c r="AC135" s="13" t="n">
        <x:v>0.020458553791887126</x:v>
      </x:c>
      <x:c r="AD135" s="13" t="n">
        <x:v>0.007614751794333865</x:v>
      </x:c>
      <x:c r="AE135" s="13" t="n">
        <x:v>0.0704910635979687</x:v>
      </x:c>
      <x:c r="AF135" s="13" t="n">
        <x:v>3518497.304054054</x:v>
      </x:c>
      <x:c r="AG135" s="13" t="n">
        <x:v>0.7873998991248903</x:v>
      </x:c>
      <x:c r="AH135" s="13" t="n">
        <x:v>0.049928296234475075</x:v>
      </x:c>
      <x:c r="AI135" s="13" t="n">
        <x:v>37</x:v>
      </x:c>
      <x:c r="AJ135" s="13" t="n">
        <x:v>125889170.86</x:v>
      </x:c>
      <x:c r="AK135" s="13" t="n">
        <x:v>0.03156095863934465</x:v>
      </x:c>
      <x:c r="AL135" s="13" t="n">
        <x:v>0.055823714585519414</x:v>
      </x:c>
      <x:c r="AM135" s="13" t="n">
        <x:v>0.014447655034452101</x:v>
      </x:c>
      <x:c r="AN135" s="13" t="n">
        <x:v>0.06442110041387986</x:v>
      </x:c>
      <x:c r="AO135" s="13" t="n">
        <x:v>1.529364612847246</x:v>
      </x:c>
      <x:c r="AP135" s="13" t="n">
        <x:v>0.06549229863951092</x:v>
      </x:c>
    </x:row>
    <x:row r="136" ht="15" hidden="0" customHeight="1">
      <x:c r="A136" s="2" t="str">
        <x:v>E135</x:v>
      </x:c>
      <x:c r="B136" s="2" t="str">
        <x:v>***建设工程有限公司</x:v>
      </x:c>
      <x:c r="C136" s="2" t="str">
        <x:v>无信贷记录</x:v>
      </x:c>
      <x:c r="D136" s="2" t="str"/>
      <x:c r="E136" s="2" t="str"/>
      <x:c r="F136" s="13" t="n">
        <x:v>2891</x:v>
      </x:c>
      <x:c r="G136" s="13" t="n">
        <x:v>2847</x:v>
      </x:c>
      <x:c r="H136" s="13" t="n">
        <x:v>44</x:v>
      </x:c>
      <x:c r="I136" s="13" t="n">
        <x:v>5</x:v>
      </x:c>
      <x:c r="J136" s="13" t="n">
        <x:v>26380957.44</x:v>
      </x:c>
      <x:c r="K136" s="13" t="n">
        <x:v>26998383.840000004</x:v>
      </x:c>
      <x:c r="L136" s="13" t="n">
        <x:v>366</x:v>
      </x:c>
      <x:c r="M136" s="13" t="n">
        <x:v>0.015219647180906262</x:v>
      </x:c>
      <x:c r="N136" s="13" t="n">
        <x:v>0.0017562346329469617</x:v>
      </x:c>
      <x:c r="O136" s="13" t="n">
        <x:v>0.04998646826789812</x:v>
      </x:c>
      <x:c r="P136" s="13" t="n">
        <x:v>0.12733962226681195</x:v>
      </x:c>
      <x:c r="Q136" s="13" t="n">
        <x:v>824404.9199999999</x:v>
      </x:c>
      <x:c r="R136" s="13" t="n">
        <x:v>1.3497269618308458</x:v>
      </x:c>
      <x:c r="S136" s="13" t="n">
        <x:v>0.10855164064753542</x:v>
      </x:c>
      <x:c r="T136" s="13" t="n">
        <x:v>31</x:v>
      </x:c>
      <x:c r="U136" s="13" t="n">
        <x:v>413</x:v>
      </x:c>
      <x:c r="V136" s="13" t="n">
        <x:v>367</x:v>
      </x:c>
      <x:c r="W136" s="13" t="n">
        <x:v>46</x:v>
      </x:c>
      <x:c r="X136" s="13" t="n">
        <x:v>14</x:v>
      </x:c>
      <x:c r="Y136" s="13" t="n">
        <x:v>143295880.13</x:v>
      </x:c>
      <x:c r="Z136" s="13" t="n">
        <x:v>159861561.73</x:v>
      </x:c>
      <x:c r="AA136" s="13" t="n">
        <x:v>78</x:v>
      </x:c>
      <x:c r="AB136" s="13" t="n">
        <x:v>0.11138014527845036</x:v>
      </x:c>
      <x:c r="AC136" s="13" t="n">
        <x:v>0.03814713896457766</x:v>
      </x:c>
      <x:c r="AD136" s="13" t="n">
        <x:v>0.09620457721580168</x:v>
      </x:c>
      <x:c r="AE136" s="13" t="n">
        <x:v>0.2307385490346917</x:v>
      </x:c>
      <x:c r="AF136" s="13" t="n">
        <x:v>3872861.625135136</x:v>
      </x:c>
      <x:c r="AG136" s="13" t="n">
        <x:v>0.8667642932241203</x:v>
      </x:c>
      <x:c r="AH136" s="13" t="n">
        <x:v>0.025926141787934138</x:v>
      </x:c>
      <x:c r="AI136" s="13" t="n">
        <x:v>35</x:v>
      </x:c>
      <x:c r="AJ136" s="13" t="n">
        <x:v>116914922.69</x:v>
      </x:c>
      <x:c r="AK136" s="13" t="n">
        <x:v>0.16888602580775003</x:v>
      </x:c>
      <x:c r="AL136" s="13" t="n">
        <x:v>0.027239709443099273</x:v>
      </x:c>
      <x:c r="AM136" s="13" t="n">
        <x:v>0.005911636589919104</x:v>
      </x:c>
      <x:c r="AN136" s="13" t="n">
        <x:v>0.0730955227418499</x:v>
      </x:c>
      <x:c r="AO136" s="13" t="n">
        <x:v>1.108245627527483</x:v>
      </x:c>
      <x:c r="AP136" s="13" t="n">
        <x:v>0.06723889121773478</x:v>
      </x:c>
    </x:row>
    <x:row r="137" ht="15" hidden="0" customHeight="1">
      <x:c r="A137" s="2" t="str">
        <x:v>E136</x:v>
      </x:c>
      <x:c r="B137" s="2" t="str">
        <x:v>***机械有限责任公司</x:v>
      </x:c>
      <x:c r="C137" s="2" t="str">
        <x:v>无信贷记录</x:v>
      </x:c>
      <x:c r="D137" s="2" t="str"/>
      <x:c r="E137" s="2" t="str"/>
      <x:c r="F137" s="13" t="n">
        <x:v>1288</x:v>
      </x:c>
      <x:c r="G137" s="13" t="n">
        <x:v>1286</x:v>
      </x:c>
      <x:c r="H137" s="13" t="n">
        <x:v>2</x:v>
      </x:c>
      <x:c r="I137" s="13" t="n">
        <x:v>1</x:v>
      </x:c>
      <x:c r="J137" s="13" t="n">
        <x:v>132110009.25</x:v>
      </x:c>
      <x:c r="K137" s="13" t="n">
        <x:v>132115098.75</x:v>
      </x:c>
      <x:c r="L137" s="13" t="n">
        <x:v>16</x:v>
      </x:c>
      <x:c r="M137" s="13" t="n">
        <x:v>0.0015527950310559005</x:v>
      </x:c>
      <x:c r="N137" s="13" t="n">
        <x:v>0.0007776049766718507</x:v>
      </x:c>
      <x:c r="O137" s="13" t="n">
        <x:v>0.9993843103765173</x:v>
      </x:c>
      <x:c r="P137" s="13" t="n">
        <x:v>0.9996920961314424</x:v>
      </x:c>
      <x:c r="Q137" s="13" t="n">
        <x:v>4403666.975</x:v>
      </x:c>
      <x:c r="R137" s="13" t="n">
        <x:v>1.0504224914096572</x:v>
      </x:c>
      <x:c r="S137" s="13" t="n">
        <x:v>0.03422372190518823</x:v>
      </x:c>
      <x:c r="T137" s="13" t="n">
        <x:v>28</x:v>
      </x:c>
      <x:c r="U137" s="13" t="n">
        <x:v>1355</x:v>
      </x:c>
      <x:c r="V137" s="13" t="n">
        <x:v>1284</x:v>
      </x:c>
      <x:c r="W137" s="13" t="n">
        <x:v>71</x:v>
      </x:c>
      <x:c r="X137" s="13" t="n">
        <x:v>4</x:v>
      </x:c>
      <x:c r="Y137" s="13" t="n">
        <x:v>134565225</x:v>
      </x:c>
      <x:c r="Z137" s="13" t="n">
        <x:v>135273225</x:v>
      </x:c>
      <x:c r="AA137" s="13" t="n">
        <x:v>4</x:v>
      </x:c>
      <x:c r="AB137" s="13" t="n">
        <x:v>0.05239852398523985</x:v>
      </x:c>
      <x:c r="AC137" s="13" t="n">
        <x:v>0.003115264797507788</x:v>
      </x:c>
      <x:c r="AD137" s="13" t="n">
        <x:v>0.6423019325181604</x:v>
      </x:c>
      <x:c r="AE137" s="13" t="n">
        <x:v>0.7887687308408593</x:v>
      </x:c>
      <x:c r="AF137" s="13" t="n">
        <x:v>4485507.5</x:v>
      </x:c>
      <x:c r="AG137" s="13" t="n">
        <x:v>1.0013715588757137</x:v>
      </x:c>
      <x:c r="AH137" s="13" t="n">
        <x:v>0.03777537689408579</x:v>
      </x:c>
      <x:c r="AI137" s="13" t="n">
        <x:v>28</x:v>
      </x:c>
      <x:c r="AJ137" s="13" t="n">
        <x:v>2455215.75</x:v>
      </x:c>
      <x:c r="AK137" s="13" t="n">
        <x:v>0.9766537224938638</x:v>
      </x:c>
      <x:c r="AL137" s="13" t="n">
        <x:v>0.027620128641695045</x:v>
      </x:c>
      <x:c r="AM137" s="13" t="n">
        <x:v>0.0019455252918287938</x:v>
      </x:c>
      <x:c r="AN137" s="13" t="n">
        <x:v>0.8208431214473388</x:v>
      </x:c>
      <x:c r="AO137" s="13" t="n">
        <x:v>1.0258970251426853</x:v>
      </x:c>
      <x:c r="AP137" s="13" t="n">
        <x:v>0.03599954939963701</x:v>
      </x:c>
    </x:row>
    <x:row r="138" ht="15" hidden="0" customHeight="1">
      <x:c r="A138" s="2" t="str">
        <x:v>E137</x:v>
      </x:c>
      <x:c r="B138" s="2" t="str">
        <x:v>***建设工程有限公司</x:v>
      </x:c>
      <x:c r="C138" s="2" t="str">
        <x:v>无信贷记录</x:v>
      </x:c>
      <x:c r="D138" s="2" t="str"/>
      <x:c r="E138" s="2" t="str"/>
      <x:c r="F138" s="13" t="n">
        <x:v>3281</x:v>
      </x:c>
      <x:c r="G138" s="13" t="n">
        <x:v>3141</x:v>
      </x:c>
      <x:c r="H138" s="13" t="n">
        <x:v>140</x:v>
      </x:c>
      <x:c r="I138" s="13" t="n">
        <x:v>37</x:v>
      </x:c>
      <x:c r="J138" s="13" t="n">
        <x:v>108301441.78</x:v>
      </x:c>
      <x:c r="K138" s="13" t="n">
        <x:v>114625108</x:v>
      </x:c>
      <x:c r="L138" s="13" t="n">
        <x:v>679</x:v>
      </x:c>
      <x:c r="M138" s="13" t="n">
        <x:v>0.04266991770801585</x:v>
      </x:c>
      <x:c r="N138" s="13" t="n">
        <x:v>0.01177968799745304</x:v>
      </x:c>
      <x:c r="O138" s="13" t="n">
        <x:v>0.03803058810326477</x:v>
      </x:c>
      <x:c r="P138" s="13" t="n">
        <x:v>0.08724092107289443</x:v>
      </x:c>
      <x:c r="Q138" s="13" t="n">
        <x:v>2927065.994054054</x:v>
      </x:c>
      <x:c r="R138" s="13" t="n">
        <x:v>0.9566368292116411</x:v>
      </x:c>
      <x:c r="S138" s="13" t="n">
        <x:v>0.021389982530658217</x:v>
      </x:c>
      <x:c r="T138" s="13" t="n">
        <x:v>37</x:v>
      </x:c>
      <x:c r="U138" s="13" t="n">
        <x:v>254</x:v>
      </x:c>
      <x:c r="V138" s="13" t="n">
        <x:v>231</x:v>
      </x:c>
      <x:c r="W138" s="13" t="n">
        <x:v>23</x:v>
      </x:c>
      <x:c r="X138" s="13" t="n">
        <x:v>6</x:v>
      </x:c>
      <x:c r="Y138" s="13" t="n">
        <x:v>153538073.10000002</x:v>
      </x:c>
      <x:c r="Z138" s="13" t="n">
        <x:v>161278073.12</x:v>
      </x:c>
      <x:c r="AA138" s="13" t="n">
        <x:v>26</x:v>
      </x:c>
      <x:c r="AB138" s="13" t="n">
        <x:v>0.09055118110236221</x:v>
      </x:c>
      <x:c r="AC138" s="13" t="n">
        <x:v>0.025974025974025976</x:v>
      </x:c>
      <x:c r="AD138" s="13" t="n">
        <x:v>0.14024247880594554</x:v>
      </x:c>
      <x:c r="AE138" s="13" t="n">
        <x:v>0.27052989867715255</x:v>
      </x:c>
      <x:c r="AF138" s="13" t="n">
        <x:v>4149677.651351352</x:v>
      </x:c>
      <x:c r="AG138" s="13" t="n">
        <x:v>1.2707446487785947</x:v>
      </x:c>
      <x:c r="AH138" s="13" t="n">
        <x:v>0.02518202398881087</x:v>
      </x:c>
      <x:c r="AI138" s="13" t="n">
        <x:v>30</x:v>
      </x:c>
      <x:c r="AJ138" s="13" t="n">
        <x:v>45236631.32000002</x:v>
      </x:c>
      <x:c r="AK138" s="13" t="n">
        <x:v>0.7107296471400203</x:v>
      </x:c>
      <x:c r="AL138" s="13" t="n">
        <x:v>0.04611032531824611</x:v>
      </x:c>
      <x:c r="AM138" s="13" t="n">
        <x:v>0.012752075919335706</x:v>
      </x:c>
      <x:c r="AN138" s="13" t="n">
        <x:v>0.08913653345460515</x:v>
      </x:c>
      <x:c r="AO138" s="13" t="n">
        <x:v>1.1136907389951178</x:v>
      </x:c>
      <x:c r="AP138" s="13" t="n">
        <x:v>0.023286003259734546</x:v>
      </x:c>
    </x:row>
    <x:row r="139" ht="15" hidden="0" customHeight="1">
      <x:c r="A139" s="2" t="str">
        <x:v>E138</x:v>
      </x:c>
      <x:c r="B139" s="2" t="str">
        <x:v>个体经营E138 </x:v>
      </x:c>
      <x:c r="C139" s="2" t="str">
        <x:v>无信贷记录</x:v>
      </x:c>
      <x:c r="D139" s="2" t="str"/>
      <x:c r="E139" s="2" t="str"/>
      <x:c r="F139" s="13" t="n">
        <x:v>520</x:v>
      </x:c>
      <x:c r="G139" s="13" t="n">
        <x:v>512</x:v>
      </x:c>
      <x:c r="H139" s="13" t="n">
        <x:v>8</x:v>
      </x:c>
      <x:c r="I139" s="13" t="n">
        <x:v>25</x:v>
      </x:c>
      <x:c r="J139" s="13" t="n">
        <x:v>23875015.509999998</x:v>
      </x:c>
      <x:c r="K139" s="13" t="n">
        <x:v>23892099.349999998</x:v>
      </x:c>
      <x:c r="L139" s="13" t="n">
        <x:v>54</x:v>
      </x:c>
      <x:c r="M139" s="13" t="n">
        <x:v>0.015384615384615385</x:v>
      </x:c>
      <x:c r="N139" s="13" t="n">
        <x:v>0.048828125</x:v>
      </x:c>
      <x:c r="O139" s="13" t="n">
        <x:v>0.17248558942173775</x:v>
      </x:c>
      <x:c r="P139" s="13" t="n">
        <x:v>0.2655451455754975</x:v>
      </x:c>
      <x:c r="Q139" s="13" t="n">
        <x:v>663194.8752777777</x:v>
      </x:c>
      <x:c r="R139" s="13" t="n">
        <x:v>1.362754316912057</x:v>
      </x:c>
      <x:c r="S139" s="13" t="n">
        <x:v>0.027861138669194572</x:v>
      </x:c>
      <x:c r="T139" s="13" t="n">
        <x:v>36</x:v>
      </x:c>
      <x:c r="U139" s="13" t="n">
        <x:v>1492</x:v>
      </x:c>
      <x:c r="V139" s="13" t="n">
        <x:v>1439</x:v>
      </x:c>
      <x:c r="W139" s="13" t="n">
        <x:v>53</x:v>
      </x:c>
      <x:c r="X139" s="13" t="n">
        <x:v>12</x:v>
      </x:c>
      <x:c r="Y139" s="13" t="n">
        <x:v>124141305.95</x:v>
      </x:c>
      <x:c r="Z139" s="13" t="n">
        <x:v>125692305.95</x:v>
      </x:c>
      <x:c r="AA139" s="13" t="n">
        <x:v>121</x:v>
      </x:c>
      <x:c r="AB139" s="13" t="n">
        <x:v>0.035522788203753354</x:v>
      </x:c>
      <x:c r="AC139" s="13" t="n">
        <x:v>0.008339124391938846</x:v>
      </x:c>
      <x:c r="AD139" s="13" t="n">
        <x:v>0.04238802967956257</x:v>
      </x:c>
      <x:c r="AE139" s="13" t="n">
        <x:v>0.10157773702615407</x:v>
      </x:c>
      <x:c r="AF139" s="13" t="n">
        <x:v>3448369.609722222</x:v>
      </x:c>
      <x:c r="AG139" s="13" t="n">
        <x:v>0.6036636773997888</x:v>
      </x:c>
      <x:c r="AH139" s="13" t="n">
        <x:v>0.03252558317370523</x:v>
      </x:c>
      <x:c r="AI139" s="13" t="n">
        <x:v>36</x:v>
      </x:c>
      <x:c r="AJ139" s="13" t="n">
        <x:v>100266290.44</x:v>
      </x:c>
      <x:c r="AK139" s="13" t="n">
        <x:v>0.19008402439131158</x:v>
      </x:c>
      <x:c r="AL139" s="13" t="n">
        <x:v>0.030318091451292245</x:v>
      </x:c>
      <x:c r="AM139" s="13" t="n">
        <x:v>0.018964633521271142</x:v>
      </x:c>
      <x:c r="AN139" s="13" t="n">
        <x:v>0.10743680955065016</x:v>
      </x:c>
      <x:c r="AO139" s="13" t="n">
        <x:v>0.9832089971559229</x:v>
      </x:c>
      <x:c r="AP139" s="13" t="n">
        <x:v>0.030193360921449898</x:v>
      </x:c>
    </x:row>
    <x:row r="140" ht="15" hidden="0" customHeight="1">
      <x:c r="A140" s="2" t="str">
        <x:v>E139</x:v>
      </x:c>
      <x:c r="B140" s="2" t="str">
        <x:v>个体经营E139 </x:v>
      </x:c>
      <x:c r="C140" s="2" t="str">
        <x:v>无信贷记录</x:v>
      </x:c>
      <x:c r="D140" s="2" t="str"/>
      <x:c r="E140" s="2" t="str"/>
      <x:c r="F140" s="13" t="n">
        <x:v>472</x:v>
      </x:c>
      <x:c r="G140" s="13" t="n">
        <x:v>457</x:v>
      </x:c>
      <x:c r="H140" s="13" t="n">
        <x:v>15</x:v>
      </x:c>
      <x:c r="I140" s="13" t="n">
        <x:v>2</x:v>
      </x:c>
      <x:c r="J140" s="13" t="n">
        <x:v>1294008.95</x:v>
      </x:c>
      <x:c r="K140" s="13" t="n">
        <x:v>1306350.95</x:v>
      </x:c>
      <x:c r="L140" s="13" t="n">
        <x:v>77</x:v>
      </x:c>
      <x:c r="M140" s="13" t="n">
        <x:v>0.03177966101694915</x:v>
      </x:c>
      <x:c r="N140" s="13" t="n">
        <x:v>0.00437636761487965</x:v>
      </x:c>
      <x:c r="O140" s="13" t="n">
        <x:v>0.07742325260536333</x:v>
      </x:c>
      <x:c r="P140" s="13" t="n">
        <x:v>0.13712088623658136</x:v>
      </x:c>
      <x:c r="Q140" s="13" t="n">
        <x:v>35944.69305555555</x:v>
      </x:c>
      <x:c r="R140" s="13" t="n">
        <x:v>1.2450171109800579</x:v>
      </x:c>
      <x:c r="S140" s="13" t="n">
        <x:v>0.025809056355488892</x:v>
      </x:c>
      <x:c r="T140" s="13" t="n">
        <x:v>36</x:v>
      </x:c>
      <x:c r="U140" s="13" t="n">
        <x:v>12822</x:v>
      </x:c>
      <x:c r="V140" s="13" t="n">
        <x:v>12209</x:v>
      </x:c>
      <x:c r="W140" s="13" t="n">
        <x:v>613</x:v>
      </x:c>
      <x:c r="X140" s="13" t="n">
        <x:v>32</x:v>
      </x:c>
      <x:c r="Y140" s="13" t="n">
        <x:v>197108305.55</x:v>
      </x:c>
      <x:c r="Z140" s="13" t="n">
        <x:v>198566456.93</x:v>
      </x:c>
      <x:c r="AA140" s="13" t="n">
        <x:v>169</x:v>
      </x:c>
      <x:c r="AB140" s="13" t="n">
        <x:v>0.04780845421931056</x:v>
      </x:c>
      <x:c r="AC140" s="13" t="n">
        <x:v>0.002621017282332705</x:v>
      </x:c>
      <x:c r="AD140" s="13" t="n">
        <x:v>0.10622973718530591</x:v>
      </x:c>
      <x:c r="AE140" s="13" t="n">
        <x:v>0.2846040921197596</x:v>
      </x:c>
      <x:c r="AF140" s="13" t="n">
        <x:v>5475230.709722221</x:v>
      </x:c>
      <x:c r="AG140" s="13" t="n">
        <x:v>0.41262862632197933</x:v>
      </x:c>
      <x:c r="AH140" s="13" t="n">
        <x:v>-0.013354211589972208</x:v>
      </x:c>
      <x:c r="AI140" s="13" t="n">
        <x:v>36</x:v>
      </x:c>
      <x:c r="AJ140" s="13" t="n">
        <x:v>195814296.60000002</x:v>
      </x:c>
      <x:c r="AK140" s="13" t="n">
        <x:v>0.006578910507833272</x:v>
      </x:c>
      <x:c r="AL140" s="13" t="n">
        <x:v>0.04723935610049646</x:v>
      </x:c>
      <x:c r="AM140" s="13" t="n">
        <x:v>0.0026843518079898944</x:v>
      </x:c>
      <x:c r="AN140" s="13" t="n">
        <x:v>0.09182649489533462</x:v>
      </x:c>
      <x:c r="AO140" s="13" t="n">
        <x:v>0.8288228686510186</x:v>
      </x:c>
      <x:c r="AP140" s="13" t="n">
        <x:v>0.006227422382758342</x:v>
      </x:c>
    </x:row>
    <x:row r="141" ht="15" hidden="0" customHeight="1">
      <x:c r="A141" s="2" t="str">
        <x:v>E140</x:v>
      </x:c>
      <x:c r="B141" s="2" t="str">
        <x:v>***建筑工程有限公司</x:v>
      </x:c>
      <x:c r="C141" s="2" t="str">
        <x:v>无信贷记录</x:v>
      </x:c>
      <x:c r="D141" s="2" t="str"/>
      <x:c r="E141" s="2" t="str"/>
      <x:c r="F141" s="13" t="n">
        <x:v>2074</x:v>
      </x:c>
      <x:c r="G141" s="13" t="n">
        <x:v>2023</x:v>
      </x:c>
      <x:c r="H141" s="13" t="n">
        <x:v>51</x:v>
      </x:c>
      <x:c r="I141" s="13" t="n">
        <x:v>17</x:v>
      </x:c>
      <x:c r="J141" s="13" t="n">
        <x:v>7398424.6899999995</x:v>
      </x:c>
      <x:c r="K141" s="13" t="n">
        <x:v>9209032.83</x:v>
      </x:c>
      <x:c r="L141" s="13" t="n">
        <x:v>564</x:v>
      </x:c>
      <x:c r="M141" s="13" t="n">
        <x:v>0.02459016393442623</x:v>
      </x:c>
      <x:c r="N141" s="13" t="n">
        <x:v>0.008403361344537815</x:v>
      </x:c>
      <x:c r="O141" s="13" t="n">
        <x:v>0.12010151498216151</x:v>
      </x:c>
      <x:c r="P141" s="13" t="n">
        <x:v>0.23779560573029254</x:v>
      </x:c>
      <x:c r="Q141" s="13" t="n">
        <x:v>205511.79694444442</x:v>
      </x:c>
      <x:c r="R141" s="13" t="n">
        <x:v>1.5913717808018595</x:v>
      </x:c>
      <x:c r="S141" s="13" t="n">
        <x:v>0.05098787272548473</x:v>
      </x:c>
      <x:c r="T141" s="13" t="n">
        <x:v>36</x:v>
      </x:c>
      <x:c r="U141" s="13" t="n">
        <x:v>845</x:v>
      </x:c>
      <x:c r="V141" s="13" t="n">
        <x:v>726</x:v>
      </x:c>
      <x:c r="W141" s="13" t="n">
        <x:v>119</x:v>
      </x:c>
      <x:c r="X141" s="13" t="n">
        <x:v>22</x:v>
      </x:c>
      <x:c r="Y141" s="13" t="n">
        <x:v>188193665.98</x:v>
      </x:c>
      <x:c r="Z141" s="13" t="n">
        <x:v>196294104.92000002</x:v>
      </x:c>
      <x:c r="AA141" s="13" t="n">
        <x:v>20</x:v>
      </x:c>
      <x:c r="AB141" s="13" t="n">
        <x:v>0.1408284023668639</x:v>
      </x:c>
      <x:c r="AC141" s="13" t="n">
        <x:v>0.030303030303030304</x:v>
      </x:c>
      <x:c r="AD141" s="13" t="n">
        <x:v>0.13528243226283204</x:v>
      </x:c>
      <x:c r="AE141" s="13" t="n">
        <x:v>0.21882065789752397</x:v>
      </x:c>
      <x:c r="AF141" s="13" t="n">
        <x:v>5086315.296756757</x:v>
      </x:c>
      <x:c r="AG141" s="13" t="n">
        <x:v>0.8085629192837771</x:v>
      </x:c>
      <x:c r="AH141" s="13" t="n">
        <x:v>-0.003000158513213754</x:v>
      </x:c>
      <x:c r="AI141" s="13" t="n">
        <x:v>36</x:v>
      </x:c>
      <x:c r="AJ141" s="13" t="n">
        <x:v>180795241.29</x:v>
      </x:c>
      <x:c r="AK141" s="13" t="n">
        <x:v>0.04691446456710025</x:v>
      </x:c>
      <x:c r="AL141" s="13" t="n">
        <x:v>0.05823912298732443</x:v>
      </x:c>
      <x:c r="AM141" s="13" t="n">
        <x:v>0.014186977082575483</x:v>
      </x:c>
      <x:c r="AN141" s="13" t="n">
        <x:v>0.1276919736224968</x:v>
      </x:c>
      <x:c r="AO141" s="13" t="n">
        <x:v>1.1999673500428183</x:v>
      </x:c>
      <x:c r="AP141" s="13" t="n">
        <x:v>0.02399385710613549</x:v>
      </x:c>
    </x:row>
    <x:row r="142" ht="15" hidden="0" customHeight="1">
      <x:c r="A142" s="2" t="str">
        <x:v>E141</x:v>
      </x:c>
      <x:c r="B142" s="2" t="str">
        <x:v>***食品有限公司</x:v>
      </x:c>
      <x:c r="C142" s="2" t="str">
        <x:v>无信贷记录</x:v>
      </x:c>
      <x:c r="D142" s="2" t="str"/>
      <x:c r="E142" s="2" t="str"/>
      <x:c r="F142" s="13" t="n">
        <x:v>1413</x:v>
      </x:c>
      <x:c r="G142" s="13" t="n">
        <x:v>1357</x:v>
      </x:c>
      <x:c r="H142" s="13" t="n">
        <x:v>56</x:v>
      </x:c>
      <x:c r="I142" s="13" t="n">
        <x:v>3</x:v>
      </x:c>
      <x:c r="J142" s="13" t="n">
        <x:v>41048444.16</x:v>
      </x:c>
      <x:c r="K142" s="13" t="n">
        <x:v>41098530.16</x:v>
      </x:c>
      <x:c r="L142" s="13" t="n">
        <x:v>209</x:v>
      </x:c>
      <x:c r="M142" s="13" t="n">
        <x:v>0.039631988676574664</x:v>
      </x:c>
      <x:c r="N142" s="13" t="n">
        <x:v>0.002210759027266028</x:v>
      </x:c>
      <x:c r="O142" s="13" t="n">
        <x:v>0.05489300642638903</x:v>
      </x:c>
      <x:c r="P142" s="13" t="n">
        <x:v>0.11308531015358336</x:v>
      </x:c>
      <x:c r="Q142" s="13" t="n">
        <x:v>1140234.5599999998</x:v>
      </x:c>
      <x:c r="R142" s="13" t="n">
        <x:v>0.9680248782034583</x:v>
      </x:c>
      <x:c r="S142" s="13" t="n">
        <x:v>0.05318694610527333</x:v>
      </x:c>
      <x:c r="T142" s="13" t="n">
        <x:v>36</x:v>
      </x:c>
      <x:c r="U142" s="13" t="n">
        <x:v>4740</x:v>
      </x:c>
      <x:c r="V142" s="13" t="n">
        <x:v>4458</x:v>
      </x:c>
      <x:c r="W142" s="13" t="n">
        <x:v>282</x:v>
      </x:c>
      <x:c r="X142" s="13" t="n">
        <x:v>144</x:v>
      </x:c>
      <x:c r="Y142" s="13" t="n">
        <x:v>161840043.63</x:v>
      </x:c>
      <x:c r="Z142" s="13" t="n">
        <x:v>170014392.05</x:v>
      </x:c>
      <x:c r="AA142" s="13" t="n">
        <x:v>1191</x:v>
      </x:c>
      <x:c r="AB142" s="13" t="n">
        <x:v>0.05949367088607595</x:v>
      </x:c>
      <x:c r="AC142" s="13" t="n">
        <x:v>0.03230148048452221</x:v>
      </x:c>
      <x:c r="AD142" s="13" t="n">
        <x:v>0.01576966530048874</x:v>
      </x:c>
      <x:c r="AE142" s="13" t="n">
        <x:v>0.07329197575423732</x:v>
      </x:c>
      <x:c r="AF142" s="13" t="n">
        <x:v>4624001.246571428</x:v>
      </x:c>
      <x:c r="AG142" s="13" t="n">
        <x:v>0.42523176604814894</x:v>
      </x:c>
      <x:c r="AH142" s="13" t="n">
        <x:v>0.019123317357512718</x:v>
      </x:c>
      <x:c r="AI142" s="13" t="n">
        <x:v>35</x:v>
      </x:c>
      <x:c r="AJ142" s="13" t="n">
        <x:v>120791599.47</x:v>
      </x:c>
      <x:c r="AK142" s="13" t="n">
        <x:v>0.24173559464255953</x:v>
      </x:c>
      <x:c r="AL142" s="13" t="n">
        <x:v>0.05493255322606858</x:v>
      </x:c>
      <x:c r="AM142" s="13" t="n">
        <x:v>0.02527944969905417</x:v>
      </x:c>
      <x:c r="AN142" s="13" t="n">
        <x:v>0.03533133586343888</x:v>
      </x:c>
      <x:c r="AO142" s="13" t="n">
        <x:v>0.6966283221258036</x:v>
      </x:c>
      <x:c r="AP142" s="13" t="n">
        <x:v>0.03615513173139302</x:v>
      </x:c>
    </x:row>
    <x:row r="143" ht="15" hidden="0" customHeight="1">
      <x:c r="A143" s="2" t="str">
        <x:v>E142</x:v>
      </x:c>
      <x:c r="B143" s="2" t="str">
        <x:v>***运业有限公司</x:v>
      </x:c>
      <x:c r="C143" s="2" t="str">
        <x:v>无信贷记录</x:v>
      </x:c>
      <x:c r="D143" s="2" t="str"/>
      <x:c r="E143" s="2" t="str"/>
      <x:c r="F143" s="13" t="n">
        <x:v>727</x:v>
      </x:c>
      <x:c r="G143" s="13" t="n">
        <x:v>704</x:v>
      </x:c>
      <x:c r="H143" s="13" t="n">
        <x:v>23</x:v>
      </x:c>
      <x:c r="I143" s="13" t="n">
        <x:v>11</x:v>
      </x:c>
      <x:c r="J143" s="13" t="n">
        <x:v>55999811.83</x:v>
      </x:c>
      <x:c r="K143" s="13" t="n">
        <x:v>57306919.91</x:v>
      </x:c>
      <x:c r="L143" s="13" t="n">
        <x:v>96</x:v>
      </x:c>
      <x:c r="M143" s="13" t="n">
        <x:v>0.03163686382393398</x:v>
      </x:c>
      <x:c r="N143" s="13" t="n">
        <x:v>0.015625</x:v>
      </x:c>
      <x:c r="O143" s="13" t="n">
        <x:v>0.23992970790182364</x:v>
      </x:c>
      <x:c r="P143" s="13" t="n">
        <x:v>0.4305351109211271</x:v>
      </x:c>
      <x:c r="Q143" s="13" t="n">
        <x:v>1513508.4278378382</x:v>
      </x:c>
      <x:c r="R143" s="13" t="n">
        <x:v>1.0779844746322873</x:v>
      </x:c>
      <x:c r="S143" s="13" t="n">
        <x:v>0.06389116056873607</x:v>
      </x:c>
      <x:c r="T143" s="13" t="n">
        <x:v>37</x:v>
      </x:c>
      <x:c r="U143" s="13" t="n">
        <x:v>1476</x:v>
      </x:c>
      <x:c r="V143" s="13" t="n">
        <x:v>1366</x:v>
      </x:c>
      <x:c r="W143" s="13" t="n">
        <x:v>110</x:v>
      </x:c>
      <x:c r="X143" s="13" t="n">
        <x:v>10</x:v>
      </x:c>
      <x:c r="Y143" s="13" t="n">
        <x:v>106758632.44</x:v>
      </x:c>
      <x:c r="Z143" s="13" t="n">
        <x:v>107736027</x:v>
      </x:c>
      <x:c r="AA143" s="13" t="n">
        <x:v>75</x:v>
      </x:c>
      <x:c r="AB143" s="13" t="n">
        <x:v>0.07452574525745258</x:v>
      </x:c>
      <x:c r="AC143" s="13" t="n">
        <x:v>0.007320644216691069</x:v>
      </x:c>
      <x:c r="AD143" s="13" t="n">
        <x:v>0.30102469340193905</x:v>
      </x:c>
      <x:c r="AE143" s="13" t="n">
        <x:v>0.4312348943404048</x:v>
      </x:c>
      <x:c r="AF143" s="13" t="n">
        <x:v>2885368.4443243244</x:v>
      </x:c>
      <x:c r="AG143" s="13" t="n">
        <x:v>0.6136135059322547</x:v>
      </x:c>
      <x:c r="AH143" s="13" t="n">
        <x:v>0.051802212339714215</x:v>
      </x:c>
      <x:c r="AI143" s="13" t="n">
        <x:v>37</x:v>
      </x:c>
      <x:c r="AJ143" s="13" t="n">
        <x:v>50758820.61</x:v>
      </x:c>
      <x:c r="AK143" s="13" t="n">
        <x:v>0.5319197440796661</x:v>
      </x:c>
      <x:c r="AL143" s="13" t="n">
        <x:v>0.060372219700408535</x:v>
      </x:c>
      <x:c r="AM143" s="13" t="n">
        <x:v>0.010144927536231883</x:v>
      </x:c>
      <x:c r="AN143" s="13" t="n">
        <x:v>0.27047720065188136</x:v>
      </x:c>
      <x:c r="AO143" s="13" t="n">
        <x:v>0.845798990282271</x:v>
      </x:c>
      <x:c r="AP143" s="13" t="n">
        <x:v>0.057846686454225145</x:v>
      </x:c>
    </x:row>
    <x:row r="144" ht="15" hidden="0" customHeight="1">
      <x:c r="A144" s="2" t="str">
        <x:v>E143</x:v>
      </x:c>
      <x:c r="B144" s="2" t="str">
        <x:v>***电子科技有限公司</x:v>
      </x:c>
      <x:c r="C144" s="2" t="str">
        <x:v>无信贷记录</x:v>
      </x:c>
      <x:c r="D144" s="2" t="str"/>
      <x:c r="E144" s="2" t="str"/>
      <x:c r="F144" s="13" t="n">
        <x:v>3714</x:v>
      </x:c>
      <x:c r="G144" s="13" t="n">
        <x:v>3579</x:v>
      </x:c>
      <x:c r="H144" s="13" t="n">
        <x:v>135</x:v>
      </x:c>
      <x:c r="I144" s="13" t="n">
        <x:v>43</x:v>
      </x:c>
      <x:c r="J144" s="13" t="n">
        <x:v>36308552.33</x:v>
      </x:c>
      <x:c r="K144" s="13" t="n">
        <x:v>36937647.03</x:v>
      </x:c>
      <x:c r="L144" s="13" t="n">
        <x:v>601</x:v>
      </x:c>
      <x:c r="M144" s="13" t="n">
        <x:v>0.036348949919224556</x:v>
      </x:c>
      <x:c r="N144" s="13" t="n">
        <x:v>0.012014529198100027</x:v>
      </x:c>
      <x:c r="O144" s="13" t="n">
        <x:v>0.0827176179322379</x:v>
      </x:c>
      <x:c r="P144" s="13" t="n">
        <x:v>0.2423914564110772</x:v>
      </x:c>
      <x:c r="Q144" s="13" t="n">
        <x:v>955488.2192105263</x:v>
      </x:c>
      <x:c r="R144" s="13" t="n">
        <x:v>0.8968877431241832</x:v>
      </x:c>
      <x:c r="S144" s="13" t="n">
        <x:v>0.03817661790830281</x:v>
      </x:c>
      <x:c r="T144" s="13" t="n">
        <x:v>38</x:v>
      </x:c>
      <x:c r="U144" s="13" t="n">
        <x:v>1150</x:v>
      </x:c>
      <x:c r="V144" s="13" t="n">
        <x:v>1099</x:v>
      </x:c>
      <x:c r="W144" s="13" t="n">
        <x:v>51</x:v>
      </x:c>
      <x:c r="X144" s="13" t="n">
        <x:v>21</x:v>
      </x:c>
      <x:c r="Y144" s="13" t="n">
        <x:v>102948526.85999998</x:v>
      </x:c>
      <x:c r="Z144" s="13" t="n">
        <x:v>106136928.85999998</x:v>
      </x:c>
      <x:c r="AA144" s="13" t="n">
        <x:v>77</x:v>
      </x:c>
      <x:c r="AB144" s="13" t="n">
        <x:v>0.04434782608695652</x:v>
      </x:c>
      <x:c r="AC144" s="13" t="n">
        <x:v>0.01910828025477707</x:v>
      </x:c>
      <x:c r="AD144" s="13" t="n">
        <x:v>0.38744802797497907</x:v>
      </x:c>
      <x:c r="AE144" s="13" t="n">
        <x:v>0.5943532630684034</x:v>
      </x:c>
      <x:c r="AF144" s="13" t="n">
        <x:v>2709171.7594736842</x:v>
      </x:c>
      <x:c r="AG144" s="13" t="n">
        <x:v>1.2350433424444607</x:v>
      </x:c>
      <x:c r="AH144" s="13" t="n">
        <x:v>0.07183559000436777</x:v>
      </x:c>
      <x:c r="AI144" s="13" t="n">
        <x:v>35</x:v>
      </x:c>
      <x:c r="AJ144" s="13" t="n">
        <x:v>66639974.52999999</x:v>
      </x:c>
      <x:c r="AK144" s="13" t="n">
        <x:v>0.3480188038860879</x:v>
      </x:c>
      <x:c r="AL144" s="13" t="n">
        <x:v>0.038240131578947366</x:v>
      </x:c>
      <x:c r="AM144" s="13" t="n">
        <x:v>0.013681060282171868</x:v>
      </x:c>
      <x:c r="AN144" s="13" t="n">
        <x:v>0.2350828229536085</x:v>
      </x:c>
      <x:c r="AO144" s="13" t="n">
        <x:v>1.065965542784322</x:v>
      </x:c>
      <x:c r="AP144" s="13" t="n">
        <x:v>0.05500610395633529</x:v>
      </x:c>
    </x:row>
    <x:row r="145" ht="15" hidden="0" customHeight="1">
      <x:c r="A145" s="2" t="str">
        <x:v>E144</x:v>
      </x:c>
      <x:c r="B145" s="2" t="str">
        <x:v>***劳务有限公司</x:v>
      </x:c>
      <x:c r="C145" s="2" t="str">
        <x:v>无信贷记录</x:v>
      </x:c>
      <x:c r="D145" s="2" t="str"/>
      <x:c r="E145" s="2" t="str"/>
      <x:c r="F145" s="13" t="n">
        <x:v>2478</x:v>
      </x:c>
      <x:c r="G145" s="13" t="n">
        <x:v>2434</x:v>
      </x:c>
      <x:c r="H145" s="13" t="n">
        <x:v>44</x:v>
      </x:c>
      <x:c r="I145" s="13" t="n">
        <x:v>11</x:v>
      </x:c>
      <x:c r="J145" s="13" t="n">
        <x:v>9341618.740000002</x:v>
      </x:c>
      <x:c r="K145" s="13" t="n">
        <x:v>9933235.56</x:v>
      </x:c>
      <x:c r="L145" s="13" t="n">
        <x:v>673</x:v>
      </x:c>
      <x:c r="M145" s="13" t="n">
        <x:v>0.01775625504439064</x:v>
      </x:c>
      <x:c r="N145" s="13" t="n">
        <x:v>0.0045193097781429745</x:v>
      </x:c>
      <x:c r="O145" s="13" t="n">
        <x:v>0.06957021859773192</x:v>
      </x:c>
      <x:c r="P145" s="13" t="n">
        <x:v>0.2013442637013231</x:v>
      </x:c>
      <x:c r="Q145" s="13" t="n">
        <x:v>311387.29133333336</x:v>
      </x:c>
      <x:c r="R145" s="13" t="n">
        <x:v>2.0618367927695562</x:v>
      </x:c>
      <x:c r="S145" s="13" t="n">
        <x:v>0.11172501948217446</x:v>
      </x:c>
      <x:c r="T145" s="13" t="n">
        <x:v>30</x:v>
      </x:c>
      <x:c r="U145" s="13" t="n">
        <x:v>1360</x:v>
      </x:c>
      <x:c r="V145" s="13" t="n">
        <x:v>1245</x:v>
      </x:c>
      <x:c r="W145" s="13" t="n">
        <x:v>115</x:v>
      </x:c>
      <x:c r="X145" s="13" t="n">
        <x:v>58</x:v>
      </x:c>
      <x:c r="Y145" s="13" t="n">
        <x:v>109445317.3</x:v>
      </x:c>
      <x:c r="Z145" s="13" t="n">
        <x:v>120626037.29999998</x:v>
      </x:c>
      <x:c r="AA145" s="13" t="n">
        <x:v>34</x:v>
      </x:c>
      <x:c r="AB145" s="13" t="n">
        <x:v>0.08455882352941177</x:v>
      </x:c>
      <x:c r="AC145" s="13" t="n">
        <x:v>0.046586345381526104</x:v>
      </x:c>
      <x:c r="AD145" s="13" t="n">
        <x:v>0.1272307447608591</x:v>
      </x:c>
      <x:c r="AE145" s="13" t="n">
        <x:v>0.26147920304764916</x:v>
      </x:c>
      <x:c r="AF145" s="13" t="n">
        <x:v>3648177.2433333327</x:v>
      </x:c>
      <x:c r="AG145" s="13" t="n">
        <x:v>1.0759987768764936</x:v>
      </x:c>
      <x:c r="AH145" s="13" t="n">
        <x:v>0.090414452023443</x:v>
      </x:c>
      <x:c r="AI145" s="13" t="n">
        <x:v>26</x:v>
      </x:c>
      <x:c r="AJ145" s="13" t="n">
        <x:v>100103698.56</x:v>
      </x:c>
      <x:c r="AK145" s="13" t="n">
        <x:v>0.08234735868256862</x:v>
      </x:c>
      <x:c r="AL145" s="13" t="n">
        <x:v>0.04142782699322564</x:v>
      </x:c>
      <x:c r="AM145" s="13" t="n">
        <x:v>0.018755096493612396</x:v>
      </x:c>
      <x:c r="AN145" s="13" t="n">
        <x:v>0.09840048167929552</x:v>
      </x:c>
      <x:c r="AO145" s="13" t="n">
        <x:v>1.568917784823025</x:v>
      </x:c>
      <x:c r="AP145" s="13" t="n">
        <x:v>0.10106973575280873</x:v>
      </x:c>
    </x:row>
    <x:row r="146" ht="15" hidden="0" customHeight="1">
      <x:c r="A146" s="2" t="str">
        <x:v>E145</x:v>
      </x:c>
      <x:c r="B146" s="2" t="str">
        <x:v>***工贸有限公司</x:v>
      </x:c>
      <x:c r="C146" s="2" t="str">
        <x:v>无信贷记录</x:v>
      </x:c>
      <x:c r="D146" s="2" t="str"/>
      <x:c r="E146" s="2" t="str"/>
      <x:c r="F146" s="13" t="n">
        <x:v>2988</x:v>
      </x:c>
      <x:c r="G146" s="13" t="n">
        <x:v>2916</x:v>
      </x:c>
      <x:c r="H146" s="13" t="n">
        <x:v>72</x:v>
      </x:c>
      <x:c r="I146" s="13" t="n">
        <x:v>18</x:v>
      </x:c>
      <x:c r="J146" s="13" t="n">
        <x:v>129021774.38</x:v>
      </x:c>
      <x:c r="K146" s="13" t="n">
        <x:v>130016099.80000001</x:v>
      </x:c>
      <x:c r="L146" s="13" t="n">
        <x:v>378</x:v>
      </x:c>
      <x:c r="M146" s="13" t="n">
        <x:v>0.024096385542168676</x:v>
      </x:c>
      <x:c r="N146" s="13" t="n">
        <x:v>0.006172839506172839</x:v>
      </x:c>
      <x:c r="O146" s="13" t="n">
        <x:v>0.15319527702446467</x:v>
      </x:c>
      <x:c r="P146" s="13" t="n">
        <x:v>0.35627326601286036</x:v>
      </x:c>
      <x:c r="Q146" s="13" t="n">
        <x:v>3487074.9832432433</x:v>
      </x:c>
      <x:c r="R146" s="13" t="n">
        <x:v>0.6027389433422382</x:v>
      </x:c>
      <x:c r="S146" s="13" t="n">
        <x:v>0.013254861014049726</x:v>
      </x:c>
      <x:c r="T146" s="13" t="n">
        <x:v>37</x:v>
      </x:c>
      <x:c r="U146" s="13" t="n">
        <x:v>4271</x:v>
      </x:c>
      <x:c r="V146" s="13" t="n">
        <x:v>3844</x:v>
      </x:c>
      <x:c r="W146" s="13" t="n">
        <x:v>427</x:v>
      </x:c>
      <x:c r="X146" s="13" t="n">
        <x:v>80</x:v>
      </x:c>
      <x:c r="Y146" s="13" t="n">
        <x:v>134038527.75999999</x:v>
      </x:c>
      <x:c r="Z146" s="13" t="n">
        <x:v>139272838.14</x:v>
      </x:c>
      <x:c r="AA146" s="13" t="n">
        <x:v>412</x:v>
      </x:c>
      <x:c r="AB146" s="13" t="n">
        <x:v>0.09997658627955983</x:v>
      </x:c>
      <x:c r="AC146" s="13" t="n">
        <x:v>0.02081165452653486</x:v>
      </x:c>
      <x:c r="AD146" s="13" t="n">
        <x:v>0.08835289822016486</x:v>
      </x:c>
      <x:c r="AE146" s="13" t="n">
        <x:v>0.2429497863466172</x:v>
      </x:c>
      <x:c r="AF146" s="13" t="n">
        <x:v>3622662.912432433</x:v>
      </x:c>
      <x:c r="AG146" s="13" t="n">
        <x:v>0.38987443267162664</x:v>
      </x:c>
      <x:c r="AH146" s="13" t="n">
        <x:v>0.014191837992340499</x:v>
      </x:c>
      <x:c r="AI146" s="13" t="n">
        <x:v>37</x:v>
      </x:c>
      <x:c r="AJ146" s="13" t="n">
        <x:v>5016753.379999995</x:v>
      </x:c>
      <x:c r="AK146" s="13" t="n">
        <x:v>0.9335352214859375</x:v>
      </x:c>
      <x:c r="AL146" s="13" t="n">
        <x:v>0.06874225099876016</x:v>
      </x:c>
      <x:c r="AM146" s="13" t="n">
        <x:v>0.014497041420118343</x:v>
      </x:c>
      <x:c r="AN146" s="13" t="n">
        <x:v>0.12077408762231476</x:v>
      </x:c>
      <x:c r="AO146" s="13" t="n">
        <x:v>0.49630668800693245</x:v>
      </x:c>
      <x:c r="AP146" s="13" t="n">
        <x:v>0.013723349503195113</x:v>
      </x:c>
    </x:row>
    <x:row r="147" ht="15" hidden="0" customHeight="1">
      <x:c r="A147" s="2" t="str">
        <x:v>E146</x:v>
      </x:c>
      <x:c r="B147" s="2" t="str">
        <x:v>***基础建设工程有限公司</x:v>
      </x:c>
      <x:c r="C147" s="2" t="str">
        <x:v>无信贷记录</x:v>
      </x:c>
      <x:c r="D147" s="2" t="str"/>
      <x:c r="E147" s="2" t="str"/>
      <x:c r="F147" s="13" t="n">
        <x:v>3250</x:v>
      </x:c>
      <x:c r="G147" s="13" t="n">
        <x:v>3170</x:v>
      </x:c>
      <x:c r="H147" s="13" t="n">
        <x:v>80</x:v>
      </x:c>
      <x:c r="I147" s="13" t="n">
        <x:v>8</x:v>
      </x:c>
      <x:c r="J147" s="13" t="n">
        <x:v>137328170.11</x:v>
      </x:c>
      <x:c r="K147" s="13" t="n">
        <x:v>138501853.52999997</x:v>
      </x:c>
      <x:c r="L147" s="13" t="n">
        <x:v>386</x:v>
      </x:c>
      <x:c r="M147" s="13" t="n">
        <x:v>0.024615384615384615</x:v>
      </x:c>
      <x:c r="N147" s="13" t="n">
        <x:v>0.002523659305993691</x:v>
      </x:c>
      <x:c r="O147" s="13" t="n">
        <x:v>0.39517940024010473</x:v>
      </x:c>
      <x:c r="P147" s="13" t="n">
        <x:v>0.6174913049916351</x:v>
      </x:c>
      <x:c r="Q147" s="13" t="n">
        <x:v>3711572.1651351354</x:v>
      </x:c>
      <x:c r="R147" s="13" t="n">
        <x:v>1.0483560545599262</x:v>
      </x:c>
      <x:c r="S147" s="13" t="n">
        <x:v>0.015591043589969739</x:v>
      </x:c>
      <x:c r="T147" s="13" t="n">
        <x:v>37</x:v>
      </x:c>
      <x:c r="U147" s="13" t="n">
        <x:v>1612</x:v>
      </x:c>
      <x:c r="V147" s="13" t="n">
        <x:v>1416</x:v>
      </x:c>
      <x:c r="W147" s="13" t="n">
        <x:v>196</x:v>
      </x:c>
      <x:c r="X147" s="13" t="n">
        <x:v>32</x:v>
      </x:c>
      <x:c r="Y147" s="13" t="n">
        <x:v>143116532.44</x:v>
      </x:c>
      <x:c r="Z147" s="13" t="n">
        <x:v>149497055.72</x:v>
      </x:c>
      <x:c r="AA147" s="13" t="n">
        <x:v>65</x:v>
      </x:c>
      <x:c r="AB147" s="13" t="n">
        <x:v>0.12158808933002481</x:v>
      </x:c>
      <x:c r="AC147" s="13" t="n">
        <x:v>0.022598870056497175</x:v>
      </x:c>
      <x:c r="AD147" s="13" t="n">
        <x:v>0.08104587184231853</x:v>
      </x:c>
      <x:c r="AE147" s="13" t="n">
        <x:v>0.2168315144661633</x:v>
      </x:c>
      <x:c r="AF147" s="13" t="n">
        <x:v>3868014.390270271</x:v>
      </x:c>
      <x:c r="AG147" s="13" t="n">
        <x:v>0.6574286464287873</x:v>
      </x:c>
      <x:c r="AH147" s="13" t="n">
        <x:v>0.008881260353142446</x:v>
      </x:c>
      <x:c r="AI147" s="13" t="n">
        <x:v>36</x:v>
      </x:c>
      <x:c r="AJ147" s="13" t="n">
        <x:v>5788362.329999983</x:v>
      </x:c>
      <x:c r="AK147" s="13" t="n">
        <x:v>0.926452048590218</x:v>
      </x:c>
      <x:c r="AL147" s="13" t="n">
        <x:v>0.05676676264911559</x:v>
      </x:c>
      <x:c r="AM147" s="13" t="n">
        <x:v>0.00872219799389446</x:v>
      </x:c>
      <x:c r="AN147" s="13" t="n">
        <x:v>0.23811263604121163</x:v>
      </x:c>
      <x:c r="AO147" s="13" t="n">
        <x:v>0.8528923504943567</x:v>
      </x:c>
      <x:c r="AP147" s="13" t="n">
        <x:v>0.012236151971556093</x:v>
      </x:c>
    </x:row>
    <x:row r="148" ht="15" hidden="0" customHeight="1">
      <x:c r="A148" s="2" t="str">
        <x:v>E147</x:v>
      </x:c>
      <x:c r="B148" s="2" t="str">
        <x:v>***装饰工程有限责任公司</x:v>
      </x:c>
      <x:c r="C148" s="2" t="str">
        <x:v>无信贷记录</x:v>
      </x:c>
      <x:c r="D148" s="2" t="str"/>
      <x:c r="E148" s="2" t="str"/>
      <x:c r="F148" s="13" t="n">
        <x:v>5991</x:v>
      </x:c>
      <x:c r="G148" s="13" t="n">
        <x:v>5603</x:v>
      </x:c>
      <x:c r="H148" s="13" t="n">
        <x:v>388</x:v>
      </x:c>
      <x:c r="I148" s="13" t="n">
        <x:v>62</x:v>
      </x:c>
      <x:c r="J148" s="13" t="n">
        <x:v>156403712.07999998</x:v>
      </x:c>
      <x:c r="K148" s="13" t="n">
        <x:v>159733909.24</x:v>
      </x:c>
      <x:c r="L148" s="13" t="n">
        <x:v>744</x:v>
      </x:c>
      <x:c r="M148" s="13" t="n">
        <x:v>0.06476381238524453</x:v>
      </x:c>
      <x:c r="N148" s="13" t="n">
        <x:v>0.011065500624665358</x:v>
      </x:c>
      <x:c r="O148" s="13" t="n">
        <x:v>0.046885689049467785</x:v>
      </x:c>
      <x:c r="P148" s="13" t="n">
        <x:v>0.15980083109121057</x:v>
      </x:c>
      <x:c r="Q148" s="13" t="n">
        <x:v>4227127.353513513</x:v>
      </x:c>
      <x:c r="R148" s="13" t="n">
        <x:v>0.6385259562611161</x:v>
      </x:c>
      <x:c r="S148" s="13" t="n">
        <x:v>0.01370266018702136</x:v>
      </x:c>
      <x:c r="T148" s="13" t="n">
        <x:v>37</x:v>
      </x:c>
      <x:c r="U148" s="13" t="n">
        <x:v>2371</x:v>
      </x:c>
      <x:c r="V148" s="13" t="n">
        <x:v>2314</x:v>
      </x:c>
      <x:c r="W148" s="13" t="n">
        <x:v>57</x:v>
      </x:c>
      <x:c r="X148" s="13" t="n">
        <x:v>24</x:v>
      </x:c>
      <x:c r="Y148" s="13" t="n">
        <x:v>199817103.33</x:v>
      </x:c>
      <x:c r="Z148" s="13" t="n">
        <x:v>202654229.19</x:v>
      </x:c>
      <x:c r="AA148" s="13" t="n">
        <x:v>150</x:v>
      </x:c>
      <x:c r="AB148" s="13" t="n">
        <x:v>0.024040489245044285</x:v>
      </x:c>
      <x:c r="AC148" s="13" t="n">
        <x:v>0.010371650821089023</x:v>
      </x:c>
      <x:c r="AD148" s="13" t="n">
        <x:v>0.06022827821858959</x:v>
      </x:c>
      <x:c r="AE148" s="13" t="n">
        <x:v>0.11025625988318907</x:v>
      </x:c>
      <x:c r="AF148" s="13" t="n">
        <x:v>5400462.252162161</x:v>
      </x:c>
      <x:c r="AG148" s="13" t="n">
        <x:v>0.752957135674735</x:v>
      </x:c>
      <x:c r="AH148" s="13" t="n">
        <x:v>-0.006607871213203402</x:v>
      </x:c>
      <x:c r="AI148" s="13" t="n">
        <x:v>36</x:v>
      </x:c>
      <x:c r="AJ148" s="13" t="n">
        <x:v>43413391.25000003</x:v>
      </x:c>
      <x:c r="AK148" s="13" t="n">
        <x:v>0.7882091080874521</x:v>
      </x:c>
      <x:c r="AL148" s="13" t="n">
        <x:v>0.0532169337479072</x:v>
      </x:c>
      <x:c r="AM148" s="13" t="n">
        <x:v>0.010862700517872931</x:v>
      </x:c>
      <x:c r="AN148" s="13" t="n">
        <x:v>0.053556983634028686</x:v>
      </x:c>
      <x:c r="AO148" s="13" t="n">
        <x:v>0.6957415459679255</x:v>
      </x:c>
      <x:c r="AP148" s="13" t="n">
        <x:v>0.003547394486908979</x:v>
      </x:c>
    </x:row>
    <x:row r="149" ht="15" hidden="0" customHeight="1">
      <x:c r="A149" s="2" t="str">
        <x:v>E148</x:v>
      </x:c>
      <x:c r="B149" s="2" t="str">
        <x:v>***商贸有限公司</x:v>
      </x:c>
      <x:c r="C149" s="2" t="str">
        <x:v>无信贷记录</x:v>
      </x:c>
      <x:c r="D149" s="2" t="str"/>
      <x:c r="E149" s="2" t="str"/>
      <x:c r="F149" s="13" t="n">
        <x:v>546</x:v>
      </x:c>
      <x:c r="G149" s="13" t="n">
        <x:v>511</x:v>
      </x:c>
      <x:c r="H149" s="13" t="n">
        <x:v>35</x:v>
      </x:c>
      <x:c r="I149" s="13" t="n">
        <x:v>2</x:v>
      </x:c>
      <x:c r="J149" s="13" t="n">
        <x:v>30231101.330000002</x:v>
      </x:c>
      <x:c r="K149" s="13" t="n">
        <x:v>30246691.730000004</x:v>
      </x:c>
      <x:c r="L149" s="13" t="n">
        <x:v>134</x:v>
      </x:c>
      <x:c r="M149" s="13" t="n">
        <x:v>0.0641025641025641</x:v>
      </x:c>
      <x:c r="N149" s="13" t="n">
        <x:v>0.003913894324853229</x:v>
      </x:c>
      <x:c r="O149" s="13" t="n">
        <x:v>0.4685830554494186</x:v>
      </x:c>
      <x:c r="P149" s="13" t="n">
        <x:v>0.6765057611145231</x:v>
      </x:c>
      <x:c r="Q149" s="13" t="n">
        <x:v>817056.7927027027</x:v>
      </x:c>
      <x:c r="R149" s="13" t="n">
        <x:v>2.1818797573410023</x:v>
      </x:c>
      <x:c r="S149" s="13" t="n">
        <x:v>-0.05104018220904012</x:v>
      </x:c>
      <x:c r="T149" s="13" t="n">
        <x:v>36</x:v>
      </x:c>
      <x:c r="U149" s="13" t="n">
        <x:v>281</x:v>
      </x:c>
      <x:c r="V149" s="13" t="n">
        <x:v>270</x:v>
      </x:c>
      <x:c r="W149" s="13" t="n">
        <x:v>11</x:v>
      </x:c>
      <x:c r="X149" s="13" t="n">
        <x:v>1</x:v>
      </x:c>
      <x:c r="Y149" s="13" t="n">
        <x:v>84596595.28999999</x:v>
      </x:c>
      <x:c r="Z149" s="13" t="n">
        <x:v>86009235.28999999</x:v>
      </x:c>
      <x:c r="AA149" s="13" t="n">
        <x:v>189</x:v>
      </x:c>
      <x:c r="AB149" s="13" t="n">
        <x:v>0.03914590747330961</x:v>
      </x:c>
      <x:c r="AC149" s="13" t="n">
        <x:v>0.003703703703703704</x:v>
      </x:c>
      <x:c r="AD149" s="13" t="n">
        <x:v>0.011142776869875115</x:v>
      </x:c>
      <x:c r="AE149" s="13" t="n">
        <x:v>0.06485536095271566</x:v>
      </x:c>
      <x:c r="AF149" s="13" t="n">
        <x:v>4229829.7645</x:v>
      </x:c>
      <x:c r="AG149" s="13" t="n">
        <x:v>1.0910182739927317</x:v>
      </x:c>
      <x:c r="AH149" s="13" t="n">
        <x:v>0.04650838614323594</x:v>
      </x:c>
      <x:c r="AI149" s="13" t="n">
        <x:v>17</x:v>
      </x:c>
      <x:c r="AJ149" s="13" t="n">
        <x:v>54365493.95999999</x:v>
      </x:c>
      <x:c r="AK149" s="13" t="n">
        <x:v>0.3516679531914951</x:v>
      </x:c>
      <x:c r="AL149" s="13" t="n">
        <x:v>0.05562273276904474</x:v>
      </x:c>
      <x:c r="AM149" s="13" t="n">
        <x:v>0.0038412291933418692</x:v>
      </x:c>
      <x:c r="AN149" s="13" t="n">
        <x:v>0.23986291615964686</x:v>
      </x:c>
      <x:c r="AO149" s="13" t="n">
        <x:v>1.636449015666867</x:v>
      </x:c>
      <x:c r="AP149" s="13" t="n">
        <x:v>-0.0022658980329020896</x:v>
      </x:c>
    </x:row>
    <x:row r="150" ht="15" hidden="0" customHeight="1">
      <x:c r="A150" s="2" t="str">
        <x:v>E149</x:v>
      </x:c>
      <x:c r="B150" s="2" t="str">
        <x:v>***建筑劳务有限公司</x:v>
      </x:c>
      <x:c r="C150" s="2" t="str">
        <x:v>无信贷记录</x:v>
      </x:c>
      <x:c r="D150" s="2" t="str"/>
      <x:c r="E150" s="2" t="str"/>
      <x:c r="F150" s="13" t="n">
        <x:v>293</x:v>
      </x:c>
      <x:c r="G150" s="13" t="n">
        <x:v>285</x:v>
      </x:c>
      <x:c r="H150" s="13" t="n">
        <x:v>8</x:v>
      </x:c>
      <x:c r="I150" s="13" t="n">
        <x:v>0</x:v>
      </x:c>
      <x:c r="J150" s="13" t="n">
        <x:v>637449.94</x:v>
      </x:c>
      <x:c r="K150" s="13" t="n">
        <x:v>637449.94</x:v>
      </x:c>
      <x:c r="L150" s="13" t="n">
        <x:v>111</x:v>
      </x:c>
      <x:c r="M150" s="13" t="n">
        <x:v>0.027303754266211604</x:v>
      </x:c>
      <x:c r="N150" s="13" t="n">
        <x:v>0</x:v>
      </x:c>
      <x:c r="O150" s="13" t="n">
        <x:v>0.20314668206974235</x:v>
      </x:c>
      <x:c r="P150" s="13" t="n">
        <x:v>0.37400583958012457</x:v>
      </x:c>
      <x:c r="Q150" s="13" t="n">
        <x:v>18212.855428571427</x:v>
      </x:c>
      <x:c r="R150" s="13" t="n">
        <x:v>1.5350792124680113</x:v>
      </x:c>
      <x:c r="S150" s="13" t="n">
        <x:v>0.007047799875615149</x:v>
      </x:c>
      <x:c r="T150" s="13" t="n">
        <x:v>34</x:v>
      </x:c>
      <x:c r="U150" s="13" t="n">
        <x:v>1226</x:v>
      </x:c>
      <x:c r="V150" s="13" t="n">
        <x:v>1147</x:v>
      </x:c>
      <x:c r="W150" s="13" t="n">
        <x:v>79</x:v>
      </x:c>
      <x:c r="X150" s="13" t="n">
        <x:v>32</x:v>
      </x:c>
      <x:c r="Y150" s="13" t="n">
        <x:v>107157946.66</x:v>
      </x:c>
      <x:c r="Z150" s="13" t="n">
        <x:v>113466620.72</x:v>
      </x:c>
      <x:c r="AA150" s="13" t="n">
        <x:v>10</x:v>
      </x:c>
      <x:c r="AB150" s="13" t="n">
        <x:v>0.06443719412724307</x:v>
      </x:c>
      <x:c r="AC150" s="13" t="n">
        <x:v>0.02789886660854403</x:v>
      </x:c>
      <x:c r="AD150" s="13" t="n">
        <x:v>0.2324426136955416</x:v>
      </x:c>
      <x:c r="AE150" s="13" t="n">
        <x:v>0.3705624906531543</x:v>
      </x:c>
      <x:c r="AF150" s="13" t="n">
        <x:v>3247210.504848485</x:v>
      </x:c>
      <x:c r="AG150" s="13" t="n">
        <x:v>1.1391108243945527</x:v>
      </x:c>
      <x:c r="AH150" s="13" t="n">
        <x:v>0.028084518603702677</x:v>
      </x:c>
      <x:c r="AI150" s="13" t="n">
        <x:v>25</x:v>
      </x:c>
      <x:c r="AJ150" s="13" t="n">
        <x:v>106520496.72</x:v>
      </x:c>
      <x:c r="AK150" s="13" t="n">
        <x:v>0.005617951217327837</x:v>
      </x:c>
      <x:c r="AL150" s="13" t="n">
        <x:v>0.05727452271231073</x:v>
      </x:c>
      <x:c r="AM150" s="13" t="n">
        <x:v>0.0223463687150838</x:v>
      </x:c>
      <x:c r="AN150" s="13" t="n">
        <x:v>0.21779464788264197</x:v>
      </x:c>
      <x:c r="AO150" s="13" t="n">
        <x:v>1.337095018431282</x:v>
      </x:c>
      <x:c r="AP150" s="13" t="n">
        <x:v>0.017566159239658912</x:v>
      </x:c>
    </x:row>
    <x:row r="151" ht="15" hidden="0" customHeight="1">
      <x:c r="A151" s="2" t="str">
        <x:v>E150</x:v>
      </x:c>
      <x:c r="B151" s="2" t="str">
        <x:v>***建设工程有限公司</x:v>
      </x:c>
      <x:c r="C151" s="2" t="str">
        <x:v>无信贷记录</x:v>
      </x:c>
      <x:c r="D151" s="2" t="str"/>
      <x:c r="E151" s="2" t="str"/>
      <x:c r="F151" s="13" t="n">
        <x:v>3379</x:v>
      </x:c>
      <x:c r="G151" s="13" t="n">
        <x:v>3268</x:v>
      </x:c>
      <x:c r="H151" s="13" t="n">
        <x:v>111</x:v>
      </x:c>
      <x:c r="I151" s="13" t="n">
        <x:v>16</x:v>
      </x:c>
      <x:c r="J151" s="13" t="n">
        <x:v>88299286.07</x:v>
      </x:c>
      <x:c r="K151" s="13" t="n">
        <x:v>89433069.83</x:v>
      </x:c>
      <x:c r="L151" s="13" t="n">
        <x:v>465</x:v>
      </x:c>
      <x:c r="M151" s="13" t="n">
        <x:v>0.0328499556081681</x:v>
      </x:c>
      <x:c r="N151" s="13" t="n">
        <x:v>0.004895960832313341</x:v>
      </x:c>
      <x:c r="O151" s="13" t="n">
        <x:v>0.03539940650908068</x:v>
      </x:c>
      <x:c r="P151" s="13" t="n">
        <x:v>0.09655600569693651</x:v>
      </x:c>
      <x:c r="Q151" s="13" t="n">
        <x:v>2386467.191081081</x:v>
      </x:c>
      <x:c r="R151" s="13" t="n">
        <x:v>1.1811238903766237</x:v>
      </x:c>
      <x:c r="S151" s="13" t="n">
        <x:v>0.04900038546664602</x:v>
      </x:c>
      <x:c r="T151" s="13" t="n">
        <x:v>37</x:v>
      </x:c>
      <x:c r="U151" s="13" t="n">
        <x:v>464</x:v>
      </x:c>
      <x:c r="V151" s="13" t="n">
        <x:v>410</x:v>
      </x:c>
      <x:c r="W151" s="13" t="n">
        <x:v>54</x:v>
      </x:c>
      <x:c r="X151" s="13" t="n">
        <x:v>1</x:v>
      </x:c>
      <x:c r="Y151" s="13" t="n">
        <x:v>123275429.29999998</x:v>
      </x:c>
      <x:c r="Z151" s="13" t="n">
        <x:v>123278696.29999998</x:v>
      </x:c>
      <x:c r="AA151" s="13" t="n">
        <x:v>135</x:v>
      </x:c>
      <x:c r="AB151" s="13" t="n">
        <x:v>0.11637931034482758</x:v>
      </x:c>
      <x:c r="AC151" s="13" t="n">
        <x:v>0.0024390243902439024</x:v>
      </x:c>
      <x:c r="AD151" s="13" t="n">
        <x:v>0.0756486875945195</x:v>
      </x:c>
      <x:c r="AE151" s="13" t="n">
        <x:v>0.15341078684006168</x:v>
      </x:c>
      <x:c r="AF151" s="13" t="n">
        <x:v>3331768.3594594593</x:v>
      </x:c>
      <x:c r="AG151" s="13" t="n">
        <x:v>0.8355091313399323</x:v>
      </x:c>
      <x:c r="AH151" s="13" t="n">
        <x:v>0.03844841248506606</x:v>
      </x:c>
      <x:c r="AI151" s="13" t="n">
        <x:v>36</x:v>
      </x:c>
      <x:c r="AJ151" s="13" t="n">
        <x:v>34976143.22999999</x:v>
      </x:c>
      <x:c r="AK151" s="13" t="n">
        <x:v>0.7254543770674189</x:v>
      </x:c>
      <x:c r="AL151" s="13" t="n">
        <x:v>0.0429352068696331</x:v>
      </x:c>
      <x:c r="AM151" s="13" t="n">
        <x:v>0.004622077215878194</x:v>
      </x:c>
      <x:c r="AN151" s="13" t="n">
        <x:v>0.055524047051800085</x:v>
      </x:c>
      <x:c r="AO151" s="13" t="n">
        <x:v>1.0083165108582781</x:v>
      </x:c>
      <x:c r="AP151" s="13" t="n">
        <x:v>0.04372439897585604</x:v>
      </x:c>
    </x:row>
    <x:row r="152" ht="15" hidden="0" customHeight="1">
      <x:c r="A152" s="2" t="str">
        <x:v>E151</x:v>
      </x:c>
      <x:c r="B152" s="2" t="str">
        <x:v>***路桥工程有限公司</x:v>
      </x:c>
      <x:c r="C152" s="2" t="str">
        <x:v>无信贷记录</x:v>
      </x:c>
      <x:c r="D152" s="2" t="str"/>
      <x:c r="E152" s="2" t="str"/>
      <x:c r="F152" s="13" t="n">
        <x:v>801</x:v>
      </x:c>
      <x:c r="G152" s="13" t="n">
        <x:v>781</x:v>
      </x:c>
      <x:c r="H152" s="13" t="n">
        <x:v>20</x:v>
      </x:c>
      <x:c r="I152" s="13" t="n">
        <x:v>1</x:v>
      </x:c>
      <x:c r="J152" s="13" t="n">
        <x:v>11855142.48</x:v>
      </x:c>
      <x:c r="K152" s="13" t="n">
        <x:v>11855502.48</x:v>
      </x:c>
      <x:c r="L152" s="13" t="n">
        <x:v>174</x:v>
      </x:c>
      <x:c r="M152" s="13" t="n">
        <x:v>0.024968789013732832</x:v>
      </x:c>
      <x:c r="N152" s="13" t="n">
        <x:v>0.0012804097311139564</x:v>
      </x:c>
      <x:c r="O152" s="13" t="n">
        <x:v>0.2848651039870801</x:v>
      </x:c>
      <x:c r="P152" s="13" t="n">
        <x:v>0.4428876387869475</x:v>
      </x:c>
      <x:c r="Q152" s="13" t="n">
        <x:v>338718.3565714286</x:v>
      </x:c>
      <x:c r="R152" s="13" t="n">
        <x:v>2.8811234267428487</x:v>
      </x:c>
      <x:c r="S152" s="13" t="n">
        <x:v>-0.007979596441349351</x:v>
      </x:c>
      <x:c r="T152" s="13" t="n">
        <x:v>31</x:v>
      </x:c>
      <x:c r="U152" s="13" t="n">
        <x:v>148</x:v>
      </x:c>
      <x:c r="V152" s="13" t="n">
        <x:v>140</x:v>
      </x:c>
      <x:c r="W152" s="13" t="n">
        <x:v>8</x:v>
      </x:c>
      <x:c r="X152" s="13" t="n">
        <x:v>0</x:v>
      </x:c>
      <x:c r="Y152" s="13" t="n">
        <x:v>108831139.14</x:v>
      </x:c>
      <x:c r="Z152" s="13" t="n">
        <x:v>108831139.14</x:v>
      </x:c>
      <x:c r="AA152" s="13" t="n">
        <x:v>5</x:v>
      </x:c>
      <x:c r="AB152" s="13" t="n">
        <x:v>0.05405405405405406</x:v>
      </x:c>
      <x:c r="AC152" s="13" t="n">
        <x:v>0</x:v>
      </x:c>
      <x:c r="AD152" s="13" t="n">
        <x:v>0.2726857001985589</x:v>
      </x:c>
      <x:c r="AE152" s="13" t="n">
        <x:v>0.3742435018309044</x:v>
      </x:c>
      <x:c r="AF152" s="13" t="n">
        <x:v>4030782.931111112</x:v>
      </x:c>
      <x:c r="AG152" s="13" t="n">
        <x:v>1.0227275372875015</x:v>
      </x:c>
      <x:c r="AH152" s="13" t="n">
        <x:v>0.04382927179363547</x:v>
      </x:c>
      <x:c r="AI152" s="13" t="n">
        <x:v>23</x:v>
      </x:c>
      <x:c r="AJ152" s="13" t="n">
        <x:v>96975996.66</x:v>
      </x:c>
      <x:c r="AK152" s="13" t="n">
        <x:v>0.1089348377099051</x:v>
      </x:c>
      <x:c r="AL152" s="13" t="n">
        <x:v>0.029504741833508957</x:v>
      </x:c>
      <x:c r="AM152" s="13" t="n">
        <x:v>0.0010857763300760044</x:v>
      </x:c>
      <x:c r="AN152" s="13" t="n">
        <x:v>0.2787754020928195</x:v>
      </x:c>
      <x:c r="AO152" s="13" t="n">
        <x:v>1.951925482015175</x:v>
      </x:c>
      <x:c r="AP152" s="13" t="n">
        <x:v>0.01792483767614306</x:v>
      </x:c>
    </x:row>
    <x:row r="153" ht="15" hidden="0" customHeight="1">
      <x:c r="A153" s="2" t="str">
        <x:v>E152</x:v>
      </x:c>
      <x:c r="B153" s="2" t="str">
        <x:v>***运贸有限责任公司</x:v>
      </x:c>
      <x:c r="C153" s="2" t="str">
        <x:v>无信贷记录</x:v>
      </x:c>
      <x:c r="D153" s="2" t="str"/>
      <x:c r="E153" s="2" t="str"/>
      <x:c r="F153" s="13" t="n">
        <x:v>912</x:v>
      </x:c>
      <x:c r="G153" s="13" t="n">
        <x:v>891</x:v>
      </x:c>
      <x:c r="H153" s="13" t="n">
        <x:v>21</x:v>
      </x:c>
      <x:c r="I153" s="13" t="n">
        <x:v>23</x:v>
      </x:c>
      <x:c r="J153" s="13" t="n">
        <x:v>6604612.96</x:v>
      </x:c>
      <x:c r="K153" s="13" t="n">
        <x:v>7110254.16</x:v>
      </x:c>
      <x:c r="L153" s="13" t="n">
        <x:v>149</x:v>
      </x:c>
      <x:c r="M153" s="13" t="n">
        <x:v>0.023026315789473683</x:v>
      </x:c>
      <x:c r="N153" s="13" t="n">
        <x:v>0.025813692480359147</x:v>
      </x:c>
      <x:c r="O153" s="13" t="n">
        <x:v>0.1936830812428398</x:v>
      </x:c>
      <x:c r="P153" s="13" t="n">
        <x:v>0.38111689667082166</x:v>
      </x:c>
      <x:c r="Q153" s="13" t="n">
        <x:v>178503.052972973</x:v>
      </x:c>
      <x:c r="R153" s="13" t="n">
        <x:v>0.7083217443062308</x:v>
      </x:c>
      <x:c r="S153" s="13" t="n">
        <x:v>0.04697342499404027</x:v>
      </x:c>
      <x:c r="T153" s="13" t="n">
        <x:v>37</x:v>
      </x:c>
      <x:c r="U153" s="13" t="n">
        <x:v>1525</x:v>
      </x:c>
      <x:c r="V153" s="13" t="n">
        <x:v>1488</x:v>
      </x:c>
      <x:c r="W153" s="13" t="n">
        <x:v>37</x:v>
      </x:c>
      <x:c r="X153" s="13" t="n">
        <x:v>9</x:v>
      </x:c>
      <x:c r="Y153" s="13" t="n">
        <x:v>126597588.96</x:v>
      </x:c>
      <x:c r="Z153" s="13" t="n">
        <x:v>127978147.36</x:v>
      </x:c>
      <x:c r="AA153" s="13" t="n">
        <x:v>15</x:v>
      </x:c>
      <x:c r="AB153" s="13" t="n">
        <x:v>0.024262295081967214</x:v>
      </x:c>
      <x:c r="AC153" s="13" t="n">
        <x:v>0.006048387096774193</x:v>
      </x:c>
      <x:c r="AD153" s="13" t="n">
        <x:v>0.6967396620747455</x:v>
      </x:c>
      <x:c r="AE153" s="13" t="n">
        <x:v>0.8251144539775122</x:v>
      </x:c>
      <x:c r="AF153" s="13" t="n">
        <x:v>3421556.458378379</x:v>
      </x:c>
      <x:c r="AG153" s="13" t="n">
        <x:v>0.30316622925269815</x:v>
      </x:c>
      <x:c r="AH153" s="13" t="n">
        <x:v>0.026274743204739444</x:v>
      </x:c>
      <x:c r="AI153" s="13" t="n">
        <x:v>37</x:v>
      </x:c>
      <x:c r="AJ153" s="13" t="n">
        <x:v>119992976</x:v>
      </x:c>
      <x:c r="AK153" s="13" t="n">
        <x:v>0.05555834575413094</x:v>
      </x:c>
      <x:c r="AL153" s="13" t="n">
        <x:v>0.02379975379565039</x:v>
      </x:c>
      <x:c r="AM153" s="13" t="n">
        <x:v>0.013451029844472467</x:v>
      </x:c>
      <x:c r="AN153" s="13" t="n">
        <x:v>0.44521137165879265</x:v>
      </x:c>
      <x:c r="AO153" s="13" t="n">
        <x:v>0.5057439867794645</x:v>
      </x:c>
      <x:c r="AP153" s="13" t="n">
        <x:v>0.03662408409938986</x:v>
      </x:c>
    </x:row>
    <x:row r="154" ht="15" hidden="0" customHeight="1">
      <x:c r="A154" s="2" t="str">
        <x:v>E153</x:v>
      </x:c>
      <x:c r="B154" s="2" t="str">
        <x:v>个体经营E153 </x:v>
      </x:c>
      <x:c r="C154" s="2" t="str">
        <x:v>无信贷记录</x:v>
      </x:c>
      <x:c r="D154" s="2" t="str"/>
      <x:c r="E154" s="2" t="str"/>
      <x:c r="F154" s="13" t="n">
        <x:v>71</x:v>
      </x:c>
      <x:c r="G154" s="13" t="n">
        <x:v>71</x:v>
      </x:c>
      <x:c r="H154" s="13" t="n">
        <x:v>0</x:v>
      </x:c>
      <x:c r="I154" s="13" t="n">
        <x:v>0</x:v>
      </x:c>
      <x:c r="J154" s="13" t="n">
        <x:v>93077</x:v>
      </x:c>
      <x:c r="K154" s="13" t="n">
        <x:v>93077</x:v>
      </x:c>
      <x:c r="L154" s="13" t="n">
        <x:v>33</x:v>
      </x:c>
      <x:c r="M154" s="13" t="n">
        <x:v>0</x:v>
      </x:c>
      <x:c r="N154" s="13" t="n">
        <x:v>0</x:v>
      </x:c>
      <x:c r="O154" s="13" t="n">
        <x:v>0.42977045110868506</x:v>
      </x:c>
      <x:c r="P154" s="13" t="n">
        <x:v>0.6446275664234988</x:v>
      </x:c>
      <x:c r="Q154" s="13" t="n">
        <x:v>3324.1785714285716</x:v>
      </x:c>
      <x:c r="R154" s="13" t="n">
        <x:v>3.382568555766511</x:v>
      </x:c>
      <x:c r="S154" s="13" t="n">
        <x:v>-0.03707744632146854</x:v>
      </x:c>
      <x:c r="T154" s="13" t="n">
        <x:v>18</x:v>
      </x:c>
      <x:c r="U154" s="13" t="n">
        <x:v>355</x:v>
      </x:c>
      <x:c r="V154" s="13" t="n">
        <x:v>280</x:v>
      </x:c>
      <x:c r="W154" s="13" t="n">
        <x:v>75</x:v>
      </x:c>
      <x:c r="X154" s="13" t="n">
        <x:v>1</x:v>
      </x:c>
      <x:c r="Y154" s="13" t="n">
        <x:v>254667102.28</x:v>
      </x:c>
      <x:c r="Z154" s="13" t="n">
        <x:v>256439442.28</x:v>
      </x:c>
      <x:c r="AA154" s="13" t="n">
        <x:v>6</x:v>
      </x:c>
      <x:c r="AB154" s="13" t="n">
        <x:v>0.2112676056338028</x:v>
      </x:c>
      <x:c r="AC154" s="13" t="n">
        <x:v>0.0035714285714285713</x:v>
      </x:c>
      <x:c r="AD154" s="13" t="n">
        <x:v>0.49690775937284803</x:v>
      </x:c>
      <x:c r="AE154" s="13" t="n">
        <x:v>0.5496014026816968</x:v>
      </x:c>
      <x:c r="AF154" s="13" t="n">
        <x:v>7074086.174444444</x:v>
      </x:c>
      <x:c r="AG154" s="13" t="n">
        <x:v>1.262861510624101</x:v>
      </x:c>
      <x:c r="AH154" s="13" t="n">
        <x:v>-0.051619901141823805</x:v>
      </x:c>
      <x:c r="AI154" s="13" t="n">
        <x:v>29</x:v>
      </x:c>
      <x:c r="AJ154" s="13" t="n">
        <x:v>254574025.28</x:v>
      </x:c>
      <x:c r="AK154" s="13" t="n">
        <x:v>0.00036295898623259166</x:v>
      </x:c>
      <x:c r="AL154" s="13" t="n">
        <x:v>0.176056338028169</x:v>
      </x:c>
      <x:c r="AM154" s="13" t="n">
        <x:v>0.002849002849002849</x:v>
      </x:c>
      <x:c r="AN154" s="13" t="n">
        <x:v>0.46333910524076655</x:v>
      </x:c>
      <x:c r="AO154" s="13" t="n">
        <x:v>2.322715033195306</x:v>
      </x:c>
      <x:c r="AP154" s="13" t="n">
        <x:v>-0.04434867373164617</x:v>
      </x:c>
    </x:row>
    <x:row r="155" ht="15" hidden="0" customHeight="1">
      <x:c r="A155" s="2" t="str">
        <x:v>E154</x:v>
      </x:c>
      <x:c r="B155" s="2" t="str">
        <x:v>***汽车销售服务有限公司</x:v>
      </x:c>
      <x:c r="C155" s="2" t="str">
        <x:v>无信贷记录</x:v>
      </x:c>
      <x:c r="D155" s="2" t="str"/>
      <x:c r="E155" s="2" t="str"/>
      <x:c r="F155" s="13" t="n">
        <x:v>2696</x:v>
      </x:c>
      <x:c r="G155" s="13" t="n">
        <x:v>2657</x:v>
      </x:c>
      <x:c r="H155" s="13" t="n">
        <x:v>39</x:v>
      </x:c>
      <x:c r="I155" s="13" t="n">
        <x:v>53</x:v>
      </x:c>
      <x:c r="J155" s="13" t="n">
        <x:v>141657840.55</x:v>
      </x:c>
      <x:c r="K155" s="13" t="n">
        <x:v>152871927.91</x:v>
      </x:c>
      <x:c r="L155" s="13" t="n">
        <x:v>301</x:v>
      </x:c>
      <x:c r="M155" s="13" t="n">
        <x:v>0.014465875370919881</x:v>
      </x:c>
      <x:c r="N155" s="13" t="n">
        <x:v>0.019947308995107264</x:v>
      </x:c>
      <x:c r="O155" s="13" t="n">
        <x:v>0.3894844300550297</x:v>
      </x:c>
      <x:c r="P155" s="13" t="n">
        <x:v>0.558986342151116</x:v>
      </x:c>
      <x:c r="Q155" s="13" t="n">
        <x:v>4721928.018333333</x:v>
      </x:c>
      <x:c r="R155" s="13" t="n">
        <x:v>0.4451605381410408</x:v>
      </x:c>
      <x:c r="S155" s="13" t="n">
        <x:v>0.023183608424745452</x:v>
      </x:c>
      <x:c r="T155" s="13" t="n">
        <x:v>30</x:v>
      </x:c>
      <x:c r="U155" s="13" t="n">
        <x:v>1923</x:v>
      </x:c>
      <x:c r="V155" s="13" t="n">
        <x:v>1816</x:v>
      </x:c>
      <x:c r="W155" s="13" t="n">
        <x:v>107</x:v>
      </x:c>
      <x:c r="X155" s="13" t="n">
        <x:v>23</x:v>
      </x:c>
      <x:c r="Y155" s="13" t="n">
        <x:v>85776316.48</x:v>
      </x:c>
      <x:c r="Z155" s="13" t="n">
        <x:v>86551100.32</x:v>
      </x:c>
      <x:c r="AA155" s="13" t="n">
        <x:v>309</x:v>
      </x:c>
      <x:c r="AB155" s="13" t="n">
        <x:v>0.05564222568902756</x:v>
      </x:c>
      <x:c r="AC155" s="13" t="n">
        <x:v>0.012665198237885462</x:v>
      </x:c>
      <x:c r="AD155" s="13" t="n">
        <x:v>0.3625303355234127</x:v>
      </x:c>
      <x:c r="AE155" s="13" t="n">
        <x:v>0.5797772623857037</x:v>
      </x:c>
      <x:c r="AF155" s="13" t="n">
        <x:v>2859210.549333333</x:v>
      </x:c>
      <x:c r="AG155" s="13" t="n">
        <x:v>0.6096085648006633</x:v>
      </x:c>
      <x:c r="AH155" s="13" t="n">
        <x:v>0.04993142379871541</x:v>
      </x:c>
      <x:c r="AI155" s="13" t="n">
        <x:v>30</x:v>
      </x:c>
      <x:c r="AJ155" s="13" t="n">
        <x:v>-55881524.07000001</x:v>
      </x:c>
      <x:c r="AK155" s="13" t="n">
        <x:v>1.7662620965510103</x:v>
      </x:c>
      <x:c r="AL155" s="13" t="n">
        <x:v>0.031608573284260665</x:v>
      </x:c>
      <x:c r="AM155" s="13" t="n">
        <x:v>0.016990833892242343</x:v>
      </x:c>
      <x:c r="AN155" s="13" t="n">
        <x:v>0.3760073827892212</x:v>
      </x:c>
      <x:c r="AO155" s="13" t="n">
        <x:v>0.5273845514708521</x:v>
      </x:c>
      <x:c r="AP155" s="13" t="n">
        <x:v>0.03655751611173043</x:v>
      </x:c>
    </x:row>
    <x:row r="156" ht="15" hidden="0" customHeight="1">
      <x:c r="A156" s="2" t="str">
        <x:v>E155</x:v>
      </x:c>
      <x:c r="B156" s="2" t="str">
        <x:v>个体经营E155 </x:v>
      </x:c>
      <x:c r="C156" s="2" t="str">
        <x:v>无信贷记录</x:v>
      </x:c>
      <x:c r="D156" s="2" t="str"/>
      <x:c r="E156" s="2" t="str"/>
      <x:c r="F156" s="13" t="n">
        <x:v>417</x:v>
      </x:c>
      <x:c r="G156" s="13" t="n">
        <x:v>398</x:v>
      </x:c>
      <x:c r="H156" s="13" t="n">
        <x:v>19</x:v>
      </x:c>
      <x:c r="I156" s="13" t="n">
        <x:v>7</x:v>
      </x:c>
      <x:c r="J156" s="13" t="n">
        <x:v>85664767.68</x:v>
      </x:c>
      <x:c r="K156" s="13" t="n">
        <x:v>87173267.68</x:v>
      </x:c>
      <x:c r="L156" s="13" t="n">
        <x:v>50</x:v>
      </x:c>
      <x:c r="M156" s="13" t="n">
        <x:v>0.045563549160671464</x:v>
      </x:c>
      <x:c r="N156" s="13" t="n">
        <x:v>0.017587939698492462</x:v>
      </x:c>
      <x:c r="O156" s="13" t="n">
        <x:v>0.1645491899855947</x:v>
      </x:c>
      <x:c r="P156" s="13" t="n">
        <x:v>0.24662580894547004</x:v>
      </x:c>
      <x:c r="Q156" s="13" t="n">
        <x:v>3426590.7071999996</x:v>
      </x:c>
      <x:c r="R156" s="13" t="n">
        <x:v>0.6461203432142817</x:v>
      </x:c>
      <x:c r="S156" s="13" t="n">
        <x:v>0.029566164277706718</x:v>
      </x:c>
      <x:c r="T156" s="13" t="n">
        <x:v>25</x:v>
      </x:c>
      <x:c r="U156" s="13" t="n">
        <x:v>1083</x:v>
      </x:c>
      <x:c r="V156" s="13" t="n">
        <x:v>1045</x:v>
      </x:c>
      <x:c r="W156" s="13" t="n">
        <x:v>38</x:v>
      </x:c>
      <x:c r="X156" s="13" t="n">
        <x:v>9</x:v>
      </x:c>
      <x:c r="Y156" s="13" t="n">
        <x:v>90483422.85</x:v>
      </x:c>
      <x:c r="Z156" s="13" t="n">
        <x:v>91688182.85</x:v>
      </x:c>
      <x:c r="AA156" s="13" t="n">
        <x:v>57</x:v>
      </x:c>
      <x:c r="AB156" s="13" t="n">
        <x:v>0.03508771929824561</x:v>
      </x:c>
      <x:c r="AC156" s="13" t="n">
        <x:v>0.00861244019138756</x:v>
      </x:c>
      <x:c r="AD156" s="13" t="n">
        <x:v>0.07535240557025595</x:v>
      </x:c>
      <x:c r="AE156" s="13" t="n">
        <x:v>0.14705268531777868</x:v>
      </x:c>
      <x:c r="AF156" s="13" t="n">
        <x:v>3619336.914</x:v>
      </x:c>
      <x:c r="AG156" s="13" t="n">
        <x:v>0.5740949753755128</x:v>
      </x:c>
      <x:c r="AH156" s="13" t="n">
        <x:v>0.04665689916014181</x:v>
      </x:c>
      <x:c r="AI156" s="13" t="n">
        <x:v>25</x:v>
      </x:c>
      <x:c r="AJ156" s="13" t="n">
        <x:v>4818655.169999987</x:v>
      </x:c>
      <x:c r="AK156" s="13" t="n">
        <x:v>0.950757938158876</x:v>
      </x:c>
      <x:c r="AL156" s="13" t="n">
        <x:v>0.038</x:v>
      </x:c>
      <x:c r="AM156" s="13" t="n">
        <x:v>0.011088011088011088</x:v>
      </x:c>
      <x:c r="AN156" s="13" t="n">
        <x:v>0.11995079777792533</x:v>
      </x:c>
      <x:c r="AO156" s="13" t="n">
        <x:v>0.6101076592948973</x:v>
      </x:c>
      <x:c r="AP156" s="13" t="n">
        <x:v>0.038111531718924264</x:v>
      </x:c>
    </x:row>
    <x:row r="157" ht="15" hidden="0" customHeight="1">
      <x:c r="A157" s="2" t="str">
        <x:v>E156</x:v>
      </x:c>
      <x:c r="B157" s="2" t="str">
        <x:v>个体经营E156 </x:v>
      </x:c>
      <x:c r="C157" s="2" t="str">
        <x:v>无信贷记录</x:v>
      </x:c>
      <x:c r="D157" s="2" t="str"/>
      <x:c r="E157" s="2" t="str"/>
      <x:c r="F157" s="13" t="n">
        <x:v>611</x:v>
      </x:c>
      <x:c r="G157" s="13" t="n">
        <x:v>592</x:v>
      </x:c>
      <x:c r="H157" s="13" t="n">
        <x:v>19</x:v>
      </x:c>
      <x:c r="I157" s="13" t="n">
        <x:v>11</x:v>
      </x:c>
      <x:c r="J157" s="13" t="n">
        <x:v>2237785.6</x:v>
      </x:c>
      <x:c r="K157" s="13" t="n">
        <x:v>2388015.5</x:v>
      </x:c>
      <x:c r="L157" s="13" t="n">
        <x:v>153</x:v>
      </x:c>
      <x:c r="M157" s="13" t="n">
        <x:v>0.031096563011456628</x:v>
      </x:c>
      <x:c r="N157" s="13" t="n">
        <x:v>0.018581081081081082</x:v>
      </x:c>
      <x:c r="O157" s="13" t="n">
        <x:v>0.1968080516024781</x:v>
      </x:c>
      <x:c r="P157" s="13" t="n">
        <x:v>0.40998058848445496</x:v>
      </x:c>
      <x:c r="Q157" s="13" t="n">
        <x:v>67811.68484848485</x:v>
      </x:c>
      <x:c r="R157" s="13" t="n">
        <x:v>1.9409887656235383</x:v>
      </x:c>
      <x:c r="S157" s="13" t="n">
        <x:v>0.061324866930899946</x:v>
      </x:c>
      <x:c r="T157" s="13" t="n">
        <x:v>32</x:v>
      </x:c>
      <x:c r="U157" s="13" t="n">
        <x:v>444</x:v>
      </x:c>
      <x:c r="V157" s="13" t="n">
        <x:v>384</x:v>
      </x:c>
      <x:c r="W157" s="13" t="n">
        <x:v>60</x:v>
      </x:c>
      <x:c r="X157" s="13" t="n">
        <x:v>28</x:v>
      </x:c>
      <x:c r="Y157" s="13" t="n">
        <x:v>158652307.98</x:v>
      </x:c>
      <x:c r="Z157" s="13" t="n">
        <x:v>198042232.14</x:v>
      </x:c>
      <x:c r="AA157" s="13" t="n">
        <x:v>34</x:v>
      </x:c>
      <x:c r="AB157" s="13" t="n">
        <x:v>0.13513513513513514</x:v>
      </x:c>
      <x:c r="AC157" s="13" t="n">
        <x:v>0.07291666666666667</x:v>
      </x:c>
      <x:c r="AD157" s="13" t="n">
        <x:v>0.1785394683299874</x:v>
      </x:c>
      <x:c r="AE157" s="13" t="n">
        <x:v>0.36002421922611233</x:v>
      </x:c>
      <x:c r="AF157" s="13" t="n">
        <x:v>4407008.555000001</x:v>
      </x:c>
      <x:c r="AG157" s="13" t="n">
        <x:v>1.5577175212647145</x:v>
      </x:c>
      <x:c r="AH157" s="13" t="n">
        <x:v>-0.03371482179298647</x:v>
      </x:c>
      <x:c r="AI157" s="13" t="n">
        <x:v>34</x:v>
      </x:c>
      <x:c r="AJ157" s="13" t="n">
        <x:v>156414522.38</x:v>
      </x:c>
      <x:c r="AK157" s="13" t="n">
        <x:v>0.01205811242478758</x:v>
      </x:c>
      <x:c r="AL157" s="13" t="n">
        <x:v>0.07488151658767772</x:v>
      </x:c>
      <x:c r="AM157" s="13" t="n">
        <x:v>0.039959016393442626</x:v>
      </x:c>
      <x:c r="AN157" s="13" t="n">
        <x:v>0.18767375996623276</x:v>
      </x:c>
      <x:c r="AO157" s="13" t="n">
        <x:v>1.7493531434441265</x:v>
      </x:c>
      <x:c r="AP157" s="13" t="n">
        <x:v>0.01380502256895674</x:v>
      </x:c>
    </x:row>
    <x:row r="158" ht="15" hidden="0" customHeight="1">
      <x:c r="A158" s="2" t="str">
        <x:v>E157</x:v>
      </x:c>
      <x:c r="B158" s="2" t="str">
        <x:v>***环境设备工程有限公司</x:v>
      </x:c>
      <x:c r="C158" s="2" t="str">
        <x:v>无信贷记录</x:v>
      </x:c>
      <x:c r="D158" s="2" t="str"/>
      <x:c r="E158" s="2" t="str"/>
      <x:c r="F158" s="13" t="n">
        <x:v>1553</x:v>
      </x:c>
      <x:c r="G158" s="13" t="n">
        <x:v>1472</x:v>
      </x:c>
      <x:c r="H158" s="13" t="n">
        <x:v>81</x:v>
      </x:c>
      <x:c r="I158" s="13" t="n">
        <x:v>12</x:v>
      </x:c>
      <x:c r="J158" s="13" t="n">
        <x:v>53073477.29</x:v>
      </x:c>
      <x:c r="K158" s="13" t="n">
        <x:v>54369939.99</x:v>
      </x:c>
      <x:c r="L158" s="13" t="n">
        <x:v>309</x:v>
      </x:c>
      <x:c r="M158" s="13" t="n">
        <x:v>0.05215711526078558</x:v>
      </x:c>
      <x:c r="N158" s="13" t="n">
        <x:v>0.008152173913043478</x:v>
      </x:c>
      <x:c r="O158" s="13" t="n">
        <x:v>0.05134501252197296</x:v>
      </x:c>
      <x:c r="P158" s="13" t="n">
        <x:v>0.12448643499045363</x:v>
      </x:c>
      <x:c r="Q158" s="13" t="n">
        <x:v>1434418.3051351348</x:v>
      </x:c>
      <x:c r="R158" s="13" t="n">
        <x:v>1.6716378936010021</x:v>
      </x:c>
      <x:c r="S158" s="13" t="n">
        <x:v>0.0866716389448781</x:v>
      </x:c>
      <x:c r="T158" s="13" t="n">
        <x:v>37</x:v>
      </x:c>
      <x:c r="U158" s="13" t="n">
        <x:v>999</x:v>
      </x:c>
      <x:c r="V158" s="13" t="n">
        <x:v>918</x:v>
      </x:c>
      <x:c r="W158" s="13" t="n">
        <x:v>81</x:v>
      </x:c>
      <x:c r="X158" s="13" t="n">
        <x:v>75</x:v>
      </x:c>
      <x:c r="Y158" s="13" t="n">
        <x:v>72361142.94</x:v>
      </x:c>
      <x:c r="Z158" s="13" t="n">
        <x:v>86223945</x:v>
      </x:c>
      <x:c r="AA158" s="13" t="n">
        <x:v>91</x:v>
      </x:c>
      <x:c r="AB158" s="13" t="n">
        <x:v>0.08108108108108109</x:v>
      </x:c>
      <x:c r="AC158" s="13" t="n">
        <x:v>0.08169934640522876</x:v>
      </x:c>
      <x:c r="AD158" s="13" t="n">
        <x:v>0.20792767599640463</x:v>
      </x:c>
      <x:c r="AE158" s="13" t="n">
        <x:v>0.41955265442795503</x:v>
      </x:c>
      <x:c r="AF158" s="13" t="n">
        <x:v>1955706.565945946</x:v>
      </x:c>
      <x:c r="AG158" s="13" t="n">
        <x:v>1.721574116949788</x:v>
      </x:c>
      <x:c r="AH158" s="13" t="n">
        <x:v>0.06456345204832135</x:v>
      </x:c>
      <x:c r="AI158" s="13" t="n">
        <x:v>34</x:v>
      </x:c>
      <x:c r="AJ158" s="13" t="n">
        <x:v>19287665.65</x:v>
      </x:c>
      <x:c r="AK158" s="13" t="n">
        <x:v>0.6305666017717004</x:v>
      </x:c>
      <x:c r="AL158" s="13" t="n">
        <x:v>0.06347962382445141</x:v>
      </x:c>
      <x:c r="AM158" s="13" t="n">
        <x:v>0.036401673640167366</x:v>
      </x:c>
      <x:c r="AN158" s="13" t="n">
        <x:v>0.1296363442591888</x:v>
      </x:c>
      <x:c r="AO158" s="13" t="n">
        <x:v>1.696606005275395</x:v>
      </x:c>
      <x:c r="AP158" s="13" t="n">
        <x:v>0.07561754549659973</x:v>
      </x:c>
    </x:row>
    <x:row r="159" ht="15" hidden="0" customHeight="1">
      <x:c r="A159" s="2" t="str">
        <x:v>E158</x:v>
      </x:c>
      <x:c r="B159" s="2" t="str">
        <x:v>***装饰工程有限公司</x:v>
      </x:c>
      <x:c r="C159" s="2" t="str">
        <x:v>无信贷记录</x:v>
      </x:c>
      <x:c r="D159" s="2" t="str"/>
      <x:c r="E159" s="2" t="str"/>
      <x:c r="F159" s="13" t="n">
        <x:v>1174</x:v>
      </x:c>
      <x:c r="G159" s="13" t="n">
        <x:v>1099</x:v>
      </x:c>
      <x:c r="H159" s="13" t="n">
        <x:v>75</x:v>
      </x:c>
      <x:c r="I159" s="13" t="n">
        <x:v>13</x:v>
      </x:c>
      <x:c r="J159" s="13" t="n">
        <x:v>64966054.260000005</x:v>
      </x:c>
      <x:c r="K159" s="13" t="n">
        <x:v>66618750.120000005</x:v>
      </x:c>
      <x:c r="L159" s="13" t="n">
        <x:v>306</x:v>
      </x:c>
      <x:c r="M159" s="13" t="n">
        <x:v>0.06388415672913117</x:v>
      </x:c>
      <x:c r="N159" s="13" t="n">
        <x:v>0.011828935395814377</x:v>
      </x:c>
      <x:c r="O159" s="13" t="n">
        <x:v>0.8167148548992093</x:v>
      </x:c>
      <x:c r="P159" s="13" t="n">
        <x:v>0.9033816502350194</x:v>
      </x:c>
      <x:c r="Q159" s="13" t="n">
        <x:v>2095679.1696774194</x:v>
      </x:c>
      <x:c r="R159" s="13" t="n">
        <x:v>1.506227813820912</x:v>
      </x:c>
      <x:c r="S159" s="13" t="n">
        <x:v>0.03118922584386609</x:v>
      </x:c>
      <x:c r="T159" s="13" t="n">
        <x:v>31</x:v>
      </x:c>
      <x:c r="U159" s="13" t="n">
        <x:v>986</x:v>
      </x:c>
      <x:c r="V159" s="13" t="n">
        <x:v>859</x:v>
      </x:c>
      <x:c r="W159" s="13" t="n">
        <x:v>127</x:v>
      </x:c>
      <x:c r="X159" s="13" t="n">
        <x:v>0</x:v>
      </x:c>
      <x:c r="Y159" s="13" t="n">
        <x:v>84867711.88</x:v>
      </x:c>
      <x:c r="Z159" s="13" t="n">
        <x:v>84867711.88</x:v>
      </x:c>
      <x:c r="AA159" s="13" t="n">
        <x:v>10</x:v>
      </x:c>
      <x:c r="AB159" s="13" t="n">
        <x:v>0.12880324543610547</x:v>
      </x:c>
      <x:c r="AC159" s="13" t="n">
        <x:v>0</x:v>
      </x:c>
      <x:c r="AD159" s="13" t="n">
        <x:v>0.17857265211461465</x:v>
      </x:c>
      <x:c r="AE159" s="13" t="n">
        <x:v>0.25561388199877083</x:v>
      </x:c>
      <x:c r="AF159" s="13" t="n">
        <x:v>2926472.8234482757</x:v>
      </x:c>
      <x:c r="AG159" s="13" t="n">
        <x:v>1.5422063416821352</x:v>
      </x:c>
      <x:c r="AH159" s="13" t="n">
        <x:v>0.018939604170428167</x:v>
      </x:c>
      <x:c r="AI159" s="13" t="n">
        <x:v>28</x:v>
      </x:c>
      <x:c r="AJ159" s="13" t="n">
        <x:v>19901657.61999999</x:v>
      </x:c>
      <x:c r="AK159" s="13" t="n">
        <x:v>0.7849716770283216</x:v>
      </x:c>
      <x:c r="AL159" s="13" t="n">
        <x:v>0.09351851851851851</x:v>
      </x:c>
      <x:c r="AM159" s="13" t="n">
        <x:v>0.006639427987742594</x:v>
      </x:c>
      <x:c r="AN159" s="13" t="n">
        <x:v>0.4976437535069119</x:v>
      </x:c>
      <x:c r="AO159" s="13" t="n">
        <x:v>1.5242170777515236</x:v>
      </x:c>
      <x:c r="AP159" s="13" t="n">
        <x:v>0.02506441500714713</x:v>
      </x:c>
    </x:row>
    <x:row r="160" ht="15" hidden="0" customHeight="1">
      <x:c r="A160" s="2" t="str">
        <x:v>E159</x:v>
      </x:c>
      <x:c r="B160" s="2" t="str">
        <x:v>个体经营E159 </x:v>
      </x:c>
      <x:c r="C160" s="2" t="str">
        <x:v>无信贷记录</x:v>
      </x:c>
      <x:c r="D160" s="2" t="str"/>
      <x:c r="E160" s="2" t="str"/>
      <x:c r="F160" s="13" t="n">
        <x:v>4684</x:v>
      </x:c>
      <x:c r="G160" s="13" t="n">
        <x:v>4472</x:v>
      </x:c>
      <x:c r="H160" s="13" t="n">
        <x:v>212</x:v>
      </x:c>
      <x:c r="I160" s="13" t="n">
        <x:v>13</x:v>
      </x:c>
      <x:c r="J160" s="13" t="n">
        <x:v>69981490.31</x:v>
      </x:c>
      <x:c r="K160" s="13" t="n">
        <x:v>70471088.14999999</x:v>
      </x:c>
      <x:c r="L160" s="13" t="n">
        <x:v>1042</x:v>
      </x:c>
      <x:c r="M160" s="13" t="n">
        <x:v>0.04526046114432109</x:v>
      </x:c>
      <x:c r="N160" s="13" t="n">
        <x:v>0.0029069767441860465</x:v>
      </x:c>
      <x:c r="O160" s="13" t="n">
        <x:v>0.03896813080507431</x:v>
      </x:c>
      <x:c r="P160" s="13" t="n">
        <x:v>0.13764935741239862</x:v>
      </x:c>
      <x:c r="Q160" s="13" t="n">
        <x:v>2257467.4293548395</x:v>
      </x:c>
      <x:c r="R160" s="13" t="n">
        <x:v>0.7896156570400658</x:v>
      </x:c>
      <x:c r="S160" s="13" t="n">
        <x:v>-0.004399014821795095</x:v>
      </x:c>
      <x:c r="T160" s="13" t="n">
        <x:v>31</x:v>
      </x:c>
      <x:c r="U160" s="13" t="n">
        <x:v>253</x:v>
      </x:c>
      <x:c r="V160" s="13" t="n">
        <x:v>233</x:v>
      </x:c>
      <x:c r="W160" s="13" t="n">
        <x:v>20</x:v>
      </x:c>
      <x:c r="X160" s="13" t="n">
        <x:v>2</x:v>
      </x:c>
      <x:c r="Y160" s="13" t="n">
        <x:v>112083125.72</x:v>
      </x:c>
      <x:c r="Z160" s="13" t="n">
        <x:v>115547245.72</x:v>
      </x:c>
      <x:c r="AA160" s="13" t="n">
        <x:v>81</x:v>
      </x:c>
      <x:c r="AB160" s="13" t="n">
        <x:v>0.07905138339920949</x:v>
      </x:c>
      <x:c r="AC160" s="13" t="n">
        <x:v>0.008583690987124463</x:v>
      </x:c>
      <x:c r="AD160" s="13" t="n">
        <x:v>0.043303256123152334</x:v>
      </x:c>
      <x:c r="AE160" s="13" t="n">
        <x:v>0.1239376798708171</x:v>
      </x:c>
      <x:c r="AF160" s="13" t="n">
        <x:v>3113420.1588888895</x:v>
      </x:c>
      <x:c r="AG160" s="13" t="n">
        <x:v>0.7131177257027734</x:v>
      </x:c>
      <x:c r="AH160" s="13" t="n">
        <x:v>0.002996897779681577</x:v>
      </x:c>
      <x:c r="AI160" s="13" t="n">
        <x:v>35</x:v>
      </x:c>
      <x:c r="AJ160" s="13" t="n">
        <x:v>42101635.41</x:v>
      </x:c>
      <x:c r="AK160" s="13" t="n">
        <x:v>0.609889813563961</x:v>
      </x:c>
      <x:c r="AL160" s="13" t="n">
        <x:v>0.04699210046586996</x:v>
      </x:c>
      <x:c r="AM160" s="13" t="n">
        <x:v>0.003188097768331562</x:v>
      </x:c>
      <x:c r="AN160" s="13" t="n">
        <x:v>0.04113569346411332</x:v>
      </x:c>
      <x:c r="AO160" s="13" t="n">
        <x:v>0.7513666913714196</x:v>
      </x:c>
      <x:c r="AP160" s="13" t="n">
        <x:v>-0.000701058521056759</x:v>
      </x:c>
    </x:row>
    <x:row r="161" ht="15" hidden="0" customHeight="1">
      <x:c r="A161" s="2" t="str">
        <x:v>E160</x:v>
      </x:c>
      <x:c r="B161" s="2" t="str">
        <x:v>***钢结构工程有限公司</x:v>
      </x:c>
      <x:c r="C161" s="2" t="str">
        <x:v>无信贷记录</x:v>
      </x:c>
      <x:c r="D161" s="2" t="str"/>
      <x:c r="E161" s="2" t="str"/>
      <x:c r="F161" s="13" t="n">
        <x:v>2470</x:v>
      </x:c>
      <x:c r="G161" s="13" t="n">
        <x:v>2387</x:v>
      </x:c>
      <x:c r="H161" s="13" t="n">
        <x:v>83</x:v>
      </x:c>
      <x:c r="I161" s="13" t="n">
        <x:v>8</x:v>
      </x:c>
      <x:c r="J161" s="13" t="n">
        <x:v>103960096.33</x:v>
      </x:c>
      <x:c r="K161" s="13" t="n">
        <x:v>104438104.75</x:v>
      </x:c>
      <x:c r="L161" s="13" t="n">
        <x:v>424</x:v>
      </x:c>
      <x:c r="M161" s="13" t="n">
        <x:v>0.03360323886639676</x:v>
      </x:c>
      <x:c r="N161" s="13" t="n">
        <x:v>0.0033514872224549644</x:v>
      </x:c>
      <x:c r="O161" s="13" t="n">
        <x:v>0.08117510386400541</x:v>
      </x:c>
      <x:c r="P161" s="13" t="n">
        <x:v>0.23122395391802625</x:v>
      </x:c>
      <x:c r="Q161" s="13" t="n">
        <x:v>2809732.3332432434</x:v>
      </x:c>
      <x:c r="R161" s="13" t="n">
        <x:v>0.785814793465799</x:v>
      </x:c>
      <x:c r="S161" s="13" t="n">
        <x:v>0.018125394565032142</x:v>
      </x:c>
      <x:c r="T161" s="13" t="n">
        <x:v>37</x:v>
      </x:c>
      <x:c r="U161" s="13" t="n">
        <x:v>2123</x:v>
      </x:c>
      <x:c r="V161" s="13" t="n">
        <x:v>1789</x:v>
      </x:c>
      <x:c r="W161" s="13" t="n">
        <x:v>334</x:v>
      </x:c>
      <x:c r="X161" s="13" t="n">
        <x:v>66</x:v>
      </x:c>
      <x:c r="Y161" s="13" t="n">
        <x:v>156483696.99</x:v>
      </x:c>
      <x:c r="Z161" s="13" t="n">
        <x:v>167713651.65</x:v>
      </x:c>
      <x:c r="AA161" s="13" t="n">
        <x:v>68</x:v>
      </x:c>
      <x:c r="AB161" s="13" t="n">
        <x:v>0.15732454074422986</x:v>
      </x:c>
      <x:c r="AC161" s="13" t="n">
        <x:v>0.0368921185019564</x:v>
      </x:c>
      <x:c r="AD161" s="13" t="n">
        <x:v>0.17377293400313973</x:v>
      </x:c>
      <x:c r="AE161" s="13" t="n">
        <x:v>0.3745769639021511</x:v>
      </x:c>
      <x:c r="AF161" s="13" t="n">
        <x:v>4229289.107837837</x:v>
      </x:c>
      <x:c r="AG161" s="13" t="n">
        <x:v>0.7898467790617447</x:v>
      </x:c>
      <x:c r="AH161" s="13" t="n">
        <x:v>0.006246480208112768</x:v>
      </x:c>
      <x:c r="AI161" s="13" t="n">
        <x:v>37</x:v>
      </x:c>
      <x:c r="AJ161" s="13" t="n">
        <x:v>52523600.66000001</x:v>
      </x:c>
      <x:c r="AK161" s="13" t="n">
        <x:v>0.6227167778085881</x:v>
      </x:c>
      <x:c r="AL161" s="13" t="n">
        <x:v>0.09079033311561072</x:v>
      </x:c>
      <x:c r="AM161" s="13" t="n">
        <x:v>0.017720306513409962</x:v>
      </x:c>
      <x:c r="AN161" s="13" t="n">
        <x:v>0.12747401893357257</x:v>
      </x:c>
      <x:c r="AO161" s="13" t="n">
        <x:v>0.7878307862637719</x:v>
      </x:c>
      <x:c r="AP161" s="13" t="n">
        <x:v>0.012185937386572455</x:v>
      </x:c>
    </x:row>
    <x:row r="162" ht="15" hidden="0" customHeight="1">
      <x:c r="A162" s="2" t="str">
        <x:v>E161</x:v>
      </x:c>
      <x:c r="B162" s="2" t="str">
        <x:v>***建筑劳务有限责任公司</x:v>
      </x:c>
      <x:c r="C162" s="2" t="str">
        <x:v>无信贷记录</x:v>
      </x:c>
      <x:c r="D162" s="2" t="str"/>
      <x:c r="E162" s="2" t="str"/>
      <x:c r="F162" s="13" t="n">
        <x:v>248</x:v>
      </x:c>
      <x:c r="G162" s="13" t="n">
        <x:v>246</x:v>
      </x:c>
      <x:c r="H162" s="13" t="n">
        <x:v>2</x:v>
      </x:c>
      <x:c r="I162" s="13" t="n">
        <x:v>0</x:v>
      </x:c>
      <x:c r="J162" s="13" t="n">
        <x:v>963190.5599999999</x:v>
      </x:c>
      <x:c r="K162" s="13" t="n">
        <x:v>963190.5599999999</x:v>
      </x:c>
      <x:c r="L162" s="13" t="n">
        <x:v>140</x:v>
      </x:c>
      <x:c r="M162" s="13" t="n">
        <x:v>0.008064516129032258</x:v>
      </x:c>
      <x:c r="N162" s="13" t="n">
        <x:v>0</x:v>
      </x:c>
      <x:c r="O162" s="13" t="n">
        <x:v>0.15419721221824578</x:v>
      </x:c>
      <x:c r="P162" s="13" t="n">
        <x:v>0.34250750962509435</x:v>
      </x:c>
      <x:c r="Q162" s="13" t="n">
        <x:v>26755.293333333335</x:v>
      </x:c>
      <x:c r="R162" s="13" t="n">
        <x:v>2.2170563298358337</x:v>
      </x:c>
      <x:c r="S162" s="13" t="n">
        <x:v>0.0065091080027187545</x:v>
      </x:c>
      <x:c r="T162" s="13" t="n">
        <x:v>34</x:v>
      </x:c>
      <x:c r="U162" s="13" t="n">
        <x:v>289</x:v>
      </x:c>
      <x:c r="V162" s="13" t="n">
        <x:v>238</x:v>
      </x:c>
      <x:c r="W162" s="13" t="n">
        <x:v>51</x:v>
      </x:c>
      <x:c r="X162" s="13" t="n">
        <x:v>3</x:v>
      </x:c>
      <x:c r="Y162" s="13" t="n">
        <x:v>160131891.88</x:v>
      </x:c>
      <x:c r="Z162" s="13" t="n">
        <x:v>166131891.88</x:v>
      </x:c>
      <x:c r="AA162" s="13" t="n">
        <x:v>29</x:v>
      </x:c>
      <x:c r="AB162" s="13" t="n">
        <x:v>0.17647058823529413</x:v>
      </x:c>
      <x:c r="AC162" s="13" t="n">
        <x:v>0.012605042016806723</x:v>
      </x:c>
      <x:c r="AD162" s="13" t="n">
        <x:v>0.08826133768314866</x:v>
      </x:c>
      <x:c r="AE162" s="13" t="n">
        <x:v>0.17427882553046142</x:v>
      </x:c>
      <x:c r="AF162" s="13" t="n">
        <x:v>4327888.96972973</x:v>
      </x:c>
      <x:c r="AG162" s="13" t="n">
        <x:v>1.0307125160177137</x:v>
      </x:c>
      <x:c r="AH162" s="13" t="n">
        <x:v>-0.004037198132878764</x:v>
      </x:c>
      <x:c r="AI162" s="13" t="n">
        <x:v>32</x:v>
      </x:c>
      <x:c r="AJ162" s="13" t="n">
        <x:v>159168701.32</x:v>
      </x:c>
      <x:c r="AK162" s="13" t="n">
        <x:v>0.005797746291216196</x:v>
      </x:c>
      <x:c r="AL162" s="13" t="n">
        <x:v>0.09869646182495345</x:v>
      </x:c>
      <x:c r="AM162" s="13" t="n">
        <x:v>0.006198347107438017</x:v>
      </x:c>
      <x:c r="AN162" s="13" t="n">
        <x:v>0.12122927495069721</x:v>
      </x:c>
      <x:c r="AO162" s="13" t="n">
        <x:v>1.6238844229267737</x:v>
      </x:c>
      <x:c r="AP162" s="13" t="n">
        <x:v>0.0012359549349199952</x:v>
      </x:c>
    </x:row>
    <x:row r="163" ht="15" hidden="0" customHeight="1">
      <x:c r="A163" s="2" t="str">
        <x:v>E162</x:v>
      </x:c>
      <x:c r="B163" s="2" t="str">
        <x:v>***网络信息安全有限公司</x:v>
      </x:c>
      <x:c r="C163" s="2" t="str">
        <x:v>无信贷记录</x:v>
      </x:c>
      <x:c r="D163" s="2" t="str"/>
      <x:c r="E163" s="2" t="str"/>
      <x:c r="F163" s="13" t="n">
        <x:v>10363</x:v>
      </x:c>
      <x:c r="G163" s="13" t="n">
        <x:v>9820</x:v>
      </x:c>
      <x:c r="H163" s="13" t="n">
        <x:v>543</x:v>
      </x:c>
      <x:c r="I163" s="13" t="n">
        <x:v>239</x:v>
      </x:c>
      <x:c r="J163" s="13" t="n">
        <x:v>143322878.65</x:v>
      </x:c>
      <x:c r="K163" s="13" t="n">
        <x:v>172951726.05</x:v>
      </x:c>
      <x:c r="L163" s="13" t="n">
        <x:v>1286</x:v>
      </x:c>
      <x:c r="M163" s="13" t="n">
        <x:v>0.05239795426034932</x:v>
      </x:c>
      <x:c r="N163" s="13" t="n">
        <x:v>0.02433808553971487</x:v>
      </x:c>
      <x:c r="O163" s="13" t="n">
        <x:v>0.051558204985436715</x:v>
      </x:c>
      <x:c r="P163" s="13" t="n">
        <x:v>0.13053546672019467</x:v>
      </x:c>
      <x:c r="Q163" s="13" t="n">
        <x:v>3771654.701315788</x:v>
      </x:c>
      <x:c r="R163" s="13" t="n">
        <x:v>0.7441722796849743</x:v>
      </x:c>
      <x:c r="S163" s="13" t="n">
        <x:v>0.03352086746201451</x:v>
      </x:c>
      <x:c r="T163" s="13" t="n">
        <x:v>38</x:v>
      </x:c>
      <x:c r="U163" s="13" t="n">
        <x:v>511</x:v>
      </x:c>
      <x:c r="V163" s="13" t="n">
        <x:v>471</x:v>
      </x:c>
      <x:c r="W163" s="13" t="n">
        <x:v>40</x:v>
      </x:c>
      <x:c r="X163" s="13" t="n">
        <x:v>30</x:v>
      </x:c>
      <x:c r="Y163" s="13" t="n">
        <x:v>151252079.29</x:v>
      </x:c>
      <x:c r="Z163" s="13" t="n">
        <x:v>198120519.29000002</x:v>
      </x:c>
      <x:c r="AA163" s="13" t="n">
        <x:v>100</x:v>
      </x:c>
      <x:c r="AB163" s="13" t="n">
        <x:v>0.07827788649706457</x:v>
      </x:c>
      <x:c r="AC163" s="13" t="n">
        <x:v>0.06369426751592357</x:v>
      </x:c>
      <x:c r="AD163" s="13" t="n">
        <x:v>0.06548144827242497</x:v>
      </x:c>
      <x:c r="AE163" s="13" t="n">
        <x:v>0.13785822436706374</x:v>
      </x:c>
      <x:c r="AF163" s="13" t="n">
        <x:v>4087894.0348648652</x:v>
      </x:c>
      <x:c r="AG163" s="13" t="n">
        <x:v>1.5415258346851566</x:v>
      </x:c>
      <x:c r="AH163" s="13" t="n">
        <x:v>0.06818571992740156</x:v>
      </x:c>
      <x:c r="AI163" s="13" t="n">
        <x:v>36</x:v>
      </x:c>
      <x:c r="AJ163" s="13" t="n">
        <x:v>7929200.639999986</x:v>
      </x:c>
      <x:c r="AK163" s="13" t="n">
        <x:v>0.8729622084062931</x:v>
      </x:c>
      <x:c r="AL163" s="13" t="n">
        <x:v>0.05361412543682178</x:v>
      </x:c>
      <x:c r="AM163" s="13" t="n">
        <x:v>0.026139345058789232</x:v>
      </x:c>
      <x:c r="AN163" s="13" t="n">
        <x:v>0.05851982662893084</x:v>
      </x:c>
      <x:c r="AO163" s="13" t="n">
        <x:v>1.1428490571850656</x:v>
      </x:c>
      <x:c r="AP163" s="13" t="n">
        <x:v>0.050853293694708035</x:v>
      </x:c>
    </x:row>
    <x:row r="164" ht="15" hidden="0" customHeight="1">
      <x:c r="A164" s="2" t="str">
        <x:v>E163</x:v>
      </x:c>
      <x:c r="B164" s="2" t="str">
        <x:v>***物流有限公司</x:v>
      </x:c>
      <x:c r="C164" s="2" t="str">
        <x:v>无信贷记录</x:v>
      </x:c>
      <x:c r="D164" s="2" t="str"/>
      <x:c r="E164" s="2" t="str"/>
      <x:c r="F164" s="13" t="n">
        <x:v>2633</x:v>
      </x:c>
      <x:c r="G164" s="13" t="n">
        <x:v>2576</x:v>
      </x:c>
      <x:c r="H164" s="13" t="n">
        <x:v>57</x:v>
      </x:c>
      <x:c r="I164" s="13" t="n">
        <x:v>10</x:v>
      </x:c>
      <x:c r="J164" s="13" t="n">
        <x:v>83366658.57</x:v>
      </x:c>
      <x:c r="K164" s="13" t="n">
        <x:v>83757148.81</x:v>
      </x:c>
      <x:c r="L164" s="13" t="n">
        <x:v>267</x:v>
      </x:c>
      <x:c r="M164" s="13" t="n">
        <x:v>0.02164830991264717</x:v>
      </x:c>
      <x:c r="N164" s="13" t="n">
        <x:v>0.0038819875776397515</x:v>
      </x:c>
      <x:c r="O164" s="13" t="n">
        <x:v>0.12764941673903166</x:v>
      </x:c>
      <x:c r="P164" s="13" t="n">
        <x:v>0.24117344354477674</x:v>
      </x:c>
      <x:c r="Q164" s="13" t="n">
        <x:v>2193859.436052631</x:v>
      </x:c>
      <x:c r="R164" s="13" t="n">
        <x:v>1.2937338694679632</x:v>
      </x:c>
      <x:c r="S164" s="13" t="n">
        <x:v>-0.019774606086516856</x:v>
      </x:c>
      <x:c r="T164" s="13" t="n">
        <x:v>38</x:v>
      </x:c>
      <x:c r="U164" s="13" t="n">
        <x:v>1092</x:v>
      </x:c>
      <x:c r="V164" s="13" t="n">
        <x:v>928</x:v>
      </x:c>
      <x:c r="W164" s="13" t="n">
        <x:v>164</x:v>
      </x:c>
      <x:c r="X164" s="13" t="n">
        <x:v>9</x:v>
      </x:c>
      <x:c r="Y164" s="13" t="n">
        <x:v>143533515.20999998</x:v>
      </x:c>
      <x:c r="Z164" s="13" t="n">
        <x:v>150607486.29</x:v>
      </x:c>
      <x:c r="AA164" s="13" t="n">
        <x:v>24</x:v>
      </x:c>
      <x:c r="AB164" s="13" t="n">
        <x:v>0.15018315018315018</x:v>
      </x:c>
      <x:c r="AC164" s="13" t="n">
        <x:v>0.009698275862068966</x:v>
      </x:c>
      <x:c r="AD164" s="13" t="n">
        <x:v>0.5803665106266542</x:v>
      </x:c>
      <x:c r="AE164" s="13" t="n">
        <x:v>0.7419736510629201</x:v>
      </x:c>
      <x:c r="AF164" s="13" t="n">
        <x:v>3879284.1948648645</x:v>
      </x:c>
      <x:c r="AG164" s="13" t="n">
        <x:v>0.91980829743517</x:v>
      </x:c>
      <x:c r="AH164" s="13" t="n">
        <x:v>-0.009298422700702889</x:v>
      </x:c>
      <x:c r="AI164" s="13" t="n">
        <x:v>36</x:v>
      </x:c>
      <x:c r="AJ164" s="13" t="n">
        <x:v>60166856.639999986</x:v>
      </x:c>
      <x:c r="AK164" s="13" t="n">
        <x:v>0.5561287215744554</x:v>
      </x:c>
      <x:c r="AL164" s="13" t="n">
        <x:v>0.05932885906040269</x:v>
      </x:c>
      <x:c r="AM164" s="13" t="n">
        <x:v>0.005422374429223744</x:v>
      </x:c>
      <x:c r="AN164" s="13" t="n">
        <x:v>0.35400796368284293</x:v>
      </x:c>
      <x:c r="AO164" s="13" t="n">
        <x:v>1.1067710834515667</x:v>
      </x:c>
      <x:c r="AP164" s="13" t="n">
        <x:v>-0.014536514393609873</x:v>
      </x:c>
    </x:row>
    <x:row r="165" ht="15" hidden="0" customHeight="1">
      <x:c r="A165" s="2" t="str">
        <x:v>E164</x:v>
      </x:c>
      <x:c r="B165" s="2" t="str">
        <x:v>个体经营E164 </x:v>
      </x:c>
      <x:c r="C165" s="2" t="str">
        <x:v>无信贷记录</x:v>
      </x:c>
      <x:c r="D165" s="2" t="str"/>
      <x:c r="E165" s="2" t="str"/>
      <x:c r="F165" s="13" t="n">
        <x:v>4194</x:v>
      </x:c>
      <x:c r="G165" s="13" t="n">
        <x:v>4099</x:v>
      </x:c>
      <x:c r="H165" s="13" t="n">
        <x:v>95</x:v>
      </x:c>
      <x:c r="I165" s="13" t="n">
        <x:v>37</x:v>
      </x:c>
      <x:c r="J165" s="13" t="n">
        <x:v>75769207.94000001</x:v>
      </x:c>
      <x:c r="K165" s="13" t="n">
        <x:v>79568946.08</x:v>
      </x:c>
      <x:c r="L165" s="13" t="n">
        <x:v>504</x:v>
      </x:c>
      <x:c r="M165" s="13" t="n">
        <x:v>0.022651406771578446</x:v>
      </x:c>
      <x:c r="N165" s="13" t="n">
        <x:v>0.009026591851671139</x:v>
      </x:c>
      <x:c r="O165" s="13" t="n">
        <x:v>0.1998358439170451</x:v>
      </x:c>
      <x:c r="P165" s="13" t="n">
        <x:v>0.43153928940414593</x:v>
      </x:c>
      <x:c r="Q165" s="13" t="n">
        <x:v>2104700.220555556</x:v>
      </x:c>
      <x:c r="R165" s="13" t="n">
        <x:v>1.119851106840487</x:v>
      </x:c>
      <x:c r="S165" s="13" t="n">
        <x:v>0.020103779593114962</x:v>
      </x:c>
      <x:c r="T165" s="13" t="n">
        <x:v>36</x:v>
      </x:c>
      <x:c r="U165" s="13" t="n">
        <x:v>1661</x:v>
      </x:c>
      <x:c r="V165" s="13" t="n">
        <x:v>1453</x:v>
      </x:c>
      <x:c r="W165" s="13" t="n">
        <x:v>208</x:v>
      </x:c>
      <x:c r="X165" s="13" t="n">
        <x:v>21</x:v>
      </x:c>
      <x:c r="Y165" s="13" t="n">
        <x:v>130739232.16</x:v>
      </x:c>
      <x:c r="Z165" s="13" t="n">
        <x:v>134577835.5</x:v>
      </x:c>
      <x:c r="AA165" s="13" t="n">
        <x:v>86</x:v>
      </x:c>
      <x:c r="AB165" s="13" t="n">
        <x:v>0.12522576760987358</x:v>
      </x:c>
      <x:c r="AC165" s="13" t="n">
        <x:v>0.014452856159669649</x:v>
      </x:c>
      <x:c r="AD165" s="13" t="n">
        <x:v>0.04037184904413224</x:v>
      </x:c>
      <x:c r="AE165" s="13" t="n">
        <x:v>0.1092701424819691</x:v>
      </x:c>
      <x:c r="AF165" s="13" t="n">
        <x:v>3631645.3377777776</x:v>
      </x:c>
      <x:c r="AG165" s="13" t="n">
        <x:v>0.7548440779018137</x:v>
      </x:c>
      <x:c r="AH165" s="13" t="n">
        <x:v>0.015689590555148798</x:v>
      </x:c>
      <x:c r="AI165" s="13" t="n">
        <x:v>36</x:v>
      </x:c>
      <x:c r="AJ165" s="13" t="n">
        <x:v>54970024.219999984</x:v>
      </x:c>
      <x:c r="AK165" s="13" t="n">
        <x:v>0.5912485201175642</x:v>
      </x:c>
      <x:c r="AL165" s="13" t="n">
        <x:v>0.05175064047822374</x:v>
      </x:c>
      <x:c r="AM165" s="13" t="n">
        <x:v>0.010446685878962535</x:v>
      </x:c>
      <x:c r="AN165" s="13" t="n">
        <x:v>0.12010384648058867</x:v>
      </x:c>
      <x:c r="AO165" s="13" t="n">
        <x:v>0.9373475923711504</x:v>
      </x:c>
      <x:c r="AP165" s="13" t="n">
        <x:v>0.01789668507413188</x:v>
      </x:c>
    </x:row>
    <x:row r="166" ht="15" hidden="0" customHeight="1">
      <x:c r="A166" s="2" t="str">
        <x:v>E165</x:v>
      </x:c>
      <x:c r="B166" s="2" t="str">
        <x:v>***文化传媒股份有限公司</x:v>
      </x:c>
      <x:c r="C166" s="2" t="str">
        <x:v>无信贷记录</x:v>
      </x:c>
      <x:c r="D166" s="2" t="str"/>
      <x:c r="E166" s="2" t="str"/>
      <x:c r="F166" s="13" t="n">
        <x:v>4325</x:v>
      </x:c>
      <x:c r="G166" s="13" t="n">
        <x:v>4147</x:v>
      </x:c>
      <x:c r="H166" s="13" t="n">
        <x:v>178</x:v>
      </x:c>
      <x:c r="I166" s="13" t="n">
        <x:v>48</x:v>
      </x:c>
      <x:c r="J166" s="13" t="n">
        <x:v>92982086.56</x:v>
      </x:c>
      <x:c r="K166" s="13" t="n">
        <x:v>98914209.75999999</x:v>
      </x:c>
      <x:c r="L166" s="13" t="n">
        <x:v>928</x:v>
      </x:c>
      <x:c r="M166" s="13" t="n">
        <x:v>0.04115606936416185</x:v>
      </x:c>
      <x:c r="N166" s="13" t="n">
        <x:v>0.011574632264287437</x:v>
      </x:c>
      <x:c r="O166" s="13" t="n">
        <x:v>0.07310670401137334</x:v>
      </x:c>
      <x:c r="P166" s="13" t="n">
        <x:v>0.23383095731259876</x:v>
      </x:c>
      <x:c r="Q166" s="13" t="n">
        <x:v>2513029.3664864865</x:v>
      </x:c>
      <x:c r="R166" s="13" t="n">
        <x:v>0.6386162362898339</x:v>
      </x:c>
      <x:c r="S166" s="13" t="n">
        <x:v>-0.01218403058014393</x:v>
      </x:c>
      <x:c r="T166" s="13" t="n">
        <x:v>37</x:v>
      </x:c>
      <x:c r="U166" s="13" t="n">
        <x:v>2606</x:v>
      </x:c>
      <x:c r="V166" s="13" t="n">
        <x:v>2346</x:v>
      </x:c>
      <x:c r="W166" s="13" t="n">
        <x:v>260</x:v>
      </x:c>
      <x:c r="X166" s="13" t="n">
        <x:v>114</x:v>
      </x:c>
      <x:c r="Y166" s="13" t="n">
        <x:v>122519457.39</x:v>
      </x:c>
      <x:c r="Z166" s="13" t="n">
        <x:v>133112020.78999999</x:v>
      </x:c>
      <x:c r="AA166" s="13" t="n">
        <x:v>255</x:v>
      </x:c>
      <x:c r="AB166" s="13" t="n">
        <x:v>0.0997697620874904</x:v>
      </x:c>
      <x:c r="AC166" s="13" t="n">
        <x:v>0.04859335038363171</x:v>
      </x:c>
      <x:c r="AD166" s="13" t="n">
        <x:v>0.03999672645585545</x:v>
      </x:c>
      <x:c r="AE166" s="13" t="n">
        <x:v>0.15100063751349801</x:v>
      </x:c>
      <x:c r="AF166" s="13" t="n">
        <x:v>3311336.6862162165</x:v>
      </x:c>
      <x:c r="AG166" s="13" t="n">
        <x:v>0.49036950234354504</x:v>
      </x:c>
      <x:c r="AH166" s="13" t="n">
        <x:v>-0.00997684408295902</x:v>
      </x:c>
      <x:c r="AI166" s="13" t="n">
        <x:v>37</x:v>
      </x:c>
      <x:c r="AJ166" s="13" t="n">
        <x:v>29537370.83</x:v>
      </x:c>
      <x:c r="AK166" s="13" t="n">
        <x:v>0.7430899867116351</x:v>
      </x:c>
      <x:c r="AL166" s="13" t="n">
        <x:v>0.06319434425046891</x:v>
      </x:c>
      <x:c r="AM166" s="13" t="n">
        <x:v>0.024949946095795473</x:v>
      </x:c>
      <x:c r="AN166" s="13" t="n">
        <x:v>0.056551715233614394</x:v>
      </x:c>
      <x:c r="AO166" s="13" t="n">
        <x:v>0.5644928693166895</x:v>
      </x:c>
      <x:c r="AP166" s="13" t="n">
        <x:v>-0.011080437331551476</x:v>
      </x:c>
    </x:row>
    <x:row r="167" ht="15" hidden="0" customHeight="1">
      <x:c r="A167" s="2" t="str">
        <x:v>E166</x:v>
      </x:c>
      <x:c r="B167" s="2" t="str">
        <x:v>***建筑工程有限公司</x:v>
      </x:c>
      <x:c r="C167" s="2" t="str">
        <x:v>无信贷记录</x:v>
      </x:c>
      <x:c r="D167" s="2" t="str"/>
      <x:c r="E167" s="2" t="str"/>
      <x:c r="F167" s="13" t="n">
        <x:v>171</x:v>
      </x:c>
      <x:c r="G167" s="13" t="n">
        <x:v>168</x:v>
      </x:c>
      <x:c r="H167" s="13" t="n">
        <x:v>3</x:v>
      </x:c>
      <x:c r="I167" s="13" t="n">
        <x:v>0</x:v>
      </x:c>
      <x:c r="J167" s="13" t="n">
        <x:v>3190440.61</x:v>
      </x:c>
      <x:c r="K167" s="13" t="n">
        <x:v>3190440.61</x:v>
      </x:c>
      <x:c r="L167" s="13" t="n">
        <x:v>74</x:v>
      </x:c>
      <x:c r="M167" s="13" t="n">
        <x:v>0.017543859649122806</x:v>
      </x:c>
      <x:c r="N167" s="13" t="n">
        <x:v>0</x:v>
      </x:c>
      <x:c r="O167" s="13" t="n">
        <x:v>0.25006524440031125</x:v>
      </x:c>
      <x:c r="P167" s="13" t="n">
        <x:v>0.47015449693639644</x:v>
      </x:c>
      <x:c r="Q167" s="13" t="n">
        <x:v>86228.12459459458</x:v>
      </x:c>
      <x:c r="R167" s="13" t="n">
        <x:v>3.304946480405695</x:v>
      </x:c>
      <x:c r="S167" s="13" t="n">
        <x:v>0.13648495318039994</x:v>
      </x:c>
      <x:c r="T167" s="13" t="n">
        <x:v>29</x:v>
      </x:c>
      <x:c r="U167" s="13" t="n">
        <x:v>1572</x:v>
      </x:c>
      <x:c r="V167" s="13" t="n">
        <x:v>1397</x:v>
      </x:c>
      <x:c r="W167" s="13" t="n">
        <x:v>175</x:v>
      </x:c>
      <x:c r="X167" s="13" t="n">
        <x:v>258</x:v>
      </x:c>
      <x:c r="Y167" s="13" t="n">
        <x:v>81444081.39</x:v>
      </x:c>
      <x:c r="Z167" s="13" t="n">
        <x:v>131694081.39</x:v>
      </x:c>
      <x:c r="AA167" s="13" t="n">
        <x:v>50</x:v>
      </x:c>
      <x:c r="AB167" s="13" t="n">
        <x:v>0.11132315521628498</x:v>
      </x:c>
      <x:c r="AC167" s="13" t="n">
        <x:v>0.18468146027201146</x:v>
      </x:c>
      <x:c r="AD167" s="13" t="n">
        <x:v>0.5023103919833336</x:v>
      </x:c>
      <x:c r="AE167" s="13" t="n">
        <x:v>0.6989683896833778</x:v>
      </x:c>
      <x:c r="AF167" s="13" t="n">
        <x:v>2201191.388918919</x:v>
      </x:c>
      <x:c r="AG167" s="13" t="n">
        <x:v>1.7919144941313372</x:v>
      </x:c>
      <x:c r="AH167" s="13" t="n">
        <x:v>0.056374071858806975</x:v>
      </x:c>
      <x:c r="AI167" s="13" t="n">
        <x:v>29</x:v>
      </x:c>
      <x:c r="AJ167" s="13" t="n">
        <x:v>78253640.78</x:v>
      </x:c>
      <x:c r="AK167" s="13" t="n">
        <x:v>0.02422615030474909</x:v>
      </x:c>
      <x:c r="AL167" s="13" t="n">
        <x:v>0.102122776821572</x:v>
      </x:c>
      <x:c r="AM167" s="13" t="n">
        <x:v>0.16485623003194888</x:v>
      </x:c>
      <x:c r="AN167" s="13" t="n">
        <x:v>0.37618781819182245</x:v>
      </x:c>
      <x:c r="AO167" s="13" t="n">
        <x:v>2.548430487268516</x:v>
      </x:c>
      <x:c r="AP167" s="13" t="n">
        <x:v>0.09642951251960345</x:v>
      </x:c>
    </x:row>
    <x:row r="168" ht="15" hidden="0" customHeight="1">
      <x:c r="A168" s="2" t="str">
        <x:v>E167</x:v>
      </x:c>
      <x:c r="B168" s="2" t="str">
        <x:v>***体育文化股份有限公司</x:v>
      </x:c>
      <x:c r="C168" s="2" t="str">
        <x:v>无信贷记录</x:v>
      </x:c>
      <x:c r="D168" s="2" t="str"/>
      <x:c r="E168" s="2" t="str"/>
      <x:c r="F168" s="13" t="n">
        <x:v>7298</x:v>
      </x:c>
      <x:c r="G168" s="13" t="n">
        <x:v>7071</x:v>
      </x:c>
      <x:c r="H168" s="13" t="n">
        <x:v>227</x:v>
      </x:c>
      <x:c r="I168" s="13" t="n">
        <x:v>97</x:v>
      </x:c>
      <x:c r="J168" s="13" t="n">
        <x:v>158300709.57999998</x:v>
      </x:c>
      <x:c r="K168" s="13" t="n">
        <x:v>160998816.38</x:v>
      </x:c>
      <x:c r="L168" s="13" t="n">
        <x:v>1101</x:v>
      </x:c>
      <x:c r="M168" s="13" t="n">
        <x:v>0.031104412167717182</x:v>
      </x:c>
      <x:c r="N168" s="13" t="n">
        <x:v>0.013718003111299676</x:v>
      </x:c>
      <x:c r="O168" s="13" t="n">
        <x:v>0.10993148670075634</x:v>
      </x:c>
      <x:c r="P168" s="13" t="n">
        <x:v>0.2632802182219372</x:v>
      </x:c>
      <x:c r="Q168" s="13" t="n">
        <x:v>4278397.556216216</x:v>
      </x:c>
      <x:c r="R168" s="13" t="n">
        <x:v>0.322396851828227</x:v>
      </x:c>
      <x:c r="S168" s="13" t="n">
        <x:v>-0.0030986467662939346</x:v>
      </x:c>
      <x:c r="T168" s="13" t="n">
        <x:v>37</x:v>
      </x:c>
      <x:c r="U168" s="13" t="n">
        <x:v>4979</x:v>
      </x:c>
      <x:c r="V168" s="13" t="n">
        <x:v>4642</x:v>
      </x:c>
      <x:c r="W168" s="13" t="n">
        <x:v>337</x:v>
      </x:c>
      <x:c r="X168" s="13" t="n">
        <x:v>91</x:v>
      </x:c>
      <x:c r="Y168" s="13" t="n">
        <x:v>137839213.28</x:v>
      </x:c>
      <x:c r="Z168" s="13" t="n">
        <x:v>140506873.4</x:v>
      </x:c>
      <x:c r="AA168" s="13" t="n">
        <x:v>2578</x:v>
      </x:c>
      <x:c r="AB168" s="13" t="n">
        <x:v>0.06768427395059248</x:v>
      </x:c>
      <x:c r="AC168" s="13" t="n">
        <x:v>0.01960361912968548</x:v>
      </x:c>
      <x:c r="AD168" s="13" t="n">
        <x:v>0.0774085150763341</x:v>
      </x:c>
      <x:c r="AE168" s="13" t="n">
        <x:v>0.18628828089772295</x:v>
      </x:c>
      <x:c r="AF168" s="13" t="n">
        <x:v>3725384.142702703</x:v>
      </x:c>
      <x:c r="AG168" s="13" t="n">
        <x:v>0.3723669426949848</x:v>
      </x:c>
      <x:c r="AH168" s="13" t="n">
        <x:v>0.004043254928399388</x:v>
      </x:c>
      <x:c r="AI168" s="13" t="n">
        <x:v>37</x:v>
      </x:c>
      <x:c r="AJ168" s="13" t="n">
        <x:v>-20461496.299999982</x:v>
      </x:c>
      <x:c r="AK168" s="13" t="n">
        <x:v>1.1458429931869796</x:v>
      </x:c>
      <x:c r="AL168" s="13" t="n">
        <x:v>0.04593956178219435</x:v>
      </x:c>
      <x:c r="AM168" s="13" t="n">
        <x:v>0.0160505421326731</x:v>
      </x:c>
      <x:c r="AN168" s="13" t="n">
        <x:v>0.09367000088854521</x:v>
      </x:c>
      <x:c r="AO168" s="13" t="n">
        <x:v>0.34738189726160595</x:v>
      </x:c>
      <x:c r="AP168" s="13" t="n">
        <x:v>0.0004723040810527268</x:v>
      </x:c>
    </x:row>
    <x:row r="169" ht="15" hidden="0" customHeight="1">
      <x:c r="A169" s="2" t="str">
        <x:v>E168</x:v>
      </x:c>
      <x:c r="B169" s="2" t="str">
        <x:v>***建材有限公司</x:v>
      </x:c>
      <x:c r="C169" s="2" t="str">
        <x:v>无信贷记录</x:v>
      </x:c>
      <x:c r="D169" s="2" t="str"/>
      <x:c r="E169" s="2" t="str"/>
      <x:c r="F169" s="13" t="n">
        <x:v>461</x:v>
      </x:c>
      <x:c r="G169" s="13" t="n">
        <x:v>461</x:v>
      </x:c>
      <x:c r="H169" s="13" t="n">
        <x:v>0</x:v>
      </x:c>
      <x:c r="I169" s="13" t="n">
        <x:v>0</x:v>
      </x:c>
      <x:c r="J169" s="13" t="n">
        <x:v>1481109.26</x:v>
      </x:c>
      <x:c r="K169" s="13" t="n">
        <x:v>1481109.26</x:v>
      </x:c>
      <x:c r="L169" s="13" t="n">
        <x:v>8</x:v>
      </x:c>
      <x:c r="M169" s="13" t="n">
        <x:v>0</x:v>
      </x:c>
      <x:c r="N169" s="13" t="n">
        <x:v>0</x:v>
      </x:c>
      <x:c r="O169" s="13" t="n">
        <x:v>0.4968425109004489</x:v>
      </x:c>
      <x:c r="P169" s="13" t="n">
        <x:v>0.5806912448849317</x:v>
      </x:c>
      <x:c r="Q169" s="13" t="n">
        <x:v>59244.3704</x:v>
      </x:c>
      <x:c r="R169" s="13" t="n">
        <x:v>1.7859978996995514</x:v>
      </x:c>
      <x:c r="S169" s="13" t="n">
        <x:v>0.1441334857258348</x:v>
      </x:c>
      <x:c r="T169" s="13" t="n">
        <x:v>11</x:v>
      </x:c>
      <x:c r="U169" s="13" t="n">
        <x:v>415</x:v>
      </x:c>
      <x:c r="V169" s="13" t="n">
        <x:v>399</x:v>
      </x:c>
      <x:c r="W169" s="13" t="n">
        <x:v>16</x:v>
      </x:c>
      <x:c r="X169" s="13" t="n">
        <x:v>0</x:v>
      </x:c>
      <x:c r="Y169" s="13" t="n">
        <x:v>92949996.96000001</x:v>
      </x:c>
      <x:c r="Z169" s="13" t="n">
        <x:v>92949996.96000001</x:v>
      </x:c>
      <x:c r="AA169" s="13" t="n">
        <x:v>12</x:v>
      </x:c>
      <x:c r="AB169" s="13" t="n">
        <x:v>0.03855421686746988</x:v>
      </x:c>
      <x:c r="AC169" s="13" t="n">
        <x:v>0</x:v>
      </x:c>
      <x:c r="AD169" s="13" t="n">
        <x:v>0.41055590521870805</x:v>
      </x:c>
      <x:c r="AE169" s="13" t="n">
        <x:v>0.5900339813201001</x:v>
      </x:c>
      <x:c r="AF169" s="13" t="n">
        <x:v>2816666.5745454542</x:v>
      </x:c>
      <x:c r="AG169" s="13" t="n">
        <x:v>0.8190216966930121</x:v>
      </x:c>
      <x:c r="AH169" s="13" t="n">
        <x:v>0.03392349974293038</x:v>
      </x:c>
      <x:c r="AI169" s="13" t="n">
        <x:v>29</x:v>
      </x:c>
      <x:c r="AJ169" s="13" t="n">
        <x:v>91468887.7</x:v>
      </x:c>
      <x:c r="AK169" s="13" t="n">
        <x:v>0.01593447346359117</x:v>
      </x:c>
      <x:c r="AL169" s="13" t="n">
        <x:v>0.0182648401826484</x:v>
      </x:c>
      <x:c r="AM169" s="13" t="n">
        <x:v>0</x:v>
      </x:c>
      <x:c r="AN169" s="13" t="n">
        <x:v>0.4536992080595785</x:v>
      </x:c>
      <x:c r="AO169" s="13" t="n">
        <x:v>1.3025097981962817</x:v>
      </x:c>
      <x:c r="AP169" s="13" t="n">
        <x:v>0.08902849273438258</x:v>
      </x:c>
    </x:row>
    <x:row r="170" ht="15" hidden="0" customHeight="1">
      <x:c r="A170" s="2" t="str">
        <x:v>E169</x:v>
      </x:c>
      <x:c r="B170" s="2" t="str">
        <x:v>***建筑设计有限公司</x:v>
      </x:c>
      <x:c r="C170" s="2" t="str">
        <x:v>无信贷记录</x:v>
      </x:c>
      <x:c r="D170" s="2" t="str"/>
      <x:c r="E170" s="2" t="str"/>
      <x:c r="F170" s="13" t="n">
        <x:v>6036</x:v>
      </x:c>
      <x:c r="G170" s="13" t="n">
        <x:v>5811</x:v>
      </x:c>
      <x:c r="H170" s="13" t="n">
        <x:v>225</x:v>
      </x:c>
      <x:c r="I170" s="13" t="n">
        <x:v>28</x:v>
      </x:c>
      <x:c r="J170" s="13" t="n">
        <x:v>79325640.35</x:v>
      </x:c>
      <x:c r="K170" s="13" t="n">
        <x:v>79767561.11</x:v>
      </x:c>
      <x:c r="L170" s="13" t="n">
        <x:v>1023</x:v>
      </x:c>
      <x:c r="M170" s="13" t="n">
        <x:v>0.037276341948310136</x:v>
      </x:c>
      <x:c r="N170" s="13" t="n">
        <x:v>0.004818447771467906</x:v>
      </x:c>
      <x:c r="O170" s="13" t="n">
        <x:v>0.036099019589291306</x:v>
      </x:c>
      <x:c r="P170" s="13" t="n">
        <x:v>0.09530277589303118</x:v>
      </x:c>
      <x:c r="Q170" s="13" t="n">
        <x:v>2143936.2256756756</x:v>
      </x:c>
      <x:c r="R170" s="13" t="n">
        <x:v>1.4744844406056627</x:v>
      </x:c>
      <x:c r="S170" s="13" t="n">
        <x:v>0.07765200044694348</x:v>
      </x:c>
      <x:c r="T170" s="13" t="n">
        <x:v>37</x:v>
      </x:c>
      <x:c r="U170" s="13" t="n">
        <x:v>1490</x:v>
      </x:c>
      <x:c r="V170" s="13" t="n">
        <x:v>1410</x:v>
      </x:c>
      <x:c r="W170" s="13" t="n">
        <x:v>80</x:v>
      </x:c>
      <x:c r="X170" s="13" t="n">
        <x:v>30</x:v>
      </x:c>
      <x:c r="Y170" s="13" t="n">
        <x:v>122056560.78</x:v>
      </x:c>
      <x:c r="Z170" s="13" t="n">
        <x:v>126772132.53999999</x:v>
      </x:c>
      <x:c r="AA170" s="13" t="n">
        <x:v>175</x:v>
      </x:c>
      <x:c r="AB170" s="13" t="n">
        <x:v>0.053691275167785234</x:v>
      </x:c>
      <x:c r="AC170" s="13" t="n">
        <x:v>0.02127659574468085</x:v>
      </x:c>
      <x:c r="AD170" s="13" t="n">
        <x:v>0.0441498371341744</x:v>
      </x:c>
      <x:c r="AE170" s="13" t="n">
        <x:v>0.11368567910974103</x:v>
      </x:c>
      <x:c r="AF170" s="13" t="n">
        <x:v>3298825.9670270267</x:v>
      </x:c>
      <x:c r="AG170" s="13" t="n">
        <x:v>0.8593135174375609</x:v>
      </x:c>
      <x:c r="AH170" s="13" t="n">
        <x:v>0.04610658272302687</x:v>
      </x:c>
      <x:c r="AI170" s="13" t="n">
        <x:v>37</x:v>
      </x:c>
      <x:c r="AJ170" s="13" t="n">
        <x:v>42730920.43000001</x:v>
      </x:c>
      <x:c r="AK170" s="13" t="n">
        <x:v>0.6292199989996319</x:v>
      </x:c>
      <x:c r="AL170" s="13" t="n">
        <x:v>0.04052617592346532</x:v>
      </x:c>
      <x:c r="AM170" s="13" t="n">
        <x:v>0.008032128514056224</x:v>
      </x:c>
      <x:c r="AN170" s="13" t="n">
        <x:v>0.040124428361732856</x:v>
      </x:c>
      <x:c r="AO170" s="13" t="n">
        <x:v>1.1668989790216118</x:v>
      </x:c>
      <x:c r="AP170" s="13" t="n">
        <x:v>0.061879291584985174</x:v>
      </x:c>
    </x:row>
    <x:row r="171" ht="15" hidden="0" customHeight="1">
      <x:c r="A171" s="2" t="str">
        <x:v>E170</x:v>
      </x:c>
      <x:c r="B171" s="2" t="str">
        <x:v>***建筑劳务有限公司</x:v>
      </x:c>
      <x:c r="C171" s="2" t="str">
        <x:v>无信贷记录</x:v>
      </x:c>
      <x:c r="D171" s="2" t="str"/>
      <x:c r="E171" s="2" t="str"/>
      <x:c r="F171" s="13" t="n">
        <x:v>1330</x:v>
      </x:c>
      <x:c r="G171" s="13" t="n">
        <x:v>1247</x:v>
      </x:c>
      <x:c r="H171" s="13" t="n">
        <x:v>83</x:v>
      </x:c>
      <x:c r="I171" s="13" t="n">
        <x:v>55</x:v>
      </x:c>
      <x:c r="J171" s="13" t="n">
        <x:v>33888320.12</x:v>
      </x:c>
      <x:c r="K171" s="13" t="n">
        <x:v>35757483.839999996</x:v>
      </x:c>
      <x:c r="L171" s="13" t="n">
        <x:v>234</x:v>
      </x:c>
      <x:c r="M171" s="13" t="n">
        <x:v>0.062406015037593986</x:v>
      </x:c>
      <x:c r="N171" s="13" t="n">
        <x:v>0.044105854049719326</x:v>
      </x:c>
      <x:c r="O171" s="13" t="n">
        <x:v>0.0944525484736342</x:v>
      </x:c>
      <x:c r="P171" s="13" t="n">
        <x:v>0.24702253154958004</x:v>
      </x:c>
      <x:c r="Q171" s="13" t="n">
        <x:v>915900.5437837837</x:v>
      </x:c>
      <x:c r="R171" s="13" t="n">
        <x:v>1.2752316519058433</x:v>
      </x:c>
      <x:c r="S171" s="13" t="n">
        <x:v>0.06688729041573312</x:v>
      </x:c>
      <x:c r="T171" s="13" t="n">
        <x:v>34</x:v>
      </x:c>
      <x:c r="U171" s="13" t="n">
        <x:v>796</x:v>
      </x:c>
      <x:c r="V171" s="13" t="n">
        <x:v>786</x:v>
      </x:c>
      <x:c r="W171" s="13" t="n">
        <x:v>10</x:v>
      </x:c>
      <x:c r="X171" s="13" t="n">
        <x:v>15</x:v>
      </x:c>
      <x:c r="Y171" s="13" t="n">
        <x:v>77865595.4</x:v>
      </x:c>
      <x:c r="Z171" s="13" t="n">
        <x:v>80955565.4</x:v>
      </x:c>
      <x:c r="AA171" s="13" t="n">
        <x:v>11</x:v>
      </x:c>
      <x:c r="AB171" s="13" t="n">
        <x:v>0.01256281407035176</x:v>
      </x:c>
      <x:c r="AC171" s="13" t="n">
        <x:v>0.019083969465648856</x:v>
      </x:c>
      <x:c r="AD171" s="13" t="n">
        <x:v>0.1738676172172227</x:v>
      </x:c>
      <x:c r="AE171" s="13" t="n">
        <x:v>0.28534530042328626</x:v>
      </x:c>
      <x:c r="AF171" s="13" t="n">
        <x:v>2104475.5513513517</x:v>
      </x:c>
      <x:c r="AG171" s="13" t="n">
        <x:v>1.048465188131838</x:v>
      </x:c>
      <x:c r="AH171" s="13" t="n">
        <x:v>0.04086342228178261</x:v>
      </x:c>
      <x:c r="AI171" s="13" t="n">
        <x:v>27</x:v>
      </x:c>
      <x:c r="AJ171" s="13" t="n">
        <x:v>43977275.28000001</x:v>
      </x:c>
      <x:c r="AK171" s="13" t="n">
        <x:v>0.44169271949770106</x:v>
      </x:c>
      <x:c r="AL171" s="13" t="n">
        <x:v>0.04374412041392286</x:v>
      </x:c>
      <x:c r="AM171" s="13" t="n">
        <x:v>0.03443187407771766</x:v>
      </x:c>
      <x:c r="AN171" s="13" t="n">
        <x:v>0.13416008284542844</x:v>
      </x:c>
      <x:c r="AO171" s="13" t="n">
        <x:v>1.1618484200188406</x:v>
      </x:c>
      <x:c r="AP171" s="13" t="n">
        <x:v>0.05387535634875786</x:v>
      </x:c>
    </x:row>
    <x:row r="172" ht="15" hidden="0" customHeight="1">
      <x:c r="A172" s="2" t="str">
        <x:v>E171</x:v>
      </x:c>
      <x:c r="B172" s="2" t="str">
        <x:v>***质量检验测试站</x:v>
      </x:c>
      <x:c r="C172" s="2" t="str">
        <x:v>无信贷记录</x:v>
      </x:c>
      <x:c r="D172" s="2" t="str"/>
      <x:c r="E172" s="2" t="str"/>
      <x:c r="F172" s="13" t="n">
        <x:v>1923</x:v>
      </x:c>
      <x:c r="G172" s="13" t="n">
        <x:v>1823</x:v>
      </x:c>
      <x:c r="H172" s="13" t="n">
        <x:v>100</x:v>
      </x:c>
      <x:c r="I172" s="13" t="n">
        <x:v>8</x:v>
      </x:c>
      <x:c r="J172" s="13" t="n">
        <x:v>46739413.12</x:v>
      </x:c>
      <x:c r="K172" s="13" t="n">
        <x:v>46747377.099999994</x:v>
      </x:c>
      <x:c r="L172" s="13" t="n">
        <x:v>327</x:v>
      </x:c>
      <x:c r="M172" s="13" t="n">
        <x:v>0.052002080083203325</x:v>
      </x:c>
      <x:c r="N172" s="13" t="n">
        <x:v>0.004388370817334065</x:v>
      </x:c>
      <x:c r="O172" s="13" t="n">
        <x:v>0.10897741751259313</x:v>
      </x:c>
      <x:c r="P172" s="13" t="n">
        <x:v>0.2449733788379755</x:v>
      </x:c>
      <x:c r="Q172" s="13" t="n">
        <x:v>1229984.5557894737</x:v>
      </x:c>
      <x:c r="R172" s="13" t="n">
        <x:v>1.1188661207359558</x:v>
      </x:c>
      <x:c r="S172" s="13" t="n">
        <x:v>0.04316951101240288</x:v>
      </x:c>
      <x:c r="T172" s="13" t="n">
        <x:v>38</x:v>
      </x:c>
      <x:c r="U172" s="13" t="n">
        <x:v>7508</x:v>
      </x:c>
      <x:c r="V172" s="13" t="n">
        <x:v>7013</x:v>
      </x:c>
      <x:c r="W172" s="13" t="n">
        <x:v>495</x:v>
      </x:c>
      <x:c r="X172" s="13" t="n">
        <x:v>113</x:v>
      </x:c>
      <x:c r="Y172" s="13" t="n">
        <x:v>110673827.13999999</x:v>
      </x:c>
      <x:c r="Z172" s="13" t="n">
        <x:v>114819963.13999999</x:v>
      </x:c>
      <x:c r="AA172" s="13" t="n">
        <x:v>1458</x:v>
      </x:c>
      <x:c r="AB172" s="13" t="n">
        <x:v>0.06592967501331913</x:v>
      </x:c>
      <x:c r="AC172" s="13" t="n">
        <x:v>0.01611293312419792</x:v>
      </x:c>
      <x:c r="AD172" s="13" t="n">
        <x:v>0.018242714462108938</x:v>
      </x:c>
      <x:c r="AE172" s="13" t="n">
        <x:v>0.0726459702815752</x:v>
      </x:c>
      <x:c r="AF172" s="13" t="n">
        <x:v>2991184.517297297</x:v>
      </x:c>
      <x:c r="AG172" s="13" t="n">
        <x:v>0.6730159189429581</x:v>
      </x:c>
      <x:c r="AH172" s="13" t="n">
        <x:v>0.023419852897553554</x:v>
      </x:c>
      <x:c r="AI172" s="13" t="n">
        <x:v>37</x:v>
      </x:c>
      <x:c r="AJ172" s="13" t="n">
        <x:v>63934414.01999999</x:v>
      </x:c>
      <x:c r="AK172" s="13" t="n">
        <x:v>0.4071363186469666</x:v>
      </x:c>
      <x:c r="AL172" s="13" t="n">
        <x:v>0.06308981020040293</x:v>
      </x:c>
      <x:c r="AM172" s="13" t="n">
        <x:v>0.013693979176097782</x:v>
      </x:c>
      <x:c r="AN172" s="13" t="n">
        <x:v>0.06361006598735103</x:v>
      </x:c>
      <x:c r="AO172" s="13" t="n">
        <x:v>0.895941019839457</x:v>
      </x:c>
      <x:c r="AP172" s="13" t="n">
        <x:v>0.033294681954978214</x:v>
      </x:c>
    </x:row>
    <x:row r="173" ht="15" hidden="0" customHeight="1">
      <x:c r="A173" s="2" t="str">
        <x:v>E172</x:v>
      </x:c>
      <x:c r="B173" s="2" t="str">
        <x:v>***物流有限公司</x:v>
      </x:c>
      <x:c r="C173" s="2" t="str">
        <x:v>无信贷记录</x:v>
      </x:c>
      <x:c r="D173" s="2" t="str"/>
      <x:c r="E173" s="2" t="str"/>
      <x:c r="F173" s="13" t="n">
        <x:v>471</x:v>
      </x:c>
      <x:c r="G173" s="13" t="n">
        <x:v>464</x:v>
      </x:c>
      <x:c r="H173" s="13" t="n">
        <x:v>7</x:v>
      </x:c>
      <x:c r="I173" s="13" t="n">
        <x:v>5</x:v>
      </x:c>
      <x:c r="J173" s="13" t="n">
        <x:v>46505729.769999996</x:v>
      </x:c>
      <x:c r="K173" s="13" t="n">
        <x:v>46589329.769999996</x:v>
      </x:c>
      <x:c r="L173" s="13" t="n">
        <x:v>53</x:v>
      </x:c>
      <x:c r="M173" s="13" t="n">
        <x:v>0.014861995753715499</x:v>
      </x:c>
      <x:c r="N173" s="13" t="n">
        <x:v>0.010775862068965518</x:v>
      </x:c>
      <x:c r="O173" s="13" t="n">
        <x:v>0.1164884339497337</x:v>
      </x:c>
      <x:c r="P173" s="13" t="n">
        <x:v>0.19929600695777513</x:v>
      </x:c>
      <x:c r="Q173" s="13" t="n">
        <x:v>1256911.6154054052</x:v>
      </x:c>
      <x:c r="R173" s="13" t="n">
        <x:v>0.9525788954323345</x:v>
      </x:c>
      <x:c r="S173" s="13" t="n">
        <x:v>0.07241955737135905</x:v>
      </x:c>
      <x:c r="T173" s="13" t="n">
        <x:v>37</x:v>
      </x:c>
      <x:c r="U173" s="13" t="n">
        <x:v>1273</x:v>
      </x:c>
      <x:c r="V173" s="13" t="n">
        <x:v>1171</x:v>
      </x:c>
      <x:c r="W173" s="13" t="n">
        <x:v>102</x:v>
      </x:c>
      <x:c r="X173" s="13" t="n">
        <x:v>0</x:v>
      </x:c>
      <x:c r="Y173" s="13" t="n">
        <x:v>81777712.66</x:v>
      </x:c>
      <x:c r="Z173" s="13" t="n">
        <x:v>81777712.66</x:v>
      </x:c>
      <x:c r="AA173" s="13" t="n">
        <x:v>98</x:v>
      </x:c>
      <x:c r="AB173" s="13" t="n">
        <x:v>0.08012568735271014</x:v>
      </x:c>
      <x:c r="AC173" s="13" t="n">
        <x:v>0</x:v>
      </x:c>
      <x:c r="AD173" s="13" t="n">
        <x:v>0.11921282573498669</x:v>
      </x:c>
      <x:c r="AE173" s="13" t="n">
        <x:v>0.2176409373785975</x:v>
      </x:c>
      <x:c r="AF173" s="13" t="n">
        <x:v>2210208.4502702705</x:v>
      </x:c>
      <x:c r="AG173" s="13" t="n">
        <x:v>0.9143899817036247</x:v>
      </x:c>
      <x:c r="AH173" s="13" t="n">
        <x:v>0.06718431626514351</x:v>
      </x:c>
      <x:c r="AI173" s="13" t="n">
        <x:v>37</x:v>
      </x:c>
      <x:c r="AJ173" s="13" t="n">
        <x:v>35271982.89</x:v>
      </x:c>
      <x:c r="AK173" s="13" t="n">
        <x:v>0.5697069318103865</x:v>
      </x:c>
      <x:c r="AL173" s="13" t="n">
        <x:v>0.0625</x:v>
      </x:c>
      <x:c r="AM173" s="13" t="n">
        <x:v>0.0030581039755351682</x:v>
      </x:c>
      <x:c r="AN173" s="13" t="n">
        <x:v>0.1178506298423602</x:v>
      </x:c>
      <x:c r="AO173" s="13" t="n">
        <x:v>0.9334844385679797</x:v>
      </x:c>
      <x:c r="AP173" s="13" t="n">
        <x:v>0.06980193681825128</x:v>
      </x:c>
    </x:row>
    <x:row r="174" ht="15" hidden="0" customHeight="1">
      <x:c r="A174" s="2" t="str">
        <x:v>E173</x:v>
      </x:c>
      <x:c r="B174" s="2" t="str">
        <x:v>***贸易有限责任公司</x:v>
      </x:c>
      <x:c r="C174" s="2" t="str">
        <x:v>无信贷记录</x:v>
      </x:c>
      <x:c r="D174" s="2" t="str"/>
      <x:c r="E174" s="2" t="str"/>
      <x:c r="F174" s="13" t="n">
        <x:v>1350</x:v>
      </x:c>
      <x:c r="G174" s="13" t="n">
        <x:v>1314</x:v>
      </x:c>
      <x:c r="H174" s="13" t="n">
        <x:v>36</x:v>
      </x:c>
      <x:c r="I174" s="13" t="n">
        <x:v>6</x:v>
      </x:c>
      <x:c r="J174" s="13" t="n">
        <x:v>122539845.94</x:v>
      </x:c>
      <x:c r="K174" s="13" t="n">
        <x:v>122670211.97999999</x:v>
      </x:c>
      <x:c r="L174" s="13" t="n">
        <x:v>204</x:v>
      </x:c>
      <x:c r="M174" s="13" t="n">
        <x:v>0.02666666666666667</x:v>
      </x:c>
      <x:c r="N174" s="13" t="n">
        <x:v>0.0045662100456621</x:v>
      </x:c>
      <x:c r="O174" s="13" t="n">
        <x:v>0.24714850268012112</x:v>
      </x:c>
      <x:c r="P174" s="13" t="n">
        <x:v>0.4767829871324887</x:v>
      </x:c>
      <x:c r="Q174" s="13" t="n">
        <x:v>3311887.7281081085</x:v>
      </x:c>
      <x:c r="R174" s="13" t="n">
        <x:v>0.5192467056573751</x:v>
      </x:c>
      <x:c r="S174" s="13" t="n">
        <x:v>0.00835063708240653</x:v>
      </x:c>
      <x:c r="T174" s="13" t="n">
        <x:v>37</x:v>
      </x:c>
      <x:c r="U174" s="13" t="n">
        <x:v>2501</x:v>
      </x:c>
      <x:c r="V174" s="13" t="n">
        <x:v>2370</x:v>
      </x:c>
      <x:c r="W174" s="13" t="n">
        <x:v>131</x:v>
      </x:c>
      <x:c r="X174" s="13" t="n">
        <x:v>31</x:v>
      </x:c>
      <x:c r="Y174" s="13" t="n">
        <x:v>123727133.5</x:v>
      </x:c>
      <x:c r="Z174" s="13" t="n">
        <x:v>126715043.66</x:v>
      </x:c>
      <x:c r="AA174" s="13" t="n">
        <x:v>350</x:v>
      </x:c>
      <x:c r="AB174" s="13" t="n">
        <x:v>0.05237904838064774</x:v>
      </x:c>
      <x:c r="AC174" s="13" t="n">
        <x:v>0.013080168776371307</x:v>
      </x:c>
      <x:c r="AD174" s="13" t="n">
        <x:v>0.03668577925490788</x:v>
      </x:c>
      <x:c r="AE174" s="13" t="n">
        <x:v>0.09771973044672351</x:v>
      </x:c>
      <x:c r="AF174" s="13" t="n">
        <x:v>3343976.5810810816</x:v>
      </x:c>
      <x:c r="AG174" s="13" t="n">
        <x:v>0.32794384942235894</x:v>
      </x:c>
      <x:c r="AH174" s="13" t="n">
        <x:v>0.0029365079215350953</x:v>
      </x:c>
      <x:c r="AI174" s="13" t="n">
        <x:v>37</x:v>
      </x:c>
      <x:c r="AJ174" s="13" t="n">
        <x:v>1187287.5600000024</x:v>
      </x:c>
      <x:c r="AK174" s="13" t="n">
        <x:v>0.9680793095817964</x:v>
      </x:c>
      <x:c r="AL174" s="13" t="n">
        <x:v>0.04336535964684497</x:v>
      </x:c>
      <x:c r="AM174" s="13" t="n">
        <x:v>0.01004343105320304</x:v>
      </x:c>
      <x:c r="AN174" s="13" t="n">
        <x:v>0.1419171409675145</x:v>
      </x:c>
      <x:c r="AO174" s="13" t="n">
        <x:v>0.42359527753986703</x:v>
      </x:c>
      <x:c r="AP174" s="13" t="n">
        <x:v>0.005643572501970813</x:v>
      </x:c>
    </x:row>
    <x:row r="175" ht="15" hidden="0" customHeight="1">
      <x:c r="A175" s="2" t="str">
        <x:v>E174</x:v>
      </x:c>
      <x:c r="B175" s="2" t="str">
        <x:v>***工程技术有限公司</x:v>
      </x:c>
      <x:c r="C175" s="2" t="str">
        <x:v>无信贷记录</x:v>
      </x:c>
      <x:c r="D175" s="2" t="str"/>
      <x:c r="E175" s="2" t="str"/>
      <x:c r="F175" s="13" t="n">
        <x:v>2399</x:v>
      </x:c>
      <x:c r="G175" s="13" t="n">
        <x:v>2319</x:v>
      </x:c>
      <x:c r="H175" s="13" t="n">
        <x:v>80</x:v>
      </x:c>
      <x:c r="I175" s="13" t="n">
        <x:v>6</x:v>
      </x:c>
      <x:c r="J175" s="13" t="n">
        <x:v>86874940.41</x:v>
      </x:c>
      <x:c r="K175" s="13" t="n">
        <x:v>88156791.36999999</x:v>
      </x:c>
      <x:c r="L175" s="13" t="n">
        <x:v>435</x:v>
      </x:c>
      <x:c r="M175" s="13" t="n">
        <x:v>0.03334722801167153</x:v>
      </x:c>
      <x:c r="N175" s="13" t="n">
        <x:v>0.00258732212160414</x:v>
      </x:c>
      <x:c r="O175" s="13" t="n">
        <x:v>0.2429057086674751</x:v>
      </x:c>
      <x:c r="P175" s="13" t="n">
        <x:v>0.40189818605463606</x:v>
      </x:c>
      <x:c r="Q175" s="13" t="n">
        <x:v>2555145.3061764706</x:v>
      </x:c>
      <x:c r="R175" s="13" t="n">
        <x:v>0.724731770226996</x:v>
      </x:c>
      <x:c r="S175" s="13" t="n">
        <x:v>0.023904179112495934</x:v>
      </x:c>
      <x:c r="T175" s="13" t="n">
        <x:v>34</x:v>
      </x:c>
      <x:c r="U175" s="13" t="n">
        <x:v>1249</x:v>
      </x:c>
      <x:c r="V175" s="13" t="n">
        <x:v>1148</x:v>
      </x:c>
      <x:c r="W175" s="13" t="n">
        <x:v>101</x:v>
      </x:c>
      <x:c r="X175" s="13" t="n">
        <x:v>5</x:v>
      </x:c>
      <x:c r="Y175" s="13" t="n">
        <x:v>105235706.94999999</x:v>
      </x:c>
      <x:c r="Z175" s="13" t="n">
        <x:v>106012893.55000001</x:v>
      </x:c>
      <x:c r="AA175" s="13" t="n">
        <x:v>85</x:v>
      </x:c>
      <x:c r="AB175" s="13" t="n">
        <x:v>0.08086469175340272</x:v>
      </x:c>
      <x:c r="AC175" s="13" t="n">
        <x:v>0.004355400696864111</x:v>
      </x:c>
      <x:c r="AD175" s="13" t="n">
        <x:v>0.049313384029480836</x:v>
      </x:c>
      <x:c r="AE175" s="13" t="n">
        <x:v>0.12913268784181772</x:v>
      </x:c>
      <x:c r="AF175" s="13" t="n">
        <x:v>3188960.816666667</x:v>
      </x:c>
      <x:c r="AG175" s="13" t="n">
        <x:v>0.6845763075930709</x:v>
      </x:c>
      <x:c r="AH175" s="13" t="n">
        <x:v>0.016781385800778217</x:v>
      </x:c>
      <x:c r="AI175" s="13" t="n">
        <x:v>33</x:v>
      </x:c>
      <x:c r="AJ175" s="13" t="n">
        <x:v>18360766.53999999</x:v>
      </x:c>
      <x:c r="AK175" s="13" t="n">
        <x:v>0.831566693615637</x:v>
      </x:c>
      <x:c r="AL175" s="13" t="n">
        <x:v>0.04961622807017544</x:v>
      </x:c>
      <x:c r="AM175" s="13" t="n">
        <x:v>0.0031727718488606866</x:v>
      </x:c>
      <x:c r="AN175" s="13" t="n">
        <x:v>0.14610954634847798</x:v>
      </x:c>
      <x:c r="AO175" s="13" t="n">
        <x:v>0.7046540389100334</x:v>
      </x:c>
      <x:c r="AP175" s="13" t="n">
        <x:v>0.020342782456637076</x:v>
      </x:c>
    </x:row>
    <x:row r="176" ht="15" hidden="0" customHeight="1">
      <x:c r="A176" s="2" t="str">
        <x:v>E175</x:v>
      </x:c>
      <x:c r="B176" s="2" t="str">
        <x:v>***食品集团有限公司</x:v>
      </x:c>
      <x:c r="C176" s="2" t="str">
        <x:v>无信贷记录</x:v>
      </x:c>
      <x:c r="D176" s="2" t="str"/>
      <x:c r="E176" s="2" t="str"/>
      <x:c r="F176" s="13" t="n">
        <x:v>4092</x:v>
      </x:c>
      <x:c r="G176" s="13" t="n">
        <x:v>3930</x:v>
      </x:c>
      <x:c r="H176" s="13" t="n">
        <x:v>162</x:v>
      </x:c>
      <x:c r="I176" s="13" t="n">
        <x:v>67</x:v>
      </x:c>
      <x:c r="J176" s="13" t="n">
        <x:v>89119087.08000001</x:v>
      </x:c>
      <x:c r="K176" s="13" t="n">
        <x:v>96006357.72</x:v>
      </x:c>
      <x:c r="L176" s="13" t="n">
        <x:v>606</x:v>
      </x:c>
      <x:c r="M176" s="13" t="n">
        <x:v>0.039589442815249266</x:v>
      </x:c>
      <x:c r="N176" s="13" t="n">
        <x:v>0.017048346055979643</x:v>
      </x:c>
      <x:c r="O176" s="13" t="n">
        <x:v>0.44478326341647656</x:v>
      </x:c>
      <x:c r="P176" s="13" t="n">
        <x:v>0.6376410412166608</x:v>
      </x:c>
      <x:c r="Q176" s="13" t="n">
        <x:v>2345239.1336842105</x:v>
      </x:c>
      <x:c r="R176" s="13" t="n">
        <x:v>1.3076513401386267</x:v>
      </x:c>
      <x:c r="S176" s="13" t="n">
        <x:v>0.01387819915306698</x:v>
      </x:c>
      <x:c r="T176" s="13" t="n">
        <x:v>38</x:v>
      </x:c>
      <x:c r="U176" s="13" t="n">
        <x:v>4085</x:v>
      </x:c>
      <x:c r="V176" s="13" t="n">
        <x:v>3771</x:v>
      </x:c>
      <x:c r="W176" s="13" t="n">
        <x:v>314</x:v>
      </x:c>
      <x:c r="X176" s="13" t="n">
        <x:v>66</x:v>
      </x:c>
      <x:c r="Y176" s="13" t="n">
        <x:v>85140642.45</x:v>
      </x:c>
      <x:c r="Z176" s="13" t="n">
        <x:v>88538017.77000001</x:v>
      </x:c>
      <x:c r="AA176" s="13" t="n">
        <x:v>1827</x:v>
      </x:c>
      <x:c r="AB176" s="13" t="n">
        <x:v>0.07686658506731946</x:v>
      </x:c>
      <x:c r="AC176" s="13" t="n">
        <x:v>0.017501988862370723</x:v>
      </x:c>
      <x:c r="AD176" s="13" t="n">
        <x:v>0.03427586111979447</x:v>
      </x:c>
      <x:c r="AE176" s="13" t="n">
        <x:v>0.12162958389214004</x:v>
      </x:c>
      <x:c r="AF176" s="13" t="n">
        <x:v>2365017.845833333</x:v>
      </x:c>
      <x:c r="AG176" s="13" t="n">
        <x:v>1.4649382916529867</x:v>
      </x:c>
      <x:c r="AH176" s="13" t="n">
        <x:v>0.03554724409473003</x:v>
      </x:c>
      <x:c r="AI176" s="13" t="n">
        <x:v>30</x:v>
      </x:c>
      <x:c r="AJ176" s="13" t="n">
        <x:v>-3978444.63000001</x:v>
      </x:c>
      <x:c r="AK176" s="13" t="n">
        <x:v>1.0843517862507481</x:v>
      </x:c>
      <x:c r="AL176" s="13" t="n">
        <x:v>0.058212058212058215</x:v>
      </x:c>
      <x:c r="AM176" s="13" t="n">
        <x:v>0.01727048435268147</x:v>
      </x:c>
      <x:c r="AN176" s="13" t="n">
        <x:v>0.23952956226813552</x:v>
      </x:c>
      <x:c r="AO176" s="13" t="n">
        <x:v>1.3862948158958068</x:v>
      </x:c>
      <x:c r="AP176" s="13" t="n">
        <x:v>0.024712721623898502</x:v>
      </x:c>
    </x:row>
    <x:row r="177" ht="15" hidden="0" customHeight="1">
      <x:c r="A177" s="2" t="str">
        <x:v>E176</x:v>
      </x:c>
      <x:c r="B177" s="2" t="str">
        <x:v>***科技有限公司</x:v>
      </x:c>
      <x:c r="C177" s="2" t="str">
        <x:v>无信贷记录</x:v>
      </x:c>
      <x:c r="D177" s="2" t="str"/>
      <x:c r="E177" s="2" t="str"/>
      <x:c r="F177" s="13" t="n">
        <x:v>3229</x:v>
      </x:c>
      <x:c r="G177" s="13" t="n">
        <x:v>3163</x:v>
      </x:c>
      <x:c r="H177" s="13" t="n">
        <x:v>66</x:v>
      </x:c>
      <x:c r="I177" s="13" t="n">
        <x:v>17</x:v>
      </x:c>
      <x:c r="J177" s="13" t="n">
        <x:v>4782474.640000001</x:v>
      </x:c>
      <x:c r="K177" s="13" t="n">
        <x:v>4915047.82</x:v>
      </x:c>
      <x:c r="L177" s="13" t="n">
        <x:v>869</x:v>
      </x:c>
      <x:c r="M177" s="13" t="n">
        <x:v>0.020439764633013318</x:v>
      </x:c>
      <x:c r="N177" s="13" t="n">
        <x:v>0.005374644325007904</x:v>
      </x:c>
      <x:c r="O177" s="13" t="n">
        <x:v>0.04103250369108647</x:v>
      </x:c>
      <x:c r="P177" s="13" t="n">
        <x:v>0.15514359736178515</x:v>
      </x:c>
      <x:c r="Q177" s="13" t="n">
        <x:v>125854.59578947368</x:v>
      </x:c>
      <x:c r="R177" s="13" t="n">
        <x:v>0.8357312816110231</x:v>
      </x:c>
      <x:c r="S177" s="13" t="n">
        <x:v>0.001549171277837086</x:v>
      </x:c>
      <x:c r="T177" s="13" t="n">
        <x:v>38</x:v>
      </x:c>
      <x:c r="U177" s="13" t="n">
        <x:v>2167</x:v>
      </x:c>
      <x:c r="V177" s="13" t="n">
        <x:v>1935</x:v>
      </x:c>
      <x:c r="W177" s="13" t="n">
        <x:v>232</x:v>
      </x:c>
      <x:c r="X177" s="13" t="n">
        <x:v>67</x:v>
      </x:c>
      <x:c r="Y177" s="13" t="n">
        <x:v>96232800.79</x:v>
      </x:c>
      <x:c r="Z177" s="13" t="n">
        <x:v>100938811.19</x:v>
      </x:c>
      <x:c r="AA177" s="13" t="n">
        <x:v>169</x:v>
      </x:c>
      <x:c r="AB177" s="13" t="n">
        <x:v>0.1070604522381172</x:v>
      </x:c>
      <x:c r="AC177" s="13" t="n">
        <x:v>0.03462532299741602</x:v>
      </x:c>
      <x:c r="AD177" s="13" t="n">
        <x:v>0.1068958207077605</x:v>
      </x:c>
      <x:c r="AE177" s="13" t="n">
        <x:v>0.25560267240948076</x:v>
      </x:c>
      <x:c r="AF177" s="13" t="n">
        <x:v>2532442.1260526315</x:v>
      </x:c>
      <x:c r="AG177" s="13" t="n">
        <x:v>0.37067664153648844</x:v>
      </x:c>
      <x:c r="AH177" s="13" t="n">
        <x:v>0.013949788557602713</x:v>
      </x:c>
      <x:c r="AI177" s="13" t="n">
        <x:v>38</x:v>
      </x:c>
      <x:c r="AJ177" s="13" t="n">
        <x:v>91450326.15</x:v>
      </x:c>
      <x:c r="AK177" s="13" t="n">
        <x:v>0.04869333967831527</x:v>
      </x:c>
      <x:c r="AL177" s="13" t="n">
        <x:v>0.05522609340252038</x:v>
      </x:c>
      <x:c r="AM177" s="13" t="n">
        <x:v>0.01647704982346018</x:v>
      </x:c>
      <x:c r="AN177" s="13" t="n">
        <x:v>0.07396416219942349</x:v>
      </x:c>
      <x:c r="AO177" s="13" t="n">
        <x:v>0.6032039615737558</x:v>
      </x:c>
      <x:c r="AP177" s="13" t="n">
        <x:v>0.0077494799177199</x:v>
      </x:c>
    </x:row>
    <x:row r="178" ht="15" hidden="0" customHeight="1">
      <x:c r="A178" s="2" t="str">
        <x:v>E177</x:v>
      </x:c>
      <x:c r="B178" s="2" t="str">
        <x:v>***电力工程有限公司</x:v>
      </x:c>
      <x:c r="C178" s="2" t="str">
        <x:v>无信贷记录</x:v>
      </x:c>
      <x:c r="D178" s="2" t="str"/>
      <x:c r="E178" s="2" t="str"/>
      <x:c r="F178" s="13" t="n">
        <x:v>3152</x:v>
      </x:c>
      <x:c r="G178" s="13" t="n">
        <x:v>3061</x:v>
      </x:c>
      <x:c r="H178" s="13" t="n">
        <x:v>91</x:v>
      </x:c>
      <x:c r="I178" s="13" t="n">
        <x:v>5</x:v>
      </x:c>
      <x:c r="J178" s="13" t="n">
        <x:v>79409705.97999999</x:v>
      </x:c>
      <x:c r="K178" s="13" t="n">
        <x:v>86705713.44</x:v>
      </x:c>
      <x:c r="L178" s="13" t="n">
        <x:v>648</x:v>
      </x:c>
      <x:c r="M178" s="13" t="n">
        <x:v>0.028870558375634518</x:v>
      </x:c>
      <x:c r="N178" s="13" t="n">
        <x:v>0.001633453119895459</x:v>
      </x:c>
      <x:c r="O178" s="13" t="n">
        <x:v>0.11425078431838306</x:v>
      </x:c>
      <x:c r="P178" s="13" t="n">
        <x:v>0.2886189157225162</x:v>
      </x:c>
      <x:c r="Q178" s="13" t="n">
        <x:v>2146208.2697297297</x:v>
      </x:c>
      <x:c r="R178" s="13" t="n">
        <x:v>1.2182614438372794</x:v>
      </x:c>
      <x:c r="S178" s="13" t="n">
        <x:v>0.03533520375104698</x:v>
      </x:c>
      <x:c r="T178" s="13" t="n">
        <x:v>37</x:v>
      </x:c>
      <x:c r="U178" s="13" t="n">
        <x:v>970</x:v>
      </x:c>
      <x:c r="V178" s="13" t="n">
        <x:v>835</x:v>
      </x:c>
      <x:c r="W178" s="13" t="n">
        <x:v>135</x:v>
      </x:c>
      <x:c r="X178" s="13" t="n">
        <x:v>18</x:v>
      </x:c>
      <x:c r="Y178" s="13" t="n">
        <x:v>104989801.23</x:v>
      </x:c>
      <x:c r="Z178" s="13" t="n">
        <x:v>108403791.21000001</x:v>
      </x:c>
      <x:c r="AA178" s="13" t="n">
        <x:v>201</x:v>
      </x:c>
      <x:c r="AB178" s="13" t="n">
        <x:v>0.13917525773195877</x:v>
      </x:c>
      <x:c r="AC178" s="13" t="n">
        <x:v>0.02155688622754491</x:v>
      </x:c>
      <x:c r="AD178" s="13" t="n">
        <x:v>0.07296276261715445</x:v>
      </x:c>
      <x:c r="AE178" s="13" t="n">
        <x:v>0.12545686675896842</x:v>
      </x:c>
      <x:c r="AF178" s="13" t="n">
        <x:v>3087935.3302941173</x:v>
      </x:c>
      <x:c r="AG178" s="13" t="n">
        <x:v>1.6300619535999679</x:v>
      </x:c>
      <x:c r="AH178" s="13" t="n">
        <x:v>-0.011896454029966832</x:v>
      </x:c>
      <x:c r="AI178" s="13" t="n">
        <x:v>25</x:v>
      </x:c>
      <x:c r="AJ178" s="13" t="n">
        <x:v>25580095.250000015</x:v>
      </x:c>
      <x:c r="AK178" s="13" t="n">
        <x:v>0.7998402313442483</x:v>
      </x:c>
      <x:c r="AL178" s="13" t="n">
        <x:v>0.05482775351770985</x:v>
      </x:c>
      <x:c r="AM178" s="13" t="n">
        <x:v>0.005903490759753593</x:v>
      </x:c>
      <x:c r="AN178" s="13" t="n">
        <x:v>0.09360677346776876</x:v>
      </x:c>
      <x:c r="AO178" s="13" t="n">
        <x:v>1.4241616987186236</x:v>
      </x:c>
      <x:c r="AP178" s="13" t="n">
        <x:v>0.011719374860540073</x:v>
      </x:c>
    </x:row>
    <x:row r="179" ht="15" hidden="0" customHeight="1">
      <x:c r="A179" s="2" t="str">
        <x:v>E178</x:v>
      </x:c>
      <x:c r="B179" s="2" t="str">
        <x:v>***贸易有限公司</x:v>
      </x:c>
      <x:c r="C179" s="2" t="str">
        <x:v>无信贷记录</x:v>
      </x:c>
      <x:c r="D179" s="2" t="str"/>
      <x:c r="E179" s="2" t="str"/>
      <x:c r="F179" s="13" t="n">
        <x:v>340</x:v>
      </x:c>
      <x:c r="G179" s="13" t="n">
        <x:v>333</x:v>
      </x:c>
      <x:c r="H179" s="13" t="n">
        <x:v>7</x:v>
      </x:c>
      <x:c r="I179" s="13" t="n">
        <x:v>5</x:v>
      </x:c>
      <x:c r="J179" s="13" t="n">
        <x:v>91884740.44</x:v>
      </x:c>
      <x:c r="K179" s="13" t="n">
        <x:v>92027013.36</x:v>
      </x:c>
      <x:c r="L179" s="13" t="n">
        <x:v>29</x:v>
      </x:c>
      <x:c r="M179" s="13" t="n">
        <x:v>0.020588235294117647</x:v>
      </x:c>
      <x:c r="N179" s="13" t="n">
        <x:v>0.015015015015015015</x:v>
      </x:c>
      <x:c r="O179" s="13" t="n">
        <x:v>0.2309387124045231</x:v>
      </x:c>
      <x:c r="P179" s="13" t="n">
        <x:v>0.37161797054325263</x:v>
      </x:c>
      <x:c r="Q179" s="13" t="n">
        <x:v>2483371.363243243</x:v>
      </x:c>
      <x:c r="R179" s="13" t="n">
        <x:v>0.6932951271097759</x:v>
      </x:c>
      <x:c r="S179" s="13" t="n">
        <x:v>0.047249327801060406</x:v>
      </x:c>
      <x:c r="T179" s="13" t="n">
        <x:v>36</x:v>
      </x:c>
      <x:c r="U179" s="13" t="n">
        <x:v>1116</x:v>
      </x:c>
      <x:c r="V179" s="13" t="n">
        <x:v>1019</x:v>
      </x:c>
      <x:c r="W179" s="13" t="n">
        <x:v>97</x:v>
      </x:c>
      <x:c r="X179" s="13" t="n">
        <x:v>22</x:v>
      </x:c>
      <x:c r="Y179" s="13" t="n">
        <x:v>90250567.82</x:v>
      </x:c>
      <x:c r="Z179" s="13" t="n">
        <x:v>93590347.02</x:v>
      </x:c>
      <x:c r="AA179" s="13" t="n">
        <x:v>183</x:v>
      </x:c>
      <x:c r="AB179" s="13" t="n">
        <x:v>0.08691756272401434</x:v>
      </x:c>
      <x:c r="AC179" s="13" t="n">
        <x:v>0.021589793915603533</x:v>
      </x:c>
      <x:c r="AD179" s="13" t="n">
        <x:v>0.02338039225953005</x:v>
      </x:c>
      <x:c r="AE179" s="13" t="n">
        <x:v>0.058620410915108494</x:v>
      </x:c>
      <x:c r="AF179" s="13" t="n">
        <x:v>2439204.535675676</x:v>
      </x:c>
      <x:c r="AG179" s="13" t="n">
        <x:v>0.6422272932548948</x:v>
      </x:c>
      <x:c r="AH179" s="13" t="n">
        <x:v>0.04478867301286955</x:v>
      </x:c>
      <x:c r="AI179" s="13" t="n">
        <x:v>37</x:v>
      </x:c>
      <x:c r="AJ179" s="13" t="n">
        <x:v>-1634172.6200000048</x:v>
      </x:c>
      <x:c r="AK179" s="13" t="n">
        <x:v>0.9832959946214761</x:v>
      </x:c>
      <x:c r="AL179" s="13" t="n">
        <x:v>0.07142857142857142</x:v>
      </x:c>
      <x:c r="AM179" s="13" t="n">
        <x:v>0.019970414201183433</x:v>
      </x:c>
      <x:c r="AN179" s="13" t="n">
        <x:v>0.12715955233202658</x:v>
      </x:c>
      <x:c r="AO179" s="13" t="n">
        <x:v>0.6677612101823354</x:v>
      </x:c>
      <x:c r="AP179" s="13" t="n">
        <x:v>0.04601900040696498</x:v>
      </x:c>
    </x:row>
    <x:row r="180" ht="15" hidden="0" customHeight="1">
      <x:c r="A180" s="2" t="str">
        <x:v>E179</x:v>
      </x:c>
      <x:c r="B180" s="2" t="str">
        <x:v>***园林有限公司</x:v>
      </x:c>
      <x:c r="C180" s="2" t="str">
        <x:v>无信贷记录</x:v>
      </x:c>
      <x:c r="D180" s="2" t="str"/>
      <x:c r="E180" s="2" t="str"/>
      <x:c r="F180" s="13" t="n">
        <x:v>2125</x:v>
      </x:c>
      <x:c r="G180" s="13" t="n">
        <x:v>2000</x:v>
      </x:c>
      <x:c r="H180" s="13" t="n">
        <x:v>125</x:v>
      </x:c>
      <x:c r="I180" s="13" t="n">
        <x:v>11</x:v>
      </x:c>
      <x:c r="J180" s="13" t="n">
        <x:v>37778264.89</x:v>
      </x:c>
      <x:c r="K180" s="13" t="n">
        <x:v>38304270.69</x:v>
      </x:c>
      <x:c r="L180" s="13" t="n">
        <x:v>352</x:v>
      </x:c>
      <x:c r="M180" s="13" t="n">
        <x:v>0.058823529411764705</x:v>
      </x:c>
      <x:c r="N180" s="13" t="n">
        <x:v>0.0055</x:v>
      </x:c>
      <x:c r="O180" s="13" t="n">
        <x:v>0.04076359385987898</x:v>
      </x:c>
      <x:c r="P180" s="13" t="n">
        <x:v>0.13967110986913298</x:v>
      </x:c>
      <x:c r="Q180" s="13" t="n">
        <x:v>1021034.1862162162</x:v>
      </x:c>
      <x:c r="R180" s="13" t="n">
        <x:v>1.291121029443739</x:v>
      </x:c>
      <x:c r="S180" s="13" t="n">
        <x:v>0.0648791389434853</x:v>
      </x:c>
      <x:c r="T180" s="13" t="n">
        <x:v>35</x:v>
      </x:c>
      <x:c r="U180" s="13" t="n">
        <x:v>805</x:v>
      </x:c>
      <x:c r="V180" s="13" t="n">
        <x:v>718</x:v>
      </x:c>
      <x:c r="W180" s="13" t="n">
        <x:v>87</x:v>
      </x:c>
      <x:c r="X180" s="13" t="n">
        <x:v>18</x:v>
      </x:c>
      <x:c r="Y180" s="13" t="n">
        <x:v>65093752.63000001</x:v>
      </x:c>
      <x:c r="Z180" s="13" t="n">
        <x:v>68239403.89000002</x:v>
      </x:c>
      <x:c r="AA180" s="13" t="n">
        <x:v>44</x:v>
      </x:c>
      <x:c r="AB180" s="13" t="n">
        <x:v>0.10807453416149068</x:v>
      </x:c>
      <x:c r="AC180" s="13" t="n">
        <x:v>0.025069637883008356</x:v>
      </x:c>
      <x:c r="AD180" s="13" t="n">
        <x:v>0.06545978084290353</x:v>
      </x:c>
      <x:c r="AE180" s="13" t="n">
        <x:v>0.10150968421655712</x:v>
      </x:c>
      <x:c r="AF180" s="13" t="n">
        <x:v>1759290.6116216213</x:v>
      </x:c>
      <x:c r="AG180" s="13" t="n">
        <x:v>1.1623858409206729</x:v>
      </x:c>
      <x:c r="AH180" s="13" t="n">
        <x:v>0.032341852649537615</x:v>
      </x:c>
      <x:c r="AI180" s="13" t="n">
        <x:v>29</x:v>
      </x:c>
      <x:c r="AJ180" s="13" t="n">
        <x:v>27315487.74000001</x:v>
      </x:c>
      <x:c r="AK180" s="13" t="n">
        <x:v>0.561321883053747</x:v>
      </x:c>
      <x:c r="AL180" s="13" t="n">
        <x:v>0.07235494880546076</x:v>
      </x:c>
      <x:c r="AM180" s="13" t="n">
        <x:v>0.010669610007358351</x:v>
      </x:c>
      <x:c r="AN180" s="13" t="n">
        <x:v>0.053111687351391254</x:v>
      </x:c>
      <x:c r="AO180" s="13" t="n">
        <x:v>1.2267534351822058</x:v>
      </x:c>
      <x:c r="AP180" s="13" t="n">
        <x:v>0.04861049579651146</x:v>
      </x:c>
    </x:row>
    <x:row r="181" ht="15" hidden="0" customHeight="1">
      <x:c r="A181" s="2" t="str">
        <x:v>E180</x:v>
      </x:c>
      <x:c r="B181" s="2" t="str">
        <x:v>***电气有限公司</x:v>
      </x:c>
      <x:c r="C181" s="2" t="str">
        <x:v>无信贷记录</x:v>
      </x:c>
      <x:c r="D181" s="2" t="str"/>
      <x:c r="E181" s="2" t="str"/>
      <x:c r="F181" s="13" t="n">
        <x:v>3674</x:v>
      </x:c>
      <x:c r="G181" s="13" t="n">
        <x:v>3545</x:v>
      </x:c>
      <x:c r="H181" s="13" t="n">
        <x:v>129</x:v>
      </x:c>
      <x:c r="I181" s="13" t="n">
        <x:v>30</x:v>
      </x:c>
      <x:c r="J181" s="13" t="n">
        <x:v>71862813.72</x:v>
      </x:c>
      <x:c r="K181" s="13" t="n">
        <x:v>72578402.47999999</x:v>
      </x:c>
      <x:c r="L181" s="13" t="n">
        <x:v>609</x:v>
      </x:c>
      <x:c r="M181" s="13" t="n">
        <x:v>0.03511159499183451</x:v>
      </x:c>
      <x:c r="N181" s="13" t="n">
        <x:v>0.00846262341325811</x:v>
      </x:c>
      <x:c r="O181" s="13" t="n">
        <x:v>0.7603957192845199</x:v>
      </x:c>
      <x:c r="P181" s="13" t="n">
        <x:v>0.8716610557449679</x:v>
      </x:c>
      <x:c r="Q181" s="13" t="n">
        <x:v>1891126.6768421053</x:v>
      </x:c>
      <x:c r="R181" s="13" t="n">
        <x:v>0.6388089941884262</x:v>
      </x:c>
      <x:c r="S181" s="13" t="n">
        <x:v>0.01988471039166817</x:v>
      </x:c>
      <x:c r="T181" s="13" t="n">
        <x:v>38</x:v>
      </x:c>
      <x:c r="U181" s="13" t="n">
        <x:v>2110</x:v>
      </x:c>
      <x:c r="V181" s="13" t="n">
        <x:v>2023</x:v>
      </x:c>
      <x:c r="W181" s="13" t="n">
        <x:v>87</x:v>
      </x:c>
      <x:c r="X181" s="13" t="n">
        <x:v>7</x:v>
      </x:c>
      <x:c r="Y181" s="13" t="n">
        <x:v>85463039.92</x:v>
      </x:c>
      <x:c r="Z181" s="13" t="n">
        <x:v>86031193.92</x:v>
      </x:c>
      <x:c r="AA181" s="13" t="n">
        <x:v>479</x:v>
      </x:c>
      <x:c r="AB181" s="13" t="n">
        <x:v>0.04123222748815166</x:v>
      </x:c>
      <x:c r="AC181" s="13" t="n">
        <x:v>0.0034602076124567475</x:v>
      </x:c>
      <x:c r="AD181" s="13" t="n">
        <x:v>0.02225054354512027</x:v>
      </x:c>
      <x:c r="AE181" s="13" t="n">
        <x:v>0.06426520135407182</x:v>
      </x:c>
      <x:c r="AF181" s="13" t="n">
        <x:v>2249027.3663157895</x:v>
      </x:c>
      <x:c r="AG181" s="13" t="n">
        <x:v>0.6750975799450136</x:v>
      </x:c>
      <x:c r="AH181" s="13" t="n">
        <x:v>0.020356536344625233</x:v>
      </x:c>
      <x:c r="AI181" s="13" t="n">
        <x:v>38</x:v>
      </x:c>
      <x:c r="AJ181" s="13" t="n">
        <x:v>13600226.200000003</x:v>
      </x:c>
      <x:c r="AK181" s="13" t="n">
        <x:v>0.8436289114793676</x:v>
      </x:c>
      <x:c r="AL181" s="13" t="n">
        <x:v>0.03734439834024896</x:v>
      </x:c>
      <x:c r="AM181" s="13" t="n">
        <x:v>0.006645114942528735</x:v>
      </x:c>
      <x:c r="AN181" s="13" t="n">
        <x:v>0.39132313141482006</x:v>
      </x:c>
      <x:c r="AO181" s="13" t="n">
        <x:v>0.6569532870667198</x:v>
      </x:c>
      <x:c r="AP181" s="13" t="n">
        <x:v>0.0201206233681467</x:v>
      </x:c>
    </x:row>
    <x:row r="182" ht="15" hidden="0" customHeight="1">
      <x:c r="A182" s="2" t="str">
        <x:v>E181</x:v>
      </x:c>
      <x:c r="B182" s="2" t="str">
        <x:v>***食品有限公司</x:v>
      </x:c>
      <x:c r="C182" s="2" t="str">
        <x:v>无信贷记录</x:v>
      </x:c>
      <x:c r="D182" s="2" t="str"/>
      <x:c r="E182" s="2" t="str"/>
      <x:c r="F182" s="13" t="n">
        <x:v>3048</x:v>
      </x:c>
      <x:c r="G182" s="13" t="n">
        <x:v>2974</x:v>
      </x:c>
      <x:c r="H182" s="13" t="n">
        <x:v>74</x:v>
      </x:c>
      <x:c r="I182" s="13" t="n">
        <x:v>32</x:v>
      </x:c>
      <x:c r="J182" s="13" t="n">
        <x:v>97838584.03</x:v>
      </x:c>
      <x:c r="K182" s="13" t="n">
        <x:v>98319132.11</x:v>
      </x:c>
      <x:c r="L182" s="13" t="n">
        <x:v>374</x:v>
      </x:c>
      <x:c r="M182" s="13" t="n">
        <x:v>0.024278215223097113</x:v>
      </x:c>
      <x:c r="N182" s="13" t="n">
        <x:v>0.010759919300605245</x:v>
      </x:c>
      <x:c r="O182" s="13" t="n">
        <x:v>0.07147745019134023</x:v>
      </x:c>
      <x:c r="P182" s="13" t="n">
        <x:v>0.18551098447038558</x:v>
      </x:c>
      <x:c r="Q182" s="13" t="n">
        <x:v>2644286.054864865</x:v>
      </x:c>
      <x:c r="R182" s="13" t="n">
        <x:v>0.36517155386951733</x:v>
      </x:c>
      <x:c r="S182" s="13" t="n">
        <x:v>0.0231681221374418</x:v>
      </x:c>
      <x:c r="T182" s="13" t="n">
        <x:v>37</x:v>
      </x:c>
      <x:c r="U182" s="13" t="n">
        <x:v>1571</x:v>
      </x:c>
      <x:c r="V182" s="13" t="n">
        <x:v>1475</x:v>
      </x:c>
      <x:c r="W182" s="13" t="n">
        <x:v>96</x:v>
      </x:c>
      <x:c r="X182" s="13" t="n">
        <x:v>10</x:v>
      </x:c>
      <x:c r="Y182" s="13" t="n">
        <x:v>87672437</x:v>
      </x:c>
      <x:c r="Z182" s="13" t="n">
        <x:v>87776513.56</x:v>
      </x:c>
      <x:c r="AA182" s="13" t="n">
        <x:v>186</x:v>
      </x:c>
      <x:c r="AB182" s="13" t="n">
        <x:v>0.061107574793125397</x:v>
      </x:c>
      <x:c r="AC182" s="13" t="n">
        <x:v>0.006779661016949152</x:v>
      </x:c>
      <x:c r="AD182" s="13" t="n">
        <x:v>0.5381244726241198</x:v>
      </x:c>
      <x:c r="AE182" s="13" t="n">
        <x:v>0.7245733658187004</x:v>
      </x:c>
      <x:c r="AF182" s="13" t="n">
        <x:v>2369525.3243243247</x:v>
      </x:c>
      <x:c r="AG182" s="13" t="n">
        <x:v>0.40703145593992657</x:v>
      </x:c>
      <x:c r="AH182" s="13" t="n">
        <x:v>0.02113492504761607</x:v>
      </x:c>
      <x:c r="AI182" s="13" t="n">
        <x:v>37</x:v>
      </x:c>
      <x:c r="AJ182" s="13" t="n">
        <x:v>-10166147.030000001</x:v>
      </x:c>
      <x:c r="AK182" s="13" t="n">
        <x:v>1.1201075107955107</x:v>
      </x:c>
      <x:c r="AL182" s="13" t="n">
        <x:v>0.03680450313920762</x:v>
      </x:c>
      <x:c r="AM182" s="13" t="n">
        <x:v>0.009440323668240054</x:v>
      </x:c>
      <x:c r="AN182" s="13" t="n">
        <x:v>0.30480096140773</x:v>
      </x:c>
      <x:c r="AO182" s="13" t="n">
        <x:v>0.38610150490472195</x:v>
      </x:c>
      <x:c r="AP182" s="13" t="n">
        <x:v>0.022151523592528935</x:v>
      </x:c>
    </x:row>
    <x:row r="183" ht="15" hidden="0" customHeight="1">
      <x:c r="A183" s="2" t="str">
        <x:v>E182</x:v>
      </x:c>
      <x:c r="B183" s="2" t="str">
        <x:v>***新材料科技有限公司</x:v>
      </x:c>
      <x:c r="C183" s="2" t="str">
        <x:v>无信贷记录</x:v>
      </x:c>
      <x:c r="D183" s="2" t="str"/>
      <x:c r="E183" s="2" t="str"/>
      <x:c r="F183" s="13" t="n">
        <x:v>998</x:v>
      </x:c>
      <x:c r="G183" s="13" t="n">
        <x:v>972</x:v>
      </x:c>
      <x:c r="H183" s="13" t="n">
        <x:v>26</x:v>
      </x:c>
      <x:c r="I183" s="13" t="n">
        <x:v>0</x:v>
      </x:c>
      <x:c r="J183" s="13" t="n">
        <x:v>84505227.05</x:v>
      </x:c>
      <x:c r="K183" s="13" t="n">
        <x:v>84505227.05</x:v>
      </x:c>
      <x:c r="L183" s="13" t="n">
        <x:v>152</x:v>
      </x:c>
      <x:c r="M183" s="13" t="n">
        <x:v>0.026052104208416832</x:v>
      </x:c>
      <x:c r="N183" s="13" t="n">
        <x:v>0</x:v>
      </x:c>
      <x:c r="O183" s="13" t="n">
        <x:v>0.2263053646294849</x:v>
      </x:c>
      <x:c r="P183" s="13" t="n">
        <x:v>0.3666207631353853</x:v>
      </x:c>
      <x:c r="Q183" s="13" t="n">
        <x:v>2283925.055405406</x:v>
      </x:c>
      <x:c r="R183" s="13" t="n">
        <x:v>0.5024999655353809</x:v>
      </x:c>
      <x:c r="S183" s="13" t="n">
        <x:v>0.028476495079492247</x:v>
      </x:c>
      <x:c r="T183" s="13" t="n">
        <x:v>37</x:v>
      </x:c>
      <x:c r="U183" s="13" t="n">
        <x:v>1078</x:v>
      </x:c>
      <x:c r="V183" s="13" t="n">
        <x:v>1049</x:v>
      </x:c>
      <x:c r="W183" s="13" t="n">
        <x:v>29</x:v>
      </x:c>
      <x:c r="X183" s="13" t="n">
        <x:v>0</x:v>
      </x:c>
      <x:c r="Y183" s="13" t="n">
        <x:v>89567855.59</x:v>
      </x:c>
      <x:c r="Z183" s="13" t="n">
        <x:v>89567855.59</x:v>
      </x:c>
      <x:c r="AA183" s="13" t="n">
        <x:v>42</x:v>
      </x:c>
      <x:c r="AB183" s="13" t="n">
        <x:v>0.026901669758812616</x:v>
      </x:c>
      <x:c r="AC183" s="13" t="n">
        <x:v>0</x:v>
      </x:c>
      <x:c r="AD183" s="13" t="n">
        <x:v>0.08616116439125278</x:v>
      </x:c>
      <x:c r="AE183" s="13" t="n">
        <x:v>0.1365372465316159</x:v>
      </x:c>
      <x:c r="AF183" s="13" t="n">
        <x:v>2420752.8537837835</x:v>
      </x:c>
      <x:c r="AG183" s="13" t="n">
        <x:v>0.48731363936338934</x:v>
      </x:c>
      <x:c r="AH183" s="13" t="n">
        <x:v>0.028102275643405828</x:v>
      </x:c>
      <x:c r="AI183" s="13" t="n">
        <x:v>37</x:v>
      </x:c>
      <x:c r="AJ183" s="13" t="n">
        <x:v>5062628.540000007</x:v>
      </x:c>
      <x:c r="AK183" s="13" t="n">
        <x:v>0.9434771715069928</x:v>
      </x:c>
      <x:c r="AL183" s="13" t="n">
        <x:v>0.026493256262042388</x:v>
      </x:c>
      <x:c r="AM183" s="13" t="n">
        <x:v>0</x:v>
      </x:c>
      <x:c r="AN183" s="13" t="n">
        <x:v>0.15623326451036884</x:v>
      </x:c>
      <x:c r="AO183" s="13" t="n">
        <x:v>0.4949068024493851</x:v>
      </x:c>
      <x:c r="AP183" s="13" t="n">
        <x:v>0.028289385361449038</x:v>
      </x:c>
    </x:row>
    <x:row r="184" ht="15" hidden="0" customHeight="1">
      <x:c r="A184" s="2" t="str">
        <x:v>E183</x:v>
      </x:c>
      <x:c r="B184" s="2" t="str">
        <x:v>***建设工程有限公司</x:v>
      </x:c>
      <x:c r="C184" s="2" t="str">
        <x:v>无信贷记录</x:v>
      </x:c>
      <x:c r="D184" s="2" t="str"/>
      <x:c r="E184" s="2" t="str"/>
      <x:c r="F184" s="13" t="n">
        <x:v>1461</x:v>
      </x:c>
      <x:c r="G184" s="13" t="n">
        <x:v>1408</x:v>
      </x:c>
      <x:c r="H184" s="13" t="n">
        <x:v>53</x:v>
      </x:c>
      <x:c r="I184" s="13" t="n">
        <x:v>13</x:v>
      </x:c>
      <x:c r="J184" s="13" t="n">
        <x:v>27455031.159999996</x:v>
      </x:c>
      <x:c r="K184" s="13" t="n">
        <x:v>30408706.759999998</x:v>
      </x:c>
      <x:c r="L184" s="13" t="n">
        <x:v>416</x:v>
      </x:c>
      <x:c r="M184" s="13" t="n">
        <x:v>0.03627652292950034</x:v>
      </x:c>
      <x:c r="N184" s="13" t="n">
        <x:v>0.009232954545454546</x:v>
      </x:c>
      <x:c r="O184" s="13" t="n">
        <x:v>0.03351723457830795</x:v>
      </x:c>
      <x:c r="P184" s="13" t="n">
        <x:v>0.10345772429027823</x:v>
      </x:c>
      <x:c r="Q184" s="13" t="n">
        <x:v>807500.9164705882</x:v>
      </x:c>
      <x:c r="R184" s="13" t="n">
        <x:v>1.447051176898968</x:v>
      </x:c>
      <x:c r="S184" s="13" t="n">
        <x:v>0.10923800259460002</x:v>
      </x:c>
      <x:c r="T184" s="13" t="n">
        <x:v>34</x:v>
      </x:c>
      <x:c r="U184" s="13" t="n">
        <x:v>1028</x:v>
      </x:c>
      <x:c r="V184" s="13" t="n">
        <x:v>927</x:v>
      </x:c>
      <x:c r="W184" s="13" t="n">
        <x:v>101</x:v>
      </x:c>
      <x:c r="X184" s="13" t="n">
        <x:v>2</x:v>
      </x:c>
      <x:c r="Y184" s="13" t="n">
        <x:v>69729068.12</x:v>
      </x:c>
      <x:c r="Z184" s="13" t="n">
        <x:v>70129068.12</x:v>
      </x:c>
      <x:c r="AA184" s="13" t="n">
        <x:v>42</x:v>
      </x:c>
      <x:c r="AB184" s="13" t="n">
        <x:v>0.09824902723735408</x:v>
      </x:c>
      <x:c r="AC184" s="13" t="n">
        <x:v>0.002157497303128371</x:v>
      </x:c>
      <x:c r="AD184" s="13" t="n">
        <x:v>0.7320089226053413</x:v>
      </x:c>
      <x:c r="AE184" s="13" t="n">
        <x:v>0.8530980214599206</x:v>
      </x:c>
      <x:c r="AF184" s="13" t="n">
        <x:v>1884569.4086486483</x:v>
      </x:c>
      <x:c r="AG184" s="13" t="n">
        <x:v>0.9982158203848408</x:v>
      </x:c>
      <x:c r="AH184" s="13" t="n">
        <x:v>0.044895929775320136</x:v>
      </x:c>
      <x:c r="AI184" s="13" t="n">
        <x:v>36</x:v>
      </x:c>
      <x:c r="AJ184" s="13" t="n">
        <x:v>42274036.96000001</x:v>
      </x:c>
      <x:c r="AK184" s="13" t="n">
        <x:v>0.4336105922292697</x:v>
      </x:c>
      <x:c r="AL184" s="13" t="n">
        <x:v>0.06187223784652471</x:v>
      </x:c>
      <x:c r="AM184" s="13" t="n">
        <x:v>0.006423982869379015</x:v>
      </x:c>
      <x:c r="AN184" s="13" t="n">
        <x:v>0.3827630785918246</x:v>
      </x:c>
      <x:c r="AO184" s="13" t="n">
        <x:v>1.2226334986419043</x:v>
      </x:c>
      <x:c r="AP184" s="13" t="n">
        <x:v>0.07706696618496008</x:v>
      </x:c>
    </x:row>
    <x:row r="185" ht="15" hidden="0" customHeight="1">
      <x:c r="A185" s="2" t="str">
        <x:v>E184</x:v>
      </x:c>
      <x:c r="B185" s="2" t="str">
        <x:v>***建筑装饰工程有限公司</x:v>
      </x:c>
      <x:c r="C185" s="2" t="str">
        <x:v>无信贷记录</x:v>
      </x:c>
      <x:c r="D185" s="2" t="str"/>
      <x:c r="E185" s="2" t="str"/>
      <x:c r="F185" s="13" t="n">
        <x:v>2024</x:v>
      </x:c>
      <x:c r="G185" s="13" t="n">
        <x:v>1967</x:v>
      </x:c>
      <x:c r="H185" s="13" t="n">
        <x:v>57</x:v>
      </x:c>
      <x:c r="I185" s="13" t="n">
        <x:v>8</x:v>
      </x:c>
      <x:c r="J185" s="13" t="n">
        <x:v>41542696.2</x:v>
      </x:c>
      <x:c r="K185" s="13" t="n">
        <x:v>42540081.14</x:v>
      </x:c>
      <x:c r="L185" s="13" t="n">
        <x:v>461</x:v>
      </x:c>
      <x:c r="M185" s="13" t="n">
        <x:v>0.02816205533596838</x:v>
      </x:c>
      <x:c r="N185" s="13" t="n">
        <x:v>0.004067107269954245</x:v>
      </x:c>
      <x:c r="O185" s="13" t="n">
        <x:v>0.03851079543695213</x:v>
      </x:c>
      <x:c r="P185" s="13" t="n">
        <x:v>0.10356161394007157</x:v>
      </x:c>
      <x:c r="Q185" s="13" t="n">
        <x:v>1298209.25625</x:v>
      </x:c>
      <x:c r="R185" s="13" t="n">
        <x:v>1.20666411812402</x:v>
      </x:c>
      <x:c r="S185" s="13" t="n">
        <x:v>0.04571911088894482</x:v>
      </x:c>
      <x:c r="T185" s="13" t="n">
        <x:v>32</x:v>
      </x:c>
      <x:c r="U185" s="13" t="n">
        <x:v>657</x:v>
      </x:c>
      <x:c r="V185" s="13" t="n">
        <x:v>639</x:v>
      </x:c>
      <x:c r="W185" s="13" t="n">
        <x:v>18</x:v>
      </x:c>
      <x:c r="X185" s="13" t="n">
        <x:v>21</x:v>
      </x:c>
      <x:c r="Y185" s="13" t="n">
        <x:v>57452103.06</x:v>
      </x:c>
      <x:c r="Z185" s="13" t="n">
        <x:v>61623641.379999995</x:v>
      </x:c>
      <x:c r="AA185" s="13" t="n">
        <x:v>39</x:v>
      </x:c>
      <x:c r="AB185" s="13" t="n">
        <x:v>0.0273972602739726</x:v>
      </x:c>
      <x:c r="AC185" s="13" t="n">
        <x:v>0.03286384976525822</x:v>
      </x:c>
      <x:c r="AD185" s="13" t="n">
        <x:v>0.17568896334871179</x:v>
      </x:c>
      <x:c r="AE185" s="13" t="n">
        <x:v>0.3575316145980077</x:v>
      </x:c>
      <x:c r="AF185" s="13" t="n">
        <x:v>1641488.658857143</x:v>
      </x:c>
      <x:c r="AG185" s="13" t="n">
        <x:v>1.5560913995248058</x:v>
      </x:c>
      <x:c r="AH185" s="13" t="n">
        <x:v>0.0547151707593515</x:v>
      </x:c>
      <x:c r="AI185" s="13" t="n">
        <x:v>30</x:v>
      </x:c>
      <x:c r="AJ185" s="13" t="n">
        <x:v>15909406.86</x:v>
      </x:c>
      <x:c r="AK185" s="13" t="n">
        <x:v>0.6903207955154436</x:v>
      </x:c>
      <x:c r="AL185" s="13" t="n">
        <x:v>0.027974636329727715</x:v>
      </x:c>
      <x:c r="AM185" s="13" t="n">
        <x:v>0.011128165771297006</x:v>
      </x:c>
      <x:c r="AN185" s="13" t="n">
        <x:v>0.10709987939283196</x:v>
      </x:c>
      <x:c r="AO185" s="13" t="n">
        <x:v>1.381377758824413</x:v>
      </x:c>
      <x:c r="AP185" s="13" t="n">
        <x:v>0.05021714082414816</x:v>
      </x:c>
    </x:row>
    <x:row r="186" ht="15" hidden="0" customHeight="1">
      <x:c r="A186" s="2" t="str">
        <x:v>E185</x:v>
      </x:c>
      <x:c r="B186" s="2" t="str">
        <x:v>***生态魔芋有限公司</x:v>
      </x:c>
      <x:c r="C186" s="2" t="str">
        <x:v>无信贷记录</x:v>
      </x:c>
      <x:c r="D186" s="2" t="str"/>
      <x:c r="E186" s="2" t="str"/>
      <x:c r="F186" s="13" t="n">
        <x:v>68</x:v>
      </x:c>
      <x:c r="G186" s="13" t="n">
        <x:v>67</x:v>
      </x:c>
      <x:c r="H186" s="13" t="n">
        <x:v>1</x:v>
      </x:c>
      <x:c r="I186" s="13" t="n">
        <x:v>2</x:v>
      </x:c>
      <x:c r="J186" s="13" t="n">
        <x:v>788684.14</x:v>
      </x:c>
      <x:c r="K186" s="13" t="n">
        <x:v>1279204.1999999997</x:v>
      </x:c>
      <x:c r="L186" s="13" t="n">
        <x:v>20</x:v>
      </x:c>
      <x:c r="M186" s="13" t="n">
        <x:v>0.014705882352941176</x:v>
      </x:c>
      <x:c r="N186" s="13" t="n">
        <x:v>0.029850746268656716</x:v>
      </x:c>
      <x:c r="O186" s="13" t="n">
        <x:v>0.23880438619295852</x:v>
      </x:c>
      <x:c r="P186" s="13" t="n">
        <x:v>0.3674941029743336</x:v>
      </x:c>
      <x:c r="Q186" s="13" t="n">
        <x:v>23899.51939393939</x:v>
      </x:c>
      <x:c r="R186" s="13" t="n">
        <x:v>2.1268453146105526</x:v>
      </x:c>
      <x:c r="S186" s="13" t="n">
        <x:v>0.062032361798367866</x:v>
      </x:c>
      <x:c r="T186" s="13" t="n">
        <x:v>22</x:v>
      </x:c>
      <x:c r="U186" s="13" t="n">
        <x:v>5479</x:v>
      </x:c>
      <x:c r="V186" s="13" t="n">
        <x:v>5442</x:v>
      </x:c>
      <x:c r="W186" s="13" t="n">
        <x:v>37</x:v>
      </x:c>
      <x:c r="X186" s="13" t="n">
        <x:v>8</x:v>
      </x:c>
      <x:c r="Y186" s="13" t="n">
        <x:v>101249267.75999999</x:v>
      </x:c>
      <x:c r="Z186" s="13" t="n">
        <x:v>102641867.75999999</x:v>
      </x:c>
      <x:c r="AA186" s="13" t="n">
        <x:v>314</x:v>
      </x:c>
      <x:c r="AB186" s="13" t="n">
        <x:v>0.006753057127212995</x:v>
      </x:c>
      <x:c r="AC186" s="13" t="n">
        <x:v>0.001470047776552738</x:v>
      </x:c>
      <x:c r="AD186" s="13" t="n">
        <x:v>0.10469884478697389</x:v>
      </x:c>
      <x:c r="AE186" s="13" t="n">
        <x:v>0.2880934519736374</x:v>
      </x:c>
      <x:c r="AF186" s="13" t="n">
        <x:v>2736466.6962162163</x:v>
      </x:c>
      <x:c r="AG186" s="13" t="n">
        <x:v>0.9980935021416328</x:v>
      </x:c>
      <x:c r="AH186" s="13" t="n">
        <x:v>0.03330616111100618</x:v>
      </x:c>
      <x:c r="AI186" s="13" t="n">
        <x:v>29</x:v>
      </x:c>
      <x:c r="AJ186" s="13" t="n">
        <x:v>100460583.61999999</x:v>
      </x:c>
      <x:c r="AK186" s="13" t="n">
        <x:v>0.012462791528609648</x:v>
      </x:c>
      <x:c r="AL186" s="13" t="n">
        <x:v>0.006850549846764017</x:v>
      </x:c>
      <x:c r="AM186" s="13" t="n">
        <x:v>0.0018152114721365039</x:v>
      </x:c>
      <x:c r="AN186" s="13" t="n">
        <x:v>0.1717516154899662</x:v>
      </x:c>
      <x:c r="AO186" s="13" t="n">
        <x:v>1.5624694083760926</x:v>
      </x:c>
      <x:c r="AP186" s="13" t="n">
        <x:v>0.04766926145468702</x:v>
      </x:c>
    </x:row>
    <x:row r="187" ht="15" hidden="0" customHeight="1">
      <x:c r="A187" s="2" t="str">
        <x:v>E186</x:v>
      </x:c>
      <x:c r="B187" s="2" t="str">
        <x:v>***建筑劳务有限公司</x:v>
      </x:c>
      <x:c r="C187" s="2" t="str">
        <x:v>无信贷记录</x:v>
      </x:c>
      <x:c r="D187" s="2" t="str"/>
      <x:c r="E187" s="2" t="str"/>
      <x:c r="F187" s="13" t="n">
        <x:v>989</x:v>
      </x:c>
      <x:c r="G187" s="13" t="n">
        <x:v>941</x:v>
      </x:c>
      <x:c r="H187" s="13" t="n">
        <x:v>48</x:v>
      </x:c>
      <x:c r="I187" s="13" t="n">
        <x:v>11</x:v>
      </x:c>
      <x:c r="J187" s="13" t="n">
        <x:v>3141879.25</x:v>
      </x:c>
      <x:c r="K187" s="13" t="n">
        <x:v>3393085.81</x:v>
      </x:c>
      <x:c r="L187" s="13" t="n">
        <x:v>221</x:v>
      </x:c>
      <x:c r="M187" s="13" t="n">
        <x:v>0.04853387259858443</x:v>
      </x:c>
      <x:c r="N187" s="13" t="n">
        <x:v>0.011689691817215728</x:v>
      </x:c>
      <x:c r="O187" s="13" t="n">
        <x:v>0.05956128154295458</x:v>
      </x:c>
      <x:c r="P187" s="13" t="n">
        <x:v>0.12561945788220427</x:v>
      </x:c>
      <x:c r="Q187" s="13" t="n">
        <x:v>95208.46212121213</x:v>
      </x:c>
      <x:c r="R187" s="13" t="n">
        <x:v>1.5077039402168833</x:v>
      </x:c>
      <x:c r="S187" s="13" t="n">
        <x:v>0.0517546012493482</x:v>
      </x:c>
      <x:c r="T187" s="13" t="n">
        <x:v>33</x:v>
      </x:c>
      <x:c r="U187" s="13" t="n">
        <x:v>1098</x:v>
      </x:c>
      <x:c r="V187" s="13" t="n">
        <x:v>1073</x:v>
      </x:c>
      <x:c r="W187" s="13" t="n">
        <x:v>25</x:v>
      </x:c>
      <x:c r="X187" s="13" t="n">
        <x:v>0</x:v>
      </x:c>
      <x:c r="Y187" s="13" t="n">
        <x:v>86007320</x:v>
      </x:c>
      <x:c r="Z187" s="13" t="n">
        <x:v>86007320</x:v>
      </x:c>
      <x:c r="AA187" s="13" t="n">
        <x:v>5</x:v>
      </x:c>
      <x:c r="AB187" s="13" t="n">
        <x:v>0.022768670309653915</x:v>
      </x:c>
      <x:c r="AC187" s="13" t="n">
        <x:v>0</x:v>
      </x:c>
      <x:c r="AD187" s="13" t="n">
        <x:v>0.7600671853254684</x:v>
      </x:c>
      <x:c r="AE187" s="13" t="n">
        <x:v>0.864197605506136</x:v>
      </x:c>
      <x:c r="AF187" s="13" t="n">
        <x:v>2389092.222222222</x:v>
      </x:c>
      <x:c r="AG187" s="13" t="n">
        <x:v>1.218554003487529</x:v>
      </x:c>
      <x:c r="AH187" s="13" t="n">
        <x:v>0.043286693257788736</x:v>
      </x:c>
      <x:c r="AI187" s="13" t="n">
        <x:v>31</x:v>
      </x:c>
      <x:c r="AJ187" s="13" t="n">
        <x:v>82865440.75</x:v>
      </x:c>
      <x:c r="AK187" s="13" t="n">
        <x:v>0.03945112822955069</x:v>
      </x:c>
      <x:c r="AL187" s="13" t="n">
        <x:v>0.03497843794920939</x:v>
      </x:c>
      <x:c r="AM187" s="13" t="n">
        <x:v>0.005461767626613704</x:v>
      </x:c>
      <x:c r="AN187" s="13" t="n">
        <x:v>0.4098142334342115</x:v>
      </x:c>
      <x:c r="AO187" s="13" t="n">
        <x:v>1.3631289718522062</x:v>
      </x:c>
      <x:c r="AP187" s="13" t="n">
        <x:v>0.04752064725356847</x:v>
      </x:c>
    </x:row>
    <x:row r="188" ht="15" hidden="0" customHeight="1">
      <x:c r="A188" s="2" t="str">
        <x:v>E187</x:v>
      </x:c>
      <x:c r="B188" s="2" t="str">
        <x:v>个体经营E187 </x:v>
      </x:c>
      <x:c r="C188" s="2" t="str">
        <x:v>无信贷记录</x:v>
      </x:c>
      <x:c r="D188" s="2" t="str"/>
      <x:c r="E188" s="2" t="str"/>
      <x:c r="F188" s="13" t="n">
        <x:v>3880</x:v>
      </x:c>
      <x:c r="G188" s="13" t="n">
        <x:v>3694</x:v>
      </x:c>
      <x:c r="H188" s="13" t="n">
        <x:v>186</x:v>
      </x:c>
      <x:c r="I188" s="13" t="n">
        <x:v>39</x:v>
      </x:c>
      <x:c r="J188" s="13" t="n">
        <x:v>78798146.34</x:v>
      </x:c>
      <x:c r="K188" s="13" t="n">
        <x:v>79661144.18</x:v>
      </x:c>
      <x:c r="L188" s="13" t="n">
        <x:v>3880</x:v>
      </x:c>
      <x:c r="M188" s="13" t="n">
        <x:v>0.04793814432989691</x:v>
      </x:c>
      <x:c r="N188" s="13" t="n">
        <x:v>0.010557661072008662</x:v>
      </x:c>
      <x:c r="O188" s="13" t="n">
        <x:v>0.001981612732699117</x:v>
      </x:c>
      <x:c r="P188" s="13" t="n">
        <x:v>0.012553171440023872</x:v>
      </x:c>
      <x:c r="Q188" s="13" t="n">
        <x:v>3151925.8536</x:v>
      </x:c>
      <x:c r="R188" s="13" t="n">
        <x:v>0.6121358655421264</x:v>
      </x:c>
      <x:c r="S188" s="13" t="n">
        <x:v>-0.03074342017476291</x:v>
      </x:c>
      <x:c r="T188" s="13" t="n">
        <x:v>25</x:v>
      </x:c>
      <x:c r="U188" s="13" t="n">
        <x:v>176</x:v>
      </x:c>
      <x:c r="V188" s="13" t="n">
        <x:v>16</x:v>
      </x:c>
      <x:c r="W188" s="13" t="n">
        <x:v>160</x:v>
      </x:c>
      <x:c r="X188" s="13" t="n">
        <x:v>0</x:v>
      </x:c>
      <x:c r="Y188" s="13" t="n">
        <x:v>3687245.74</x:v>
      </x:c>
      <x:c r="Z188" s="13" t="n">
        <x:v>3687245.74</x:v>
      </x:c>
      <x:c r="AA188" s="13" t="n">
        <x:v>57</x:v>
      </x:c>
      <x:c r="AB188" s="13" t="n">
        <x:v>0.9090909090909091</x:v>
      </x:c>
      <x:c r="AC188" s="13" t="n">
        <x:v>0</x:v>
      </x:c>
      <x:c r="AD188" s="13" t="n">
        <x:v>0.24460280935696224</x:v>
      </x:c>
      <x:c r="AE188" s="13" t="n">
        <x:v>0.365168709910829</x:v>
      </x:c>
      <x:c r="AF188" s="13" t="n">
        <x:v>167602.0790909091</x:v>
      </x:c>
      <x:c r="AG188" s="13" t="n">
        <x:v>1.8010172801605933</x:v>
      </x:c>
      <x:c r="AH188" s="13" t="n">
        <x:v>0.05905963109681443</x:v>
      </x:c>
      <x:c r="AI188" s="13" t="n">
        <x:v>10</x:v>
      </x:c>
      <x:c r="AJ188" s="13" t="n">
        <x:v>-75110900.60000001</x:v>
      </x:c>
      <x:c r="AK188" s="13" t="n">
        <x:v>21.604511821878187</x:v>
      </x:c>
      <x:c r="AL188" s="13" t="n">
        <x:v>0.08530571992110454</x:v>
      </x:c>
      <x:c r="AM188" s="13" t="n">
        <x:v>0.010512129380053909</x:v>
      </x:c>
      <x:c r="AN188" s="13" t="n">
        <x:v>0.12329221104483068</x:v>
      </x:c>
      <x:c r="AO188" s="13" t="n">
        <x:v>1.2065765728513598</x:v>
      </x:c>
      <x:c r="AP188" s="13" t="n">
        <x:v>0.014158105461025762</x:v>
      </x:c>
    </x:row>
    <x:row r="189" ht="15" hidden="0" customHeight="1">
      <x:c r="A189" s="2" t="str">
        <x:v>E188</x:v>
      </x:c>
      <x:c r="B189" s="2" t="str">
        <x:v>***硬质合金有限公司</x:v>
      </x:c>
      <x:c r="C189" s="2" t="str">
        <x:v>无信贷记录</x:v>
      </x:c>
      <x:c r="D189" s="2" t="str"/>
      <x:c r="E189" s="2" t="str"/>
      <x:c r="F189" s="13" t="n">
        <x:v>2561</x:v>
      </x:c>
      <x:c r="G189" s="13" t="n">
        <x:v>2484</x:v>
      </x:c>
      <x:c r="H189" s="13" t="n">
        <x:v>77</x:v>
      </x:c>
      <x:c r="I189" s="13" t="n">
        <x:v>3</x:v>
      </x:c>
      <x:c r="J189" s="13" t="n">
        <x:v>90271570.8</x:v>
      </x:c>
      <x:c r="K189" s="13" t="n">
        <x:v>90442522.5</x:v>
      </x:c>
      <x:c r="L189" s="13" t="n">
        <x:v>370</x:v>
      </x:c>
      <x:c r="M189" s="13" t="n">
        <x:v>0.030066380320187425</x:v>
      </x:c>
      <x:c r="N189" s="13" t="n">
        <x:v>0.0012077294685990338</x:v>
      </x:c>
      <x:c r="O189" s="13" t="n">
        <x:v>0.06860887456508868</x:v>
      </x:c>
      <x:c r="P189" s="13" t="n">
        <x:v>0.1906840888919258</x:v>
      </x:c>
      <x:c r="Q189" s="13" t="n">
        <x:v>2439772.1837837836</x:v>
      </x:c>
      <x:c r="R189" s="13" t="n">
        <x:v>0.2896918998410688</x:v>
      </x:c>
      <x:c r="S189" s="13" t="n">
        <x:v>0.012919136773371418</x:v>
      </x:c>
      <x:c r="T189" s="13" t="n">
        <x:v>37</x:v>
      </x:c>
      <x:c r="U189" s="13" t="n">
        <x:v>2158</x:v>
      </x:c>
      <x:c r="V189" s="13" t="n">
        <x:v>2073</x:v>
      </x:c>
      <x:c r="W189" s="13" t="n">
        <x:v>85</x:v>
      </x:c>
      <x:c r="X189" s="13" t="n">
        <x:v>7</x:v>
      </x:c>
      <x:c r="Y189" s="13" t="n">
        <x:v>91848517.14</x:v>
      </x:c>
      <x:c r="Z189" s="13" t="n">
        <x:v>92649888.08000001</x:v>
      </x:c>
      <x:c r="AA189" s="13" t="n">
        <x:v>246</x:v>
      </x:c>
      <x:c r="AB189" s="13" t="n">
        <x:v>0.03938832252085264</x:v>
      </x:c>
      <x:c r="AC189" s="13" t="n">
        <x:v>0.003376748673420164</x:v>
      </x:c>
      <x:c r="AD189" s="13" t="n">
        <x:v>0.03906821326759935</x:v>
      </x:c>
      <x:c r="AE189" s="13" t="n">
        <x:v>0.10876178675250052</x:v>
      </x:c>
      <x:c r="AF189" s="13" t="n">
        <x:v>2482392.3551351354</x:v>
      </x:c>
      <x:c r="AG189" s="13" t="n">
        <x:v>0.3152568948603454</x:v>
      </x:c>
      <x:c r="AH189" s="13" t="n">
        <x:v>0.0166910607557826</x:v>
      </x:c>
      <x:c r="AI189" s="13" t="n">
        <x:v>37</x:v>
      </x:c>
      <x:c r="AJ189" s="13" t="n">
        <x:v>1576946.3400000036</x:v>
      </x:c>
      <x:c r="AK189" s="13" t="n">
        <x:v>0.9761751943176226</x:v>
      </x:c>
      <x:c r="AL189" s="13" t="n">
        <x:v>0.034329307056579786</x:v>
      </x:c>
      <x:c r="AM189" s="13" t="n">
        <x:v>0.0021944261575597983</x:v>
      </x:c>
      <x:c r="AN189" s="13" t="n">
        <x:v>0.05383854391634402</x:v>
      </x:c>
      <x:c r="AO189" s="13" t="n">
        <x:v>0.30247439735070714</x:v>
      </x:c>
      <x:c r="AP189" s="13" t="n">
        <x:v>0.014805098764577009</x:v>
      </x:c>
    </x:row>
    <x:row r="190" ht="15" hidden="0" customHeight="1">
      <x:c r="A190" s="2" t="str">
        <x:v>E189</x:v>
      </x:c>
      <x:c r="B190" s="2" t="str">
        <x:v>***石油工程技术服务有限公司</x:v>
      </x:c>
      <x:c r="C190" s="2" t="str">
        <x:v>无信贷记录</x:v>
      </x:c>
      <x:c r="D190" s="2" t="str"/>
      <x:c r="E190" s="2" t="str"/>
      <x:c r="F190" s="13" t="n">
        <x:v>3402</x:v>
      </x:c>
      <x:c r="G190" s="13" t="n">
        <x:v>3337</x:v>
      </x:c>
      <x:c r="H190" s="13" t="n">
        <x:v>65</x:v>
      </x:c>
      <x:c r="I190" s="13" t="n">
        <x:v>11</x:v>
      </x:c>
      <x:c r="J190" s="13" t="n">
        <x:v>32635434.69</x:v>
      </x:c>
      <x:c r="K190" s="13" t="n">
        <x:v>32654415.53</x:v>
      </x:c>
      <x:c r="L190" s="13" t="n">
        <x:v>828</x:v>
      </x:c>
      <x:c r="M190" s="13" t="n">
        <x:v>0.019106407995296885</x:v>
      </x:c>
      <x:c r="N190" s="13" t="n">
        <x:v>0.003296373988612526</x:v>
      </x:c>
      <x:c r="O190" s="13" t="n">
        <x:v>0.061989556692904936</x:v>
      </x:c>
      <x:c r="P190" s="13" t="n">
        <x:v>0.12971911244616907</x:v>
      </x:c>
      <x:c r="Q190" s="13" t="n">
        <x:v>882038.7754054053</x:v>
      </x:c>
      <x:c r="R190" s="13" t="n">
        <x:v>1.1229678856233216</x:v>
      </x:c>
      <x:c r="S190" s="13" t="n">
        <x:v>0.0356874579466548</x:v>
      </x:c>
      <x:c r="T190" s="13" t="n">
        <x:v>37</x:v>
      </x:c>
      <x:c r="U190" s="13" t="n">
        <x:v>641</x:v>
      </x:c>
      <x:c r="V190" s="13" t="n">
        <x:v>606</x:v>
      </x:c>
      <x:c r="W190" s="13" t="n">
        <x:v>35</x:v>
      </x:c>
      <x:c r="X190" s="13" t="n">
        <x:v>13</x:v>
      </x:c>
      <x:c r="Y190" s="13" t="n">
        <x:v>54653206.239999995</x:v>
      </x:c>
      <x:c r="Z190" s="13" t="n">
        <x:v>57079086.239999995</x:v>
      </x:c>
      <x:c r="AA190" s="13" t="n">
        <x:v>25</x:v>
      </x:c>
      <x:c r="AB190" s="13" t="n">
        <x:v>0.054602184087363496</x:v>
      </x:c>
      <x:c r="AC190" s="13" t="n">
        <x:v>0.02145214521452145</x:v>
      </x:c>
      <x:c r="AD190" s="13" t="n">
        <x:v>0.13637863744538417</x:v>
      </x:c>
      <x:c r="AE190" s="13" t="n">
        <x:v>0.3022287001488621</x:v>
      </x:c>
      <x:c r="AF190" s="13" t="n">
        <x:v>1518144.6177777776</x:v>
      </x:c>
      <x:c r="AG190" s="13" t="n">
        <x:v>1.3165915492055773</x:v>
      </x:c>
      <x:c r="AH190" s="13" t="n">
        <x:v>0.05078831336139649</x:v>
      </x:c>
      <x:c r="AI190" s="13" t="n">
        <x:v>30</x:v>
      </x:c>
      <x:c r="AJ190" s="13" t="n">
        <x:v>22017771.549999993</x:v>
      </x:c>
      <x:c r="AK190" s="13" t="n">
        <x:v>0.572090719755012</x:v>
      </x:c>
      <x:c r="AL190" s="13" t="n">
        <x:v>0.02473410833539451</x:v>
      </x:c>
      <x:c r="AM190" s="13" t="n">
        <x:v>0.006086735987826528</x:v>
      </x:c>
      <x:c r="AN190" s="13" t="n">
        <x:v>0.09918409706914455</x:v>
      </x:c>
      <x:c r="AO190" s="13" t="n">
        <x:v>1.2197797174144496</x:v>
      </x:c>
      <x:c r="AP190" s="13" t="n">
        <x:v>0.04323788565402564</x:v>
      </x:c>
    </x:row>
    <x:row r="191" ht="15" hidden="0" customHeight="1">
      <x:c r="A191" s="2" t="str">
        <x:v>E190</x:v>
      </x:c>
      <x:c r="B191" s="2" t="str">
        <x:v>***劳务有限公司</x:v>
      </x:c>
      <x:c r="C191" s="2" t="str">
        <x:v>无信贷记录</x:v>
      </x:c>
      <x:c r="D191" s="2" t="str"/>
      <x:c r="E191" s="2" t="str"/>
      <x:c r="F191" s="13" t="n">
        <x:v>128</x:v>
      </x:c>
      <x:c r="G191" s="13" t="n">
        <x:v>122</x:v>
      </x:c>
      <x:c r="H191" s="13" t="n">
        <x:v>6</x:v>
      </x:c>
      <x:c r="I191" s="13" t="n">
        <x:v>1</x:v>
      </x:c>
      <x:c r="J191" s="13" t="n">
        <x:v>1680924.07</x:v>
      </x:c>
      <x:c r="K191" s="13" t="n">
        <x:v>1880924.07</x:v>
      </x:c>
      <x:c r="L191" s="13" t="n">
        <x:v>54</x:v>
      </x:c>
      <x:c r="M191" s="13" t="n">
        <x:v>0.046875</x:v>
      </x:c>
      <x:c r="N191" s="13" t="n">
        <x:v>0.00819672131147541</x:v>
      </x:c>
      <x:c r="O191" s="13" t="n">
        <x:v>0.25784782057393024</x:v>
      </x:c>
      <x:c r="P191" s="13" t="n">
        <x:v>0.42532285739742803</x:v>
      </x:c>
      <x:c r="Q191" s="13" t="n">
        <x:v>45430.380270270274</x:v>
      </x:c>
      <x:c r="R191" s="13" t="n">
        <x:v>2.4919767251468317</x:v>
      </x:c>
      <x:c r="S191" s="13" t="n">
        <x:v>0.01597168207531269</x:v>
      </x:c>
      <x:c r="T191" s="13" t="n">
        <x:v>29</x:v>
      </x:c>
      <x:c r="U191" s="13" t="n">
        <x:v>401</x:v>
      </x:c>
      <x:c r="V191" s="13" t="n">
        <x:v>344</x:v>
      </x:c>
      <x:c r="W191" s="13" t="n">
        <x:v>57</x:v>
      </x:c>
      <x:c r="X191" s="13" t="n">
        <x:v>14</x:v>
      </x:c>
      <x:c r="Y191" s="13" t="n">
        <x:v>123267236.7</x:v>
      </x:c>
      <x:c r="Z191" s="13" t="n">
        <x:v>135493059.2</x:v>
      </x:c>
      <x:c r="AA191" s="13" t="n">
        <x:v>28</x:v>
      </x:c>
      <x:c r="AB191" s="13" t="n">
        <x:v>0.14214463840399003</x:v>
      </x:c>
      <x:c r="AC191" s="13" t="n">
        <x:v>0.040697674418604654</x:v>
      </x:c>
      <x:c r="AD191" s="13" t="n">
        <x:v>0.12503045023296772</x:v>
      </x:c>
      <x:c r="AE191" s="13" t="n">
        <x:v>0.2692793260807857</x:v>
      </x:c>
      <x:c r="AF191" s="13" t="n">
        <x:v>3331546.9378378377</x:v>
      </x:c>
      <x:c r="AG191" s="13" t="n">
        <x:v>0.9393222484550549</x:v>
      </x:c>
      <x:c r="AH191" s="13" t="n">
        <x:v>-0.014266731369985327</x:v>
      </x:c>
      <x:c r="AI191" s="13" t="n">
        <x:v>33</x:v>
      </x:c>
      <x:c r="AJ191" s="13" t="n">
        <x:v>121586312.63000001</x:v>
      </x:c>
      <x:c r="AK191" s="13" t="n">
        <x:v>0.013882069539987184</x:v>
      </x:c>
      <x:c r="AL191" s="13" t="n">
        <x:v>0.11909262759924386</x:v>
      </x:c>
      <x:c r="AM191" s="13" t="n">
        <x:v>0.032188841201716736</x:v>
      </x:c>
      <x:c r="AN191" s="13" t="n">
        <x:v>0.19143913540344898</x:v>
      </x:c>
      <x:c r="AO191" s="13" t="n">
        <x:v>1.7156494868009433</x:v>
      </x:c>
      <x:c r="AP191" s="13" t="n">
        <x:v>0.0008524753526636822</x:v>
      </x:c>
    </x:row>
    <x:row r="192" ht="15" hidden="0" customHeight="1">
      <x:c r="A192" s="2" t="str">
        <x:v>E191</x:v>
      </x:c>
      <x:c r="B192" s="2" t="str">
        <x:v>***商贸有限责任公司</x:v>
      </x:c>
      <x:c r="C192" s="2" t="str">
        <x:v>无信贷记录</x:v>
      </x:c>
      <x:c r="D192" s="2" t="str"/>
      <x:c r="E192" s="2" t="str"/>
      <x:c r="F192" s="13" t="n">
        <x:v>1210</x:v>
      </x:c>
      <x:c r="G192" s="13" t="n">
        <x:v>1177</x:v>
      </x:c>
      <x:c r="H192" s="13" t="n">
        <x:v>33</x:v>
      </x:c>
      <x:c r="I192" s="13" t="n">
        <x:v>4</x:v>
      </x:c>
      <x:c r="J192" s="13" t="n">
        <x:v>304103652.19</x:v>
      </x:c>
      <x:c r="K192" s="13" t="n">
        <x:v>304175045.99</x:v>
      </x:c>
      <x:c r="L192" s="13" t="n">
        <x:v>141</x:v>
      </x:c>
      <x:c r="M192" s="13" t="n">
        <x:v>0.02727272727272727</x:v>
      </x:c>
      <x:c r="N192" s="13" t="n">
        <x:v>0.0033984706881903144</x:v>
      </x:c>
      <x:c r="O192" s="13" t="n">
        <x:v>0.34689440205276956</x:v>
      </x:c>
      <x:c r="P192" s="13" t="n">
        <x:v>0.5279254367410509</x:v>
      </x:c>
      <x:c r="Q192" s="13" t="n">
        <x:v>8219017.626756758</x:v>
      </x:c>
      <x:c r="R192" s="13" t="n">
        <x:v>1.8249050655631578</x:v>
      </x:c>
      <x:c r="S192" s="13" t="n">
        <x:v>-0.07471743464296395</x:v>
      </x:c>
      <x:c r="T192" s="13" t="n">
        <x:v>37</x:v>
      </x:c>
      <x:c r="U192" s="13" t="n">
        <x:v>2871</x:v>
      </x:c>
      <x:c r="V192" s="13" t="n">
        <x:v>2731</x:v>
      </x:c>
      <x:c r="W192" s="13" t="n">
        <x:v>140</x:v>
      </x:c>
      <x:c r="X192" s="13" t="n">
        <x:v>1</x:v>
      </x:c>
      <x:c r="Y192" s="13" t="n">
        <x:v>298532981.41999996</x:v>
      </x:c>
      <x:c r="Z192" s="13" t="n">
        <x:v>298536797.41999996</x:v>
      </x:c>
      <x:c r="AA192" s="13" t="n">
        <x:v>103</x:v>
      </x:c>
      <x:c r="AB192" s="13" t="n">
        <x:v>0.04876349703935911</x:v>
      </x:c>
      <x:c r="AC192" s="13" t="n">
        <x:v>0.0003661662394727206</x:v>
      </x:c>
      <x:c r="AD192" s="13" t="n">
        <x:v>0.35999655444629824</x:v>
      </x:c>
      <x:c r="AE192" s="13" t="n">
        <x:v>0.4325151361101514</x:v>
      </x:c>
      <x:c r="AF192" s="13" t="n">
        <x:v>10661892.19357143</x:v>
      </x:c>
      <x:c r="AG192" s="13" t="n">
        <x:v>1.0062287255133362</x:v>
      </x:c>
      <x:c r="AH192" s="13" t="n">
        <x:v>-0.029545815859461897</x:v>
      </x:c>
      <x:c r="AI192" s="13" t="n">
        <x:v>27</x:v>
      </x:c>
      <x:c r="AJ192" s="13" t="n">
        <x:v>-5570670.7700000405</x:v>
      </x:c>
      <x:c r="AK192" s="13" t="n">
        <x:v>1.0188862767294573</x:v>
      </x:c>
      <x:c r="AL192" s="13" t="n">
        <x:v>0.04239157069345749</x:v>
      </x:c>
      <x:c r="AM192" s="13" t="n">
        <x:v>0.00127942681678608</x:v>
      </x:c>
      <x:c r="AN192" s="13" t="n">
        <x:v>0.3534454782495339</x:v>
      </x:c>
      <x:c r="AO192" s="13" t="n">
        <x:v>1.415566895538247</x:v>
      </x:c>
      <x:c r="AP192" s="13" t="n">
        <x:v>-0.05213162525121292</x:v>
      </x:c>
    </x:row>
    <x:row r="193" ht="15" hidden="0" customHeight="1">
      <x:c r="A193" s="2" t="str">
        <x:v>E192</x:v>
      </x:c>
      <x:c r="B193" s="2" t="str">
        <x:v>***建设工程有限公司</x:v>
      </x:c>
      <x:c r="C193" s="2" t="str">
        <x:v>无信贷记录</x:v>
      </x:c>
      <x:c r="D193" s="2" t="str"/>
      <x:c r="E193" s="2" t="str"/>
      <x:c r="F193" s="13" t="n">
        <x:v>111</x:v>
      </x:c>
      <x:c r="G193" s="13" t="n">
        <x:v>98</x:v>
      </x:c>
      <x:c r="H193" s="13" t="n">
        <x:v>13</x:v>
      </x:c>
      <x:c r="I193" s="13" t="n">
        <x:v>3</x:v>
      </x:c>
      <x:c r="J193" s="13" t="n">
        <x:v>18895927.4</x:v>
      </x:c>
      <x:c r="K193" s="13" t="n">
        <x:v>20636067.4</x:v>
      </x:c>
      <x:c r="L193" s="13" t="n">
        <x:v>29</x:v>
      </x:c>
      <x:c r="M193" s="13" t="n">
        <x:v>0.11711711711711711</x:v>
      </x:c>
      <x:c r="N193" s="13" t="n">
        <x:v>0.030612244897959183</x:v>
      </x:c>
      <x:c r="O193" s="13" t="n">
        <x:v>0.126549680439023</x:v>
      </x:c>
      <x:c r="P193" s="13" t="n">
        <x:v>0.20788844680745713</x:v>
      </x:c>
      <x:c r="Q193" s="13" t="n">
        <x:v>629864.2466666666</x:v>
      </x:c>
      <x:c r="R193" s="13" t="n">
        <x:v>1.7555363633130403</x:v>
      </x:c>
      <x:c r="S193" s="13" t="n">
        <x:v>0.12149729366835826</x:v>
      </x:c>
      <x:c r="T193" s="13" t="n">
        <x:v>21</x:v>
      </x:c>
      <x:c r="U193" s="13" t="n">
        <x:v>86</x:v>
      </x:c>
      <x:c r="V193" s="13" t="n">
        <x:v>68</x:v>
      </x:c>
      <x:c r="W193" s="13" t="n">
        <x:v>18</x:v>
      </x:c>
      <x:c r="X193" s="13" t="n">
        <x:v>2</x:v>
      </x:c>
      <x:c r="Y193" s="13" t="n">
        <x:v>44901851.86000001</x:v>
      </x:c>
      <x:c r="Z193" s="13" t="n">
        <x:v>47328279.86000001</x:v>
      </x:c>
      <x:c r="AA193" s="13" t="n">
        <x:v>7</x:v>
      </x:c>
      <x:c r="AB193" s="13" t="n">
        <x:v>0.20930232558139536</x:v>
      </x:c>
      <x:c r="AC193" s="13" t="n">
        <x:v>0.029411764705882353</x:v>
      </x:c>
      <x:c r="AD193" s="13" t="n">
        <x:v>0.4046350639928641</x:v>
      </x:c>
      <x:c r="AE193" s="13" t="n">
        <x:v>0.5993653594407223</x:v>
      </x:c>
      <x:c r="AF193" s="13" t="n">
        <x:v>1213563.5637837837</x:v>
      </x:c>
      <x:c r="AG193" s="13" t="n">
        <x:v>1.6291197988367305</x:v>
      </x:c>
      <x:c r="AH193" s="13" t="n">
        <x:v>0.06082517453274738</x:v>
      </x:c>
      <x:c r="AI193" s="13" t="n">
        <x:v>17</x:v>
      </x:c>
      <x:c r="AJ193" s="13" t="n">
        <x:v>26005924.46000001</x:v>
      </x:c>
      <x:c r="AK193" s="13" t="n">
        <x:v>0.4360198059393405</x:v>
      </x:c>
      <x:c r="AL193" s="13" t="n">
        <x:v>0.15736040609137056</x:v>
      </x:c>
      <x:c r="AM193" s="13" t="n">
        <x:v>0.030120481927710843</x:v>
      </x:c>
      <x:c r="AN193" s="13" t="n">
        <x:v>0.26559237221594356</x:v>
      </x:c>
      <x:c r="AO193" s="13" t="n">
        <x:v>1.6923280810748853</x:v>
      </x:c>
      <x:c r="AP193" s="13" t="n">
        <x:v>0.09116123410055282</x:v>
      </x:c>
    </x:row>
    <x:row r="194" ht="15" hidden="0" customHeight="1">
      <x:c r="A194" s="2" t="str">
        <x:v>E193</x:v>
      </x:c>
      <x:c r="B194" s="2" t="str">
        <x:v>个体经营E193 </x:v>
      </x:c>
      <x:c r="C194" s="2" t="str">
        <x:v>无信贷记录</x:v>
      </x:c>
      <x:c r="D194" s="2" t="str"/>
      <x:c r="E194" s="2" t="str"/>
      <x:c r="F194" s="13" t="n">
        <x:v>1616</x:v>
      </x:c>
      <x:c r="G194" s="13" t="n">
        <x:v>1539</x:v>
      </x:c>
      <x:c r="H194" s="13" t="n">
        <x:v>77</x:v>
      </x:c>
      <x:c r="I194" s="13" t="n">
        <x:v>6</x:v>
      </x:c>
      <x:c r="J194" s="13" t="n">
        <x:v>19545794.71</x:v>
      </x:c>
      <x:c r="K194" s="13" t="n">
        <x:v>19808074.71</x:v>
      </x:c>
      <x:c r="L194" s="13" t="n">
        <x:v>289</x:v>
      </x:c>
      <x:c r="M194" s="13" t="n">
        <x:v>0.04764851485148515</x:v>
      </x:c>
      <x:c r="N194" s="13" t="n">
        <x:v>0.003898635477582846</x:v>
      </x:c>
      <x:c r="O194" s="13" t="n">
        <x:v>0.11907126183711808</x:v>
      </x:c>
      <x:c r="P194" s="13" t="n">
        <x:v>0.3131295706830459</x:v>
      </x:c>
      <x:c r="Q194" s="13" t="n">
        <x:v>542938.7419444444</x:v>
      </x:c>
      <x:c r="R194" s="13" t="n">
        <x:v>0.6774102863045526</x:v>
      </x:c>
      <x:c r="S194" s="13" t="n">
        <x:v>0.018143832870561243</x:v>
      </x:c>
      <x:c r="T194" s="13" t="n">
        <x:v>36</x:v>
      </x:c>
      <x:c r="U194" s="13" t="n">
        <x:v>32311</x:v>
      </x:c>
      <x:c r="V194" s="13" t="n">
        <x:v>30077</x:v>
      </x:c>
      <x:c r="W194" s="13" t="n">
        <x:v>2234</x:v>
      </x:c>
      <x:c r="X194" s="13" t="n">
        <x:v>367</x:v>
      </x:c>
      <x:c r="Y194" s="13" t="n">
        <x:v>141792786.74</x:v>
      </x:c>
      <x:c r="Z194" s="13" t="n">
        <x:v>144082526.07999998</x:v>
      </x:c>
      <x:c r="AA194" s="13" t="n">
        <x:v>2537</x:v>
      </x:c>
      <x:c r="AB194" s="13" t="n">
        <x:v>0.0691405403732475</x:v>
      </x:c>
      <x:c r="AC194" s="13" t="n">
        <x:v>0.012202014828606576</x:v>
      </x:c>
      <x:c r="AD194" s="13" t="n">
        <x:v>0.00828404682851505</x:v>
      </x:c>
      <x:c r="AE194" s="13" t="n">
        <x:v>0.03634205973799095</x:v>
      </x:c>
      <x:c r="AF194" s="13" t="n">
        <x:v>3938688.520555555</x:v>
      </x:c>
      <x:c r="AG194" s="13" t="n">
        <x:v>0.44829084295877725</x:v>
      </x:c>
      <x:c r="AH194" s="13" t="n">
        <x:v>-0.02767513689347407</x:v>
      </x:c>
      <x:c r="AI194" s="13" t="n">
        <x:v>36</x:v>
      </x:c>
      <x:c r="AJ194" s="13" t="n">
        <x:v>122246992.03</x:v>
      </x:c>
      <x:c r="AK194" s="13" t="n">
        <x:v>0.13747728644764196</x:v>
      </x:c>
      <x:c r="AL194" s="13" t="n">
        <x:v>0.06811683909570548</x:v>
      </x:c>
      <x:c r="AM194" s="13" t="n">
        <x:v>0.011797823886639676</x:v>
      </x:c>
      <x:c r="AN194" s="13" t="n">
        <x:v>0.06367765433281657</x:v>
      </x:c>
      <x:c r="AO194" s="13" t="n">
        <x:v>0.5628505646316649</x:v>
      </x:c>
      <x:c r="AP194" s="13" t="n">
        <x:v>-0.004765652011456413</x:v>
      </x:c>
    </x:row>
    <x:row r="195" ht="15" hidden="0" customHeight="1">
      <x:c r="A195" s="2" t="str">
        <x:v>E194</x:v>
      </x:c>
      <x:c r="B195" s="2" t="str">
        <x:v>***文化传播有限公司</x:v>
      </x:c>
      <x:c r="C195" s="2" t="str">
        <x:v>无信贷记录</x:v>
      </x:c>
      <x:c r="D195" s="2" t="str"/>
      <x:c r="E195" s="2" t="str"/>
      <x:c r="F195" s="13" t="n">
        <x:v>4849</x:v>
      </x:c>
      <x:c r="G195" s="13" t="n">
        <x:v>4757</x:v>
      </x:c>
      <x:c r="H195" s="13" t="n">
        <x:v>92</x:v>
      </x:c>
      <x:c r="I195" s="13" t="n">
        <x:v>11</x:v>
      </x:c>
      <x:c r="J195" s="13" t="n">
        <x:v>11882193.02</x:v>
      </x:c>
      <x:c r="K195" s="13" t="n">
        <x:v>12058188.6</x:v>
      </x:c>
      <x:c r="L195" s="13" t="n">
        <x:v>918</x:v>
      </x:c>
      <x:c r="M195" s="13" t="n">
        <x:v>0.018972984120437204</x:v>
      </x:c>
      <x:c r="N195" s="13" t="n">
        <x:v>0.002312381753205802</x:v>
      </x:c>
      <x:c r="O195" s="13" t="n">
        <x:v>0.15613876799853552</x:v>
      </x:c>
      <x:c r="P195" s="13" t="n">
        <x:v>0.27327949323997136</x:v>
      </x:c>
      <x:c r="Q195" s="13" t="n">
        <x:v>360066.4551515152</x:v>
      </x:c>
      <x:c r="R195" s="13" t="n">
        <x:v>0.6758247081300937</x:v>
      </x:c>
      <x:c r="S195" s="13" t="n">
        <x:v>-0.0025771435649857752</x:v>
      </x:c>
      <x:c r="T195" s="13" t="n">
        <x:v>33</x:v>
      </x:c>
      <x:c r="U195" s="13" t="n">
        <x:v>11741</x:v>
      </x:c>
      <x:c r="V195" s="13" t="n">
        <x:v>11053</x:v>
      </x:c>
      <x:c r="W195" s="13" t="n">
        <x:v>688</x:v>
      </x:c>
      <x:c r="X195" s="13" t="n">
        <x:v>391</x:v>
      </x:c>
      <x:c r="Y195" s="13" t="n">
        <x:v>88998319.09</x:v>
      </x:c>
      <x:c r="Z195" s="13" t="n">
        <x:v>97836333.00999999</x:v>
      </x:c>
      <x:c r="AA195" s="13" t="n">
        <x:v>3264</x:v>
      </x:c>
      <x:c r="AB195" s="13" t="n">
        <x:v>0.05859807512136956</x:v>
      </x:c>
      <x:c r="AC195" s="13" t="n">
        <x:v>0.03537501130914684</x:v>
      </x:c>
      <x:c r="AD195" s="13" t="n">
        <x:v>0.05705042435472701</x:v>
      </x:c>
      <x:c r="AE195" s="13" t="n">
        <x:v>0.20603078968566504</x:v>
      </x:c>
      <x:c r="AF195" s="13" t="n">
        <x:v>2696918.7603030303</x:v>
      </x:c>
      <x:c r="AG195" s="13" t="n">
        <x:v>0.6471980489978517</x:v>
      </x:c>
      <x:c r="AH195" s="13" t="n">
        <x:v>0.009948105562156003</x:v>
      </x:c>
      <x:c r="AI195" s="13" t="n">
        <x:v>33</x:v>
      </x:c>
      <x:c r="AJ195" s="13" t="n">
        <x:v>77116126.07000001</x:v>
      </x:c>
      <x:c r="AK195" s="13" t="n">
        <x:v>0.1232485747270139</x:v>
      </x:c>
      <x:c r="AL195" s="13" t="n">
        <x:v>0.04701627486437613</x:v>
      </x:c>
      <x:c r="AM195" s="13" t="n">
        <x:v>0.025426944971537004</x:v>
      </x:c>
      <x:c r="AN195" s="13" t="n">
        <x:v>0.10659459617663126</x:v>
      </x:c>
      <x:c r="AO195" s="13" t="n">
        <x:v>0.6615113785639727</x:v>
      </x:c>
      <x:c r="AP195" s="13" t="n">
        <x:v>0.0036854809985851136</x:v>
      </x:c>
    </x:row>
    <x:row r="196" ht="15" hidden="0" customHeight="1">
      <x:c r="A196" s="2" t="str">
        <x:v>E195</x:v>
      </x:c>
      <x:c r="B196" s="2" t="str">
        <x:v>***医药有限公司</x:v>
      </x:c>
      <x:c r="C196" s="2" t="str">
        <x:v>无信贷记录</x:v>
      </x:c>
      <x:c r="D196" s="2" t="str"/>
      <x:c r="E196" s="2" t="str"/>
      <x:c r="F196" s="13" t="n">
        <x:v>2336</x:v>
      </x:c>
      <x:c r="G196" s="13" t="n">
        <x:v>2267</x:v>
      </x:c>
      <x:c r="H196" s="13" t="n">
        <x:v>69</x:v>
      </x:c>
      <x:c r="I196" s="13" t="n">
        <x:v>46</x:v>
      </x:c>
      <x:c r="J196" s="13" t="n">
        <x:v>86953398.85</x:v>
      </x:c>
      <x:c r="K196" s="13" t="n">
        <x:v>89628356.25</x:v>
      </x:c>
      <x:c r="L196" s="13" t="n">
        <x:v>513</x:v>
      </x:c>
      <x:c r="M196" s="13" t="n">
        <x:v>0.029537671232876712</x:v>
      </x:c>
      <x:c r="N196" s="13" t="n">
        <x:v>0.020291133656815175</x:v>
      </x:c>
      <x:c r="O196" s="13" t="n">
        <x:v>0.10973791349624473</x:v>
      </x:c>
      <x:c r="P196" s="13" t="n">
        <x:v>0.20397643742350793</x:v>
      </x:c>
      <x:c r="Q196" s="13" t="n">
        <x:v>2350091.860810811</x:v>
      </x:c>
      <x:c r="R196" s="13" t="n">
        <x:v>0.6407126506967108</x:v>
      </x:c>
      <x:c r="S196" s="13" t="n">
        <x:v>-0.015682939290453682</x:v>
      </x:c>
      <x:c r="T196" s="13" t="n">
        <x:v>37</x:v>
      </x:c>
      <x:c r="U196" s="13" t="n">
        <x:v>4857</x:v>
      </x:c>
      <x:c r="V196" s="13" t="n">
        <x:v>4626</x:v>
      </x:c>
      <x:c r="W196" s="13" t="n">
        <x:v>231</x:v>
      </x:c>
      <x:c r="X196" s="13" t="n">
        <x:v>81</x:v>
      </x:c>
      <x:c r="Y196" s="13" t="n">
        <x:v>127396060.13</x:v>
      </x:c>
      <x:c r="Z196" s="13" t="n">
        <x:v>128740131.53</x:v>
      </x:c>
      <x:c r="AA196" s="13" t="n">
        <x:v>402</x:v>
      </x:c>
      <x:c r="AB196" s="13" t="n">
        <x:v>0.04756022235948116</x:v>
      </x:c>
      <x:c r="AC196" s="13" t="n">
        <x:v>0.017509727626459144</x:v>
      </x:c>
      <x:c r="AD196" s="13" t="n">
        <x:v>0.05360275685899774</x:v>
      </x:c>
      <x:c r="AE196" s="13" t="n">
        <x:v>0.16311164786332885</x:v>
      </x:c>
      <x:c r="AF196" s="13" t="n">
        <x:v>3443136.760270271</x:v>
      </x:c>
      <x:c r="AG196" s="13" t="n">
        <x:v>0.4461827028678063</x:v>
      </x:c>
      <x:c r="AH196" s="13" t="n">
        <x:v>-0.027515109627700166</x:v>
      </x:c>
      <x:c r="AI196" s="13" t="n">
        <x:v>37</x:v>
      </x:c>
      <x:c r="AJ196" s="13" t="n">
        <x:v>40442661.28</x:v>
      </x:c>
      <x:c r="AK196" s="13" t="n">
        <x:v>0.6961959350578582</x:v>
      </x:c>
      <x:c r="AL196" s="13" t="n">
        <x:v>0.04170721534825525</x:v>
      </x:c>
      <x:c r="AM196" s="13" t="n">
        <x:v>0.018424488611634992</x:v>
      </x:c>
      <x:c r="AN196" s="13" t="n">
        <x:v>0.08167033517762123</x:v>
      </x:c>
      <x:c r="AO196" s="13" t="n">
        <x:v>0.5434476767822586</x:v>
      </x:c>
      <x:c r="AP196" s="13" t="n">
        <x:v>-0.021599024459076924</x:v>
      </x:c>
    </x:row>
    <x:row r="197" ht="15" hidden="0" customHeight="1">
      <x:c r="A197" s="2" t="str">
        <x:v>E196</x:v>
      </x:c>
      <x:c r="B197" s="2" t="str">
        <x:v>***地质制图印刷厂</x:v>
      </x:c>
      <x:c r="C197" s="2" t="str">
        <x:v>无信贷记录</x:v>
      </x:c>
      <x:c r="D197" s="2" t="str"/>
      <x:c r="E197" s="2" t="str"/>
      <x:c r="F197" s="13" t="n">
        <x:v>1386</x:v>
      </x:c>
      <x:c r="G197" s="13" t="n">
        <x:v>1336</x:v>
      </x:c>
      <x:c r="H197" s="13" t="n">
        <x:v>50</x:v>
      </x:c>
      <x:c r="I197" s="13" t="n">
        <x:v>9</x:v>
      </x:c>
      <x:c r="J197" s="13" t="n">
        <x:v>48827578.52</x:v>
      </x:c>
      <x:c r="K197" s="13" t="n">
        <x:v>48920942.28</x:v>
      </x:c>
      <x:c r="L197" s="13" t="n">
        <x:v>154</x:v>
      </x:c>
      <x:c r="M197" s="13" t="n">
        <x:v>0.03607503607503607</x:v>
      </x:c>
      <x:c r="N197" s="13" t="n">
        <x:v>0.006736526946107785</x:v>
      </x:c>
      <x:c r="O197" s="13" t="n">
        <x:v>0.18545542706539003</x:v>
      </x:c>
      <x:c r="P197" s="13" t="n">
        <x:v>0.3455091723960964</x:v>
      </x:c>
      <x:c r="Q197" s="13" t="n">
        <x:v>1284936.2768421052</x:v>
      </x:c>
      <x:c r="R197" s="13" t="n">
        <x:v>0.7157446386148517</x:v>
      </x:c>
      <x:c r="S197" s="13" t="n">
        <x:v>-0.005084313260514009</x:v>
      </x:c>
      <x:c r="T197" s="13" t="n">
        <x:v>38</x:v>
      </x:c>
      <x:c r="U197" s="13" t="n">
        <x:v>2962</x:v>
      </x:c>
      <x:c r="V197" s="13" t="n">
        <x:v>2755</x:v>
      </x:c>
      <x:c r="W197" s="13" t="n">
        <x:v>207</x:v>
      </x:c>
      <x:c r="X197" s="13" t="n">
        <x:v>86</x:v>
      </x:c>
      <x:c r="Y197" s="13" t="n">
        <x:v>83342845.75</x:v>
      </x:c>
      <x:c r="Z197" s="13" t="n">
        <x:v>88654916.36999999</x:v>
      </x:c>
      <x:c r="AA197" s="13" t="n">
        <x:v>700</x:v>
      </x:c>
      <x:c r="AB197" s="13" t="n">
        <x:v>0.06988521269412559</x:v>
      </x:c>
      <x:c r="AC197" s="13" t="n">
        <x:v>0.03121597096188748</x:v>
      </x:c>
      <x:c r="AD197" s="13" t="n">
        <x:v>0.0358862779280249</x:v>
      </x:c>
      <x:c r="AE197" s="13" t="n">
        <x:v>0.13047326356639818</x:v>
      </x:c>
      <x:c r="AF197" s="13" t="n">
        <x:v>2193232.782894737</x:v>
      </x:c>
      <x:c r="AG197" s="13" t="n">
        <x:v>0.5486793566089263</x:v>
      </x:c>
      <x:c r="AH197" s="13" t="n">
        <x:v>0.006469971599586086</x:v>
      </x:c>
      <x:c r="AI197" s="13" t="n">
        <x:v>38</x:v>
      </x:c>
      <x:c r="AJ197" s="13" t="n">
        <x:v>34515267.23</x:v>
      </x:c>
      <x:c r="AK197" s="13" t="n">
        <x:v>0.551813077977866</x:v>
      </x:c>
      <x:c r="AL197" s="13" t="n">
        <x:v>0.05910763569457222</x:v>
      </x:c>
      <x:c r="AM197" s="13" t="n">
        <x:v>0.023221706184307016</x:v>
      </x:c>
      <x:c r="AN197" s="13" t="n">
        <x:v>0.11067085249670747</x:v>
      </x:c>
      <x:c r="AO197" s="13" t="n">
        <x:v>0.632211997611889</x:v>
      </x:c>
      <x:c r="AP197" s="13" t="n">
        <x:v>0.0006928291695360387</x:v>
      </x:c>
    </x:row>
    <x:row r="198" ht="15" hidden="0" customHeight="1">
      <x:c r="A198" s="2" t="str">
        <x:v>E197</x:v>
      </x:c>
      <x:c r="B198" s="2" t="str">
        <x:v>***医疗设备有限公司</x:v>
      </x:c>
      <x:c r="C198" s="2" t="str">
        <x:v>无信贷记录</x:v>
      </x:c>
      <x:c r="D198" s="2" t="str"/>
      <x:c r="E198" s="2" t="str"/>
      <x:c r="F198" s="13" t="n">
        <x:v>3742</x:v>
      </x:c>
      <x:c r="G198" s="13" t="n">
        <x:v>3649</x:v>
      </x:c>
      <x:c r="H198" s="13" t="n">
        <x:v>93</x:v>
      </x:c>
      <x:c r="I198" s="13" t="n">
        <x:v>2</x:v>
      </x:c>
      <x:c r="J198" s="13" t="n">
        <x:v>99339824.47999999</x:v>
      </x:c>
      <x:c r="K198" s="13" t="n">
        <x:v>99344461.03999999</x:v>
      </x:c>
      <x:c r="L198" s="13" t="n">
        <x:v>805</x:v>
      </x:c>
      <x:c r="M198" s="13" t="n">
        <x:v>0.024853019775521113</x:v>
      </x:c>
      <x:c r="N198" s="13" t="n">
        <x:v>0.0005480953685941354</x:v>
      </x:c>
      <x:c r="O198" s="13" t="n">
        <x:v>0.13044596645101703</x:v>
      </x:c>
      <x:c r="P198" s="13" t="n">
        <x:v>0.3365425676479164</x:v>
      </x:c>
      <x:c r="Q198" s="13" t="n">
        <x:v>2921759.543529412</x:v>
      </x:c>
      <x:c r="R198" s="13" t="n">
        <x:v>0.8497358532948058</x:v>
      </x:c>
      <x:c r="S198" s="13" t="n">
        <x:v>0.023861011058769546</x:v>
      </x:c>
      <x:c r="T198" s="13" t="n">
        <x:v>34</x:v>
      </x:c>
      <x:c r="U198" s="13" t="n">
        <x:v>3828</x:v>
      </x:c>
      <x:c r="V198" s="13" t="n">
        <x:v>3568</x:v>
      </x:c>
      <x:c r="W198" s="13" t="n">
        <x:v>260</x:v>
      </x:c>
      <x:c r="X198" s="13" t="n">
        <x:v>46</x:v>
      </x:c>
      <x:c r="Y198" s="13" t="n">
        <x:v>163759319.68</x:v>
      </x:c>
      <x:c r="Z198" s="13" t="n">
        <x:v>169010937.51999998</x:v>
      </x:c>
      <x:c r="AA198" s="13" t="n">
        <x:v>1263</x:v>
      </x:c>
      <x:c r="AB198" s="13" t="n">
        <x:v>0.06792058516196448</x:v>
      </x:c>
      <x:c r="AC198" s="13" t="n">
        <x:v>0.01289237668161435</x:v>
      </x:c>
      <x:c r="AD198" s="13" t="n">
        <x:v>0.021795820499079598</x:v>
      </x:c>
      <x:c r="AE198" s="13" t="n">
        <x:v>0.11241875986725193</x:v>
      </x:c>
      <x:c r="AF198" s="13" t="n">
        <x:v>4816450.578823529</x:v>
      </x:c>
      <x:c r="AG198" s="13" t="n">
        <x:v>0.6365027295381105</x:v>
      </x:c>
      <x:c r="AH198" s="13" t="n">
        <x:v>0.03150880200366467</x:v>
      </x:c>
      <x:c r="AI198" s="13" t="n">
        <x:v>34</x:v>
      </x:c>
      <x:c r="AJ198" s="13" t="n">
        <x:v>64419495.20000002</x:v>
      </x:c>
      <x:c r="AK198" s="13" t="n">
        <x:v>0.5877990057788066</x:v>
      </x:c>
      <x:c r="AL198" s="13" t="n">
        <x:v>0.046631439894319685</x:v>
      </x:c>
      <x:c r="AM198" s="13" t="n">
        <x:v>0.00665096300401829</x:v>
      </x:c>
      <x:c r="AN198" s="13" t="n">
        <x:v>0.07612089347504832</x:v>
      </x:c>
      <x:c r="AO198" s="13" t="n">
        <x:v>0.7431192914164582</x:v>
      </x:c>
      <x:c r="AP198" s="13" t="n">
        <x:v>0.027684906531217107</x:v>
      </x:c>
    </x:row>
    <x:row r="199" ht="15" hidden="0" customHeight="1">
      <x:c r="A199" s="2" t="str">
        <x:v>E198</x:v>
      </x:c>
      <x:c r="B199" s="2" t="str">
        <x:v>***商贸有限公司</x:v>
      </x:c>
      <x:c r="C199" s="2" t="str">
        <x:v>无信贷记录</x:v>
      </x:c>
      <x:c r="D199" s="2" t="str"/>
      <x:c r="E199" s="2" t="str"/>
      <x:c r="F199" s="13" t="n">
        <x:v>1147</x:v>
      </x:c>
      <x:c r="G199" s="13" t="n">
        <x:v>1109</x:v>
      </x:c>
      <x:c r="H199" s="13" t="n">
        <x:v>38</x:v>
      </x:c>
      <x:c r="I199" s="13" t="n">
        <x:v>0</x:v>
      </x:c>
      <x:c r="J199" s="13" t="n">
        <x:v>66423102.82000001</x:v>
      </x:c>
      <x:c r="K199" s="13" t="n">
        <x:v>66423102.82000001</x:v>
      </x:c>
      <x:c r="L199" s="13" t="n">
        <x:v>213</x:v>
      </x:c>
      <x:c r="M199" s="13" t="n">
        <x:v>0.03312990409764603</x:v>
      </x:c>
      <x:c r="N199" s="13" t="n">
        <x:v>0</x:v>
      </x:c>
      <x:c r="O199" s="13" t="n">
        <x:v>0.07761037175215257</x:v>
      </x:c>
      <x:c r="P199" s="13" t="n">
        <x:v>0.13207292082956626</x:v>
      </x:c>
      <x:c r="Q199" s="13" t="n">
        <x:v>1795218.995135135</x:v>
      </x:c>
      <x:c r="R199" s="13" t="n">
        <x:v>0.8915410560163172</x:v>
      </x:c>
      <x:c r="S199" s="13" t="n">
        <x:v>0.04674748374259287</x:v>
      </x:c>
      <x:c r="T199" s="13" t="n">
        <x:v>37</x:v>
      </x:c>
      <x:c r="U199" s="13" t="n">
        <x:v>809</x:v>
      </x:c>
      <x:c r="V199" s="13" t="n">
        <x:v>728</x:v>
      </x:c>
      <x:c r="W199" s="13" t="n">
        <x:v>81</x:v>
      </x:c>
      <x:c r="X199" s="13" t="n">
        <x:v>55</x:v>
      </x:c>
      <x:c r="Y199" s="13" t="n">
        <x:v>65935879.49</x:v>
      </x:c>
      <x:c r="Z199" s="13" t="n">
        <x:v>78365074.61000001</x:v>
      </x:c>
      <x:c r="AA199" s="13" t="n">
        <x:v>42</x:v>
      </x:c>
      <x:c r="AB199" s="13" t="n">
        <x:v>0.10012360939431397</x:v>
      </x:c>
      <x:c r="AC199" s="13" t="n">
        <x:v>0.07554945054945054</x:v>
      </x:c>
      <x:c r="AD199" s="13" t="n">
        <x:v>0.1324317312903741</x:v>
      </x:c>
      <x:c r="AE199" s="13" t="n">
        <x:v>0.31700778852866585</x:v>
      </x:c>
      <x:c r="AF199" s="13" t="n">
        <x:v>1782050.7970270268</x:v>
      </x:c>
      <x:c r="AG199" s="13" t="n">
        <x:v>1.0568084592036127</x:v>
      </x:c>
      <x:c r="AH199" s="13" t="n">
        <x:v>0.048771004404708</x:v>
      </x:c>
      <x:c r="AI199" s="13" t="n">
        <x:v>33</x:v>
      </x:c>
      <x:c r="AJ199" s="13" t="n">
        <x:v>-487223.33000000566</x:v>
      </x:c>
      <x:c r="AK199" s="13" t="n">
        <x:v>0.8476110454889286</x:v>
      </x:c>
      <x:c r="AL199" s="13" t="n">
        <x:v>0.06083844580777096</x:v>
      </x:c>
      <x:c r="AM199" s="13" t="n">
        <x:v>0.029940119760479042</x:v>
      </x:c>
      <x:c r="AN199" s="13" t="n">
        <x:v>0.10502105152126334</x:v>
      </x:c>
      <x:c r="AO199" s="13" t="n">
        <x:v>0.9741747576099649</x:v>
      </x:c>
      <x:c r="AP199" s="13" t="n">
        <x:v>0.04775924407365044</x:v>
      </x:c>
    </x:row>
    <x:row r="200" ht="15" hidden="0" customHeight="1">
      <x:c r="A200" s="2" t="str">
        <x:v>E199</x:v>
      </x:c>
      <x:c r="B200" s="2" t="str">
        <x:v>***建筑劳务有限公司</x:v>
      </x:c>
      <x:c r="C200" s="2" t="str">
        <x:v>无信贷记录</x:v>
      </x:c>
      <x:c r="D200" s="2" t="str"/>
      <x:c r="E200" s="2" t="str"/>
      <x:c r="F200" s="13" t="n">
        <x:v>48</x:v>
      </x:c>
      <x:c r="G200" s="13" t="n">
        <x:v>47</x:v>
      </x:c>
      <x:c r="H200" s="13" t="n">
        <x:v>1</x:v>
      </x:c>
      <x:c r="I200" s="13" t="n">
        <x:v>0</x:v>
      </x:c>
      <x:c r="J200" s="13" t="n">
        <x:v>169812.22999999998</x:v>
      </x:c>
      <x:c r="K200" s="13" t="n">
        <x:v>169812.22999999998</x:v>
      </x:c>
      <x:c r="L200" s="13" t="n">
        <x:v>25</x:v>
      </x:c>
      <x:c r="M200" s="13" t="n">
        <x:v>0.020833333333333332</x:v>
      </x:c>
      <x:c r="N200" s="13" t="n">
        <x:v>0</x:v>
      </x:c>
      <x:c r="O200" s="13" t="n">
        <x:v>0.2895077482510261</x:v>
      </x:c>
      <x:c r="P200" s="13" t="n">
        <x:v>0.4417422113825371</x:v>
      </x:c>
      <x:c r="Q200" s="13" t="n">
        <x:v>8086.296666666667</x:v>
      </x:c>
      <x:c r="R200" s="13" t="n">
        <x:v>2.2802318533178205</x:v>
      </x:c>
      <x:c r="S200" s="13" t="n">
        <x:v>-0.010752481244617012</x:v>
      </x:c>
      <x:c r="T200" s="13" t="n">
        <x:v>18</x:v>
      </x:c>
      <x:c r="U200" s="13" t="n">
        <x:v>820</x:v>
      </x:c>
      <x:c r="V200" s="13" t="n">
        <x:v>808</x:v>
      </x:c>
      <x:c r="W200" s="13" t="n">
        <x:v>12</x:v>
      </x:c>
      <x:c r="X200" s="13" t="n">
        <x:v>90</x:v>
      </x:c>
      <x:c r="Y200" s="13" t="n">
        <x:v>62167807.71</x:v>
      </x:c>
      <x:c r="Z200" s="13" t="n">
        <x:v>80167807.71000001</x:v>
      </x:c>
      <x:c r="AA200" s="13" t="n">
        <x:v>3</x:v>
      </x:c>
      <x:c r="AB200" s="13" t="n">
        <x:v>0.014634146341463415</x:v>
      </x:c>
      <x:c r="AC200" s="13" t="n">
        <x:v>0.11138613861386139</x:v>
      </x:c>
      <x:c r="AD200" s="13" t="n">
        <x:v>0.36734745172777655</x:v>
      </x:c>
      <x:c r="AE200" s="13" t="n">
        <x:v>0.4503101209975697</x:v>
      </x:c>
      <x:c r="AF200" s="13" t="n">
        <x:v>2486712.3083999995</x:v>
      </x:c>
      <x:c r="AG200" s="13" t="n">
        <x:v>1.8233485330995853</x:v>
      </x:c>
      <x:c r="AH200" s="13" t="n">
        <x:v>0.06788105769482146</x:v>
      </x:c>
      <x:c r="AI200" s="13" t="n">
        <x:v>15</x:v>
      </x:c>
      <x:c r="AJ200" s="13" t="n">
        <x:v>61997995.480000004</x:v>
      </x:c>
      <x:c r="AK200" s="13" t="n">
        <x:v>0.002118209725957342</x:v>
      </x:c>
      <x:c r="AL200" s="13" t="n">
        <x:v>0.014976958525345621</x:v>
      </x:c>
      <x:c r="AM200" s="13" t="n">
        <x:v>0.10526315789473684</x:v>
      </x:c>
      <x:c r="AN200" s="13" t="n">
        <x:v>0.3284275999894013</x:v>
      </x:c>
      <x:c r="AO200" s="13" t="n">
        <x:v>2.051790193208703</x:v>
      </x:c>
      <x:c r="AP200" s="13" t="n">
        <x:v>0.028564288225102222</x:v>
      </x:c>
    </x:row>
    <x:row r="201" ht="15" hidden="0" customHeight="1">
      <x:c r="A201" s="2" t="str">
        <x:v>E200</x:v>
      </x:c>
      <x:c r="B201" s="2" t="str">
        <x:v>个体经营E200 </x:v>
      </x:c>
      <x:c r="C201" s="2" t="str">
        <x:v>无信贷记录</x:v>
      </x:c>
      <x:c r="D201" s="2" t="str"/>
      <x:c r="E201" s="2" t="str"/>
      <x:c r="F201" s="13" t="n">
        <x:v>1238</x:v>
      </x:c>
      <x:c r="G201" s="13" t="n">
        <x:v>1201</x:v>
      </x:c>
      <x:c r="H201" s="13" t="n">
        <x:v>37</x:v>
      </x:c>
      <x:c r="I201" s="13" t="n">
        <x:v>6</x:v>
      </x:c>
      <x:c r="J201" s="13" t="n">
        <x:v>54647680.99</x:v>
      </x:c>
      <x:c r="K201" s="13" t="n">
        <x:v>54703556.730000004</x:v>
      </x:c>
      <x:c r="L201" s="13" t="n">
        <x:v>133</x:v>
      </x:c>
      <x:c r="M201" s="13" t="n">
        <x:v>0.02988691437802908</x:v>
      </x:c>
      <x:c r="N201" s="13" t="n">
        <x:v>0.004995836802664446</x:v>
      </x:c>
      <x:c r="O201" s="13" t="n">
        <x:v>0.17633225572389022</x:v>
      </x:c>
      <x:c r="P201" s="13" t="n">
        <x:v>0.3576671033762963</x:v>
      </x:c>
      <x:c r="Q201" s="13" t="n">
        <x:v>1517991.1386111109</x:v>
      </x:c>
      <x:c r="R201" s="13" t="n">
        <x:v>0.9229947577057873</x:v>
      </x:c>
      <x:c r="S201" s="13" t="n">
        <x:v>0.047443947811821686</x:v>
      </x:c>
      <x:c r="T201" s="13" t="n">
        <x:v>36</x:v>
      </x:c>
      <x:c r="U201" s="13" t="n">
        <x:v>613</x:v>
      </x:c>
      <x:c r="V201" s="13" t="n">
        <x:v>564</x:v>
      </x:c>
      <x:c r="W201" s="13" t="n">
        <x:v>49</x:v>
      </x:c>
      <x:c r="X201" s="13" t="n">
        <x:v>12</x:v>
      </x:c>
      <x:c r="Y201" s="13" t="n">
        <x:v>54430259.45</x:v>
      </x:c>
      <x:c r="Z201" s="13" t="n">
        <x:v>56572481.15</x:v>
      </x:c>
      <x:c r="AA201" s="13" t="n">
        <x:v>50</x:v>
      </x:c>
      <x:c r="AB201" s="13" t="n">
        <x:v>0.0799347471451876</x:v>
      </x:c>
      <x:c r="AC201" s="13" t="n">
        <x:v>0.02127659574468085</x:v>
      </x:c>
      <x:c r="AD201" s="13" t="n">
        <x:v>0.058998368787674706</x:v>
      </x:c>
      <x:c r="AE201" s="13" t="n">
        <x:v>0.1837996104931311</x:v>
      </x:c>
      <x:c r="AF201" s="13" t="n">
        <x:v>1555150.27</x:v>
      </x:c>
      <x:c r="AG201" s="13" t="n">
        <x:v>0.9030276420194591</x:v>
      </x:c>
      <x:c r="AH201" s="13" t="n">
        <x:v>0.03987378283749917</x:v>
      </x:c>
      <x:c r="AI201" s="13" t="n">
        <x:v>34</x:v>
      </x:c>
      <x:c r="AJ201" s="13" t="n">
        <x:v>-217421.5399999991</x:v>
      </x:c>
      <x:c r="AK201" s="13" t="n">
        <x:v>0.966964071894874</x:v>
      </x:c>
      <x:c r="AL201" s="13" t="n">
        <x:v>0.046461372231226365</x:v>
      </x:c>
      <x:c r="AM201" s="13" t="n">
        <x:v>0.010198300283286119</x:v>
      </x:c>
      <x:c r="AN201" s="13" t="n">
        <x:v>0.11766531225578246</x:v>
      </x:c>
      <x:c r="AO201" s="13" t="n">
        <x:v>0.9130111998626231</x:v>
      </x:c>
      <x:c r="AP201" s="13" t="n">
        <x:v>0.04365886532466043</x:v>
      </x:c>
    </x:row>
    <x:row r="202" ht="15" hidden="0" customHeight="1">
      <x:c r="A202" s="2" t="str">
        <x:v>E201</x:v>
      </x:c>
      <x:c r="B202" s="2" t="str">
        <x:v>***物流有限责任公司</x:v>
      </x:c>
      <x:c r="C202" s="2" t="str">
        <x:v>无信贷记录</x:v>
      </x:c>
      <x:c r="D202" s="2" t="str"/>
      <x:c r="E202" s="2" t="str"/>
      <x:c r="F202" s="13" t="n">
        <x:v>480</x:v>
      </x:c>
      <x:c r="G202" s="13" t="n">
        <x:v>463</x:v>
      </x:c>
      <x:c r="H202" s="13" t="n">
        <x:v>17</x:v>
      </x:c>
      <x:c r="I202" s="13" t="n">
        <x:v>1</x:v>
      </x:c>
      <x:c r="J202" s="13" t="n">
        <x:v>43770069.97</x:v>
      </x:c>
      <x:c r="K202" s="13" t="n">
        <x:v>43804428.97</x:v>
      </x:c>
      <x:c r="L202" s="13" t="n">
        <x:v>105</x:v>
      </x:c>
      <x:c r="M202" s="13" t="n">
        <x:v>0.035416666666666666</x:v>
      </x:c>
      <x:c r="N202" s="13" t="n">
        <x:v>0.0021598272138228943</x:v>
      </x:c>
      <x:c r="O202" s="13" t="n">
        <x:v>0.1463791196018496</x:v>
      </x:c>
      <x:c r="P202" s="13" t="n">
        <x:v>0.28923731910024714</x:v>
      </x:c>
      <x:c r="Q202" s="13" t="n">
        <x:v>1182974.864054054</x:v>
      </x:c>
      <x:c r="R202" s="13" t="n">
        <x:v>1.532152289880025</x:v>
      </x:c>
      <x:c r="S202" s="13" t="n">
        <x:v>0.08596899349298877</x:v>
      </x:c>
      <x:c r="T202" s="13" t="n">
        <x:v>36</x:v>
      </x:c>
      <x:c r="U202" s="13" t="n">
        <x:v>1207</x:v>
      </x:c>
      <x:c r="V202" s="13" t="n">
        <x:v>1084</x:v>
      </x:c>
      <x:c r="W202" s="13" t="n">
        <x:v>123</x:v>
      </x:c>
      <x:c r="X202" s="13" t="n">
        <x:v>16</x:v>
      </x:c>
      <x:c r="Y202" s="13" t="n">
        <x:v>52613659.400000006</x:v>
      </x:c>
      <x:c r="Z202" s="13" t="n">
        <x:v>53139773.82000001</x:v>
      </x:c>
      <x:c r="AA202" s="13" t="n">
        <x:v>174</x:v>
      </x:c>
      <x:c r="AB202" s="13" t="n">
        <x:v>0.10190555095277548</x:v>
      </x:c>
      <x:c r="AC202" s="13" t="n">
        <x:v>0.014760147601476014</x:v>
      </x:c>
      <x:c r="AD202" s="13" t="n">
        <x:v>0.07735975897732963</x:v>
      </x:c>
      <x:c r="AE202" s="13" t="n">
        <x:v>0.2211779643589006</x:v>
      </x:c>
      <x:c r="AF202" s="13" t="n">
        <x:v>1421990.7945945945</x:v>
      </x:c>
      <x:c r="AG202" s="13" t="n">
        <x:v>1.314436073208514</x:v>
      </x:c>
      <x:c r="AH202" s="13" t="n">
        <x:v>0.08125599970731204</x:v>
      </x:c>
      <x:c r="AI202" s="13" t="n">
        <x:v>37</x:v>
      </x:c>
      <x:c r="AJ202" s="13" t="n">
        <x:v>8843589.430000007</x:v>
      </x:c>
      <x:c r="AK202" s="13" t="n">
        <x:v>0.8243247161415937</x:v>
      </x:c>
      <x:c r="AL202" s="13" t="n">
        <x:v>0.08298755186721991</x:v>
      </x:c>
      <x:c r="AM202" s="13" t="n">
        <x:v>0.01098901098901099</x:v>
      </x:c>
      <x:c r="AN202" s="13" t="n">
        <x:v>0.11186943928958962</x:v>
      </x:c>
      <x:c r="AO202" s="13" t="n">
        <x:v>1.4232941815442697</x:v>
      </x:c>
      <x:c r="AP202" s="13" t="n">
        <x:v>0.08361249660015041</x:v>
      </x:c>
    </x:row>
    <x:row r="203" ht="15" hidden="0" customHeight="1">
      <x:c r="A203" s="2" t="str">
        <x:v>E202</x:v>
      </x:c>
      <x:c r="B203" s="2" t="str">
        <x:v>个体经营E202 </x:v>
      </x:c>
      <x:c r="C203" s="2" t="str">
        <x:v>无信贷记录</x:v>
      </x:c>
      <x:c r="D203" s="2" t="str"/>
      <x:c r="E203" s="2" t="str"/>
      <x:c r="F203" s="13" t="n">
        <x:v>404</x:v>
      </x:c>
      <x:c r="G203" s="13" t="n">
        <x:v>364</x:v>
      </x:c>
      <x:c r="H203" s="13" t="n">
        <x:v>40</x:v>
      </x:c>
      <x:c r="I203" s="13" t="n">
        <x:v>2</x:v>
      </x:c>
      <x:c r="J203" s="13" t="n">
        <x:v>11370529.870000001</x:v>
      </x:c>
      <x:c r="K203" s="13" t="n">
        <x:v>11549645.870000001</x:v>
      </x:c>
      <x:c r="L203" s="13" t="n">
        <x:v>109</x:v>
      </x:c>
      <x:c r="M203" s="13" t="n">
        <x:v>0.09900990099009901</x:v>
      </x:c>
      <x:c r="N203" s="13" t="n">
        <x:v>0.005494505494505495</x:v>
      </x:c>
      <x:c r="O203" s="13" t="n">
        <x:v>0.0924990251158328</x:v>
      </x:c>
      <x:c r="P203" s="13" t="n">
        <x:v>0.16644397773210687</x:v>
      </x:c>
      <x:c r="Q203" s="13" t="n">
        <x:v>334427.3491176471</x:v>
      </x:c>
      <x:c r="R203" s="13" t="n">
        <x:v>1.0711887614470856</x:v>
      </x:c>
      <x:c r="S203" s="13" t="n">
        <x:v>-0.029898261000411274</x:v>
      </x:c>
      <x:c r="T203" s="13" t="n">
        <x:v>34</x:v>
      </x:c>
      <x:c r="U203" s="13" t="n">
        <x:v>1106</x:v>
      </x:c>
      <x:c r="V203" s="13" t="n">
        <x:v>1096</x:v>
      </x:c>
      <x:c r="W203" s="13" t="n">
        <x:v>10</x:v>
      </x:c>
      <x:c r="X203" s="13" t="n">
        <x:v>0</x:v>
      </x:c>
      <x:c r="Y203" s="13" t="n">
        <x:v>106815222.80000001</x:v>
      </x:c>
      <x:c r="Z203" s="13" t="n">
        <x:v>106815222.80000001</x:v>
      </x:c>
      <x:c r="AA203" s="13" t="n">
        <x:v>5</x:v>
      </x:c>
      <x:c r="AB203" s="13" t="n">
        <x:v>0.009041591320072333</x:v>
      </x:c>
      <x:c r="AC203" s="13" t="n">
        <x:v>0</x:v>
      </x:c>
      <x:c r="AD203" s="13" t="n">
        <x:v>0.9071127873671707</x:v>
      </x:c>
      <x:c r="AE203" s="13" t="n">
        <x:v>0.9517275546983178</x:v>
      </x:c>
      <x:c r="AF203" s="13" t="n">
        <x:v>3051863.5085714287</x:v>
      </x:c>
      <x:c r="AG203" s="13" t="n">
        <x:v>1.0733406253941533</x:v>
      </x:c>
      <x:c r="AH203" s="13" t="n">
        <x:v>-0.020565020056445404</x:v>
      </x:c>
      <x:c r="AI203" s="13" t="n">
        <x:v>32</x:v>
      </x:c>
      <x:c r="AJ203" s="13" t="n">
        <x:v>95444692.93</x:v>
      </x:c>
      <x:c r="AK203" s="13" t="n">
        <x:v>0.10812733959864006</x:v>
      </x:c>
      <x:c r="AL203" s="13" t="n">
        <x:v>0.033112582781456956</x:v>
      </x:c>
      <x:c r="AM203" s="13" t="n">
        <x:v>0.0013698630136986301</x:v>
      </x:c>
      <x:c r="AN203" s="13" t="n">
        <x:v>0.4998059062415018</x:v>
      </x:c>
      <x:c r="AO203" s="13" t="n">
        <x:v>1.0722646934206195</x:v>
      </x:c>
      <x:c r="AP203" s="13" t="n">
        <x:v>-0.02523164052842834</x:v>
      </x:c>
    </x:row>
    <x:row r="204" ht="15" hidden="0" customHeight="1">
      <x:c r="A204" s="2" t="str">
        <x:v>E203</x:v>
      </x:c>
      <x:c r="B204" s="2" t="str">
        <x:v>***建设工程有限公司</x:v>
      </x:c>
      <x:c r="C204" s="2" t="str">
        <x:v>无信贷记录</x:v>
      </x:c>
      <x:c r="D204" s="2" t="str"/>
      <x:c r="E204" s="2" t="str"/>
      <x:c r="F204" s="13" t="n">
        <x:v>1207</x:v>
      </x:c>
      <x:c r="G204" s="13" t="n">
        <x:v>1142</x:v>
      </x:c>
      <x:c r="H204" s="13" t="n">
        <x:v>65</x:v>
      </x:c>
      <x:c r="I204" s="13" t="n">
        <x:v>3</x:v>
      </x:c>
      <x:c r="J204" s="13" t="n">
        <x:v>25086194.94</x:v>
      </x:c>
      <x:c r="K204" s="13" t="n">
        <x:v>25391716.94</x:v>
      </x:c>
      <x:c r="L204" s="13" t="n">
        <x:v>341</x:v>
      </x:c>
      <x:c r="M204" s="13" t="n">
        <x:v>0.053852526926263466</x:v>
      </x:c>
      <x:c r="N204" s="13" t="n">
        <x:v>0.002626970227670753</x:v>
      </x:c>
      <x:c r="O204" s="13" t="n">
        <x:v>0.08435979650245742</x:v>
      </x:c>
      <x:c r="P204" s="13" t="n">
        <x:v>0.213061606380683</x:v>
      </x:c>
      <x:c r="Q204" s="13" t="n">
        <x:v>696838.7483333334</x:v>
      </x:c>
      <x:c r="R204" s="13" t="n">
        <x:v>1.1016677646983637</x:v>
      </x:c>
      <x:c r="S204" s="13" t="n">
        <x:v>0.0652824659873578</x:v>
      </x:c>
      <x:c r="T204" s="13" t="n">
        <x:v>34</x:v>
      </x:c>
      <x:c r="U204" s="13" t="n">
        <x:v>637</x:v>
      </x:c>
      <x:c r="V204" s="13" t="n">
        <x:v>578</x:v>
      </x:c>
      <x:c r="W204" s="13" t="n">
        <x:v>59</x:v>
      </x:c>
      <x:c r="X204" s="13" t="n">
        <x:v>2</x:v>
      </x:c>
      <x:c r="Y204" s="13" t="n">
        <x:v>51809865.49</x:v>
      </x:c>
      <x:c r="Z204" s="13" t="n">
        <x:v>51831265.49</x:v>
      </x:c>
      <x:c r="AA204" s="13" t="n">
        <x:v>31</x:v>
      </x:c>
      <x:c r="AB204" s="13" t="n">
        <x:v>0.09262166405023547</x:v>
      </x:c>
      <x:c r="AC204" s="13" t="n">
        <x:v>0.0034602076124567475</x:v>
      </x:c>
      <x:c r="AD204" s="13" t="n">
        <x:v>0.3689289640092924</x:v>
      </x:c>
      <x:c r="AE204" s="13" t="n">
        <x:v>0.5300756024430998</x:v>
      </x:c>
      <x:c r="AF204" s="13" t="n">
        <x:v>1400266.6348648649</x:v>
      </x:c>
      <x:c r="AG204" s="13" t="n">
        <x:v>1.4972956744832444</x:v>
      </x:c>
      <x:c r="AH204" s="13" t="n">
        <x:v>0.03139902703655333</x:v>
      </x:c>
      <x:c r="AI204" s="13" t="n">
        <x:v>33</x:v>
      </x:c>
      <x:c r="AJ204" s="13" t="n">
        <x:v>26723670.55</x:v>
      </x:c>
      <x:c r="AK204" s="13" t="n">
        <x:v>0.48989189632846064</x:v>
      </x:c>
      <x:c r="AL204" s="13" t="n">
        <x:v>0.06724511930585683</x:v>
      </x:c>
      <x:c r="AM204" s="13" t="n">
        <x:v>0.0029069767441860465</x:v>
      </x:c>
      <x:c r="AN204" s="13" t="n">
        <x:v>0.2266443802558749</x:v>
      </x:c>
      <x:c r="AO204" s="13" t="n">
        <x:v>1.299481719590804</x:v>
      </x:c>
      <x:c r="AP204" s="13" t="n">
        <x:v>0.048340746511955565</x:v>
      </x:c>
    </x:row>
    <x:row r="205" ht="15" hidden="0" customHeight="1">
      <x:c r="A205" s="2" t="str">
        <x:v>E204</x:v>
      </x:c>
      <x:c r="B205" s="2" t="str">
        <x:v>***科技发展有限公司</x:v>
      </x:c>
      <x:c r="C205" s="2" t="str">
        <x:v>无信贷记录</x:v>
      </x:c>
      <x:c r="D205" s="2" t="str"/>
      <x:c r="E205" s="2" t="str"/>
      <x:c r="F205" s="13" t="n">
        <x:v>5217</x:v>
      </x:c>
      <x:c r="G205" s="13" t="n">
        <x:v>5029</x:v>
      </x:c>
      <x:c r="H205" s="13" t="n">
        <x:v>188</x:v>
      </x:c>
      <x:c r="I205" s="13" t="n">
        <x:v>46</x:v>
      </x:c>
      <x:c r="J205" s="13" t="n">
        <x:v>65758081.66</x:v>
      </x:c>
      <x:c r="K205" s="13" t="n">
        <x:v>67833101.3</x:v>
      </x:c>
      <x:c r="L205" s="13" t="n">
        <x:v>1213</x:v>
      </x:c>
      <x:c r="M205" s="13" t="n">
        <x:v>0.036036036036036036</x:v>
      </x:c>
      <x:c r="N205" s="13" t="n">
        <x:v>0.00914694770332074</x:v>
      </x:c>
      <x:c r="O205" s="13" t="n">
        <x:v>0.02126526493851937</x:v>
      </x:c>
      <x:c r="P205" s="13" t="n">
        <x:v>0.06711034145213113</x:v>
      </x:c>
      <x:c r="Q205" s="13" t="n">
        <x:v>1777245.4502702705</x:v>
      </x:c>
      <x:c r="R205" s="13" t="n">
        <x:v>0.671122420276298</x:v>
      </x:c>
      <x:c r="S205" s="13" t="n">
        <x:v>-0.014969916021352456</x:v>
      </x:c>
      <x:c r="T205" s="13" t="n">
        <x:v>37</x:v>
      </x:c>
      <x:c r="U205" s="13" t="n">
        <x:v>1680</x:v>
      </x:c>
      <x:c r="V205" s="13" t="n">
        <x:v>1339</x:v>
      </x:c>
      <x:c r="W205" s="13" t="n">
        <x:v>341</x:v>
      </x:c>
      <x:c r="X205" s="13" t="n">
        <x:v>33</x:v>
      </x:c>
      <x:c r="Y205" s="13" t="n">
        <x:v>103650629.45</x:v>
      </x:c>
      <x:c r="Z205" s="13" t="n">
        <x:v>107772150.43</x:v>
      </x:c>
      <x:c r="AA205" s="13" t="n">
        <x:v>418</x:v>
      </x:c>
      <x:c r="AB205" s="13" t="n">
        <x:v>0.20297619047619048</x:v>
      </x:c>
      <x:c r="AC205" s="13" t="n">
        <x:v>0.024645257654966394</x:v>
      </x:c>
      <x:c r="AD205" s="13" t="n">
        <x:v>0.023848766619485127</x:v>
      </x:c>
      <x:c r="AE205" s="13" t="n">
        <x:v>0.07274532398879963</x:v>
      </x:c>
      <x:c r="AF205" s="13" t="n">
        <x:v>2801368.363513513</x:v>
      </x:c>
      <x:c r="AG205" s="13" t="n">
        <x:v>0.6524214016965364</x:v>
      </x:c>
      <x:c r="AH205" s="13" t="n">
        <x:v>-0.0008877681854547392</x:v>
      </x:c>
      <x:c r="AI205" s="13" t="n">
        <x:v>37</x:v>
      </x:c>
      <x:c r="AJ205" s="13" t="n">
        <x:v>37892547.79000001</x:v>
      </x:c>
      <x:c r="AK205" s="13" t="n">
        <x:v>0.6294121535976852</x:v>
      </x:c>
      <x:c r="AL205" s="13" t="n">
        <x:v>0.07670001449905756</x:v>
      </x:c>
      <x:c r="AM205" s="13" t="n">
        <x:v>0.012405778894472362</x:v>
      </x:c>
      <x:c r="AN205" s="13" t="n">
        <x:v>0.022557015779002248</x:v>
      </x:c>
      <x:c r="AO205" s="13" t="n">
        <x:v>0.6617719109864172</x:v>
      </x:c>
      <x:c r="AP205" s="13" t="n">
        <x:v>-0.007928842103403598</x:v>
      </x:c>
    </x:row>
    <x:row r="206" ht="15" hidden="0" customHeight="1">
      <x:c r="A206" s="2" t="str">
        <x:v>E205</x:v>
      </x:c>
      <x:c r="B206" s="2" t="str">
        <x:v>个体经营E205 </x:v>
      </x:c>
      <x:c r="C206" s="2" t="str">
        <x:v>无信贷记录</x:v>
      </x:c>
      <x:c r="D206" s="2" t="str"/>
      <x:c r="E206" s="2" t="str"/>
      <x:c r="F206" s="13" t="n">
        <x:v>151</x:v>
      </x:c>
      <x:c r="G206" s="13" t="n">
        <x:v>137</x:v>
      </x:c>
      <x:c r="H206" s="13" t="n">
        <x:v>14</x:v>
      </x:c>
      <x:c r="I206" s="13" t="n">
        <x:v>1</x:v>
      </x:c>
      <x:c r="J206" s="13" t="n">
        <x:v>27480110.5</x:v>
      </x:c>
      <x:c r="K206" s="13" t="n">
        <x:v>29487150.5</x:v>
      </x:c>
      <x:c r="L206" s="13" t="n">
        <x:v>15</x:v>
      </x:c>
      <x:c r="M206" s="13" t="n">
        <x:v>0.09271523178807947</x:v>
      </x:c>
      <x:c r="N206" s="13" t="n">
        <x:v>0.0072992700729927005</x:v>
      </x:c>
      <x:c r="O206" s="13" t="n">
        <x:v>0.39809139552296896</x:v>
      </x:c>
      <x:c r="P206" s="13" t="n">
        <x:v>0.6045319808029602</x:v>
      </x:c>
      <x:c r="Q206" s="13" t="n">
        <x:v>981432.5178571428</x:v>
      </x:c>
      <x:c r="R206" s="13" t="n">
        <x:v>0.701556275850866</x:v>
      </x:c>
      <x:c r="S206" s="13" t="n">
        <x:v>0.0304573103107996</x:v>
      </x:c>
      <x:c r="T206" s="13" t="n">
        <x:v>27</x:v>
      </x:c>
      <x:c r="U206" s="13" t="n">
        <x:v>1008</x:v>
      </x:c>
      <x:c r="V206" s="13" t="n">
        <x:v>967</x:v>
      </x:c>
      <x:c r="W206" s="13" t="n">
        <x:v>41</x:v>
      </x:c>
      <x:c r="X206" s="13" t="n">
        <x:v>9</x:v>
      </x:c>
      <x:c r="Y206" s="13" t="n">
        <x:v>85995007.2</x:v>
      </x:c>
      <x:c r="Z206" s="13" t="n">
        <x:v>87545027.2</x:v>
      </x:c>
      <x:c r="AA206" s="13" t="n">
        <x:v>71</x:v>
      </x:c>
      <x:c r="AB206" s="13" t="n">
        <x:v>0.040674603174603176</x:v>
      </x:c>
      <x:c r="AC206" s="13" t="n">
        <x:v>0.009307135470527405</x:v>
      </x:c>
      <x:c r="AD206" s="13" t="n">
        <x:v>0.08033020925511199</x:v>
      </x:c>
      <x:c r="AE206" s="13" t="n">
        <x:v>0.2045649333009745</x:v>
      </x:c>
      <x:c r="AF206" s="13" t="n">
        <x:v>2388750.2</x:v>
      </x:c>
      <x:c r="AG206" s="13" t="n">
        <x:v>0.39151833427593563</x:v>
      </x:c>
      <x:c r="AH206" s="13" t="n">
        <x:v>-0.010418322884980123</x:v>
      </x:c>
      <x:c r="AI206" s="13" t="n">
        <x:v>36</x:v>
      </x:c>
      <x:c r="AJ206" s="13" t="n">
        <x:v>58514896.7</x:v>
      </x:c>
      <x:c r="AK206" s="13" t="n">
        <x:v>0.3368226779190492</x:v>
      </x:c>
      <x:c r="AL206" s="13" t="n">
        <x:v>0.04745470232959448</x:v>
      </x:c>
      <x:c r="AM206" s="13" t="n">
        <x:v>0.009057971014492754</x:v>
      </x:c>
      <x:c r="AN206" s="13" t="n">
        <x:v>0.23921080238904047</x:v>
      </x:c>
      <x:c r="AO206" s="13" t="n">
        <x:v>0.5465373050634008</x:v>
      </x:c>
      <x:c r="AP206" s="13" t="n">
        <x:v>0.010019493712909739</x:v>
      </x:c>
    </x:row>
    <x:row r="207" ht="15" hidden="0" customHeight="1">
      <x:c r="A207" s="2" t="str">
        <x:v>E206</x:v>
      </x:c>
      <x:c r="B207" s="2" t="str">
        <x:v>***建设工程有限公司</x:v>
      </x:c>
      <x:c r="C207" s="2" t="str">
        <x:v>无信贷记录</x:v>
      </x:c>
      <x:c r="D207" s="2" t="str"/>
      <x:c r="E207" s="2" t="str"/>
      <x:c r="F207" s="13" t="n">
        <x:v>3679</x:v>
      </x:c>
      <x:c r="G207" s="13" t="n">
        <x:v>3557</x:v>
      </x:c>
      <x:c r="H207" s="13" t="n">
        <x:v>122</x:v>
      </x:c>
      <x:c r="I207" s="13" t="n">
        <x:v>6</x:v>
      </x:c>
      <x:c r="J207" s="13" t="n">
        <x:v>77314494.33</x:v>
      </x:c>
      <x:c r="K207" s="13" t="n">
        <x:v>77870296.33</x:v>
      </x:c>
      <x:c r="L207" s="13" t="n">
        <x:v>891</x:v>
      </x:c>
      <x:c r="M207" s="13" t="n">
        <x:v>0.033161185104648</x:v>
      </x:c>
      <x:c r="N207" s="13" t="n">
        <x:v>0.0016868147315153219</x:v>
      </x:c>
      <x:c r="O207" s="13" t="n">
        <x:v>0.035910309900097276</x:v>
      </x:c>
      <x:c r="P207" s="13" t="n">
        <x:v>0.09043146529400141</x:v>
      </x:c>
      <x:c r="Q207" s="13" t="n">
        <x:v>2089580.9278378382</x:v>
      </x:c>
      <x:c r="R207" s="13" t="n">
        <x:v>1.0880942909155058</x:v>
      </x:c>
      <x:c r="S207" s="13" t="n">
        <x:v>0.035431824637014345</x:v>
      </x:c>
      <x:c r="T207" s="13" t="n">
        <x:v>37</x:v>
      </x:c>
      <x:c r="U207" s="13" t="n">
        <x:v>963</x:v>
      </x:c>
      <x:c r="V207" s="13" t="n">
        <x:v>913</x:v>
      </x:c>
      <x:c r="W207" s="13" t="n">
        <x:v>50</x:v>
      </x:c>
      <x:c r="X207" s="13" t="n">
        <x:v>1</x:v>
      </x:c>
      <x:c r="Y207" s="13" t="n">
        <x:v>102959108.39</x:v>
      </x:c>
      <x:c r="Z207" s="13" t="n">
        <x:v>103028820.39</x:v>
      </x:c>
      <x:c r="AA207" s="13" t="n">
        <x:v>313</x:v>
      </x:c>
      <x:c r="AB207" s="13" t="n">
        <x:v>0.05192107995846314</x:v>
      </x:c>
      <x:c r="AC207" s="13" t="n">
        <x:v>0.001095290251916758</x:v>
      </x:c>
      <x:c r="AD207" s="13" t="n">
        <x:v>0.08895143209098703</x:v>
      </x:c>
      <x:c r="AE207" s="13" t="n">
        <x:v>0.28163474162047525</x:v>
      </x:c>
      <x:c r="AF207" s="13" t="n">
        <x:v>2782678.6051351354</x:v>
      </x:c>
      <x:c r="AG207" s="13" t="n">
        <x:v>1.11235170075579</x:v>
      </x:c>
      <x:c r="AH207" s="13" t="n">
        <x:v>0.02102060009918746</x:v>
      </x:c>
      <x:c r="AI207" s="13" t="n">
        <x:v>29</x:v>
      </x:c>
      <x:c r="AJ207" s="13" t="n">
        <x:v>25644614.060000002</x:v>
      </x:c>
      <x:c r="AK207" s="13" t="n">
        <x:v>0.7558108113364181</x:v>
      </x:c>
      <x:c r="AL207" s="13" t="n">
        <x:v>0.03705299439896596</x:v>
      </x:c>
      <x:c r="AM207" s="13" t="n">
        <x:v>0.0015659955257270694</x:v>
      </x:c>
      <x:c r="AN207" s="13" t="n">
        <x:v>0.062430870995542155</x:v>
      </x:c>
      <x:c r="AO207" s="13" t="n">
        <x:v>1.1002229958356478</x:v>
      </x:c>
      <x:c r="AP207" s="13" t="n">
        <x:v>0.028226212368100904</x:v>
      </x:c>
    </x:row>
    <x:row r="208" ht="15" hidden="0" customHeight="1">
      <x:c r="A208" s="2" t="str">
        <x:v>E207</x:v>
      </x:c>
      <x:c r="B208" s="2" t="str">
        <x:v>个体经营E207 </x:v>
      </x:c>
      <x:c r="C208" s="2" t="str">
        <x:v>无信贷记录</x:v>
      </x:c>
      <x:c r="D208" s="2" t="str"/>
      <x:c r="E208" s="2" t="str"/>
      <x:c r="F208" s="13" t="n">
        <x:v>3386</x:v>
      </x:c>
      <x:c r="G208" s="13" t="n">
        <x:v>3298</x:v>
      </x:c>
      <x:c r="H208" s="13" t="n">
        <x:v>88</x:v>
      </x:c>
      <x:c r="I208" s="13" t="n">
        <x:v>13</x:v>
      </x:c>
      <x:c r="J208" s="13" t="n">
        <x:v>76808936.75999999</x:v>
      </x:c>
      <x:c r="K208" s="13" t="n">
        <x:v>77548574.75999999</x:v>
      </x:c>
      <x:c r="L208" s="13" t="n">
        <x:v>268</x:v>
      </x:c>
      <x:c r="M208" s="13" t="n">
        <x:v>0.02598936798582398</x:v>
      </x:c>
      <x:c r="N208" s="13" t="n">
        <x:v>0.003941782898726501</x:v>
      </x:c>
      <x:c r="O208" s="13" t="n">
        <x:v>0.07768275410693301</x:v>
      </x:c>
      <x:c r="P208" s="13" t="n">
        <x:v>0.20772896149097453</x:v>
      </x:c>
      <x:c r="Q208" s="13" t="n">
        <x:v>2477707.637419355</x:v>
      </x:c>
      <x:c r="R208" s="13" t="n">
        <x:v>1.2154202773603018</x:v>
      </x:c>
      <x:c r="S208" s="13" t="n">
        <x:v>-0.03109192427812225</x:v>
      </x:c>
      <x:c r="T208" s="13" t="n">
        <x:v>31</x:v>
      </x:c>
      <x:c r="U208" s="13" t="n">
        <x:v>1458</x:v>
      </x:c>
      <x:c r="V208" s="13" t="n">
        <x:v>1393</x:v>
      </x:c>
      <x:c r="W208" s="13" t="n">
        <x:v>65</x:v>
      </x:c>
      <x:c r="X208" s="13" t="n">
        <x:v>10</x:v>
      </x:c>
      <x:c r="Y208" s="13" t="n">
        <x:v>129265497.16999999</x:v>
      </x:c>
      <x:c r="Z208" s="13" t="n">
        <x:v>131075251.16999999</x:v>
      </x:c>
      <x:c r="AA208" s="13" t="n">
        <x:v>17</x:v>
      </x:c>
      <x:c r="AB208" s="13" t="n">
        <x:v>0.04458161865569273</x:v>
      </x:c>
      <x:c r="AC208" s="13" t="n">
        <x:v>0.007178750897343862</x:v>
      </x:c>
      <x:c r="AD208" s="13" t="n">
        <x:v>0.5777379390514811</x:v>
      </x:c>
      <x:c r="AE208" s="13" t="n">
        <x:v>0.7457420679150472</x:v>
      </x:c>
      <x:c r="AF208" s="13" t="n">
        <x:v>3693299.919142857</x:v>
      </x:c>
      <x:c r="AG208" s="13" t="n">
        <x:v>1.2598692546101558</x:v>
      </x:c>
      <x:c r="AH208" s="13" t="n">
        <x:v>-0.01344532767611577</x:v>
      </x:c>
      <x:c r="AI208" s="13" t="n">
        <x:v>32</x:v>
      </x:c>
      <x:c r="AJ208" s="13" t="n">
        <x:v>52456560.41</x:v>
      </x:c>
      <x:c r="AK208" s="13" t="n">
        <x:v>0.5916339970191796</x:v>
      </x:c>
      <x:c r="AL208" s="13" t="n">
        <x:v>0.03158546655656482</x:v>
      </x:c>
      <x:c r="AM208" s="13" t="n">
        <x:v>0.004903005755702409</x:v>
      </x:c>
      <x:c r="AN208" s="13" t="n">
        <x:v>0.32771034657920706</x:v>
      </x:c>
      <x:c r="AO208" s="13" t="n">
        <x:v>1.2376447659852288</x:v>
      </x:c>
      <x:c r="AP208" s="13" t="n">
        <x:v>-0.02226862597711901</x:v>
      </x:c>
    </x:row>
    <x:row r="209" ht="15" hidden="0" customHeight="1">
      <x:c r="A209" s="2" t="str">
        <x:v>E208</x:v>
      </x:c>
      <x:c r="B209" s="2" t="str">
        <x:v>个体经营E208 </x:v>
      </x:c>
      <x:c r="C209" s="2" t="str">
        <x:v>无信贷记录</x:v>
      </x:c>
      <x:c r="D209" s="2" t="str"/>
      <x:c r="E209" s="2" t="str"/>
      <x:c r="F209" s="13" t="n">
        <x:v>976</x:v>
      </x:c>
      <x:c r="G209" s="13" t="n">
        <x:v>963</x:v>
      </x:c>
      <x:c r="H209" s="13" t="n">
        <x:v>13</x:v>
      </x:c>
      <x:c r="I209" s="13" t="n">
        <x:v>1</x:v>
      </x:c>
      <x:c r="J209" s="13" t="n">
        <x:v>87822606.12</x:v>
      </x:c>
      <x:c r="K209" s="13" t="n">
        <x:v>87849006.12</x:v>
      </x:c>
      <x:c r="L209" s="13" t="n">
        <x:v>44</x:v>
      </x:c>
      <x:c r="M209" s="13" t="n">
        <x:v>0.01331967213114754</x:v>
      </x:c>
      <x:c r="N209" s="13" t="n">
        <x:v>0.0010384215991692627</x:v>
      </x:c>
      <x:c r="O209" s="13" t="n">
        <x:v>0.33089867603571405</x:v>
      </x:c>
      <x:c r="P209" s="13" t="n">
        <x:v>0.5269474201764595</x:v>
      </x:c>
      <x:c r="Q209" s="13" t="n">
        <x:v>2439516.8366666674</x:v>
      </x:c>
      <x:c r="R209" s="13" t="n">
        <x:v>0.643097607523401</x:v>
      </x:c>
      <x:c r="S209" s="13" t="n">
        <x:v>-0.005311867024292893</x:v>
      </x:c>
      <x:c r="T209" s="13" t="n">
        <x:v>36</x:v>
      </x:c>
      <x:c r="U209" s="13" t="n">
        <x:v>1028</x:v>
      </x:c>
      <x:c r="V209" s="13" t="n">
        <x:v>897</x:v>
      </x:c>
      <x:c r="W209" s="13" t="n">
        <x:v>131</x:v>
      </x:c>
      <x:c r="X209" s="13" t="n">
        <x:v>20</x:v>
      </x:c>
      <x:c r="Y209" s="13" t="n">
        <x:v>87517209.61</x:v>
      </x:c>
      <x:c r="Z209" s="13" t="n">
        <x:v>91520176.31</x:v>
      </x:c>
      <x:c r="AA209" s="13" t="n">
        <x:v>91</x:v>
      </x:c>
      <x:c r="AB209" s="13" t="n">
        <x:v>0.12743190661478598</x:v>
      </x:c>
      <x:c r="AC209" s="13" t="n">
        <x:v>0.022296544035674472</x:v>
      </x:c>
      <x:c r="AD209" s="13" t="n">
        <x:v>0.037134827736480316</x:v>
      </x:c>
      <x:c r="AE209" s="13" t="n">
        <x:v>0.10188773968720079</x:v>
      </x:c>
      <x:c r="AF209" s="13" t="n">
        <x:v>2431033.600277778</x:v>
      </x:c>
      <x:c r="AG209" s="13" t="n">
        <x:v>0.6517362845927274</x:v>
      </x:c>
      <x:c r="AH209" s="13" t="n">
        <x:v>-0.004578089457397274</x:v>
      </x:c>
      <x:c r="AI209" s="13" t="n">
        <x:v>35</x:v>
      </x:c>
      <x:c r="AJ209" s="13" t="n">
        <x:v>-305396.51000000536</x:v>
      </x:c>
      <x:c r="AK209" s="13" t="n">
        <x:v>0.959886766634224</x:v>
      </x:c>
      <x:c r="AL209" s="13" t="n">
        <x:v>0.0718562874251497</x:v>
      </x:c>
      <x:c r="AM209" s="13" t="n">
        <x:v>0.01129032258064516</x:v>
      </x:c>
      <x:c r="AN209" s="13" t="n">
        <x:v>0.18401675188609717</x:v>
      </x:c>
      <x:c r="AO209" s="13" t="n">
        <x:v>0.6474169460580641</x:v>
      </x:c>
      <x:c r="AP209" s="13" t="n">
        <x:v>-0.0049449782408450835</x:v>
      </x:c>
    </x:row>
    <x:row r="210" ht="15" hidden="0" customHeight="1">
      <x:c r="A210" s="2" t="str">
        <x:v>E209</x:v>
      </x:c>
      <x:c r="B210" s="2" t="str">
        <x:v>***工程检测有限公司</x:v>
      </x:c>
      <x:c r="C210" s="2" t="str">
        <x:v>无信贷记录</x:v>
      </x:c>
      <x:c r="D210" s="2" t="str"/>
      <x:c r="E210" s="2" t="str"/>
      <x:c r="F210" s="13" t="n">
        <x:v>8360</x:v>
      </x:c>
      <x:c r="G210" s="13" t="n">
        <x:v>8128</x:v>
      </x:c>
      <x:c r="H210" s="13" t="n">
        <x:v>232</x:v>
      </x:c>
      <x:c r="I210" s="13" t="n">
        <x:v>18</x:v>
      </x:c>
      <x:c r="J210" s="13" t="n">
        <x:v>46289901.64</x:v>
      </x:c>
      <x:c r="K210" s="13" t="n">
        <x:v>46595575.480000004</x:v>
      </x:c>
      <x:c r="L210" s="13" t="n">
        <x:v>1604</x:v>
      </x:c>
      <x:c r="M210" s="13" t="n">
        <x:v>0.027751196172248804</x:v>
      </x:c>
      <x:c r="N210" s="13" t="n">
        <x:v>0.0022145669291338582</x:v>
      </x:c>
      <x:c r="O210" s="13" t="n">
        <x:v>0.02224924018376748</x:v>
      </x:c>
      <x:c r="P210" s="13" t="n">
        <x:v>0.10739217078986059</x:v>
      </x:c>
      <x:c r="Q210" s="13" t="n">
        <x:v>1251078.4227027027</x:v>
      </x:c>
      <x:c r="R210" s="13" t="n">
        <x:v>0.9678038961399745</x:v>
      </x:c>
      <x:c r="S210" s="13" t="n">
        <x:v>0.04528771065951703</x:v>
      </x:c>
      <x:c r="T210" s="13" t="n">
        <x:v>37</x:v>
      </x:c>
      <x:c r="U210" s="13" t="n">
        <x:v>1475</x:v>
      </x:c>
      <x:c r="V210" s="13" t="n">
        <x:v>1223</x:v>
      </x:c>
      <x:c r="W210" s="13" t="n">
        <x:v>252</x:v>
      </x:c>
      <x:c r="X210" s="13" t="n">
        <x:v>61</x:v>
      </x:c>
      <x:c r="Y210" s="13" t="n">
        <x:v>69667803.58</x:v>
      </x:c>
      <x:c r="Z210" s="13" t="n">
        <x:v>77712950.17999999</x:v>
      </x:c>
      <x:c r="AA210" s="13" t="n">
        <x:v>574</x:v>
      </x:c>
      <x:c r="AB210" s="13" t="n">
        <x:v>0.17084745762711864</x:v>
      </x:c>
      <x:c r="AC210" s="13" t="n">
        <x:v>0.04987735077677841</x:v>
      </x:c>
      <x:c r="AD210" s="13" t="n">
        <x:v>0.013551552241493075</x:v>
      </x:c>
      <x:c r="AE210" s="13" t="n">
        <x:v>0.04760339160244707</x:v>
      </x:c>
      <x:c r="AF210" s="13" t="n">
        <x:v>1882913.6102702701</x:v>
      </x:c>
      <x:c r="AG210" s="13" t="n">
        <x:v>0.729154512221552</x:v>
      </x:c>
      <x:c r="AH210" s="13" t="n">
        <x:v>0.03958984110741916</x:v>
      </x:c>
      <x:c r="AI210" s="13" t="n">
        <x:v>35</x:v>
      </x:c>
      <x:c r="AJ210" s="13" t="n">
        <x:v>23377901.939999998</x:v>
      </x:c>
      <x:c r="AK210" s="13" t="n">
        <x:v>0.5995857237702928</x:v>
      </x:c>
      <x:c r="AL210" s="13" t="n">
        <x:v>0.04921199796644637</x:v>
      </x:c>
      <x:c r="AM210" s="13" t="n">
        <x:v>0.008448294300074858</x:v>
      </x:c>
      <x:c r="AN210" s="13" t="n">
        <x:v>0.017900396212630277</x:v>
      </x:c>
      <x:c r="AO210" s="13" t="n">
        <x:v>0.8484792041807633</x:v>
      </x:c>
      <x:c r="AP210" s="13" t="n">
        <x:v>0.042438775883468095</x:v>
      </x:c>
    </x:row>
    <x:row r="211" ht="15" hidden="0" customHeight="1">
      <x:c r="A211" s="2" t="str">
        <x:v>E210</x:v>
      </x:c>
      <x:c r="B211" s="2" t="str">
        <x:v>***建筑工程有限公司</x:v>
      </x:c>
      <x:c r="C211" s="2" t="str">
        <x:v>无信贷记录</x:v>
      </x:c>
      <x:c r="D211" s="2" t="str"/>
      <x:c r="E211" s="2" t="str"/>
      <x:c r="F211" s="13" t="n">
        <x:v>550</x:v>
      </x:c>
      <x:c r="G211" s="13" t="n">
        <x:v>536</x:v>
      </x:c>
      <x:c r="H211" s="13" t="n">
        <x:v>14</x:v>
      </x:c>
      <x:c r="I211" s="13" t="n">
        <x:v>3</x:v>
      </x:c>
      <x:c r="J211" s="13" t="n">
        <x:v>6181181.390000001</x:v>
      </x:c>
      <x:c r="K211" s="13" t="n">
        <x:v>6432121.390000001</x:v>
      </x:c>
      <x:c r="L211" s="13" t="n">
        <x:v>154</x:v>
      </x:c>
      <x:c r="M211" s="13" t="n">
        <x:v>0.025454545454545455</x:v>
      </x:c>
      <x:c r="N211" s="13" t="n">
        <x:v>0.005597014925373134</x:v>
      </x:c>
      <x:c r="O211" s="13" t="n">
        <x:v>0.1087880467054036</x:v>
      </x:c>
      <x:c r="P211" s="13" t="n">
        <x:v>0.2386092560980103</x:v>
      </x:c>
      <x:c r="Q211" s="13" t="n">
        <x:v>199392.94806451612</x:v>
      </x:c>
      <x:c r="R211" s="13" t="n">
        <x:v>1.2848648329113233</x:v>
      </x:c>
      <x:c r="S211" s="13" t="n">
        <x:v>0.047541416936964946</x:v>
      </x:c>
      <x:c r="T211" s="13" t="n">
        <x:v>28</x:v>
      </x:c>
      <x:c r="U211" s="13" t="n">
        <x:v>597</x:v>
      </x:c>
      <x:c r="V211" s="13" t="n">
        <x:v>557</x:v>
      </x:c>
      <x:c r="W211" s="13" t="n">
        <x:v>40</x:v>
      </x:c>
      <x:c r="X211" s="13" t="n">
        <x:v>0</x:v>
      </x:c>
      <x:c r="Y211" s="13" t="n">
        <x:v>55293482.07</x:v>
      </x:c>
      <x:c r="Z211" s="13" t="n">
        <x:v>55293482.07</x:v>
      </x:c>
      <x:c r="AA211" s="13" t="n">
        <x:v>4</x:v>
      </x:c>
      <x:c r="AB211" s="13" t="n">
        <x:v>0.06700167504187604</x:v>
      </x:c>
      <x:c r="AC211" s="13" t="n">
        <x:v>0</x:v>
      </x:c>
      <x:c r="AD211" s="13" t="n">
        <x:v>0.7826728733290812</x:v>
      </x:c>
      <x:c r="AE211" s="13" t="n">
        <x:v>0.8797830217748847</x:v>
      </x:c>
      <x:c r="AF211" s="13" t="n">
        <x:v>1494418.4343243241</x:v>
      </x:c>
      <x:c r="AG211" s="13" t="n">
        <x:v>1.6504401927128143</x:v>
      </x:c>
      <x:c r="AH211" s="13" t="n">
        <x:v>0.054309828589410296</x:v>
      </x:c>
      <x:c r="AI211" s="13" t="n">
        <x:v>18</x:v>
      </x:c>
      <x:c r="AJ211" s="13" t="n">
        <x:v>49112300.68</x:v>
      </x:c>
      <x:c r="AK211" s="13" t="n">
        <x:v>0.11632693672388213</x:v>
      </x:c>
      <x:c r="AL211" s="13" t="n">
        <x:v>0.047079337401918046</x:v>
      </x:c>
      <x:c r="AM211" s="13" t="n">
        <x:v>0.0027447392497712718</x:v>
      </x:c>
      <x:c r="AN211" s="13" t="n">
        <x:v>0.44573046001724237</x:v>
      </x:c>
      <x:c r="AO211" s="13" t="n">
        <x:v>1.4676525128120688</x:v>
      </x:c>
      <x:c r="AP211" s="13" t="n">
        <x:v>0.05092562276318762</x:v>
      </x:c>
    </x:row>
    <x:row r="212" ht="15" hidden="0" customHeight="1">
      <x:c r="A212" s="2" t="str">
        <x:v>E211</x:v>
      </x:c>
      <x:c r="B212" s="2" t="str">
        <x:v>个体经营E211 </x:v>
      </x:c>
      <x:c r="C212" s="2" t="str">
        <x:v>无信贷记录</x:v>
      </x:c>
      <x:c r="D212" s="2" t="str"/>
      <x:c r="E212" s="2" t="str"/>
      <x:c r="F212" s="13" t="n">
        <x:v>418</x:v>
      </x:c>
      <x:c r="G212" s="13" t="n">
        <x:v>403</x:v>
      </x:c>
      <x:c r="H212" s="13" t="n">
        <x:v>15</x:v>
      </x:c>
      <x:c r="I212" s="13" t="n">
        <x:v>3</x:v>
      </x:c>
      <x:c r="J212" s="13" t="n">
        <x:v>22578145.79</x:v>
      </x:c>
      <x:c r="K212" s="13" t="n">
        <x:v>22649392.369999997</x:v>
      </x:c>
      <x:c r="L212" s="13" t="n">
        <x:v>108</x:v>
      </x:c>
      <x:c r="M212" s="13" t="n">
        <x:v>0.03588516746411483</x:v>
      </x:c>
      <x:c r="N212" s="13" t="n">
        <x:v>0.007444168734491315</x:v>
      </x:c>
      <x:c r="O212" s="13" t="n">
        <x:v>0.4715651917836634</x:v>
      </x:c>
      <x:c r="P212" s="13" t="n">
        <x:v>0.6330564090095279</x:v>
      </x:c>
      <x:c r="Q212" s="13" t="n">
        <x:v>684186.2360606061</x:v>
      </x:c>
      <x:c r="R212" s="13" t="n">
        <x:v>1.9742776512348263</x:v>
      </x:c>
      <x:c r="S212" s="13" t="n">
        <x:v>0.08565069057368158</x:v>
      </x:c>
      <x:c r="T212" s="13" t="n">
        <x:v>28</x:v>
      </x:c>
      <x:c r="U212" s="13" t="n">
        <x:v>1636</x:v>
      </x:c>
      <x:c r="V212" s="13" t="n">
        <x:v>1470</x:v>
      </x:c>
      <x:c r="W212" s="13" t="n">
        <x:v>166</x:v>
      </x:c>
      <x:c r="X212" s="13" t="n">
        <x:v>15</x:v>
      </x:c>
      <x:c r="Y212" s="13" t="n">
        <x:v>52015200.91</x:v>
      </x:c>
      <x:c r="Z212" s="13" t="n">
        <x:v>53178464.69</x:v>
      </x:c>
      <x:c r="AA212" s="13" t="n">
        <x:v>84</x:v>
      </x:c>
      <x:c r="AB212" s="13" t="n">
        <x:v>0.10146699266503667</x:v>
      </x:c>
      <x:c r="AC212" s="13" t="n">
        <x:v>0.01020408163265306</x:v>
      </x:c>
      <x:c r="AD212" s="13" t="n">
        <x:v>0.047979145697717496</x:v>
      </x:c>
      <x:c r="AE212" s="13" t="n">
        <x:v>0.13153607406261505</x:v>
      </x:c>
      <x:c r="AF212" s="13" t="n">
        <x:v>1444866.6919444446</x:v>
      </x:c>
      <x:c r="AG212" s="13" t="n">
        <x:v>0.5503876435009253</x:v>
      </x:c>
      <x:c r="AH212" s="13" t="n">
        <x:v>0.045441331775096516</x:v>
      </x:c>
      <x:c r="AI212" s="13" t="n">
        <x:v>36</x:v>
      </x:c>
      <x:c r="AJ212" s="13" t="n">
        <x:v>29437055.119999997</x:v>
      </x:c>
      <x:c r="AK212" s="13" t="n">
        <x:v>0.4259128672110597</x:v>
      </x:c>
      <x:c r="AL212" s="13" t="n">
        <x:v>0.0881207400194742</x:v>
      </x:c>
      <x:c r="AM212" s="13" t="n">
        <x:v>0.009610250934329953</x:v>
      </x:c>
      <x:c r="AN212" s="13" t="n">
        <x:v>0.2597721687406904</x:v>
      </x:c>
      <x:c r="AO212" s="13" t="n">
        <x:v>1.2623326473678758</x:v>
      </x:c>
      <x:c r="AP212" s="13" t="n">
        <x:v>0.06554601117438905</x:v>
      </x:c>
    </x:row>
    <x:row r="213" ht="15" hidden="0" customHeight="1">
      <x:c r="A213" s="2" t="str">
        <x:v>E212</x:v>
      </x:c>
      <x:c r="B213" s="2" t="str">
        <x:v>***建电管理咨询有限公司</x:v>
      </x:c>
      <x:c r="C213" s="2" t="str">
        <x:v>无信贷记录</x:v>
      </x:c>
      <x:c r="D213" s="2" t="str"/>
      <x:c r="E213" s="2" t="str"/>
      <x:c r="F213" s="13" t="n">
        <x:v>138</x:v>
      </x:c>
      <x:c r="G213" s="13" t="n">
        <x:v>133</x:v>
      </x:c>
      <x:c r="H213" s="13" t="n">
        <x:v>5</x:v>
      </x:c>
      <x:c r="I213" s="13" t="n">
        <x:v>0</x:v>
      </x:c>
      <x:c r="J213" s="13" t="n">
        <x:v>157443.54</x:v>
      </x:c>
      <x:c r="K213" s="13" t="n">
        <x:v>157443.54</x:v>
      </x:c>
      <x:c r="L213" s="13" t="n">
        <x:v>49</x:v>
      </x:c>
      <x:c r="M213" s="13" t="n">
        <x:v>0.036231884057971016</x:v>
      </x:c>
      <x:c r="N213" s="13" t="n">
        <x:v>0</x:v>
      </x:c>
      <x:c r="O213" s="13" t="n">
        <x:v>0.1634999880036994</x:v>
      </x:c>
      <x:c r="P213" s="13" t="n">
        <x:v>0.2637898004579927</x:v>
      </x:c>
      <x:c r="Q213" s="13" t="n">
        <x:v>4630.692352941176</x:v>
      </x:c>
      <x:c r="R213" s="13" t="n">
        <x:v>1.7802847240207975</x:v>
      </x:c>
      <x:c r="S213" s="13" t="n">
        <x:v>0.02875382964122727</x:v>
      </x:c>
      <x:c r="T213" s="13" t="n">
        <x:v>29</x:v>
      </x:c>
      <x:c r="U213" s="13" t="n">
        <x:v>1681</x:v>
      </x:c>
      <x:c r="V213" s="13" t="n">
        <x:v>1497</x:v>
      </x:c>
      <x:c r="W213" s="13" t="n">
        <x:v>184</x:v>
      </x:c>
      <x:c r="X213" s="13" t="n">
        <x:v>20</x:v>
      </x:c>
      <x:c r="Y213" s="13" t="n">
        <x:v>81503483.81</x:v>
      </x:c>
      <x:c r="Z213" s="13" t="n">
        <x:v>83556508.05</x:v>
      </x:c>
      <x:c r="AA213" s="13" t="n">
        <x:v>126</x:v>
      </x:c>
      <x:c r="AB213" s="13" t="n">
        <x:v>0.10945865556216537</x:v>
      </x:c>
      <x:c r="AC213" s="13" t="n">
        <x:v>0.013360053440213761</x:v>
      </x:c>
      <x:c r="AD213" s="13" t="n">
        <x:v>0.06259261417323919</x:v>
      </x:c>
      <x:c r="AE213" s="13" t="n">
        <x:v>0.13504486081739747</x:v>
      </x:c>
      <x:c r="AF213" s="13" t="n">
        <x:v>2144828.5213157893</x:v>
      </x:c>
      <x:c r="AG213" s="13" t="n">
        <x:v>0.9639242874867874</x:v>
      </x:c>
      <x:c r="AH213" s="13" t="n">
        <x:v>0.02797760736274234</x:v>
      </x:c>
      <x:c r="AI213" s="13" t="n">
        <x:v>38</x:v>
      </x:c>
      <x:c r="AJ213" s="13" t="n">
        <x:v>81346040.27</x:v>
      </x:c>
      <x:c r="AK213" s="13" t="n">
        <x:v>0.0018842762062984515</x:v>
      </x:c>
      <x:c r="AL213" s="13" t="n">
        <x:v>0.10390324354040682</x:v>
      </x:c>
      <x:c r="AM213" s="13" t="n">
        <x:v>0.012269938650306749</x:v>
      </x:c>
      <x:c r="AN213" s="13" t="n">
        <x:v>0.11304630108846929</x:v>
      </x:c>
      <x:c r="AO213" s="13" t="n">
        <x:v>1.3721045057537924</x:v>
      </x:c>
      <x:c r="AP213" s="13" t="n">
        <x:v>0.028365718501984806</x:v>
      </x:c>
    </x:row>
    <x:row r="214" ht="15" hidden="0" customHeight="1">
      <x:c r="A214" s="2" t="str">
        <x:v>E213</x:v>
      </x:c>
      <x:c r="B214" s="2" t="str">
        <x:v>***科技有限公司</x:v>
      </x:c>
      <x:c r="C214" s="2" t="str">
        <x:v>无信贷记录</x:v>
      </x:c>
      <x:c r="D214" s="2" t="str"/>
      <x:c r="E214" s="2" t="str"/>
      <x:c r="F214" s="13" t="n">
        <x:v>2192</x:v>
      </x:c>
      <x:c r="G214" s="13" t="n">
        <x:v>2103</x:v>
      </x:c>
      <x:c r="H214" s="13" t="n">
        <x:v>89</x:v>
      </x:c>
      <x:c r="I214" s="13" t="n">
        <x:v>18</x:v>
      </x:c>
      <x:c r="J214" s="13" t="n">
        <x:v>51200703.77</x:v>
      </x:c>
      <x:c r="K214" s="13" t="n">
        <x:v>53877880.129999995</x:v>
      </x:c>
      <x:c r="L214" s="13" t="n">
        <x:v>594</x:v>
      </x:c>
      <x:c r="M214" s="13" t="n">
        <x:v>0.0406021897810219</x:v>
      </x:c>
      <x:c r="N214" s="13" t="n">
        <x:v>0.008559201141226819</x:v>
      </x:c>
      <x:c r="O214" s="13" t="n">
        <x:v>0.06586246817226342</x:v>
      </x:c>
      <x:c r="P214" s="13" t="n">
        <x:v>0.17607560852635945</x:v>
      </x:c>
      <x:c r="Q214" s="13" t="n">
        <x:v>1383802.804594595</x:v>
      </x:c>
      <x:c r="R214" s="13" t="n">
        <x:v>0.8734866073978282</x:v>
      </x:c>
      <x:c r="S214" s="13" t="n">
        <x:v>0.02597250041880086</x:v>
      </x:c>
      <x:c r="T214" s="13" t="n">
        <x:v>37</x:v>
      </x:c>
      <x:c r="U214" s="13" t="n">
        <x:v>1270</x:v>
      </x:c>
      <x:c r="V214" s="13" t="n">
        <x:v>1148</x:v>
      </x:c>
      <x:c r="W214" s="13" t="n">
        <x:v>122</x:v>
      </x:c>
      <x:c r="X214" s="13" t="n">
        <x:v>23</x:v>
      </x:c>
      <x:c r="Y214" s="13" t="n">
        <x:v>65316659.35999999</x:v>
      </x:c>
      <x:c r="Z214" s="13" t="n">
        <x:v>66880665.35999999</x:v>
      </x:c>
      <x:c r="AA214" s="13" t="n">
        <x:v>263</x:v>
      </x:c>
      <x:c r="AB214" s="13" t="n">
        <x:v>0.09606299212598425</x:v>
      </x:c>
      <x:c r="AC214" s="13" t="n">
        <x:v>0.02003484320557491</x:v>
      </x:c>
      <x:c r="AD214" s="13" t="n">
        <x:v>0.03729993967065142</x:v>
      </x:c>
      <x:c r="AE214" s="13" t="n">
        <x:v>0.1338254479351071</x:v>
      </x:c>
      <x:c r="AF214" s="13" t="n">
        <x:v>1765315.1178378377</x:v>
      </x:c>
      <x:c r="AG214" s="13" t="n">
        <x:v>0.6157175131819109</x:v>
      </x:c>
      <x:c r="AH214" s="13" t="n">
        <x:v>0.014367386015156644</x:v>
      </x:c>
      <x:c r="AI214" s="13" t="n">
        <x:v>37</x:v>
      </x:c>
      <x:c r="AJ214" s="13" t="n">
        <x:v>14115955.589999989</x:v>
      </x:c>
      <x:c r="AK214" s="13" t="n">
        <x:v>0.8055822985610321</x:v>
      </x:c>
      <x:c r="AL214" s="13" t="n">
        <x:v>0.060947429231658</x:v>
      </x:c>
      <x:c r="AM214" s="13" t="n">
        <x:v>0.012611504152568441</x:v>
      </x:c>
      <x:c r="AN214" s="13" t="n">
        <x:v>0.051581203921457416</x:v>
      </x:c>
      <x:c r="AO214" s="13" t="n">
        <x:v>0.7446020602898695</x:v>
      </x:c>
      <x:c r="AP214" s="13" t="n">
        <x:v>0.020169943216978754</x:v>
      </x:c>
    </x:row>
    <x:row r="215" ht="15" hidden="0" customHeight="1">
      <x:c r="A215" s="2" t="str">
        <x:v>E214</x:v>
      </x:c>
      <x:c r="B215" s="2" t="str">
        <x:v>***建筑工程有限公司</x:v>
      </x:c>
      <x:c r="C215" s="2" t="str">
        <x:v>无信贷记录</x:v>
      </x:c>
      <x:c r="D215" s="2" t="str"/>
      <x:c r="E215" s="2" t="str"/>
      <x:c r="F215" s="13" t="n">
        <x:v>739</x:v>
      </x:c>
      <x:c r="G215" s="13" t="n">
        <x:v>692</x:v>
      </x:c>
      <x:c r="H215" s="13" t="n">
        <x:v>47</x:v>
      </x:c>
      <x:c r="I215" s="13" t="n">
        <x:v>2</x:v>
      </x:c>
      <x:c r="J215" s="13" t="n">
        <x:v>38009318.08</x:v>
      </x:c>
      <x:c r="K215" s="13" t="n">
        <x:v>38010438.08</x:v>
      </x:c>
      <x:c r="L215" s="13" t="n">
        <x:v>158</x:v>
      </x:c>
      <x:c r="M215" s="13" t="n">
        <x:v>0.06359945872801083</x:v>
      </x:c>
      <x:c r="N215" s="13" t="n">
        <x:v>0.002890173410404624</x:v>
      </x:c>
      <x:c r="O215" s="13" t="n">
        <x:v>0.06399037136000223</x:v>
      </x:c>
      <x:c r="P215" s="13" t="n">
        <x:v>0.1868891935696417</x:v>
      </x:c>
      <x:c r="Q215" s="13" t="n">
        <x:v>1027278.8670270272</x:v>
      </x:c>
      <x:c r="R215" s="13" t="n">
        <x:v>1.1697053633861858</x:v>
      </x:c>
      <x:c r="S215" s="13" t="n">
        <x:v>0.03883630996719238</x:v>
      </x:c>
      <x:c r="T215" s="13" t="n">
        <x:v>36</x:v>
      </x:c>
      <x:c r="U215" s="13" t="n">
        <x:v>868</x:v>
      </x:c>
      <x:c r="V215" s="13" t="n">
        <x:v>713</x:v>
      </x:c>
      <x:c r="W215" s="13" t="n">
        <x:v>155</x:v>
      </x:c>
      <x:c r="X215" s="13" t="n">
        <x:v>14</x:v>
      </x:c>
      <x:c r="Y215" s="13" t="n">
        <x:v>69532240.21000001</x:v>
      </x:c>
      <x:c r="Z215" s="13" t="n">
        <x:v>71195694.41</x:v>
      </x:c>
      <x:c r="AA215" s="13" t="n">
        <x:v>248</x:v>
      </x:c>
      <x:c r="AB215" s="13" t="n">
        <x:v>0.17857142857142858</x:v>
      </x:c>
      <x:c r="AC215" s="13" t="n">
        <x:v>0.019635343618513323</x:v>
      </x:c>
      <x:c r="AD215" s="13" t="n">
        <x:v>0.036892289616136116</x:v>
      </x:c>
      <x:c r="AE215" s="13" t="n">
        <x:v>0.08427475916517295</x:v>
      </x:c>
      <x:c r="AF215" s="13" t="n">
        <x:v>1879249.7354054055</x:v>
      </x:c>
      <x:c r="AG215" s="13" t="n">
        <x:v>0.9684444399862165</x:v>
      </x:c>
      <x:c r="AH215" s="13" t="n">
        <x:v>0.011895589876310952</x:v>
      </x:c>
      <x:c r="AI215" s="13" t="n">
        <x:v>37</x:v>
      </x:c>
      <x:c r="AJ215" s="13" t="n">
        <x:v>31522922.13000001</x:v>
      </x:c>
      <x:c r="AK215" s="13" t="n">
        <x:v>0.5338867524924531</x:v>
      </x:c>
      <x:c r="AL215" s="13" t="n">
        <x:v>0.12570006222775357</x:v>
      </x:c>
      <x:c r="AM215" s="13" t="n">
        <x:v>0.011387900355871887</x:v>
      </x:c>
      <x:c r="AN215" s="13" t="n">
        <x:v>0.050441330488069175</x:v>
      </x:c>
      <x:c r="AO215" s="13" t="n">
        <x:v>1.0690749016862011</x:v>
      </x:c>
      <x:c r="AP215" s="13" t="n">
        <x:v>0.025365949921751667</x:v>
      </x:c>
    </x:row>
    <x:row r="216" ht="15" hidden="0" customHeight="1">
      <x:c r="A216" s="2" t="str">
        <x:v>E215</x:v>
      </x:c>
      <x:c r="B216" s="2" t="str">
        <x:v>***建筑工程有限公司</x:v>
      </x:c>
      <x:c r="C216" s="2" t="str">
        <x:v>无信贷记录</x:v>
      </x:c>
      <x:c r="D216" s="2" t="str"/>
      <x:c r="E216" s="2" t="str"/>
      <x:c r="F216" s="13" t="n">
        <x:v>176</x:v>
      </x:c>
      <x:c r="G216" s="13" t="n">
        <x:v>172</x:v>
      </x:c>
      <x:c r="H216" s="13" t="n">
        <x:v>4</x:v>
      </x:c>
      <x:c r="I216" s="13" t="n">
        <x:v>0</x:v>
      </x:c>
      <x:c r="J216" s="13" t="n">
        <x:v>238954.21</x:v>
      </x:c>
      <x:c r="K216" s="13" t="n">
        <x:v>238954.21</x:v>
      </x:c>
      <x:c r="L216" s="13" t="n">
        <x:v>69</x:v>
      </x:c>
      <x:c r="M216" s="13" t="n">
        <x:v>0.022727272727272728</x:v>
      </x:c>
      <x:c r="N216" s="13" t="n">
        <x:v>0</x:v>
      </x:c>
      <x:c r="O216" s="13" t="n">
        <x:v>0.14612434368913507</x:v>
      </x:c>
      <x:c r="P216" s="13" t="n">
        <x:v>0.2584972242171419</x:v>
      </x:c>
      <x:c r="Q216" s="13" t="n">
        <x:v>6458.2218918918925</x:v>
      </x:c>
      <x:c r="R216" s="13" t="n">
        <x:v>1.7188591811654892</x:v>
      </x:c>
      <x:c r="S216" s="13" t="n">
        <x:v>0.04739128038342795</x:v>
      </x:c>
      <x:c r="T216" s="13" t="n">
        <x:v>25</x:v>
      </x:c>
      <x:c r="U216" s="13" t="n">
        <x:v>833</x:v>
      </x:c>
      <x:c r="V216" s="13" t="n">
        <x:v>756</x:v>
      </x:c>
      <x:c r="W216" s="13" t="n">
        <x:v>77</x:v>
      </x:c>
      <x:c r="X216" s="13" t="n">
        <x:v>0</x:v>
      </x:c>
      <x:c r="Y216" s="13" t="n">
        <x:v>69752238.59</x:v>
      </x:c>
      <x:c r="Z216" s="13" t="n">
        <x:v>69752238.59</x:v>
      </x:c>
      <x:c r="AA216" s="13" t="n">
        <x:v>8</x:v>
      </x:c>
      <x:c r="AB216" s="13" t="n">
        <x:v>0.09243697478991597</x:v>
      </x:c>
      <x:c r="AC216" s="13" t="n">
        <x:v>0</x:v>
      </x:c>
      <x:c r="AD216" s="13" t="n">
        <x:v>0.27935907019536804</x:v>
      </x:c>
      <x:c r="AE216" s="13" t="n">
        <x:v>0.4067049399912313</x:v>
      </x:c>
      <x:c r="AF216" s="13" t="n">
        <x:v>2491151.3782142857</x:v>
      </x:c>
      <x:c r="AG216" s="13" t="n">
        <x:v>1.3750438337072322</x:v>
      </x:c>
      <x:c r="AH216" s="13" t="n">
        <x:v>-0.013948304209425695</x:v>
      </x:c>
      <x:c r="AI216" s="13" t="n">
        <x:v>19</x:v>
      </x:c>
      <x:c r="AJ216" s="13" t="n">
        <x:v>69513284.38000001</x:v>
      </x:c>
      <x:c r="AK216" s="13" t="n">
        <x:v>0.0034257568621497625</x:v>
      </x:c>
      <x:c r="AL216" s="13" t="n">
        <x:v>0.0802775024777007</x:v>
      </x:c>
      <x:c r="AM216" s="13" t="n">
        <x:v>0</x:v>
      </x:c>
      <x:c r="AN216" s="13" t="n">
        <x:v>0.21274170694225156</x:v>
      </x:c>
      <x:c r="AO216" s="13" t="n">
        <x:v>1.5469515074363607</x:v>
      </x:c>
      <x:c r="AP216" s="13" t="n">
        <x:v>0.016721488087001128</x:v>
      </x:c>
    </x:row>
    <x:row r="217" ht="15" hidden="0" customHeight="1">
      <x:c r="A217" s="2" t="str">
        <x:v>E216</x:v>
      </x:c>
      <x:c r="B217" s="2" t="str">
        <x:v>***建设工程有限公司</x:v>
      </x:c>
      <x:c r="C217" s="2" t="str">
        <x:v>无信贷记录</x:v>
      </x:c>
      <x:c r="D217" s="2" t="str"/>
      <x:c r="E217" s="2" t="str"/>
      <x:c r="F217" s="13" t="n">
        <x:v>3445</x:v>
      </x:c>
      <x:c r="G217" s="13" t="n">
        <x:v>3340</x:v>
      </x:c>
      <x:c r="H217" s="13" t="n">
        <x:v>105</x:v>
      </x:c>
      <x:c r="I217" s="13" t="n">
        <x:v>16</x:v>
      </x:c>
      <x:c r="J217" s="13" t="n">
        <x:v>36069341.10000001</x:v>
      </x:c>
      <x:c r="K217" s="13" t="n">
        <x:v>36694905.2</x:v>
      </x:c>
      <x:c r="L217" s="13" t="n">
        <x:v>572</x:v>
      </x:c>
      <x:c r="M217" s="13" t="n">
        <x:v>0.030478955007256895</x:v>
      </x:c>
      <x:c r="N217" s="13" t="n">
        <x:v>0.004790419161676647</x:v>
      </x:c>
      <x:c r="O217" s="13" t="n">
        <x:v>0.09089903100728289</x:v>
      </x:c>
      <x:c r="P217" s="13" t="n">
        <x:v>0.2707362901158279</x:v>
      </x:c>
      <x:c r="Q217" s="13" t="n">
        <x:v>949193.1868421054</x:v>
      </x:c>
      <x:c r="R217" s="13" t="n">
        <x:v>0.8589300302402952</x:v>
      </x:c>
      <x:c r="S217" s="13" t="n">
        <x:v>0.02550258845489918</x:v>
      </x:c>
      <x:c r="T217" s="13" t="n">
        <x:v>37</x:v>
      </x:c>
      <x:c r="U217" s="13" t="n">
        <x:v>774</x:v>
      </x:c>
      <x:c r="V217" s="13" t="n">
        <x:v>685</x:v>
      </x:c>
      <x:c r="W217" s="13" t="n">
        <x:v>89</x:v>
      </x:c>
      <x:c r="X217" s="13" t="n">
        <x:v>5</x:v>
      </x:c>
      <x:c r="Y217" s="13" t="n">
        <x:v>64016408.96</x:v>
      </x:c>
      <x:c r="Z217" s="13" t="n">
        <x:v>64595814.54000001</x:v>
      </x:c>
      <x:c r="AA217" s="13" t="n">
        <x:v>30</x:v>
      </x:c>
      <x:c r="AB217" s="13" t="n">
        <x:v>0.11498708010335917</x:v>
      </x:c>
      <x:c r="AC217" s="13" t="n">
        <x:v>0.0072992700729927005</x:v>
      </x:c>
      <x:c r="AD217" s="13" t="n">
        <x:v>0.14750435564150768</x:v>
      </x:c>
      <x:c r="AE217" s="13" t="n">
        <x:v>0.27424233204815934</x:v>
      </x:c>
      <x:c r="AF217" s="13" t="n">
        <x:v>1882835.5576470587</x:v>
      </x:c>
      <x:c r="AG217" s="13" t="n">
        <x:v>1.0319523420448964</x:v>
      </x:c>
      <x:c r="AH217" s="13" t="n">
        <x:v>0.037006911435963935</x:v>
      </x:c>
      <x:c r="AI217" s="13" t="n">
        <x:v>32</x:v>
      </x:c>
      <x:c r="AJ217" s="13" t="n">
        <x:v>27947067.859999992</x:v>
      </x:c>
      <x:c r="AK217" s="13" t="n">
        <x:v>0.5680693936799454</x:v>
      </x:c>
      <x:c r="AL217" s="13" t="n">
        <x:v>0.04598246029864897</x:v>
      </x:c>
      <x:c r="AM217" s="13" t="n">
        <x:v>0.0052173913043478265</x:v>
      </x:c>
      <x:c r="AN217" s="13" t="n">
        <x:v>0.11920169332439529</x:v>
      </x:c>
      <x:c r="AO217" s="13" t="n">
        <x:v>0.9454411861425958</x:v>
      </x:c>
      <x:c r="AP217" s="13" t="n">
        <x:v>0.03125474994543156</x:v>
      </x:c>
    </x:row>
    <x:row r="218" ht="15" hidden="0" customHeight="1">
      <x:c r="A218" s="2" t="str">
        <x:v>E217</x:v>
      </x:c>
      <x:c r="B218" s="2" t="str">
        <x:v>个体经营E217 </x:v>
      </x:c>
      <x:c r="C218" s="2" t="str">
        <x:v>无信贷记录</x:v>
      </x:c>
      <x:c r="D218" s="2" t="str"/>
      <x:c r="E218" s="2" t="str"/>
      <x:c r="F218" s="13" t="n">
        <x:v>214</x:v>
      </x:c>
      <x:c r="G218" s="13" t="n">
        <x:v>202</x:v>
      </x:c>
      <x:c r="H218" s="13" t="n">
        <x:v>12</x:v>
      </x:c>
      <x:c r="I218" s="13" t="n">
        <x:v>0</x:v>
      </x:c>
      <x:c r="J218" s="13" t="n">
        <x:v>61169230.95</x:v>
      </x:c>
      <x:c r="K218" s="13" t="n">
        <x:v>61169230.95</x:v>
      </x:c>
      <x:c r="L218" s="13" t="n">
        <x:v>214</x:v>
      </x:c>
      <x:c r="M218" s="13" t="n">
        <x:v>0.056074766355140186</x:v>
      </x:c>
      <x:c r="N218" s="13" t="n">
        <x:v>0</x:v>
      </x:c>
      <x:c r="O218" s="13" t="n">
        <x:v>0.010466713307605872</x:v>
      </x:c>
      <x:c r="P218" s="13" t="n">
        <x:v>0.019016096523279895</x:v>
      </x:c>
      <x:c r="Q218" s="13" t="n">
        <x:v>2446769.238</x:v>
      </x:c>
      <x:c r="R218" s="13" t="n">
        <x:v>0.4386327451339788</x:v>
      </x:c>
      <x:c r="S218" s="13" t="n">
        <x:v>-0.020816689277641843</x:v>
      </x:c>
      <x:c r="T218" s="13" t="n">
        <x:v>25</x:v>
      </x:c>
      <x:c r="U218" s="13" t="n">
        <x:v>749</x:v>
      </x:c>
      <x:c r="V218" s="13" t="n">
        <x:v>34</x:v>
      </x:c>
      <x:c r="W218" s="13" t="n">
        <x:v>715</x:v>
      </x:c>
      <x:c r="X218" s="13" t="n">
        <x:v>0</x:v>
      </x:c>
      <x:c r="Y218" s="13" t="n">
        <x:v>2841057.5</x:v>
      </x:c>
      <x:c r="Z218" s="13" t="n">
        <x:v>2841057.5</x:v>
      </x:c>
      <x:c r="AA218" s="13" t="n">
        <x:v>43</x:v>
      </x:c>
      <x:c r="AB218" s="13" t="n">
        <x:v>0.9546061415220294</x:v>
      </x:c>
      <x:c r="AC218" s="13" t="n">
        <x:v>0</x:v>
      </x:c>
      <x:c r="AD218" s="13" t="n">
        <x:v>0.1486478117593681</x:v>
      </x:c>
      <x:c r="AE218" s="13" t="n">
        <x:v>0.30112730910937213</x:v>
      </x:c>
      <x:c r="AF218" s="13" t="n">
        <x:v>167121.0294117647</x:v>
      </x:c>
      <x:c r="AG218" s="13" t="n">
        <x:v>1.893014773317291</x:v>
      </x:c>
      <x:c r="AH218" s="13" t="n">
        <x:v>-0.15710809267323764</x:v>
      </x:c>
      <x:c r="AI218" s="13" t="n">
        <x:v>11</x:v>
      </x:c>
      <x:c r="AJ218" s="13" t="n">
        <x:v>-58328173.45</x:v>
      </x:c>
      <x:c r="AK218" s="13" t="n">
        <x:v>21.530444543977016</x:v>
      </x:c>
      <x:c r="AL218" s="13" t="n">
        <x:v>0.754932502596054</x:v>
      </x:c>
      <x:c r="AM218" s="13" t="n">
        <x:v>0</x:v>
      </x:c>
      <x:c r="AN218" s="13" t="n">
        <x:v>0.07955726253348698</x:v>
      </x:c>
      <x:c r="AO218" s="13" t="n">
        <x:v>1.1658237592256349</x:v>
      </x:c>
      <x:c r="AP218" s="13" t="n">
        <x:v>-0.08896239097543975</x:v>
      </x:c>
    </x:row>
    <x:row r="219" ht="15" hidden="0" customHeight="1">
      <x:c r="A219" s="2" t="str">
        <x:v>E218</x:v>
      </x:c>
      <x:c r="B219" s="2" t="str">
        <x:v>***建设工程有限公司</x:v>
      </x:c>
      <x:c r="C219" s="2" t="str">
        <x:v>无信贷记录</x:v>
      </x:c>
      <x:c r="D219" s="2" t="str"/>
      <x:c r="E219" s="2" t="str"/>
      <x:c r="F219" s="13" t="n">
        <x:v>1104</x:v>
      </x:c>
      <x:c r="G219" s="13" t="n">
        <x:v>1026</x:v>
      </x:c>
      <x:c r="H219" s="13" t="n">
        <x:v>78</x:v>
      </x:c>
      <x:c r="I219" s="13" t="n">
        <x:v>4</x:v>
      </x:c>
      <x:c r="J219" s="13" t="n">
        <x:v>43546796.88</x:v>
      </x:c>
      <x:c r="K219" s="13" t="n">
        <x:v>43781938.4</x:v>
      </x:c>
      <x:c r="L219" s="13" t="n">
        <x:v>270</x:v>
      </x:c>
      <x:c r="M219" s="13" t="n">
        <x:v>0.07065217391304347</x:v>
      </x:c>
      <x:c r="N219" s="13" t="n">
        <x:v>0.003898635477582846</x:v>
      </x:c>
      <x:c r="O219" s="13" t="n">
        <x:v>0.14134307765076384</x:v>
      </x:c>
      <x:c r="P219" s="13" t="n">
        <x:v>0.25024109005644213</x:v>
      </x:c>
      <x:c r="Q219" s="13" t="n">
        <x:v>1176940.4562162163</x:v>
      </x:c>
      <x:c r="R219" s="13" t="n">
        <x:v>1.8007479202137648</x:v>
      </x:c>
      <x:c r="S219" s="13" t="n">
        <x:v>0.10797118113079655</x:v>
      </x:c>
      <x:c r="T219" s="13" t="n">
        <x:v>36</x:v>
      </x:c>
      <x:c r="U219" s="13" t="n">
        <x:v>232</x:v>
      </x:c>
      <x:c r="V219" s="13" t="n">
        <x:v>137</x:v>
      </x:c>
      <x:c r="W219" s="13" t="n">
        <x:v>95</x:v>
      </x:c>
      <x:c r="X219" s="13" t="n">
        <x:v>0</x:v>
      </x:c>
      <x:c r="Y219" s="13" t="n">
        <x:v>42653722.33</x:v>
      </x:c>
      <x:c r="Z219" s="13" t="n">
        <x:v>42653722.33</x:v>
      </x:c>
      <x:c r="AA219" s="13" t="n">
        <x:v>71</x:v>
      </x:c>
      <x:c r="AB219" s="13" t="n">
        <x:v>0.40948275862068967</x:v>
      </x:c>
      <x:c r="AC219" s="13" t="n">
        <x:v>0</x:v>
      </x:c>
      <x:c r="AD219" s="13" t="n">
        <x:v>0.529569128095425</x:v>
      </x:c>
      <x:c r="AE219" s="13" t="n">
        <x:v>0.7143231196628836</x:v>
      </x:c>
      <x:c r="AF219" s="13" t="n">
        <x:v>1218677.7808571428</x:v>
      </x:c>
      <x:c r="AG219" s="13" t="n">
        <x:v>2.3696391021020284</x:v>
      </x:c>
      <x:c r="AH219" s="13" t="n">
        <x:v>0.1147465935480009</x:v>
      </x:c>
      <x:c r="AI219" s="13" t="n">
        <x:v>17</x:v>
      </x:c>
      <x:c r="AJ219" s="13" t="n">
        <x:v>-893074.5500000045</x:v>
      </x:c>
      <x:c r="AK219" s="13" t="n">
        <x:v>1.0264505887967128</x:v>
      </x:c>
      <x:c r="AL219" s="13" t="n">
        <x:v>0.12949101796407186</x:v>
      </x:c>
      <x:c r="AM219" s="13" t="n">
        <x:v>0.0034393809114359416</x:v>
      </x:c>
      <x:c r="AN219" s="13" t="n">
        <x:v>0.3354561028730944</x:v>
      </x:c>
      <x:c r="AO219" s="13" t="n">
        <x:v>2.0851935111578968</x:v>
      </x:c>
      <x:c r="AP219" s="13" t="n">
        <x:v>0.11135888733939872</x:v>
      </x:c>
    </x:row>
    <x:row r="220" ht="15" hidden="0" customHeight="1">
      <x:c r="A220" s="2" t="str">
        <x:v>E219</x:v>
      </x:c>
      <x:c r="B220" s="2" t="str">
        <x:v>***品牌营销策划有限公司</x:v>
      </x:c>
      <x:c r="C220" s="2" t="str">
        <x:v>无信贷记录</x:v>
      </x:c>
      <x:c r="D220" s="2" t="str"/>
      <x:c r="E220" s="2" t="str"/>
      <x:c r="F220" s="13" t="n">
        <x:v>4455</x:v>
      </x:c>
      <x:c r="G220" s="13" t="n">
        <x:v>4299</x:v>
      </x:c>
      <x:c r="H220" s="13" t="n">
        <x:v>156</x:v>
      </x:c>
      <x:c r="I220" s="13" t="n">
        <x:v>41</x:v>
      </x:c>
      <x:c r="J220" s="13" t="n">
        <x:v>40182970.93</x:v>
      </x:c>
      <x:c r="K220" s="13" t="n">
        <x:v>40761418.01</x:v>
      </x:c>
      <x:c r="L220" s="13" t="n">
        <x:v>760</x:v>
      </x:c>
      <x:c r="M220" s="13" t="n">
        <x:v>0.035016835016835016</x:v>
      </x:c>
      <x:c r="N220" s="13" t="n">
        <x:v>0.009537101651546871</x:v>
      </x:c>
      <x:c r="O220" s="13" t="n">
        <x:v>0.032715683071098234</x:v>
      </x:c>
      <x:c r="P220" s="13" t="n">
        <x:v>0.13679700737182476</x:v>
      </x:c>
      <x:c r="Q220" s="13" t="n">
        <x:v>1086026.2413513514</x:v>
      </x:c>
      <x:c r="R220" s="13" t="n">
        <x:v>0.8654065752962092</x:v>
      </x:c>
      <x:c r="S220" s="13" t="n">
        <x:v>0.05497946236992917</x:v>
      </x:c>
      <x:c r="T220" s="13" t="n">
        <x:v>36</x:v>
      </x:c>
      <x:c r="U220" s="13" t="n">
        <x:v>623</x:v>
      </x:c>
      <x:c r="V220" s="13" t="n">
        <x:v>491</x:v>
      </x:c>
      <x:c r="W220" s="13" t="n">
        <x:v>132</x:v>
      </x:c>
      <x:c r="X220" s="13" t="n">
        <x:v>33</x:v>
      </x:c>
      <x:c r="Y220" s="13" t="n">
        <x:v>40131941.84</x:v>
      </x:c>
      <x:c r="Z220" s="13" t="n">
        <x:v>45781941.739999995</x:v>
      </x:c>
      <x:c r="AA220" s="13" t="n">
        <x:v>30</x:v>
      </x:c>
      <x:c r="AB220" s="13" t="n">
        <x:v>0.21187800963081863</x:v>
      </x:c>
      <x:c r="AC220" s="13" t="n">
        <x:v>0.06720977596741344</x:v>
      </x:c>
      <x:c r="AD220" s="13" t="n">
        <x:v>0.08479518128154846</x:v>
      </x:c>
      <x:c r="AE220" s="13" t="n">
        <x:v>0.1574581377727296</x:v>
      </x:c>
      <x:c r="AF220" s="13" t="n">
        <x:v>1254123.1825</x:v>
      </x:c>
      <x:c r="AG220" s="13" t="n">
        <x:v>1.220279819099832</x:v>
      </x:c>
      <x:c r="AH220" s="13" t="n">
        <x:v>0.05265324717352699</x:v>
      </x:c>
      <x:c r="AI220" s="13" t="n">
        <x:v>29</x:v>
      </x:c>
      <x:c r="AJ220" s="13" t="n">
        <x:v>-51029.089999996126</x:v>
      </x:c>
      <x:c r="AK220" s="13" t="n">
        <x:v>0.8903383399832181</x:v>
      </x:c>
      <x:c r="AL220" s="13" t="n">
        <x:v>0.05671524222134699</x:v>
      </x:c>
      <x:c r="AM220" s="13" t="n">
        <x:v>0.015448851774530271</x:v>
      </x:c>
      <x:c r="AN220" s="13" t="n">
        <x:v>0.05875543217632335</x:v>
      </x:c>
      <x:c r="AO220" s="13" t="n">
        <x:v>1.0428431971980205</x:v>
      </x:c>
      <x:c r="AP220" s="13" t="n">
        <x:v>0.05381635477172808</x:v>
      </x:c>
    </x:row>
    <x:row r="221" ht="15" hidden="0" customHeight="1">
      <x:c r="A221" s="2" t="str">
        <x:v>E220</x:v>
      </x:c>
      <x:c r="B221" s="2" t="str">
        <x:v>***文化传播有限公司</x:v>
      </x:c>
      <x:c r="C221" s="2" t="str">
        <x:v>无信贷记录</x:v>
      </x:c>
      <x:c r="D221" s="2" t="str"/>
      <x:c r="E221" s="2" t="str"/>
      <x:c r="F221" s="13" t="n">
        <x:v>5938</x:v>
      </x:c>
      <x:c r="G221" s="13" t="n">
        <x:v>5708</x:v>
      </x:c>
      <x:c r="H221" s="13" t="n">
        <x:v>230</x:v>
      </x:c>
      <x:c r="I221" s="13" t="n">
        <x:v>50</x:v>
      </x:c>
      <x:c r="J221" s="13" t="n">
        <x:v>58410598.92</x:v>
      </x:c>
      <x:c r="K221" s="13" t="n">
        <x:v>59364959.00000001</x:v>
      </x:c>
      <x:c r="L221" s="13" t="n">
        <x:v>1575</x:v>
      </x:c>
      <x:c r="M221" s="13" t="n">
        <x:v>0.03873358033007747</x:v>
      </x:c>
      <x:c r="N221" s="13" t="n">
        <x:v>0.008759635599159075</x:v>
      </x:c>
      <x:c r="O221" s="13" t="n">
        <x:v>0.010875828749136783</x:v>
      </x:c>
      <x:c r="P221" s="13" t="n">
        <x:v>0.058957338789705896</x:v>
      </x:c>
      <x:c r="Q221" s="13" t="n">
        <x:v>1578664.8356756754</x:v>
      </x:c>
      <x:c r="R221" s="13" t="n">
        <x:v>0.5301062088373526</x:v>
      </x:c>
      <x:c r="S221" s="13" t="n">
        <x:v>0.005682440580453127</x:v>
      </x:c>
      <x:c r="T221" s="13" t="n">
        <x:v>37</x:v>
      </x:c>
      <x:c r="U221" s="13" t="n">
        <x:v>1297</x:v>
      </x:c>
      <x:c r="V221" s="13" t="n">
        <x:v>1233</x:v>
      </x:c>
      <x:c r="W221" s="13" t="n">
        <x:v>64</x:v>
      </x:c>
      <x:c r="X221" s="13" t="n">
        <x:v>11</x:v>
      </x:c>
      <x:c r="Y221" s="13" t="n">
        <x:v>85103513.03</x:v>
      </x:c>
      <x:c r="Z221" s="13" t="n">
        <x:v>85727355.03</x:v>
      </x:c>
      <x:c r="AA221" s="13" t="n">
        <x:v>147</x:v>
      </x:c>
      <x:c r="AB221" s="13" t="n">
        <x:v>0.04934464148033924</x:v>
      </x:c>
      <x:c r="AC221" s="13" t="n">
        <x:v>0.008921330089213302</x:v>
      </x:c>
      <x:c r="AD221" s="13" t="n">
        <x:v>0.3677029876703696</x:v>
      </x:c>
      <x:c r="AE221" s="13" t="n">
        <x:v>0.5408904898999075</x:v>
      </x:c>
      <x:c r="AF221" s="13" t="n">
        <x:v>2300094.946756757</x:v>
      </x:c>
      <x:c r="AG221" s="13" t="n">
        <x:v>0.6892625369890983</x:v>
      </x:c>
      <x:c r="AH221" s="13" t="n">
        <x:v>0.01448878229059095</x:v>
      </x:c>
      <x:c r="AI221" s="13" t="n">
        <x:v>37</x:v>
      </x:c>
      <x:c r="AJ221" s="13" t="n">
        <x:v>26692914.11</x:v>
      </x:c>
      <x:c r="AK221" s="13" t="n">
        <x:v>0.6924856013488978</x:v>
      </x:c>
      <x:c r="AL221" s="13" t="n">
        <x:v>0.04063579820317899</x:v>
      </x:c>
      <x:c r="AM221" s="13" t="n">
        <x:v>0.008788359026076935</x:v>
      </x:c>
      <x:c r="AN221" s="13" t="n">
        <x:v>0.18928940820975318</x:v>
      </x:c>
      <x:c r="AO221" s="13" t="n">
        <x:v>0.6096843729132255</x:v>
      </x:c>
      <x:c r="AP221" s="13" t="n">
        <x:v>0.010085611435522038</x:v>
      </x:c>
    </x:row>
    <x:row r="222" ht="15" hidden="0" customHeight="1">
      <x:c r="A222" s="2" t="str">
        <x:v>E221</x:v>
      </x:c>
      <x:c r="B222" s="2" t="str">
        <x:v>***测绘服务有限公司</x:v>
      </x:c>
      <x:c r="C222" s="2" t="str">
        <x:v>无信贷记录</x:v>
      </x:c>
      <x:c r="D222" s="2" t="str"/>
      <x:c r="E222" s="2" t="str"/>
      <x:c r="F222" s="13" t="n">
        <x:v>4494</x:v>
      </x:c>
      <x:c r="G222" s="13" t="n">
        <x:v>4429</x:v>
      </x:c>
      <x:c r="H222" s="13" t="n">
        <x:v>65</x:v>
      </x:c>
      <x:c r="I222" s="13" t="n">
        <x:v>11</x:v>
      </x:c>
      <x:c r="J222" s="13" t="n">
        <x:v>34053737.95</x:v>
      </x:c>
      <x:c r="K222" s="13" t="n">
        <x:v>34101042.05</x:v>
      </x:c>
      <x:c r="L222" s="13" t="n">
        <x:v>957</x:v>
      </x:c>
      <x:c r="M222" s="13" t="n">
        <x:v>0.014463729417000444</x:v>
      </x:c>
      <x:c r="N222" s="13" t="n">
        <x:v>0.002483630616391962</x:v>
      </x:c>
      <x:c r="O222" s="13" t="n">
        <x:v>0.0907579657091289</x:v>
      </x:c>
      <x:c r="P222" s="13" t="n">
        <x:v>0.19779688814524074</x:v>
      </x:c>
      <x:c r="Q222" s="13" t="n">
        <x:v>1174266.825862069</x:v>
      </x:c>
      <x:c r="R222" s="13" t="n">
        <x:v>1.2569093234852287</x:v>
      </x:c>
      <x:c r="S222" s="13" t="n">
        <x:v>-0.01427650109112318</x:v>
      </x:c>
      <x:c r="T222" s="13" t="n">
        <x:v>29</x:v>
      </x:c>
      <x:c r="U222" s="13" t="n">
        <x:v>694</x:v>
      </x:c>
      <x:c r="V222" s="13" t="n">
        <x:v>652</x:v>
      </x:c>
      <x:c r="W222" s="13" t="n">
        <x:v>42</x:v>
      </x:c>
      <x:c r="X222" s="13" t="n">
        <x:v>14</x:v>
      </x:c>
      <x:c r="Y222" s="13" t="n">
        <x:v>48730022.68</x:v>
      </x:c>
      <x:c r="Z222" s="13" t="n">
        <x:v>50851076.4</x:v>
      </x:c>
      <x:c r="AA222" s="13" t="n">
        <x:v>312</x:v>
      </x:c>
      <x:c r="AB222" s="13" t="n">
        <x:v>0.06051873198847262</x:v>
      </x:c>
      <x:c r="AC222" s="13" t="n">
        <x:v>0.02147239263803681</x:v>
      </x:c>
      <x:c r="AD222" s="13" t="n">
        <x:v>0.03752369798279973</x:v>
      </x:c>
      <x:c r="AE222" s="13" t="n">
        <x:v>0.11468783775833702</x:v>
      </x:c>
      <x:c r="AF222" s="13" t="n">
        <x:v>1740357.9528571425</x:v>
      </x:c>
      <x:c r="AG222" s="13" t="n">
        <x:v>0.8223891162395824</x:v>
      </x:c>
      <x:c r="AH222" s="13" t="n">
        <x:v>-0.011154272005688507</x:v>
      </x:c>
      <x:c r="AI222" s="13" t="n">
        <x:v>28</x:v>
      </x:c>
      <x:c r="AJ222" s="13" t="n">
        <x:v>14676284.729999997</x:v>
      </x:c>
      <x:c r="AK222" s="13" t="n">
        <x:v>0.6706061004836468</x:v>
      </x:c>
      <x:c r="AL222" s="13" t="n">
        <x:v>0.020624518118735544</x:v>
      </x:c>
      <x:c r="AM222" s="13" t="n">
        <x:v>0.00492029128124385</x:v>
      </x:c>
      <x:c r="AN222" s="13" t="n">
        <x:v>0.06414083184596432</x:v>
      </x:c>
      <x:c r="AO222" s="13" t="n">
        <x:v>1.0396492198624054</x:v>
      </x:c>
      <x:c r="AP222" s="13" t="n">
        <x:v>-0.012715386548405844</x:v>
      </x:c>
    </x:row>
    <x:row r="223" ht="15" hidden="0" customHeight="1">
      <x:c r="A223" s="2" t="str">
        <x:v>E222</x:v>
      </x:c>
      <x:c r="B223" s="2" t="str">
        <x:v>***数码科技有限公司</x:v>
      </x:c>
      <x:c r="C223" s="2" t="str">
        <x:v>无信贷记录</x:v>
      </x:c>
      <x:c r="D223" s="2" t="str"/>
      <x:c r="E223" s="2" t="str"/>
      <x:c r="F223" s="13" t="n">
        <x:v>4628</x:v>
      </x:c>
      <x:c r="G223" s="13" t="n">
        <x:v>4325</x:v>
      </x:c>
      <x:c r="H223" s="13" t="n">
        <x:v>303</x:v>
      </x:c>
      <x:c r="I223" s="13" t="n">
        <x:v>96</x:v>
      </x:c>
      <x:c r="J223" s="13" t="n">
        <x:v>57382956.21</x:v>
      </x:c>
      <x:c r="K223" s="13" t="n">
        <x:v>63998319.71</x:v>
      </x:c>
      <x:c r="L223" s="13" t="n">
        <x:v>934</x:v>
      </x:c>
      <x:c r="M223" s="13" t="n">
        <x:v>0.06547104580812446</x:v>
      </x:c>
      <x:c r="N223" s="13" t="n">
        <x:v>0.022196531791907514</x:v>
      </x:c>
      <x:c r="O223" s="13" t="n">
        <x:v>0.02542495259053945</x:v>
      </x:c>
      <x:c r="P223" s="13" t="n">
        <x:v>0.07045965613524385</x:v>
      </x:c>
      <x:c r="Q223" s="13" t="n">
        <x:v>1550890.7083783785</x:v>
      </x:c>
      <x:c r="R223" s="13" t="n">
        <x:v>1.031318420474312</x:v>
      </x:c>
      <x:c r="S223" s="13" t="n">
        <x:v>0.028967476241875425</x:v>
      </x:c>
      <x:c r="T223" s="13" t="n">
        <x:v>37</x:v>
      </x:c>
      <x:c r="U223" s="13" t="n">
        <x:v>1376</x:v>
      </x:c>
      <x:c r="V223" s="13" t="n">
        <x:v>1023</x:v>
      </x:c>
      <x:c r="W223" s="13" t="n">
        <x:v>353</x:v>
      </x:c>
      <x:c r="X223" s="13" t="n">
        <x:v>26</x:v>
      </x:c>
      <x:c r="Y223" s="13" t="n">
        <x:v>69182869.72</x:v>
      </x:c>
      <x:c r="Z223" s="13" t="n">
        <x:v>71684826.53999999</x:v>
      </x:c>
      <x:c r="AA223" s="13" t="n">
        <x:v>69</x:v>
      </x:c>
      <x:c r="AB223" s="13" t="n">
        <x:v>0.2565406976744186</x:v>
      </x:c>
      <x:c r="AC223" s="13" t="n">
        <x:v>0.02541544477028348</x:v>
      </x:c>
      <x:c r="AD223" s="13" t="n">
        <x:v>0.07114666213471046</x:v>
      </x:c>
      <x:c r="AE223" s="13" t="n">
        <x:v>0.18539895751277355</x:v>
      </x:c>
      <x:c r="AF223" s="13" t="n">
        <x:v>1869807.2897297298</x:v>
      </x:c>
      <x:c r="AG223" s="13" t="n">
        <x:v>1.1351200739237357</x:v>
      </x:c>
      <x:c r="AH223" s="13" t="n">
        <x:v>0.03875875714726089</x:v>
      </x:c>
      <x:c r="AI223" s="13" t="n">
        <x:v>37</x:v>
      </x:c>
      <x:c r="AJ223" s="13" t="n">
        <x:v>11799913.509999998</x:v>
      </x:c>
      <x:c r="AK223" s="13" t="n">
        <x:v>0.8927735868104398</x:v>
      </x:c>
      <x:c r="AL223" s="13" t="n">
        <x:v>0.10926049300466356</x:v>
      </x:c>
      <x:c r="AM223" s="13" t="n">
        <x:v>0.02281226626776365</x:v>
      </x:c>
      <x:c r="AN223" s="13" t="n">
        <x:v>0.04828580736262496</x:v>
      </x:c>
      <x:c r="AO223" s="13" t="n">
        <x:v>1.0832192471990238</x:v>
      </x:c>
      <x:c r="AP223" s="13" t="n">
        <x:v>0.03386311669456816</x:v>
      </x:c>
    </x:row>
    <x:row r="224" ht="15" hidden="0" customHeight="1">
      <x:c r="A224" s="2" t="str">
        <x:v>E223</x:v>
      </x:c>
      <x:c r="B224" s="2" t="str">
        <x:v>***科技有限公司</x:v>
      </x:c>
      <x:c r="C224" s="2" t="str">
        <x:v>无信贷记录</x:v>
      </x:c>
      <x:c r="D224" s="2" t="str"/>
      <x:c r="E224" s="2" t="str"/>
      <x:c r="F224" s="13" t="n">
        <x:v>2624</x:v>
      </x:c>
      <x:c r="G224" s="13" t="n">
        <x:v>2505</x:v>
      </x:c>
      <x:c r="H224" s="13" t="n">
        <x:v>119</x:v>
      </x:c>
      <x:c r="I224" s="13" t="n">
        <x:v>20</x:v>
      </x:c>
      <x:c r="J224" s="13" t="n">
        <x:v>43578340</x:v>
      </x:c>
      <x:c r="K224" s="13" t="n">
        <x:v>43788544.2</x:v>
      </x:c>
      <x:c r="L224" s="13" t="n">
        <x:v>788</x:v>
      </x:c>
      <x:c r="M224" s="13" t="n">
        <x:v>0.04535060975609756</x:v>
      </x:c>
      <x:c r="N224" s="13" t="n">
        <x:v>0.007984031936127744</x:v>
      </x:c>
      <x:c r="O224" s="13" t="n">
        <x:v>0.1814734998494416</x:v>
      </x:c>
      <x:c r="P224" s="13" t="n">
        <x:v>0.36538430295657104</x:v>
      </x:c>
      <x:c r="Q224" s="13" t="n">
        <x:v>2293596.8421052634</x:v>
      </x:c>
      <x:c r="R224" s="13" t="n">
        <x:v>0.611159029114285</x:v>
      </x:c>
      <x:c r="S224" s="13" t="n">
        <x:v>0.07750339690161055</x:v>
      </x:c>
      <x:c r="T224" s="13" t="n">
        <x:v>19</x:v>
      </x:c>
      <x:c r="U224" s="13" t="n">
        <x:v>529</x:v>
      </x:c>
      <x:c r="V224" s="13" t="n">
        <x:v>477</x:v>
      </x:c>
      <x:c r="W224" s="13" t="n">
        <x:v>52</x:v>
      </x:c>
      <x:c r="X224" s="13" t="n">
        <x:v>21</x:v>
      </x:c>
      <x:c r="Y224" s="13" t="n">
        <x:v>35552180.77</x:v>
      </x:c>
      <x:c r="Z224" s="13" t="n">
        <x:v>38594335.81</x:v>
      </x:c>
      <x:c r="AA224" s="13" t="n">
        <x:v>54</x:v>
      </x:c>
      <x:c r="AB224" s="13" t="n">
        <x:v>0.09829867674858223</x:v>
      </x:c>
      <x:c r="AC224" s="13" t="n">
        <x:v>0.0440251572327044</x:v>
      </x:c>
      <x:c r="AD224" s="13" t="n">
        <x:v>0.25123783817840156</x:v>
      </x:c>
      <x:c r="AE224" s="13" t="n">
        <x:v>0.4666601573004244</x:v>
      </x:c>
      <x:c r="AF224" s="13" t="n">
        <x:v>2091304.7511764704</x:v>
      </x:c>
      <x:c r="AG224" s="13" t="n">
        <x:v>0.5670732058049466</x:v>
      </x:c>
      <x:c r="AH224" s="13" t="n">
        <x:v>0.06985026945976192</x:v>
      </x:c>
      <x:c r="AI224" s="13" t="n">
        <x:v>17</x:v>
      </x:c>
      <x:c r="AJ224" s="13" t="n">
        <x:v>-8026159.229999997</x:v>
      </x:c>
      <x:c r="AK224" s="13" t="n">
        <x:v>1.1345847332513015</x:v>
      </x:c>
      <x:c r="AL224" s="13" t="n">
        <x:v>0.05423406279733587</x:v>
      </x:c>
      <x:c r="AM224" s="13" t="n">
        <x:v>0.01374916163648558</x:v>
      </x:c>
      <x:c r="AN224" s="13" t="n">
        <x:v>0.2163556690139216</x:v>
      </x:c>
      <x:c r="AO224" s="13" t="n">
        <x:v>0.5891161174596158</x:v>
      </x:c>
      <x:c r="AP224" s="13" t="n">
        <x:v>0.07367683318068624</x:v>
      </x:c>
    </x:row>
    <x:row r="225" ht="15" hidden="0" customHeight="1">
      <x:c r="A225" s="2" t="str">
        <x:v>E224</x:v>
      </x:c>
      <x:c r="B225" s="2" t="str">
        <x:v>***纸业有限公司</x:v>
      </x:c>
      <x:c r="C225" s="2" t="str">
        <x:v>无信贷记录</x:v>
      </x:c>
      <x:c r="D225" s="2" t="str"/>
      <x:c r="E225" s="2" t="str"/>
      <x:c r="F225" s="13" t="n">
        <x:v>759</x:v>
      </x:c>
      <x:c r="G225" s="13" t="n">
        <x:v>723</x:v>
      </x:c>
      <x:c r="H225" s="13" t="n">
        <x:v>36</x:v>
      </x:c>
      <x:c r="I225" s="13" t="n">
        <x:v>5</x:v>
      </x:c>
      <x:c r="J225" s="13" t="n">
        <x:v>114283500.84</x:v>
      </x:c>
      <x:c r="K225" s="13" t="n">
        <x:v>115171219.8</x:v>
      </x:c>
      <x:c r="L225" s="13" t="n">
        <x:v>104</x:v>
      </x:c>
      <x:c r="M225" s="13" t="n">
        <x:v>0.04743083003952569</x:v>
      </x:c>
      <x:c r="N225" s="13" t="n">
        <x:v>0.006915629322268326</x:v>
      </x:c>
      <x:c r="O225" s="13" t="n">
        <x:v>0.10523013164175238</x:v>
      </x:c>
      <x:c r="P225" s="13" t="n">
        <x:v>0.20311843132879626</x:v>
      </x:c>
      <x:c r="Q225" s="13" t="n">
        <x:v>3088743.265945946</x:v>
      </x:c>
      <x:c r="R225" s="13" t="n">
        <x:v>0.63915581895342</x:v>
      </x:c>
      <x:c r="S225" s="13" t="n">
        <x:v>-0.018814714244278375</x:v>
      </x:c>
      <x:c r="T225" s="13" t="n">
        <x:v>37</x:v>
      </x:c>
      <x:c r="U225" s="13" t="n">
        <x:v>1127</x:v>
      </x:c>
      <x:c r="V225" s="13" t="n">
        <x:v>1110</x:v>
      </x:c>
      <x:c r="W225" s="13" t="n">
        <x:v>17</x:v>
      </x:c>
      <x:c r="X225" s="13" t="n">
        <x:v>14</x:v>
      </x:c>
      <x:c r="Y225" s="13" t="n">
        <x:v>111478009.03</x:v>
      </x:c>
      <x:c r="Z225" s="13" t="n">
        <x:v>114071359.03</x:v>
      </x:c>
      <x:c r="AA225" s="13" t="n">
        <x:v>42</x:v>
      </x:c>
      <x:c r="AB225" s="13" t="n">
        <x:v>0.015084294587400177</x:v>
      </x:c>
      <x:c r="AC225" s="13" t="n">
        <x:v>0.012612612612612612</x:v>
      </x:c>
      <x:c r="AD225" s="13" t="n">
        <x:v>0.12329381490946506</x:v>
      </x:c>
      <x:c r="AE225" s="13" t="n">
        <x:v>0.23284017930403367</x:v>
      </x:c>
      <x:c r="AF225" s="13" t="n">
        <x:v>3012919.1629729727</x:v>
      </x:c>
      <x:c r="AG225" s="13" t="n">
        <x:v>0.5245821091062799</x:v>
      </x:c>
      <x:c r="AH225" s="13" t="n">
        <x:v>-0.019303705936029134</x:v>
      </x:c>
      <x:c r="AI225" s="13" t="n">
        <x:v>37</x:v>
      </x:c>
      <x:c r="AJ225" s="13" t="n">
        <x:v>-2805491.8100000024</x:v>
      </x:c>
      <x:c r="AK225" s="13" t="n">
        <x:v>1.0096418661033988</x:v>
      </x:c>
      <x:c r="AL225" s="13" t="n">
        <x:v>0.028101802757158005</x:v>
      </x:c>
      <x:c r="AM225" s="13" t="n">
        <x:v>0.010365521003818877</x:v>
      </x:c>
      <x:c r="AN225" s="13" t="n">
        <x:v>0.11426197327560872</x:v>
      </x:c>
      <x:c r="AO225" s="13" t="n">
        <x:v>0.58186896402985</x:v>
      </x:c>
      <x:c r="AP225" s="13" t="n">
        <x:v>-0.019059210090153753</x:v>
      </x:c>
    </x:row>
    <x:row r="226" ht="15" hidden="0" customHeight="1">
      <x:c r="A226" s="2" t="str">
        <x:v>E225</x:v>
      </x:c>
      <x:c r="B226" s="2" t="str">
        <x:v>***物业服务有限责任公司***分公司</x:v>
      </x:c>
      <x:c r="C226" s="2" t="str">
        <x:v>无信贷记录</x:v>
      </x:c>
      <x:c r="D226" s="2" t="str"/>
      <x:c r="E226" s="2" t="str"/>
      <x:c r="F226" s="13" t="n">
        <x:v>4332</x:v>
      </x:c>
      <x:c r="G226" s="13" t="n">
        <x:v>4173</x:v>
      </x:c>
      <x:c r="H226" s="13" t="n">
        <x:v>159</x:v>
      </x:c>
      <x:c r="I226" s="13" t="n">
        <x:v>48</x:v>
      </x:c>
      <x:c r="J226" s="13" t="n">
        <x:v>48074903.05</x:v>
      </x:c>
      <x:c r="K226" s="13" t="n">
        <x:v>48766457.31</x:v>
      </x:c>
      <x:c r="L226" s="13" t="n">
        <x:v>685</x:v>
      </x:c>
      <x:c r="M226" s="13" t="n">
        <x:v>0.036703601108033244</x:v>
      </x:c>
      <x:c r="N226" s="13" t="n">
        <x:v>0.011502516175413372</x:v>
      </x:c>
      <x:c r="O226" s="13" t="n">
        <x:v>0.2048485264283142</x:v>
      </x:c>
      <x:c r="P226" s="13" t="n">
        <x:v>0.4367830930304665</x:v>
      </x:c>
      <x:c r="Q226" s="13" t="n">
        <x:v>1265129.027631579</x:v>
      </x:c>
      <x:c r="R226" s="13" t="n">
        <x:v>0.39157353472251283</x:v>
      </x:c>
      <x:c r="S226" s="13" t="n">
        <x:v>0.00841014308117326</x:v>
      </x:c>
      <x:c r="T226" s="13" t="n">
        <x:v>38</x:v>
      </x:c>
      <x:c r="U226" s="13" t="n">
        <x:v>8872</x:v>
      </x:c>
      <x:c r="V226" s="13" t="n">
        <x:v>8315</x:v>
      </x:c>
      <x:c r="W226" s="13" t="n">
        <x:v>557</x:v>
      </x:c>
      <x:c r="X226" s="13" t="n">
        <x:v>100</x:v>
      </x:c>
      <x:c r="Y226" s="13" t="n">
        <x:v>74851910.94</x:v>
      </x:c>
      <x:c r="Z226" s="13" t="n">
        <x:v>77023034.96000001</x:v>
      </x:c>
      <x:c r="AA226" s="13" t="n">
        <x:v>476</x:v>
      </x:c>
      <x:c r="AB226" s="13" t="n">
        <x:v>0.06278178539224527</x:v>
      </x:c>
      <x:c r="AC226" s="13" t="n">
        <x:v>0.012026458208057728</x:v>
      </x:c>
      <x:c r="AD226" s="13" t="n">
        <x:v>0.021101486254370694</x:v>
      </x:c>
      <x:c r="AE226" s="13" t="n">
        <x:v>0.0642558203863329</x:v>
      </x:c>
      <x:c r="AF226" s="13" t="n">
        <x:v>1969787.13</x:v>
      </x:c>
      <x:c r="AG226" s="13" t="n">
        <x:v>0.6776098289341753</x:v>
      </x:c>
      <x:c r="AH226" s="13" t="n">
        <x:v>0.005713728993027816</x:v>
      </x:c>
      <x:c r="AI226" s="13" t="n">
        <x:v>38</x:v>
      </x:c>
      <x:c r="AJ226" s="13" t="n">
        <x:v>26777007.89</x:v>
      </x:c>
      <x:c r="AK226" s="13" t="n">
        <x:v>0.6331412068522831</x:v>
      </x:c>
      <x:c r="AL226" s="13" t="n">
        <x:v>0.05422599212359891</x:v>
      </x:c>
      <x:c r="AM226" s="13" t="n">
        <x:v>0.01185137732222934</x:v>
      </x:c>
      <x:c r="AN226" s="13" t="n">
        <x:v>0.11297500634134244</x:v>
      </x:c>
      <x:c r="AO226" s="13" t="n">
        <x:v>0.534591681828344</x:v>
      </x:c>
      <x:c r="AP226" s="13" t="n">
        <x:v>0.0070619360371005375</x:v>
      </x:c>
    </x:row>
    <x:row r="227" ht="15" hidden="0" customHeight="1">
      <x:c r="A227" s="2" t="str">
        <x:v>E226</x:v>
      </x:c>
      <x:c r="B227" s="2" t="str">
        <x:v>***建设工程有限公司</x:v>
      </x:c>
      <x:c r="C227" s="2" t="str">
        <x:v>无信贷记录</x:v>
      </x:c>
      <x:c r="D227" s="2" t="str"/>
      <x:c r="E227" s="2" t="str"/>
      <x:c r="F227" s="13" t="n">
        <x:v>1047</x:v>
      </x:c>
      <x:c r="G227" s="13" t="n">
        <x:v>1022</x:v>
      </x:c>
      <x:c r="H227" s="13" t="n">
        <x:v>25</x:v>
      </x:c>
      <x:c r="I227" s="13" t="n">
        <x:v>29</x:v>
      </x:c>
      <x:c r="J227" s="13" t="n">
        <x:v>51733363.86</x:v>
      </x:c>
      <x:c r="K227" s="13" t="n">
        <x:v>56302963.86</x:v>
      </x:c>
      <x:c r="L227" s="13" t="n">
        <x:v>220</x:v>
      </x:c>
      <x:c r="M227" s="13" t="n">
        <x:v>0.02387774594078319</x:v>
      </x:c>
      <x:c r="N227" s="13" t="n">
        <x:v>0.02837573385518591</x:v>
      </x:c>
      <x:c r="O227" s="13" t="n">
        <x:v>0.09086532725733848</x:v>
      </x:c>
      <x:c r="P227" s="13" t="n">
        <x:v>0.15734518030042477</x:v>
      </x:c>
      <x:c r="Q227" s="13" t="n">
        <x:v>1567677.6927272724</x:v>
      </x:c>
      <x:c r="R227" s="13" t="n">
        <x:v>1.2173259917063408</x:v>
      </x:c>
      <x:c r="S227" s="13" t="n">
        <x:v>0.033560421988419645</x:v>
      </x:c>
      <x:c r="T227" s="13" t="n">
        <x:v>32</x:v>
      </x:c>
      <x:c r="U227" s="13" t="n">
        <x:v>554</x:v>
      </x:c>
      <x:c r="V227" s="13" t="n">
        <x:v>516</x:v>
      </x:c>
      <x:c r="W227" s="13" t="n">
        <x:v>38</x:v>
      </x:c>
      <x:c r="X227" s="13" t="n">
        <x:v>6</x:v>
      </x:c>
      <x:c r="Y227" s="13" t="n">
        <x:v>49317483.33</x:v>
      </x:c>
      <x:c r="Z227" s="13" t="n">
        <x:v>50281483.33</x:v>
      </x:c>
      <x:c r="AA227" s="13" t="n">
        <x:v>34</x:v>
      </x:c>
      <x:c r="AB227" s="13" t="n">
        <x:v>0.06859205776173286</x:v>
      </x:c>
      <x:c r="AC227" s="13" t="n">
        <x:v>0.011627906976744186</x:v>
      </x:c>
      <x:c r="AD227" s="13" t="n">
        <x:v>0.4312823816584633</x:v>
      </x:c>
      <x:c r="AE227" s="13" t="n">
        <x:v>0.6443630508543313</x:v>
      </x:c>
      <x:c r="AF227" s="13" t="n">
        <x:v>1332904.9548648647</x:v>
      </x:c>
      <x:c r="AG227" s="13" t="n">
        <x:v>1.2657642848078865</x:v>
      </x:c>
      <x:c r="AH227" s="13" t="n">
        <x:v>0.04418996384111958</x:v>
      </x:c>
      <x:c r="AI227" s="13" t="n">
        <x:v>29</x:v>
      </x:c>
      <x:c r="AJ227" s="13" t="n">
        <x:v>-2415880.530000001</x:v>
      </x:c>
      <x:c r="AK227" s="13" t="n">
        <x:v>1.1197554274698045</x:v>
      </x:c>
      <x:c r="AL227" s="13" t="n">
        <x:v>0.03935040599625234</x:v>
      </x:c>
      <x:c r="AM227" s="13" t="n">
        <x:v>0.022756827048114433</x:v>
      </x:c>
      <x:c r="AN227" s="13" t="n">
        <x:v>0.2610738544579009</x:v>
      </x:c>
      <x:c r="AO227" s="13" t="n">
        <x:v>1.2415451382571137</x:v>
      </x:c>
      <x:c r="AP227" s="13" t="n">
        <x:v>0.03887519291476961</x:v>
      </x:c>
    </x:row>
    <x:row r="228" ht="15" hidden="0" customHeight="1">
      <x:c r="A228" s="2" t="str">
        <x:v>E227</x:v>
      </x:c>
      <x:c r="B228" s="2" t="str">
        <x:v>***安全技术有限公司</x:v>
      </x:c>
      <x:c r="C228" s="2" t="str">
        <x:v>无信贷记录</x:v>
      </x:c>
      <x:c r="D228" s="2" t="str"/>
      <x:c r="E228" s="2" t="str"/>
      <x:c r="F228" s="13" t="n">
        <x:v>2942</x:v>
      </x:c>
      <x:c r="G228" s="13" t="n">
        <x:v>2778</x:v>
      </x:c>
      <x:c r="H228" s="13" t="n">
        <x:v>164</x:v>
      </x:c>
      <x:c r="I228" s="13" t="n">
        <x:v>18</x:v>
      </x:c>
      <x:c r="J228" s="13" t="n">
        <x:v>55296639.1</x:v>
      </x:c>
      <x:c r="K228" s="13" t="n">
        <x:v>56138439.78</x:v>
      </x:c>
      <x:c r="L228" s="13" t="n">
        <x:v>556</x:v>
      </x:c>
      <x:c r="M228" s="13" t="n">
        <x:v>0.0557443915703603</x:v>
      </x:c>
      <x:c r="N228" s="13" t="n">
        <x:v>0.0064794816414686825</x:v>
      </x:c>
      <x:c r="O228" s="13" t="n">
        <x:v>0.023677014685429484</x:v>
      </x:c>
      <x:c r="P228" s="13" t="n">
        <x:v>0.06488230995150752</x:v>
      </x:c>
      <x:c r="Q228" s="13" t="n">
        <x:v>1579903.974285714</x:v>
      </x:c>
      <x:c r="R228" s="13" t="n">
        <x:v>0.6464548507717265</x:v>
      </x:c>
      <x:c r="S228" s="13" t="n">
        <x:v>0.025480189885785015</x:v>
      </x:c>
      <x:c r="T228" s="13" t="n">
        <x:v>35</x:v>
      </x:c>
      <x:c r="U228" s="13" t="n">
        <x:v>742</x:v>
      </x:c>
      <x:c r="V228" s="13" t="n">
        <x:v>687</x:v>
      </x:c>
      <x:c r="W228" s="13" t="n">
        <x:v>55</x:v>
      </x:c>
      <x:c r="X228" s="13" t="n">
        <x:v>6</x:v>
      </x:c>
      <x:c r="Y228" s="13" t="n">
        <x:v>60352822</x:v>
      </x:c>
      <x:c r="Z228" s="13" t="n">
        <x:v>61175726.480000004</x:v>
      </x:c>
      <x:c r="AA228" s="13" t="n">
        <x:v>86</x:v>
      </x:c>
      <x:c r="AB228" s="13" t="n">
        <x:v>0.07412398921832884</x:v>
      </x:c>
      <x:c r="AC228" s="13" t="n">
        <x:v>0.008733624454148471</x:v>
      </x:c>
      <x:c r="AD228" s="13" t="n">
        <x:v>0.05416484722141872</x:v>
      </x:c>
      <x:c r="AE228" s="13" t="n">
        <x:v>0.11815437945576483</x:v>
      </x:c>
      <x:c r="AF228" s="13" t="n">
        <x:v>1631157.3513513515</x:v>
      </x:c>
      <x:c r="AG228" s="13" t="n">
        <x:v>0.8365079550816165</x:v>
      </x:c>
      <x:c r="AH228" s="13" t="n">
        <x:v>0.024500580763843014</x:v>
      </x:c>
      <x:c r="AI228" s="13" t="n">
        <x:v>33</x:v>
      </x:c>
      <x:c r="AJ228" s="13" t="n">
        <x:v>5056182.8999999985</x:v>
      </x:c>
      <x:c r="AK228" s="13" t="n">
        <x:v>0.9176587350924745</x:v>
      </x:c>
      <x:c r="AL228" s="13" t="n">
        <x:v>0.059446254071661236</x:v>
      </x:c>
      <x:c r="AM228" s="13" t="n">
        <x:v>0.006926406926406926</x:v>
      </x:c>
      <x:c r="AN228" s="13" t="n">
        <x:v>0.0389209309534241</x:v>
      </x:c>
      <x:c r="AO228" s="13" t="n">
        <x:v>0.7414814029266714</x:v>
      </x:c>
      <x:c r="AP228" s="13" t="n">
        <x:v>0.024990385324814013</x:v>
      </x:c>
    </x:row>
    <x:row r="229" ht="15" hidden="0" customHeight="1">
      <x:c r="A229" s="2" t="str">
        <x:v>E228</x:v>
      </x:c>
      <x:c r="B229" s="2" t="str">
        <x:v>***文化发展有限公司</x:v>
      </x:c>
      <x:c r="C229" s="2" t="str">
        <x:v>无信贷记录</x:v>
      </x:c>
      <x:c r="D229" s="2" t="str"/>
      <x:c r="E229" s="2" t="str"/>
      <x:c r="F229" s="13" t="n">
        <x:v>2743</x:v>
      </x:c>
      <x:c r="G229" s="13" t="n">
        <x:v>2665</x:v>
      </x:c>
      <x:c r="H229" s="13" t="n">
        <x:v>78</x:v>
      </x:c>
      <x:c r="I229" s="13" t="n">
        <x:v>10</x:v>
      </x:c>
      <x:c r="J229" s="13" t="n">
        <x:v>32773989.93</x:v>
      </x:c>
      <x:c r="K229" s="13" t="n">
        <x:v>33033491.009999998</x:v>
      </x:c>
      <x:c r="L229" s="13" t="n">
        <x:v>607</x:v>
      </x:c>
      <x:c r="M229" s="13" t="n">
        <x:v>0.02843601895734597</x:v>
      </x:c>
      <x:c r="N229" s="13" t="n">
        <x:v>0.00375234521575985</x:v>
      </x:c>
      <x:c r="O229" s="13" t="n">
        <x:v>0.03520475919517104</x:v>
      </x:c>
      <x:c r="P229" s="13" t="n">
        <x:v>0.11988863056590397</x:v>
      </x:c>
      <x:c r="Q229" s="13" t="n">
        <x:v>885783.5116216217</x:v>
      </x:c>
      <x:c r="R229" s="13" t="n">
        <x:v>0.7947469599093198</x:v>
      </x:c>
      <x:c r="S229" s="13" t="n">
        <x:v>0.01675542319727412</x:v>
      </x:c>
      <x:c r="T229" s="13" t="n">
        <x:v>37</x:v>
      </x:c>
      <x:c r="U229" s="13" t="n">
        <x:v>1176</x:v>
      </x:c>
      <x:c r="V229" s="13" t="n">
        <x:v>993</x:v>
      </x:c>
      <x:c r="W229" s="13" t="n">
        <x:v>183</x:v>
      </x:c>
      <x:c r="X229" s="13" t="n">
        <x:v>104</x:v>
      </x:c>
      <x:c r="Y229" s="13" t="n">
        <x:v>63847792.5</x:v>
      </x:c>
      <x:c r="Z229" s="13" t="n">
        <x:v>82873264.5</x:v>
      </x:c>
      <x:c r="AA229" s="13" t="n">
        <x:v>169</x:v>
      </x:c>
      <x:c r="AB229" s="13" t="n">
        <x:v>0.1556122448979592</x:v>
      </x:c>
      <x:c r="AC229" s="13" t="n">
        <x:v>0.10473313192346426</x:v>
      </x:c>
      <x:c r="AD229" s="13" t="n">
        <x:v>0.03105583600656317</x:v>
      </x:c>
      <x:c r="AE229" s="13" t="n">
        <x:v>0.09122362978714324</x:v>
      </x:c>
      <x:c r="AF229" s="13" t="n">
        <x:v>1725616.0135135136</x:v>
      </x:c>
      <x:c r="AG229" s="13" t="n">
        <x:v>0.5212497851608007</x:v>
      </x:c>
      <x:c r="AH229" s="13" t="n">
        <x:v>0.01498715981723939</x:v>
      </x:c>
      <x:c r="AI229" s="13" t="n">
        <x:v>37</x:v>
      </x:c>
      <x:c r="AJ229" s="13" t="n">
        <x:v>31073802.57</x:v>
      </x:c>
      <x:c r="AK229" s="13" t="n">
        <x:v>0.398602507205445</x:v>
      </x:c>
      <x:c r="AL229" s="13" t="n">
        <x:v>0.06659862209747384</x:v>
      </x:c>
      <x:c r="AM229" s="13" t="n">
        <x:v>0.03116457080371788</x:v>
      </x:c>
      <x:c r="AN229" s="13" t="n">
        <x:v>0.03313029760086711</x:v>
      </x:c>
      <x:c r="AO229" s="13" t="n">
        <x:v>0.6579983725350602</x:v>
      </x:c>
      <x:c r="AP229" s="13" t="n">
        <x:v>0.015871291507256753</x:v>
      </x:c>
    </x:row>
    <x:row r="230" ht="15" hidden="0" customHeight="1">
      <x:c r="A230" s="2" t="str">
        <x:v>E229</x:v>
      </x:c>
      <x:c r="B230" s="2" t="str">
        <x:v>***家贸易有限公司</x:v>
      </x:c>
      <x:c r="C230" s="2" t="str">
        <x:v>无信贷记录</x:v>
      </x:c>
      <x:c r="D230" s="2" t="str"/>
      <x:c r="E230" s="2" t="str"/>
      <x:c r="F230" s="13" t="n">
        <x:v>1621</x:v>
      </x:c>
      <x:c r="G230" s="13" t="n">
        <x:v>1570</x:v>
      </x:c>
      <x:c r="H230" s="13" t="n">
        <x:v>51</x:v>
      </x:c>
      <x:c r="I230" s="13" t="n">
        <x:v>8</x:v>
      </x:c>
      <x:c r="J230" s="13" t="n">
        <x:v>64719255.23</x:v>
      </x:c>
      <x:c r="K230" s="13" t="n">
        <x:v>65197769.09</x:v>
      </x:c>
      <x:c r="L230" s="13" t="n">
        <x:v>228</x:v>
      </x:c>
      <x:c r="M230" s="13" t="n">
        <x:v>0.03146206045650833</x:v>
      </x:c>
      <x:c r="N230" s="13" t="n">
        <x:v>0.005095541401273885</x:v>
      </x:c>
      <x:c r="O230" s="13" t="n">
        <x:v>0.09375950527101111</x:v>
      </x:c>
      <x:c r="P230" s="13" t="n">
        <x:v>0.2402335015233264</x:v>
      </x:c>
      <x:c r="Q230" s="13" t="n">
        <x:v>1749169.0602702699</x:v>
      </x:c>
      <x:c r="R230" s="13" t="n">
        <x:v>0.4471926535595901</x:v>
      </x:c>
      <x:c r="S230" s="13" t="n">
        <x:v>0.0034191146539151716</x:v>
      </x:c>
      <x:c r="T230" s="13" t="n">
        <x:v>37</x:v>
      </x:c>
      <x:c r="U230" s="13" t="n">
        <x:v>862</x:v>
      </x:c>
      <x:c r="V230" s="13" t="n">
        <x:v>773</x:v>
      </x:c>
      <x:c r="W230" s="13" t="n">
        <x:v>89</x:v>
      </x:c>
      <x:c r="X230" s="13" t="n">
        <x:v>1</x:v>
      </x:c>
      <x:c r="Y230" s="13" t="n">
        <x:v>63516621.07000001</x:v>
      </x:c>
      <x:c r="Z230" s="13" t="n">
        <x:v>63619467.43000001</x:v>
      </x:c>
      <x:c r="AA230" s="13" t="n">
        <x:v>33</x:v>
      </x:c>
      <x:c r="AB230" s="13" t="n">
        <x:v>0.10324825986078887</x:v>
      </x:c>
      <x:c r="AC230" s="13" t="n">
        <x:v>0.00129366106080207</x:v>
      </x:c>
      <x:c r="AD230" s="13" t="n">
        <x:v>0.685139706054312</x:v>
      </x:c>
      <x:c r="AE230" s="13" t="n">
        <x:v>0.8238838070700901</x:v>
      </x:c>
      <x:c r="AF230" s="13" t="n">
        <x:v>1716665.4343243248</x:v>
      </x:c>
      <x:c r="AG230" s="13" t="n">
        <x:v>0.2741988286658741</x:v>
      </x:c>
      <x:c r="AH230" s="13" t="n">
        <x:v>0.007120781149299516</x:v>
      </x:c>
      <x:c r="AI230" s="13" t="n">
        <x:v>37</x:v>
      </x:c>
      <x:c r="AJ230" s="13" t="n">
        <x:v>-1202634.159999989</x:v>
      </x:c>
      <x:c r="AK230" s="13" t="n">
        <x:v>1.024808470170496</x:v>
      </x:c>
      <x:c r="AL230" s="13" t="n">
        <x:v>0.056383407168747485</x:v>
      </x:c>
      <x:c r="AM230" s="13" t="n">
        <x:v>0.0038412291933418692</x:v>
      </x:c>
      <x:c r="AN230" s="13" t="n">
        <x:v>0.3894496056626615</x:v>
      </x:c>
      <x:c r="AO230" s="13" t="n">
        <x:v>0.36069574111273206</x:v>
      </x:c>
      <x:c r="AP230" s="13" t="n">
        <x:v>0.005269947901607344</x:v>
      </x:c>
    </x:row>
    <x:row r="231" ht="15" hidden="0" customHeight="1">
      <x:c r="A231" s="2" t="str">
        <x:v>E230</x:v>
      </x:c>
      <x:c r="B231" s="2" t="str">
        <x:v>***建筑劳务有限公司</x:v>
      </x:c>
      <x:c r="C231" s="2" t="str">
        <x:v>无信贷记录</x:v>
      </x:c>
      <x:c r="D231" s="2" t="str"/>
      <x:c r="E231" s="2" t="str"/>
      <x:c r="F231" s="13" t="n">
        <x:v>84</x:v>
      </x:c>
      <x:c r="G231" s="13" t="n">
        <x:v>83</x:v>
      </x:c>
      <x:c r="H231" s="13" t="n">
        <x:v>1</x:v>
      </x:c>
      <x:c r="I231" s="13" t="n">
        <x:v>0</x:v>
      </x:c>
      <x:c r="J231" s="13" t="n">
        <x:v>125526.73000000001</x:v>
      </x:c>
      <x:c r="K231" s="13" t="n">
        <x:v>125526.73000000001</x:v>
      </x:c>
      <x:c r="L231" s="13" t="n">
        <x:v>17</x:v>
      </x:c>
      <x:c r="M231" s="13" t="n">
        <x:v>0.011904761904761904</x:v>
      </x:c>
      <x:c r="N231" s="13" t="n">
        <x:v>0</x:v>
      </x:c>
      <x:c r="O231" s="13" t="n">
        <x:v>0.6508306732561753</x:v>
      </x:c>
      <x:c r="P231" s="13" t="n">
        <x:v>0.8028858873325228</x:v>
      </x:c>
      <x:c r="Q231" s="13" t="n">
        <x:v>3392.614324324324</x:v>
      </x:c>
      <x:c r="R231" s="13" t="n">
        <x:v>2.068994484360225</x:v>
      </x:c>
      <x:c r="S231" s="13" t="n">
        <x:v>0.0798968900956333</x:v>
      </x:c>
      <x:c r="T231" s="13" t="n">
        <x:v>26</x:v>
      </x:c>
      <x:c r="U231" s="13" t="n">
        <x:v>676</x:v>
      </x:c>
      <x:c r="V231" s="13" t="n">
        <x:v>592</x:v>
      </x:c>
      <x:c r="W231" s="13" t="n">
        <x:v>84</x:v>
      </x:c>
      <x:c r="X231" s="13" t="n">
        <x:v>20</x:v>
      </x:c>
      <x:c r="Y231" s="13" t="n">
        <x:v>50335737.04</x:v>
      </x:c>
      <x:c r="Z231" s="13" t="n">
        <x:v>54335737.04</x:v>
      </x:c>
      <x:c r="AA231" s="13" t="n">
        <x:v>70</x:v>
      </x:c>
      <x:c r="AB231" s="13" t="n">
        <x:v>0.1242603550295858</x:v>
      </x:c>
      <x:c r="AC231" s="13" t="n">
        <x:v>0.033783783783783786</x:v>
      </x:c>
      <x:c r="AD231" s="13" t="n">
        <x:v>0.06541665288667532</x:v>
      </x:c>
      <x:c r="AE231" s="13" t="n">
        <x:v>0.16752399757270323</x:v>
      </x:c>
      <x:c r="AF231" s="13" t="n">
        <x:v>1398214.9177777779</x:v>
      </x:c>
      <x:c r="AG231" s="13" t="n">
        <x:v>1.2712349640577965</x:v>
      </x:c>
      <x:c r="AH231" s="13" t="n">
        <x:v>0.013901746094293963</x:v>
      </x:c>
      <x:c r="AI231" s="13" t="n">
        <x:v>31</x:v>
      </x:c>
      <x:c r="AJ231" s="13" t="n">
        <x:v>50210210.31</x:v>
      </x:c>
      <x:c r="AK231" s="13" t="n">
        <x:v>0.0023102057106097924</x:v>
      </x:c>
      <x:c r="AL231" s="13" t="n">
        <x:v>0.1118421052631579</x:v>
      </x:c>
      <x:c r="AM231" s="13" t="n">
        <x:v>0.02962962962962963</x:v>
      </x:c>
      <x:c r="AN231" s="13" t="n">
        <x:v>0.3581236630714253</x:v>
      </x:c>
      <x:c r="AO231" s="13" t="n">
        <x:v>1.6701147242090106</x:v>
      </x:c>
      <x:c r="AP231" s="13" t="n">
        <x:v>0.046899318094963637</x:v>
      </x:c>
    </x:row>
    <x:row r="232" ht="15" hidden="0" customHeight="1">
      <x:c r="A232" s="2" t="str">
        <x:v>E231</x:v>
      </x:c>
      <x:c r="B232" s="2" t="str">
        <x:v>***建筑科技有限公司</x:v>
      </x:c>
      <x:c r="C232" s="2" t="str">
        <x:v>无信贷记录</x:v>
      </x:c>
      <x:c r="D232" s="2" t="str"/>
      <x:c r="E232" s="2" t="str"/>
      <x:c r="F232" s="13" t="n">
        <x:v>695</x:v>
      </x:c>
      <x:c r="G232" s="13" t="n">
        <x:v>681</x:v>
      </x:c>
      <x:c r="H232" s="13" t="n">
        <x:v>14</x:v>
      </x:c>
      <x:c r="I232" s="13" t="n">
        <x:v>0</x:v>
      </x:c>
      <x:c r="J232" s="13" t="n">
        <x:v>37507897.09</x:v>
      </x:c>
      <x:c r="K232" s="13" t="n">
        <x:v>37507897.09</x:v>
      </x:c>
      <x:c r="L232" s="13" t="n">
        <x:v>133</x:v>
      </x:c>
      <x:c r="M232" s="13" t="n">
        <x:v>0.02014388489208633</x:v>
      </x:c>
      <x:c r="N232" s="13" t="n">
        <x:v>0</x:v>
      </x:c>
      <x:c r="O232" s="13" t="n">
        <x:v>0.15931871289165145</x:v>
      </x:c>
      <x:c r="P232" s="13" t="n">
        <x:v>0.2852732579042063</x:v>
      </x:c>
      <x:c r="Q232" s="13" t="n">
        <x:v>1013726.9483783783</x:v>
      </x:c>
      <x:c r="R232" s="13" t="n">
        <x:v>1.712433819353572</x:v>
      </x:c>
      <x:c r="S232" s="13" t="n">
        <x:v>0.10014948075817952</x:v>
      </x:c>
      <x:c r="T232" s="13" t="n">
        <x:v>36</x:v>
      </x:c>
      <x:c r="U232" s="13" t="n">
        <x:v>408</x:v>
      </x:c>
      <x:c r="V232" s="13" t="n">
        <x:v>370</x:v>
      </x:c>
      <x:c r="W232" s="13" t="n">
        <x:v>38</x:v>
      </x:c>
      <x:c r="X232" s="13" t="n">
        <x:v>0</x:v>
      </x:c>
      <x:c r="Y232" s="13" t="n">
        <x:v>36095851.29</x:v>
      </x:c>
      <x:c r="Z232" s="13" t="n">
        <x:v>36095851.29</x:v>
      </x:c>
      <x:c r="AA232" s="13" t="n">
        <x:v>8</x:v>
      </x:c>
      <x:c r="AB232" s="13" t="n">
        <x:v>0.09313725490196079</x:v>
      </x:c>
      <x:c r="AC232" s="13" t="n">
        <x:v>0</x:v>
      </x:c>
      <x:c r="AD232" s="13" t="n">
        <x:v>0.2996481909633847</x:v>
      </x:c>
      <x:c r="AE232" s="13" t="n">
        <x:v>0.4020267961936187</x:v>
      </x:c>
      <x:c r="AF232" s="13" t="n">
        <x:v>975563.5483783785</x:v>
      </x:c>
      <x:c r="AG232" s="13" t="n">
        <x:v>1.3344585471232602</x:v>
      </x:c>
      <x:c r="AH232" s="13" t="n">
        <x:v>0.08852966249311192</x:v>
      </x:c>
      <x:c r="AI232" s="13" t="n">
        <x:v>24</x:v>
      </x:c>
      <x:c r="AJ232" s="13" t="n">
        <x:v>-1412045.8000000045</x:v>
      </x:c>
      <x:c r="AK232" s="13" t="n">
        <x:v>1.0391193378057604</x:v>
      </x:c>
      <x:c r="AL232" s="13" t="n">
        <x:v>0.0471441523118767</x:v>
      </x:c>
      <x:c r="AM232" s="13" t="n">
        <x:v>0</x:v>
      </x:c>
      <x:c r="AN232" s="13" t="n">
        <x:v>0.22948345192751807</x:v>
      </x:c>
      <x:c r="AO232" s="13" t="n">
        <x:v>1.523446183238416</x:v>
      </x:c>
      <x:c r="AP232" s="13" t="n">
        <x:v>0.09433957162564571</x:v>
      </x:c>
    </x:row>
    <x:row r="233" ht="15" hidden="0" customHeight="1">
      <x:c r="A233" s="2" t="str">
        <x:v>E232</x:v>
      </x:c>
      <x:c r="B233" s="2" t="str">
        <x:v>***投资发展有限责任公司</x:v>
      </x:c>
      <x:c r="C233" s="2" t="str">
        <x:v>无信贷记录</x:v>
      </x:c>
      <x:c r="D233" s="2" t="str"/>
      <x:c r="E233" s="2" t="str"/>
      <x:c r="F233" s="13" t="n">
        <x:v>828</x:v>
      </x:c>
      <x:c r="G233" s="13" t="n">
        <x:v>782</x:v>
      </x:c>
      <x:c r="H233" s="13" t="n">
        <x:v>46</x:v>
      </x:c>
      <x:c r="I233" s="13" t="n">
        <x:v>39</x:v>
      </x:c>
      <x:c r="J233" s="13" t="n">
        <x:v>37485137.519999996</x:v>
      </x:c>
      <x:c r="K233" s="13" t="n">
        <x:v>42138102.58</x:v>
      </x:c>
      <x:c r="L233" s="13" t="n">
        <x:v>153</x:v>
      </x:c>
      <x:c r="M233" s="13" t="n">
        <x:v>0.05555555555555555</x:v>
      </x:c>
      <x:c r="N233" s="13" t="n">
        <x:v>0.049872122762148335</x:v>
      </x:c>
      <x:c r="O233" s="13" t="n">
        <x:v>0.6298778394358212</x:v>
      </x:c>
      <x:c r="P233" s="13" t="n">
        <x:v>0.7888764938309665</x:v>
      </x:c>
      <x:c r="Q233" s="13" t="n">
        <x:v>986450.9873684209</x:v>
      </x:c>
      <x:c r="R233" s="13" t="n">
        <x:v>2.2173484045419927</x:v>
      </x:c>
      <x:c r="S233" s="13" t="n">
        <x:v>-0.02555458402361704</x:v>
      </x:c>
      <x:c r="T233" s="13" t="n">
        <x:v>38</x:v>
      </x:c>
      <x:c r="U233" s="13" t="n">
        <x:v>118</x:v>
      </x:c>
      <x:c r="V233" s="13" t="n">
        <x:v>113</x:v>
      </x:c>
      <x:c r="W233" s="13" t="n">
        <x:v>5</x:v>
      </x:c>
      <x:c r="X233" s="13" t="n">
        <x:v>9</x:v>
      </x:c>
      <x:c r="Y233" s="13" t="n">
        <x:v>50848962.720000006</x:v>
      </x:c>
      <x:c r="Z233" s="13" t="n">
        <x:v>68385509.63999999</x:v>
      </x:c>
      <x:c r="AA233" s="13" t="n">
        <x:v>5</x:v>
      </x:c>
      <x:c r="AB233" s="13" t="n">
        <x:v>0.0423728813559322</x:v>
      </x:c>
      <x:c r="AC233" s="13" t="n">
        <x:v>0.07964601769911504</x:v>
      </x:c>
      <x:c r="AD233" s="13" t="n">
        <x:v>0.4995922859876014</x:v>
      </x:c>
      <x:c r="AE233" s="13" t="n">
        <x:v>0.5981607284253325</x:v>
      </x:c>
      <x:c r="AF233" s="13" t="n">
        <x:v>1955729.3353846157</x:v>
      </x:c>
      <x:c r="AG233" s="13" t="n">
        <x:v>2.5829623687411303</x:v>
      </x:c>
      <x:c r="AH233" s="13" t="n">
        <x:v>-0.05449560074169577</x:v>
      </x:c>
      <x:c r="AI233" s="13" t="n">
        <x:v>9</x:v>
      </x:c>
      <x:c r="AJ233" s="13" t="n">
        <x:v>13363825.20000001</x:v>
      </x:c>
      <x:c r="AK233" s="13" t="n">
        <x:v>0.616184668387009</x:v>
      </x:c>
      <x:c r="AL233" s="13" t="n">
        <x:v>0.05391120507399577</x:v>
      </x:c>
      <x:c r="AM233" s="13" t="n">
        <x:v>0.053631284916201116</x:v>
      </x:c>
      <x:c r="AN233" s="13" t="n">
        <x:v>0.5647350627117114</x:v>
      </x:c>
      <x:c r="AO233" s="13" t="n">
        <x:v>2.4001553866415613</x:v>
      </x:c>
      <x:c r="AP233" s="13" t="n">
        <x:v>-0.040025092382656405</x:v>
      </x:c>
    </x:row>
    <x:row r="234" ht="15" hidden="0" customHeight="1">
      <x:c r="A234" s="2" t="str">
        <x:v>E233</x:v>
      </x:c>
      <x:c r="B234" s="2" t="str">
        <x:v>***劳务有限公司</x:v>
      </x:c>
      <x:c r="C234" s="2" t="str">
        <x:v>无信贷记录</x:v>
      </x:c>
      <x:c r="D234" s="2" t="str"/>
      <x:c r="E234" s="2" t="str"/>
      <x:c r="F234" s="13" t="n">
        <x:v>727</x:v>
      </x:c>
      <x:c r="G234" s="13" t="n">
        <x:v>718</x:v>
      </x:c>
      <x:c r="H234" s="13" t="n">
        <x:v>9</x:v>
      </x:c>
      <x:c r="I234" s="13" t="n">
        <x:v>0</x:v>
      </x:c>
      <x:c r="J234" s="13" t="n">
        <x:v>434065.06999999995</x:v>
      </x:c>
      <x:c r="K234" s="13" t="n">
        <x:v>434065.06999999995</x:v>
      </x:c>
      <x:c r="L234" s="13" t="n">
        <x:v>194</x:v>
      </x:c>
      <x:c r="M234" s="13" t="n">
        <x:v>0.012379642365887207</x:v>
      </x:c>
      <x:c r="N234" s="13" t="n">
        <x:v>0</x:v>
      </x:c>
      <x:c r="O234" s="13" t="n">
        <x:v>0.027142346827709992</x:v>
      </x:c>
      <x:c r="P234" s="13" t="n">
        <x:v>0.08178497293044105</x:v>
      </x:c>
      <x:c r="Q234" s="13" t="n">
        <x:v>16694.810384615383</x:v>
      </x:c>
      <x:c r="R234" s="13" t="n">
        <x:v>1.055115389664457</x:v>
      </x:c>
      <x:c r="S234" s="13" t="n">
        <x:v>0.11234480581447638</x:v>
      </x:c>
      <x:c r="T234" s="13" t="n">
        <x:v>26</x:v>
      </x:c>
      <x:c r="U234" s="13" t="n">
        <x:v>238</x:v>
      </x:c>
      <x:c r="V234" s="13" t="n">
        <x:v>223</x:v>
      </x:c>
      <x:c r="W234" s="13" t="n">
        <x:v>15</x:v>
      </x:c>
      <x:c r="X234" s="13" t="n">
        <x:v>0</x:v>
      </x:c>
      <x:c r="Y234" s="13" t="n">
        <x:v>21424903.54</x:v>
      </x:c>
      <x:c r="Z234" s="13" t="n">
        <x:v>21424903.54</x:v>
      </x:c>
      <x:c r="AA234" s="13" t="n">
        <x:v>3</x:v>
      </x:c>
      <x:c r="AB234" s="13" t="n">
        <x:v>0.06302521008403361</x:v>
      </x:c>
      <x:c r="AC234" s="13" t="n">
        <x:v>0</x:v>
      </x:c>
      <x:c r="AD234" s="13" t="n">
        <x:v>0.8583732714688456</x:v>
      </x:c>
      <x:c r="AE234" s="13" t="n">
        <x:v>0.9239996578299647</x:v>
      </x:c>
      <x:c r="AF234" s="13" t="n">
        <x:v>892704.3141666668</x:v>
      </x:c>
      <x:c r="AG234" s="13" t="n">
        <x:v>2.510833408106577</x:v>
      </x:c>
      <x:c r="AH234" s="13" t="n">
        <x:v>0.12031994961804833</x:v>
      </x:c>
      <x:c r="AI234" s="13" t="n">
        <x:v>9</x:v>
      </x:c>
      <x:c r="AJ234" s="13" t="n">
        <x:v>20990838.47</x:v>
      </x:c>
      <x:c r="AK234" s="13" t="n">
        <x:v>0.02025983777194639</x:v>
      </x:c>
      <x:c r="AL234" s="13" t="n">
        <x:v>0.024870466321243522</x:v>
      </x:c>
      <x:c r="AM234" s="13" t="n">
        <x:v>0</x:v>
      </x:c>
      <x:c r="AN234" s="13" t="n">
        <x:v>0.4427578091482778</x:v>
      </x:c>
      <x:c r="AO234" s="13" t="n">
        <x:v>1.782974398885517</x:v>
      </x:c>
      <x:c r="AP234" s="13" t="n">
        <x:v>0.11633237771626236</x:v>
      </x:c>
    </x:row>
    <x:row r="235" ht="15" hidden="0" customHeight="1">
      <x:c r="A235" s="2" t="str">
        <x:v>E234</x:v>
      </x:c>
      <x:c r="B235" s="2" t="str">
        <x:v>***机电设备商贸有限公司</x:v>
      </x:c>
      <x:c r="C235" s="2" t="str">
        <x:v>无信贷记录</x:v>
      </x:c>
      <x:c r="D235" s="2" t="str"/>
      <x:c r="E235" s="2" t="str"/>
      <x:c r="F235" s="13" t="n">
        <x:v>946</x:v>
      </x:c>
      <x:c r="G235" s="13" t="n">
        <x:v>919</x:v>
      </x:c>
      <x:c r="H235" s="13" t="n">
        <x:v>27</x:v>
      </x:c>
      <x:c r="I235" s="13" t="n">
        <x:v>1</x:v>
      </x:c>
      <x:c r="J235" s="13" t="n">
        <x:v>5003351.24</x:v>
      </x:c>
      <x:c r="K235" s="13" t="n">
        <x:v>5003677.140000001</x:v>
      </x:c>
      <x:c r="L235" s="13" t="n">
        <x:v>205</x:v>
      </x:c>
      <x:c r="M235" s="13" t="n">
        <x:v>0.02854122621564482</x:v>
      </x:c>
      <x:c r="N235" s="13" t="n">
        <x:v>0.001088139281828074</x:v>
      </x:c>
      <x:c r="O235" s="13" t="n">
        <x:v>0.1388125442685093</x:v>
      </x:c>
      <x:c r="P235" s="13" t="n">
        <x:v>0.31333056792709046</x:v>
      </x:c>
      <x:c r="Q235" s="13" t="n">
        <x:v>172529.3531034483</x:v>
      </x:c>
      <x:c r="R235" s="13" t="n">
        <x:v>0.9410112078525891</x:v>
      </x:c>
      <x:c r="S235" s="13" t="n">
        <x:v>0.02000418803297918</x:v>
      </x:c>
      <x:c r="T235" s="13" t="n">
        <x:v>29</x:v>
      </x:c>
      <x:c r="U235" s="13" t="n">
        <x:v>604</x:v>
      </x:c>
      <x:c r="V235" s="13" t="n">
        <x:v>580</x:v>
      </x:c>
      <x:c r="W235" s="13" t="n">
        <x:v>24</x:v>
      </x:c>
      <x:c r="X235" s="13" t="n">
        <x:v>4</x:v>
      </x:c>
      <x:c r="Y235" s="13" t="n">
        <x:v>45726858.37</x:v>
      </x:c>
      <x:c r="Z235" s="13" t="n">
        <x:v>46525838.37</x:v>
      </x:c>
      <x:c r="AA235" s="13" t="n">
        <x:v>137</x:v>
      </x:c>
      <x:c r="AB235" s="13" t="n">
        <x:v>0.039735099337748346</x:v>
      </x:c>
      <x:c r="AC235" s="13" t="n">
        <x:v>0.006896551724137931</x:v>
      </x:c>
      <x:c r="AD235" s="13" t="n">
        <x:v>0.01950891733652917</x:v>
      </x:c>
      <x:c r="AE235" s="13" t="n">
        <x:v>0.05360709290535241</x:v>
      </x:c>
      <x:c r="AF235" s="13" t="n">
        <x:v>1576788.2196551727</x:v>
      </x:c>
      <x:c r="AG235" s="13" t="n">
        <x:v>0.6629137183274971</x:v>
      </x:c>
      <x:c r="AH235" s="13" t="n">
        <x:v>0.015493362359451207</x:v>
      </x:c>
      <x:c r="AI235" s="13" t="n">
        <x:v>29</x:v>
      </x:c>
      <x:c r="AJ235" s="13" t="n">
        <x:v>40723507.129999995</x:v>
      </x:c>
      <x:c r="AK235" s="13" t="n">
        <x:v>0.10754620046194346</x:v>
      </x:c>
      <x:c r="AL235" s="13" t="n">
        <x:v>0.032903225806451615</x:v>
      </x:c>
      <x:c r="AM235" s="13" t="n">
        <x:v>0.00333555703802535</x:v>
      </x:c>
      <x:c r="AN235" s="13" t="n">
        <x:v>0.07916073080251924</x:v>
      </x:c>
      <x:c r="AO235" s="13" t="n">
        <x:v>0.801962463090043</x:v>
      </x:c>
      <x:c r="AP235" s="13" t="n">
        <x:v>0.017748775196215195</x:v>
      </x:c>
    </x:row>
    <x:row r="236" ht="15" hidden="0" customHeight="1">
      <x:c r="A236" s="2" t="str">
        <x:v>E235</x:v>
      </x:c>
      <x:c r="B236" s="2" t="str">
        <x:v>个体经营E235 </x:v>
      </x:c>
      <x:c r="C236" s="2" t="str">
        <x:v>无信贷记录</x:v>
      </x:c>
      <x:c r="D236" s="2" t="str"/>
      <x:c r="E236" s="2" t="str"/>
      <x:c r="F236" s="13" t="n">
        <x:v>612</x:v>
      </x:c>
      <x:c r="G236" s="13" t="n">
        <x:v>593</x:v>
      </x:c>
      <x:c r="H236" s="13" t="n">
        <x:v>19</x:v>
      </x:c>
      <x:c r="I236" s="13" t="n">
        <x:v>0</x:v>
      </x:c>
      <x:c r="J236" s="13" t="n">
        <x:v>16186123.559999999</x:v>
      </x:c>
      <x:c r="K236" s="13" t="n">
        <x:v>16186123.559999999</x:v>
      </x:c>
      <x:c r="L236" s="13" t="n">
        <x:v>122</x:v>
      </x:c>
      <x:c r="M236" s="13" t="n">
        <x:v>0.03104575163398693</x:v>
      </x:c>
      <x:c r="N236" s="13" t="n">
        <x:v>0</x:v>
      </x:c>
      <x:c r="O236" s="13" t="n">
        <x:v>0.5852163586745532</x:v>
      </x:c>
      <x:c r="P236" s="13" t="n">
        <x:v>0.7612823832910367</x:v>
      </x:c>
      <x:c r="Q236" s="13" t="n">
        <x:v>539537.452</x:v>
      </x:c>
      <x:c r="R236" s="13" t="n">
        <x:v>0.846113495220609</x:v>
      </x:c>
      <x:c r="S236" s="13" t="n">
        <x:v>0.013864549030740171</x:v>
      </x:c>
      <x:c r="T236" s="13" t="n">
        <x:v>29</x:v>
      </x:c>
      <x:c r="U236" s="13" t="n">
        <x:v>1014</x:v>
      </x:c>
      <x:c r="V236" s="13" t="n">
        <x:v>944</x:v>
      </x:c>
      <x:c r="W236" s="13" t="n">
        <x:v>70</x:v>
      </x:c>
      <x:c r="X236" s="13" t="n">
        <x:v>4</x:v>
      </x:c>
      <x:c r="Y236" s="13" t="n">
        <x:v>46137309.84</x:v>
      </x:c>
      <x:c r="Z236" s="13" t="n">
        <x:v>46804069.84</x:v>
      </x:c>
      <x:c r="AA236" s="13" t="n">
        <x:v>192</x:v>
      </x:c>
      <x:c r="AB236" s="13" t="n">
        <x:v>0.06903353057199212</x:v>
      </x:c>
      <x:c r="AC236" s="13" t="n">
        <x:v>0.00423728813559322</x:v>
      </x:c>
      <x:c r="AD236" s="13" t="n">
        <x:v>0.09977533776309519</x:v>
      </x:c>
      <x:c r="AE236" s="13" t="n">
        <x:v>0.20005382078970083</x:v>
      </x:c>
      <x:c r="AF236" s="13" t="n">
        <x:v>1318208.8525714288</x:v>
      </x:c>
      <x:c r="AG236" s="13" t="n">
        <x:v>0.6599121803118483</x:v>
      </x:c>
      <x:c r="AH236" s="13" t="n">
        <x:v>0.03283228039065169</x:v>
      </x:c>
      <x:c r="AI236" s="13" t="n">
        <x:v>35</x:v>
      </x:c>
      <x:c r="AJ236" s="13" t="n">
        <x:v>29951186.280000005</x:v>
      </x:c>
      <x:c r="AK236" s="13" t="n">
        <x:v>0.34582726705887673</x:v>
      </x:c>
      <x:c r="AL236" s="13" t="n">
        <x:v>0.054735547355473556</x:v>
      </x:c>
      <x:c r="AM236" s="13" t="n">
        <x:v>0.002602472348731295</x:v>
      </x:c>
      <x:c r="AN236" s="13" t="n">
        <x:v>0.34249584821882423</x:v>
      </x:c>
      <x:c r="AO236" s="13" t="n">
        <x:v>0.7530128377662286</x:v>
      </x:c>
      <x:c r="AP236" s="13" t="n">
        <x:v>0.02334841471069593</x:v>
      </x:c>
    </x:row>
    <x:row r="237" ht="15" hidden="0" customHeight="1">
      <x:c r="A237" s="2" t="str">
        <x:v>E236</x:v>
      </x:c>
      <x:c r="B237" s="2" t="str">
        <x:v>个体经营E236 </x:v>
      </x:c>
      <x:c r="C237" s="2" t="str">
        <x:v>无信贷记录</x:v>
      </x:c>
      <x:c r="D237" s="2" t="str"/>
      <x:c r="E237" s="2" t="str"/>
      <x:c r="F237" s="13" t="n">
        <x:v>204</x:v>
      </x:c>
      <x:c r="G237" s="13" t="n">
        <x:v>197</x:v>
      </x:c>
      <x:c r="H237" s="13" t="n">
        <x:v>7</x:v>
      </x:c>
      <x:c r="I237" s="13" t="n">
        <x:v>1</x:v>
      </x:c>
      <x:c r="J237" s="13" t="n">
        <x:v>5311970.83</x:v>
      </x:c>
      <x:c r="K237" s="13" t="n">
        <x:v>5323700.83</x:v>
      </x:c>
      <x:c r="L237" s="13" t="n">
        <x:v>69</x:v>
      </x:c>
      <x:c r="M237" s="13" t="n">
        <x:v>0.03431372549019608</x:v>
      </x:c>
      <x:c r="N237" s="13" t="n">
        <x:v>0.005076142131979695</x:v>
      </x:c>
      <x:c r="O237" s="13" t="n">
        <x:v>0.21134887792680251</x:v>
      </x:c>
      <x:c r="P237" s="13" t="n">
        <x:v>0.3944624363875083</x:v>
      </x:c>
      <x:c r="Q237" s="13" t="n">
        <x:v>177065.69433333332</x:v>
      </x:c>
      <x:c r="R237" s="13" t="n">
        <x:v>3.136303787729106</x:v>
      </x:c>
      <x:c r="S237" s="13" t="n">
        <x:v>0.006050718949147171</x:v>
      </x:c>
      <x:c r="T237" s="13" t="n">
        <x:v>29</x:v>
      </x:c>
      <x:c r="U237" s="13" t="n">
        <x:v>667</x:v>
      </x:c>
      <x:c r="V237" s="13" t="n">
        <x:v>518</x:v>
      </x:c>
      <x:c r="W237" s="13" t="n">
        <x:v>149</x:v>
      </x:c>
      <x:c r="X237" s="13" t="n">
        <x:v>13</x:v>
      </x:c>
      <x:c r="Y237" s="13" t="n">
        <x:v>47344025.099999994</x:v>
      </x:c>
      <x:c r="Z237" s="13" t="n">
        <x:v>49844025.099999994</x:v>
      </x:c>
      <x:c r="AA237" s="13" t="n">
        <x:v>30</x:v>
      </x:c>
      <x:c r="AB237" s="13" t="n">
        <x:v>0.22338830584707647</x:v>
      </x:c>
      <x:c r="AC237" s="13" t="n">
        <x:v>0.025096525096525095</x:v>
      </x:c>
      <x:c r="AD237" s="13" t="n">
        <x:v>0.22317874323136716</x:v>
      </x:c>
      <x:c r="AE237" s="13" t="n">
        <x:v>0.37035532268841587</x:v>
      </x:c>
      <x:c r="AF237" s="13" t="n">
        <x:v>1392471.3264705883</x:v>
      </x:c>
      <x:c r="AG237" s="13" t="n">
        <x:v>1.2597712734318565</x:v>
      </x:c>
      <x:c r="AH237" s="13" t="n">
        <x:v>-0.006136963892650253</x:v>
      </x:c>
      <x:c r="AI237" s="13" t="n">
        <x:v>24</x:v>
      </x:c>
      <x:c r="AJ237" s="13" t="n">
        <x:v>42032054.269999996</x:v>
      </x:c>
      <x:c r="AK237" s="13" t="n">
        <x:v>0.10680720145131298</x:v>
      </x:c>
      <x:c r="AL237" s="13" t="n">
        <x:v>0.1791044776119403</x:v>
      </x:c>
      <x:c r="AM237" s="13" t="n">
        <x:v>0.019580419580419582</x:v>
      </x:c>
      <x:c r="AN237" s="13" t="n">
        <x:v>0.21726381057908484</x:v>
      </x:c>
      <x:c r="AO237" s="13" t="n">
        <x:v>2.198037530580481</x:v>
      </x:c>
      <x:c r="AP237" s="13" t="n">
        <x:v>-0.00004312247175154108</x:v>
      </x:c>
    </x:row>
    <x:row r="238" ht="15" hidden="0" customHeight="1">
      <x:c r="A238" s="2" t="str">
        <x:v>E237</x:v>
      </x:c>
      <x:c r="B238" s="2" t="str">
        <x:v>个体经营E237 </x:v>
      </x:c>
      <x:c r="C238" s="2" t="str">
        <x:v>无信贷记录</x:v>
      </x:c>
      <x:c r="D238" s="2" t="str"/>
      <x:c r="E238" s="2" t="str"/>
      <x:c r="F238" s="13" t="n">
        <x:v>1937</x:v>
      </x:c>
      <x:c r="G238" s="13" t="n">
        <x:v>1900</x:v>
      </x:c>
      <x:c r="H238" s="13" t="n">
        <x:v>37</x:v>
      </x:c>
      <x:c r="I238" s="13" t="n">
        <x:v>104</x:v>
      </x:c>
      <x:c r="J238" s="13" t="n">
        <x:v>18682233.07</x:v>
      </x:c>
      <x:c r="K238" s="13" t="n">
        <x:v>27742917.790000003</x:v>
      </x:c>
      <x:c r="L238" s="13" t="n">
        <x:v>325</x:v>
      </x:c>
      <x:c r="M238" s="13" t="n">
        <x:v>0.019101703665462055</x:v>
      </x:c>
      <x:c r="N238" s="13" t="n">
        <x:v>0.05473684210526316</x:v>
      </x:c>
      <x:c r="O238" s="13" t="n">
        <x:v>0.2601640221928904</x:v>
      </x:c>
      <x:c r="P238" s="13" t="n">
        <x:v>0.47497118723214155</x:v>
      </x:c>
      <x:c r="Q238" s="13" t="n">
        <x:v>667222.609642857</x:v>
      </x:c>
      <x:c r="R238" s="13" t="n">
        <x:v>1.3029589658244474</x:v>
      </x:c>
      <x:c r="S238" s="13" t="n">
        <x:v>0.09217342840164736</x:v>
      </x:c>
      <x:c r="T238" s="13" t="n">
        <x:v>27</x:v>
      </x:c>
      <x:c r="U238" s="13" t="n">
        <x:v>295</x:v>
      </x:c>
      <x:c r="V238" s="13" t="n">
        <x:v>221</x:v>
      </x:c>
      <x:c r="W238" s="13" t="n">
        <x:v>74</x:v>
      </x:c>
      <x:c r="X238" s="13" t="n">
        <x:v>0</x:v>
      </x:c>
      <x:c r="Y238" s="13" t="n">
        <x:v>21652041.88</x:v>
      </x:c>
      <x:c r="Z238" s="13" t="n">
        <x:v>21652041.88</x:v>
      </x:c>
      <x:c r="AA238" s="13" t="n">
        <x:v>35</x:v>
      </x:c>
      <x:c r="AB238" s="13" t="n">
        <x:v>0.25084745762711863</x:v>
      </x:c>
      <x:c r="AC238" s="13" t="n">
        <x:v>0</x:v>
      </x:c>
      <x:c r="AD238" s="13" t="n">
        <x:v>0.3079087420012223</x:v>
      </x:c>
      <x:c r="AE238" s="13" t="n">
        <x:v>0.43136809229190354</x:v>
      </x:c>
      <x:c r="AF238" s="13" t="n">
        <x:v>1273649.522352941</x:v>
      </x:c>
      <x:c r="AG238" s="13" t="n">
        <x:v>1.0693461967554205</x:v>
      </x:c>
      <x:c r="AH238" s="13" t="n">
        <x:v>0.05493586124235471</x:v>
      </x:c>
      <x:c r="AI238" s="13" t="n">
        <x:v>13</x:v>
      </x:c>
      <x:c r="AJ238" s="13" t="n">
        <x:v>2969808.8099999987</x:v>
      </x:c>
      <x:c r="AK238" s="13" t="n">
        <x:v>1.2813072293022927</x:v>
      </x:c>
      <x:c r="AL238" s="13" t="n">
        <x:v>0.04973118279569892</x:v>
      </x:c>
      <x:c r="AM238" s="13" t="n">
        <x:v>0.04903347477604903</x:v>
      </x:c>
      <x:c r="AN238" s="13" t="n">
        <x:v>0.2840363820970564</x:v>
      </x:c>
      <x:c r="AO238" s="13" t="n">
        <x:v>1.1861525812899338</x:v>
      </x:c>
      <x:c r="AP238" s="13" t="n">
        <x:v>0.07355464482200103</x:v>
      </x:c>
    </x:row>
    <x:row r="239" ht="15" hidden="0" customHeight="1">
      <x:c r="A239" s="2" t="str">
        <x:v>E238</x:v>
      </x:c>
      <x:c r="B239" s="2" t="str">
        <x:v>个体经营E238 </x:v>
      </x:c>
      <x:c r="C239" s="2" t="str">
        <x:v>无信贷记录</x:v>
      </x:c>
      <x:c r="D239" s="2" t="str"/>
      <x:c r="E239" s="2" t="str"/>
      <x:c r="F239" s="13" t="n">
        <x:v>3899</x:v>
      </x:c>
      <x:c r="G239" s="13" t="n">
        <x:v>3808</x:v>
      </x:c>
      <x:c r="H239" s="13" t="n">
        <x:v>91</x:v>
      </x:c>
      <x:c r="I239" s="13" t="n">
        <x:v>23</x:v>
      </x:c>
      <x:c r="J239" s="13" t="n">
        <x:v>17066655.729999997</x:v>
      </x:c>
      <x:c r="K239" s="13" t="n">
        <x:v>17438177.729999997</x:v>
      </x:c>
      <x:c r="L239" s="13" t="n">
        <x:v>762</x:v>
      </x:c>
      <x:c r="M239" s="13" t="n">
        <x:v>0.02333931777378815</x:v>
      </x:c>
      <x:c r="N239" s="13" t="n">
        <x:v>0.006039915966386555</x:v>
      </x:c>
      <x:c r="O239" s="13" t="n">
        <x:v>0.11688304711286886</x:v>
      </x:c>
      <x:c r="P239" s="13" t="n">
        <x:v>0.30026600720968794</x:v>
      </x:c>
      <x:c r="Q239" s="13" t="n">
        <x:v>550537.2816129033</x:v>
      </x:c>
      <x:c r="R239" s="13" t="n">
        <x:v>0.7746620735308026</x:v>
      </x:c>
      <x:c r="S239" s="13" t="n">
        <x:v>0.03253860771907648</x:v>
      </x:c>
      <x:c r="T239" s="13" t="n">
        <x:v>31</x:v>
      </x:c>
      <x:c r="U239" s="13" t="n">
        <x:v>12084</x:v>
      </x:c>
      <x:c r="V239" s="13" t="n">
        <x:v>11256</x:v>
      </x:c>
      <x:c r="W239" s="13" t="n">
        <x:v>828</x:v>
      </x:c>
      <x:c r="X239" s="13" t="n">
        <x:v>557</x:v>
      </x:c>
      <x:c r="Y239" s="13" t="n">
        <x:v>59815279.75</x:v>
      </x:c>
      <x:c r="Z239" s="13" t="n">
        <x:v>68790425.75</x:v>
      </x:c>
      <x:c r="AA239" s="13" t="n">
        <x:v>2259</x:v>
      </x:c>
      <x:c r="AB239" s="13" t="n">
        <x:v>0.06852035749751738</x:v>
      </x:c>
      <x:c r="AC239" s="13" t="n">
        <x:v>0.04948471926083867</x:v>
      </x:c>
      <x:c r="AD239" s="13" t="n">
        <x:v>0.0038180613902416716</x:v>
      </x:c>
      <x:c r="AE239" s="13" t="n">
        <x:v>0.03367272370748483</x:v>
      </x:c>
      <x:c r="AF239" s="13" t="n">
        <x:v>1661535.548611111</x:v>
      </x:c>
      <x:c r="AG239" s="13" t="n">
        <x:v>0.4232822264992017</x:v>
      </x:c>
      <x:c r="AH239" s="13" t="n">
        <x:v>-0.005868955232260926</x:v>
      </x:c>
      <x:c r="AI239" s="13" t="n">
        <x:v>36</x:v>
      </x:c>
      <x:c r="AJ239" s="13" t="n">
        <x:v>42748624.02</x:v>
      </x:c>
      <x:c r="AK239" s="13" t="n">
        <x:v>0.25349716243034004</x:v>
      </x:c>
      <x:c r="AL239" s="13" t="n">
        <x:v>0.05749859225427016</x:v>
      </x:c>
      <x:c r="AM239" s="13" t="n">
        <x:v>0.038502389803505045</x:v>
      </x:c>
      <x:c r="AN239" s="13" t="n">
        <x:v>0.06035055425155526</x:v>
      </x:c>
      <x:c r="AO239" s="13" t="n">
        <x:v>0.5989721500150021</x:v>
      </x:c>
      <x:c r="AP239" s="13" t="n">
        <x:v>0.013334826243407778</x:v>
      </x:c>
    </x:row>
    <x:row r="240" ht="15" hidden="0" customHeight="1">
      <x:c r="A240" s="2" t="str">
        <x:v>E239</x:v>
      </x:c>
      <x:c r="B240" s="2" t="str">
        <x:v>个体经营E239 </x:v>
      </x:c>
      <x:c r="C240" s="2" t="str">
        <x:v>无信贷记录</x:v>
      </x:c>
      <x:c r="D240" s="2" t="str"/>
      <x:c r="E240" s="2" t="str"/>
      <x:c r="F240" s="13" t="n">
        <x:v>379</x:v>
      </x:c>
      <x:c r="G240" s="13" t="n">
        <x:v>367</x:v>
      </x:c>
      <x:c r="H240" s="13" t="n">
        <x:v>12</x:v>
      </x:c>
      <x:c r="I240" s="13" t="n">
        <x:v>5</x:v>
      </x:c>
      <x:c r="J240" s="13" t="n">
        <x:v>29195181.179999996</x:v>
      </x:c>
      <x:c r="K240" s="13" t="n">
        <x:v>29321733.179999996</x:v>
      </x:c>
      <x:c r="L240" s="13" t="n">
        <x:v>46</x:v>
      </x:c>
      <x:c r="M240" s="13" t="n">
        <x:v>0.0316622691292876</x:v>
      </x:c>
      <x:c r="N240" s="13" t="n">
        <x:v>0.013623978201634877</x:v>
      </x:c>
      <x:c r="O240" s="13" t="n">
        <x:v>0.15793947211268564</x:v>
      </x:c>
      <x:c r="P240" s="13" t="n">
        <x:v>0.27247708281615296</x:v>
      </x:c>
      <x:c r="Q240" s="13" t="n">
        <x:v>884702.46</x:v>
      </x:c>
      <x:c r="R240" s="13" t="n">
        <x:v>1.3320443886581568</x:v>
      </x:c>
      <x:c r="S240" s="13" t="n">
        <x:v>0.06954782465601915</x:v>
      </x:c>
      <x:c r="T240" s="13" t="n">
        <x:v>27</x:v>
      </x:c>
      <x:c r="U240" s="13" t="n">
        <x:v>348</x:v>
      </x:c>
      <x:c r="V240" s="13" t="n">
        <x:v>306</x:v>
      </x:c>
      <x:c r="W240" s="13" t="n">
        <x:v>42</x:v>
      </x:c>
      <x:c r="X240" s="13" t="n">
        <x:v>3</x:v>
      </x:c>
      <x:c r="Y240" s="13" t="n">
        <x:v>30013903.130000003</x:v>
      </x:c>
      <x:c r="Z240" s="13" t="n">
        <x:v>30587903.130000003</x:v>
      </x:c>
      <x:c r="AA240" s="13" t="n">
        <x:v>34</x:v>
      </x:c>
      <x:c r="AB240" s="13" t="n">
        <x:v>0.1206896551724138</x:v>
      </x:c>
      <x:c r="AC240" s="13" t="n">
        <x:v>0.00980392156862745</x:v>
      </x:c>
      <x:c r="AD240" s="13" t="n">
        <x:v>0.09182776937638541</x:v>
      </x:c>
      <x:c r="AE240" s="13" t="n">
        <x:v>0.2029924926076487</x:v>
      </x:c>
      <x:c r="AF240" s="13" t="n">
        <x:v>1250579.2970833334</x:v>
      </x:c>
      <x:c r="AG240" s="13" t="n">
        <x:v>0.9455514415244689</x:v>
      </x:c>
      <x:c r="AH240" s="13" t="n">
        <x:v>0.05544493415169689</x:v>
      </x:c>
      <x:c r="AI240" s="13" t="n">
        <x:v>24</x:v>
      </x:c>
      <x:c r="AJ240" s="13" t="n">
        <x:v>818721.9500000067</x:v>
      </x:c>
      <x:c r="AK240" s="13" t="n">
        <x:v>0.9586055328925711</x:v>
      </x:c>
      <x:c r="AL240" s="13" t="n">
        <x:v>0.07427785419532325</x:v>
      </x:c>
      <x:c r="AM240" s="13" t="n">
        <x:v>0.01188707280832095</x:v>
      </x:c>
      <x:c r="AN240" s="13" t="n">
        <x:v>0.12488362074453552</x:v>
      </x:c>
      <x:c r="AO240" s="13" t="n">
        <x:v>1.1387979150913128</x:v>
      </x:c>
      <x:c r="AP240" s="13" t="n">
        <x:v>0.06249637940385802</x:v>
      </x:c>
    </x:row>
    <x:row r="241" ht="15" hidden="0" customHeight="1">
      <x:c r="A241" s="2" t="str">
        <x:v>E240</x:v>
      </x:c>
      <x:c r="B241" s="2" t="str">
        <x:v>个体经营E240 </x:v>
      </x:c>
      <x:c r="C241" s="2" t="str">
        <x:v>无信贷记录</x:v>
      </x:c>
      <x:c r="D241" s="2" t="str"/>
      <x:c r="E241" s="2" t="str"/>
      <x:c r="F241" s="13" t="n">
        <x:v>1122</x:v>
      </x:c>
      <x:c r="G241" s="13" t="n">
        <x:v>1085</x:v>
      </x:c>
      <x:c r="H241" s="13" t="n">
        <x:v>37</x:v>
      </x:c>
      <x:c r="I241" s="13" t="n">
        <x:v>1</x:v>
      </x:c>
      <x:c r="J241" s="13" t="n">
        <x:v>31471963.9</x:v>
      </x:c>
      <x:c r="K241" s="13" t="n">
        <x:v>31471968.700000003</x:v>
      </x:c>
      <x:c r="L241" s="13" t="n">
        <x:v>1122</x:v>
      </x:c>
      <x:c r="M241" s="13" t="n">
        <x:v>0.03297682709447415</x:v>
      </x:c>
      <x:c r="N241" s="13" t="n">
        <x:v>0.0009216589861751152</x:v>
      </x:c>
      <x:c r="O241" s="13" t="n">
        <x:v>0.0097997488629745</x:v>
      </x:c>
      <x:c r="P241" s="13" t="n">
        <x:v>0.031774307147172526</x:v>
      </x:c>
      <x:c r="Q241" s="13" t="n">
        <x:v>1258878.5559999999</x:v>
      </x:c>
      <x:c r="R241" s="13" t="n">
        <x:v>1.16521889737921</x:v>
      </x:c>
      <x:c r="S241" s="13" t="n">
        <x:v>-0.015750302653926886</x:v>
      </x:c>
      <x:c r="T241" s="13" t="n">
        <x:v>25</x:v>
      </x:c>
      <x:c r="U241" s="13" t="n">
        <x:v>124</x:v>
      </x:c>
      <x:c r="V241" s="13" t="n">
        <x:v>20</x:v>
      </x:c>
      <x:c r="W241" s="13" t="n">
        <x:v>104</x:v>
      </x:c>
      <x:c r="X241" s="13" t="n">
        <x:v>0</x:v>
      </x:c>
      <x:c r="Y241" s="13" t="n">
        <x:v>17527486.78</x:v>
      </x:c>
      <x:c r="Z241" s="13" t="n">
        <x:v>17527486.78</x:v>
      </x:c>
      <x:c r="AA241" s="13" t="n">
        <x:v>6</x:v>
      </x:c>
      <x:c r="AB241" s="13" t="n">
        <x:v>0.8387096774193549</x:v>
      </x:c>
      <x:c r="AC241" s="13" t="n">
        <x:v>0</x:v>
      </x:c>
      <x:c r="AD241" s="13" t="n">
        <x:v>0.9570172218397113</x:v>
      </x:c>
      <x:c r="AE241" s="13" t="n">
        <x:v>0.9780257429468162</x:v>
      </x:c>
      <x:c r="AF241" s="13" t="n">
        <x:v>834642.2276190476</x:v>
      </x:c>
      <x:c r="AG241" s="13" t="n">
        <x:v>2.5534672496557445</x:v>
      </x:c>
      <x:c r="AH241" s="13" t="n">
        <x:v>0.14856406982371598</x:v>
      </x:c>
      <x:c r="AI241" s="13" t="n">
        <x:v>6</x:v>
      </x:c>
      <x:c r="AJ241" s="13" t="n">
        <x:v>-13944477.119999997</x:v>
      </x:c>
      <x:c r="AK241" s="13" t="n">
        <x:v>1.795577945373866</x:v>
      </x:c>
      <x:c r="AL241" s="13" t="n">
        <x:v>0.11316211878009631</x:v>
      </x:c>
      <x:c r="AM241" s="13" t="n">
        <x:v>0.0009049773755656109</x:v>
      </x:c>
      <x:c r="AN241" s="13" t="n">
        <x:v>0.4834084853513429</x:v>
      </x:c>
      <x:c r="AO241" s="13" t="n">
        <x:v>1.8593430735174772</x:v>
      </x:c>
      <x:c r="AP241" s="13" t="n">
        <x:v>0.06640688358489455</x:v>
      </x:c>
    </x:row>
    <x:row r="242" ht="15" hidden="0" customHeight="1">
      <x:c r="A242" s="2" t="str">
        <x:v>E241</x:v>
      </x:c>
      <x:c r="B242" s="2" t="str">
        <x:v>个体经营E241 </x:v>
      </x:c>
      <x:c r="C242" s="2" t="str">
        <x:v>无信贷记录</x:v>
      </x:c>
      <x:c r="D242" s="2" t="str"/>
      <x:c r="E242" s="2" t="str"/>
      <x:c r="F242" s="13" t="n">
        <x:v>427</x:v>
      </x:c>
      <x:c r="G242" s="13" t="n">
        <x:v>415</x:v>
      </x:c>
      <x:c r="H242" s="13" t="n">
        <x:v>12</x:v>
      </x:c>
      <x:c r="I242" s="13" t="n">
        <x:v>1</x:v>
      </x:c>
      <x:c r="J242" s="13" t="n">
        <x:v>6762265.860000001</x:v>
      </x:c>
      <x:c r="K242" s="13" t="n">
        <x:v>6820665.860000001</x:v>
      </x:c>
      <x:c r="L242" s="13" t="n">
        <x:v>112</x:v>
      </x:c>
      <x:c r="M242" s="13" t="n">
        <x:v>0.02810304449648712</x:v>
      </x:c>
      <x:c r="N242" s="13" t="n">
        <x:v>0.0024096385542168677</x:v>
      </x:c>
      <x:c r="O242" s="13" t="n">
        <x:v>0.0984984047910969</x:v>
      </x:c>
      <x:c r="P242" s="13" t="n">
        <x:v>0.20048058475041614</x:v>
      </x:c>
      <x:c r="Q242" s="13" t="n">
        <x:v>211320.80812499998</x:v>
      </x:c>
      <x:c r="R242" s="13" t="n">
        <x:v>0.958056168345778</x:v>
      </x:c>
      <x:c r="S242" s="13" t="n">
        <x:v>0.00002966634769447711</x:v>
      </x:c>
      <x:c r="T242" s="13" t="n">
        <x:v>29</x:v>
      </x:c>
      <x:c r="U242" s="13" t="n">
        <x:v>794</x:v>
      </x:c>
      <x:c r="V242" s="13" t="n">
        <x:v>721</x:v>
      </x:c>
      <x:c r="W242" s="13" t="n">
        <x:v>73</x:v>
      </x:c>
      <x:c r="X242" s="13" t="n">
        <x:v>5</x:v>
      </x:c>
      <x:c r="Y242" s="13" t="n">
        <x:v>43841347.239999995</x:v>
      </x:c>
      <x:c r="Z242" s="13" t="n">
        <x:v>44237407.84</x:v>
      </x:c>
      <x:c r="AA242" s="13" t="n">
        <x:v>37</x:v>
      </x:c>
      <x:c r="AB242" s="13" t="n">
        <x:v>0.09193954659949623</x:v>
      </x:c>
      <x:c r="AC242" s="13" t="n">
        <x:v>0.006934812760055479</x:v>
      </x:c>
      <x:c r="AD242" s="13" t="n">
        <x:v>0.5641904711625052</x:v>
      </x:c>
      <x:c r="AE242" s="13" t="n">
        <x:v>0.7249719550927466</x:v>
      </x:c>
      <x:c r="AF242" s="13" t="n">
        <x:v>1217815.201111111</x:v>
      </x:c>
      <x:c r="AG242" s="13" t="n">
        <x:v>0.4528350181619936</x:v>
      </x:c>
      <x:c r="AH242" s="13" t="n">
        <x:v>0.0041196944816661515</x:v>
      </x:c>
      <x:c r="AI242" s="13" t="n">
        <x:v>36</x:v>
      </x:c>
      <x:c r="AJ242" s="13" t="n">
        <x:v>37079081.379999995</x:v>
      </x:c>
      <x:c r="AK242" s="13" t="n">
        <x:v>0.15418321716926353</x:v>
      </x:c>
      <x:c r="AL242" s="13" t="n">
        <x:v>0.06961506961506962</x:v>
      </x:c>
      <x:c r="AM242" s="13" t="n">
        <x:v>0.00528169014084507</x:v>
      </x:c>
      <x:c r="AN242" s="13" t="n">
        <x:v>0.331344437976801</x:v>
      </x:c>
      <x:c r="AO242" s="13" t="n">
        <x:v>0.7054455932538858</x:v>
      </x:c>
      <x:c r="AP242" s="13" t="n">
        <x:v>0.002074680414680314</x:v>
      </x:c>
    </x:row>
    <x:row r="243" ht="15" hidden="0" customHeight="1">
      <x:c r="A243" s="2" t="str">
        <x:v>E242</x:v>
      </x:c>
      <x:c r="B243" s="2" t="str">
        <x:v>个体经营E242 </x:v>
      </x:c>
      <x:c r="C243" s="2" t="str">
        <x:v>无信贷记录</x:v>
      </x:c>
      <x:c r="D243" s="2" t="str"/>
      <x:c r="E243" s="2" t="str"/>
      <x:c r="F243" s="13" t="n">
        <x:v>513</x:v>
      </x:c>
      <x:c r="G243" s="13" t="n">
        <x:v>503</x:v>
      </x:c>
      <x:c r="H243" s="13" t="n">
        <x:v>10</x:v>
      </x:c>
      <x:c r="I243" s="13" t="n">
        <x:v>0</x:v>
      </x:c>
      <x:c r="J243" s="13" t="n">
        <x:v>21014215.230000004</x:v>
      </x:c>
      <x:c r="K243" s="13" t="n">
        <x:v>21014215.230000004</x:v>
      </x:c>
      <x:c r="L243" s="13" t="n">
        <x:v>513</x:v>
      </x:c>
      <x:c r="M243" s="13" t="n">
        <x:v>0.01949317738791423</x:v>
      </x:c>
      <x:c r="N243" s="13" t="n">
        <x:v>0</x:v>
      </x:c>
      <x:c r="O243" s="13" t="n">
        <x:v>0.006609658904152055</x:v>
      </x:c>
      <x:c r="P243" s="13" t="n">
        <x:v>0.02284168334369915</x:v>
      </x:c>
      <x:c r="Q243" s="13" t="n">
        <x:v>840568.6092000001</x:v>
      </x:c>
      <x:c r="R243" s="13" t="n">
        <x:v>1.1419800887097864</x:v>
      </x:c>
      <x:c r="S243" s="13" t="n">
        <x:v>0.10234785763416981</x:v>
      </x:c>
      <x:c r="T243" s="13" t="n">
        <x:v>25</x:v>
      </x:c>
      <x:c r="U243" s="13" t="n">
        <x:v>263</x:v>
      </x:c>
      <x:c r="V243" s="13" t="n">
        <x:v>18</x:v>
      </x:c>
      <x:c r="W243" s="13" t="n">
        <x:v>245</x:v>
      </x:c>
      <x:c r="X243" s="13" t="n">
        <x:v>0</x:v>
      </x:c>
      <x:c r="Y243" s="13" t="n">
        <x:v>1736886.7999999998</x:v>
      </x:c>
      <x:c r="Z243" s="13" t="n">
        <x:v>1736886.7999999998</x:v>
      </x:c>
      <x:c r="AA243" s="13" t="n">
        <x:v>35</x:v>
      </x:c>
      <x:c r="AB243" s="13" t="n">
        <x:v>0.9315589353612167</x:v>
      </x:c>
      <x:c r="AC243" s="13" t="n">
        <x:v>0</x:v>
      </x:c>
      <x:c r="AD243" s="13" t="n">
        <x:v>0.1995728887932491</x:v>
      </x:c>
      <x:c r="AE243" s="13" t="n">
        <x:v>0.38481149145701377</x:v>
      </x:c>
      <x:c r="AF243" s="13" t="n">
        <x:v>72370.28333333333</x:v>
      </x:c>
      <x:c r="AG243" s="13" t="n">
        <x:v>1.6890762325056161</x:v>
      </x:c>
      <x:c r="AH243" s="13" t="n">
        <x:v>0.04436515904803567</x:v>
      </x:c>
      <x:c r="AI243" s="13" t="n">
        <x:v>11</x:v>
      </x:c>
      <x:c r="AJ243" s="13" t="n">
        <x:v>-19277328.430000003</x:v>
      </x:c>
      <x:c r="AK243" s="13" t="n">
        <x:v>12.098782275275507</x:v>
      </x:c>
      <x:c r="AL243" s="13" t="n">
        <x:v>0.3286082474226804</x:v>
      </x:c>
      <x:c r="AM243" s="13" t="n">
        <x:v>0</x:v>
      </x:c>
      <x:c r="AN243" s="13" t="n">
        <x:v>0.10309127384870058</x:v>
      </x:c>
      <x:c r="AO243" s="13" t="n">
        <x:v>1.4155281606077013</x:v>
      </x:c>
      <x:c r="AP243" s="13" t="n">
        <x:v>0.07335650834110274</x:v>
      </x:c>
    </x:row>
    <x:row r="244" ht="15" hidden="0" customHeight="1">
      <x:c r="A244" s="2" t="str">
        <x:v>E243</x:v>
      </x:c>
      <x:c r="B244" s="2" t="str">
        <x:v>***科技有限公司</x:v>
      </x:c>
      <x:c r="C244" s="2" t="str">
        <x:v>无信贷记录</x:v>
      </x:c>
      <x:c r="D244" s="2" t="str"/>
      <x:c r="E244" s="2" t="str"/>
      <x:c r="F244" s="13" t="n">
        <x:v>697</x:v>
      </x:c>
      <x:c r="G244" s="13" t="n">
        <x:v>681</x:v>
      </x:c>
      <x:c r="H244" s="13" t="n">
        <x:v>16</x:v>
      </x:c>
      <x:c r="I244" s="13" t="n">
        <x:v>2</x:v>
      </x:c>
      <x:c r="J244" s="13" t="n">
        <x:v>4894376.41</x:v>
      </x:c>
      <x:c r="K244" s="13" t="n">
        <x:v>4906570.41</x:v>
      </x:c>
      <x:c r="L244" s="13" t="n">
        <x:v>131</x:v>
      </x:c>
      <x:c r="M244" s="13" t="n">
        <x:v>0.02295552367288379</x:v>
      </x:c>
      <x:c r="N244" s="13" t="n">
        <x:v>0.002936857562408223</x:v>
      </x:c>
      <x:c r="O244" s="13" t="n">
        <x:v>0.2452321202938224</x:v>
      </x:c>
      <x:c r="P244" s="13" t="n">
        <x:v>0.4031329084707866</x:v>
      </x:c>
      <x:c r="Q244" s="13" t="n">
        <x:v>148314.43666666668</x:v>
      </x:c>
      <x:c r="R244" s="13" t="n">
        <x:v>1.1626203444402092</x:v>
      </x:c>
      <x:c r="S244" s="13" t="n">
        <x:v>0.024507413124998437</x:v>
      </x:c>
      <x:c r="T244" s="13" t="n">
        <x:v>33</x:v>
      </x:c>
      <x:c r="U244" s="13" t="n">
        <x:v>711</x:v>
      </x:c>
      <x:c r="V244" s="13" t="n">
        <x:v>677</x:v>
      </x:c>
      <x:c r="W244" s="13" t="n">
        <x:v>34</x:v>
      </x:c>
      <x:c r="X244" s="13" t="n">
        <x:v>0</x:v>
      </x:c>
      <x:c r="Y244" s="13" t="n">
        <x:v>37084295.66</x:v>
      </x:c>
      <x:c r="Z244" s="13" t="n">
        <x:v>37084295.66</x:v>
      </x:c>
      <x:c r="AA244" s="13" t="n">
        <x:v>35</x:v>
      </x:c>
      <x:c r="AB244" s="13" t="n">
        <x:v>0.04781997187060478</x:v>
      </x:c>
      <x:c r="AC244" s="13" t="n">
        <x:v>0</x:v>
      </x:c>
      <x:c r="AD244" s="13" t="n">
        <x:v>0.20719471074920504</x:v>
      </x:c>
      <x:c r="AE244" s="13" t="n">
        <x:v>0.33670215809081927</x:v>
      </x:c>
      <x:c r="AF244" s="13" t="n">
        <x:v>1090714.578235294</x:v>
      </x:c>
      <x:c r="AG244" s="13" t="n">
        <x:v>0.8544090131984993</x:v>
      </x:c>
      <x:c r="AH244" s="13" t="n">
        <x:v>-0.002193249127948596</x:v>
      </x:c>
      <x:c r="AI244" s="13" t="n">
        <x:v>34</x:v>
      </x:c>
      <x:c r="AJ244" s="13" t="n">
        <x:v>32189919.249999996</x:v>
      </x:c>
      <x:c r="AK244" s="13" t="n">
        <x:v>0.13230857759804626</x:v>
      </x:c>
      <x:c r="AL244" s="13" t="n">
        <x:v>0.03551136363636364</x:v>
      </x:c>
      <x:c r="AM244" s="13" t="n">
        <x:v>0.0014727540500736377</x:v>
      </x:c>
      <x:c r="AN244" s="13" t="n">
        <x:v>0.22621341552151372</x:v>
      </x:c>
      <x:c r="AO244" s="13" t="n">
        <x:v>1.0085146788193542</x:v>
      </x:c>
      <x:c r="AP244" s="13" t="n">
        <x:v>0.01115708199852492</x:v>
      </x:c>
    </x:row>
    <x:row r="245" ht="15" hidden="0" customHeight="1">
      <x:c r="A245" s="2" t="str">
        <x:v>E244</x:v>
      </x:c>
      <x:c r="B245" s="2" t="str">
        <x:v>个体经营E244 </x:v>
      </x:c>
      <x:c r="C245" s="2" t="str">
        <x:v>无信贷记录</x:v>
      </x:c>
      <x:c r="D245" s="2" t="str"/>
      <x:c r="E245" s="2" t="str"/>
      <x:c r="F245" s="13" t="n">
        <x:v>1151</x:v>
      </x:c>
      <x:c r="G245" s="13" t="n">
        <x:v>1105</x:v>
      </x:c>
      <x:c r="H245" s="13" t="n">
        <x:v>46</x:v>
      </x:c>
      <x:c r="I245" s="13" t="n">
        <x:v>7</x:v>
      </x:c>
      <x:c r="J245" s="13" t="n">
        <x:v>15959235.099999998</x:v>
      </x:c>
      <x:c r="K245" s="13" t="n">
        <x:v>16046427.86</x:v>
      </x:c>
      <x:c r="L245" s="13" t="n">
        <x:v>153</x:v>
      </x:c>
      <x:c r="M245" s="13" t="n">
        <x:v>0.03996524761077324</x:v>
      </x:c>
      <x:c r="N245" s="13" t="n">
        <x:v>0.006334841628959276</x:v>
      </x:c>
      <x:c r="O245" s="13" t="n">
        <x:v>0.05841124384761445</x:v>
      </x:c>
      <x:c r="P245" s="13" t="n">
        <x:v>0.12593339761538677</x:v>
      </x:c>
      <x:c r="Q245" s="13" t="n">
        <x:v>443312.08611111104</x:v>
      </x:c>
      <x:c r="R245" s="13" t="n">
        <x:v>0.8077638353575802</x:v>
      </x:c>
      <x:c r="S245" s="13" t="n">
        <x:v>0.0015079064480674083</x:v>
      </x:c>
      <x:c r="T245" s="13" t="n">
        <x:v>36</x:v>
      </x:c>
      <x:c r="U245" s="13" t="n">
        <x:v>536</x:v>
      </x:c>
      <x:c r="V245" s="13" t="n">
        <x:v>443</x:v>
      </x:c>
      <x:c r="W245" s="13" t="n">
        <x:v>93</x:v>
      </x:c>
      <x:c r="X245" s="13" t="n">
        <x:v>13</x:v>
      </x:c>
      <x:c r="Y245" s="13" t="n">
        <x:v>39288498.47</x:v>
      </x:c>
      <x:c r="Z245" s="13" t="n">
        <x:v>41795063.81</x:v>
      </x:c>
      <x:c r="AA245" s="13" t="n">
        <x:v>20</x:v>
      </x:c>
      <x:c r="AB245" s="13" t="n">
        <x:v>0.17350746268656717</x:v>
      </x:c>
      <x:c r="AC245" s="13" t="n">
        <x:v>0.029345372460496615</x:v>
      </x:c>
      <x:c r="AD245" s="13" t="n">
        <x:v>0.31910068927357843</x:v>
      </x:c>
      <x:c r="AE245" s="13" t="n">
        <x:v>0.5410290211015232</x:v>
      </x:c>
      <x:c r="AF245" s="13" t="n">
        <x:v>1155544.0726470589</x:v>
      </x:c>
      <x:c r="AG245" s="13" t="n">
        <x:v>0.8952402110991347</x:v>
      </x:c>
      <x:c r="AH245" s="13" t="n">
        <x:v>-0.0029330524947762966</x:v>
      </x:c>
      <x:c r="AI245" s="13" t="n">
        <x:v>33</x:v>
      </x:c>
      <x:c r="AJ245" s="13" t="n">
        <x:v>23329263.37</x:v>
      </x:c>
      <x:c r="AK245" s="13" t="n">
        <x:v>0.3839311726606501</x:v>
      </x:c>
      <x:c r="AL245" s="13" t="n">
        <x:v>0.08239478363959692</x:v>
      </x:c>
      <x:c r="AM245" s="13" t="n">
        <x:v>0.012919896640826873</x:v>
      </x:c>
      <x:c r="AN245" s="13" t="n">
        <x:v>0.18875596656059646</x:v>
      </x:c>
      <x:c r="AO245" s="13" t="n">
        <x:v>0.8515020232283574</x:v>
      </x:c>
      <x:c r="AP245" s="13" t="n">
        <x:v>-0.0007125730233544441</x:v>
      </x:c>
    </x:row>
    <x:row r="246" ht="15" hidden="0" customHeight="1">
      <x:c r="A246" s="2" t="str">
        <x:v>E245</x:v>
      </x:c>
      <x:c r="B246" s="2" t="str">
        <x:v>***建筑劳务有限公司</x:v>
      </x:c>
      <x:c r="C246" s="2" t="str">
        <x:v>无信贷记录</x:v>
      </x:c>
      <x:c r="D246" s="2" t="str"/>
      <x:c r="E246" s="2" t="str"/>
      <x:c r="F246" s="13" t="n">
        <x:v>265</x:v>
      </x:c>
      <x:c r="G246" s="13" t="n">
        <x:v>264</x:v>
      </x:c>
      <x:c r="H246" s="13" t="n">
        <x:v>1</x:v>
      </x:c>
      <x:c r="I246" s="13" t="n">
        <x:v>0</x:v>
      </x:c>
      <x:c r="J246" s="13" t="n">
        <x:v>147888.78999999998</x:v>
      </x:c>
      <x:c r="K246" s="13" t="n">
        <x:v>147888.78999999998</x:v>
      </x:c>
      <x:c r="L246" s="13" t="n">
        <x:v>64</x:v>
      </x:c>
      <x:c r="M246" s="13" t="n">
        <x:v>0.0037735849056603774</x:v>
      </x:c>
      <x:c r="N246" s="13" t="n">
        <x:v>0</x:v>
      </x:c>
      <x:c r="O246" s="13" t="n">
        <x:v>0.1296310709873763</x:v>
      </x:c>
      <x:c r="P246" s="13" t="n">
        <x:v>0.2580993461370534</x:v>
      </x:c>
      <x:c r="Q246" s="13" t="n">
        <x:v>4349.670294117646</x:v>
      </x:c>
      <x:c r="R246" s="13" t="n">
        <x:v>1.0713727097342873</x:v>
      </x:c>
      <x:c r="S246" s="13" t="n">
        <x:v>0.06545623911046788</x:v>
      </x:c>
      <x:c r="T246" s="13" t="n">
        <x:v>30</x:v>
      </x:c>
      <x:c r="U246" s="13" t="n">
        <x:v>353</x:v>
      </x:c>
      <x:c r="V246" s="13" t="n">
        <x:v>309</x:v>
      </x:c>
      <x:c r="W246" s="13" t="n">
        <x:v>44</x:v>
      </x:c>
      <x:c r="X246" s="13" t="n">
        <x:v>18</x:v>
      </x:c>
      <x:c r="Y246" s="13" t="n">
        <x:v>25925728.35</x:v>
      </x:c>
      <x:c r="Z246" s="13" t="n">
        <x:v>29325728.35</x:v>
      </x:c>
      <x:c r="AA246" s="13" t="n">
        <x:v>38</x:v>
      </x:c>
      <x:c r="AB246" s="13" t="n">
        <x:v>0.12464589235127478</x:v>
      </x:c>
      <x:c r="AC246" s="13" t="n">
        <x:v>0.05825242718446602</x:v>
      </x:c>
      <x:c r="AD246" s="13" t="n">
        <x:v>0.15843727759799386</x:v>
      </x:c>
      <x:c r="AE246" s="13" t="n">
        <x:v>0.3034877733906309</x:v>
      </x:c>
      <x:c r="AF246" s="13" t="n">
        <x:v>893990.6327586208</x:v>
      </x:c>
      <x:c r="AG246" s="13" t="n">
        <x:v>1.3147417261583583</x:v>
      </x:c>
      <x:c r="AH246" s="13" t="n">
        <x:v>0.022174284438735356</x:v>
      </x:c>
      <x:c r="AI246" s="13" t="n">
        <x:v>21</x:v>
      </x:c>
      <x:c r="AJ246" s="13" t="n">
        <x:v>25777839.560000002</x:v>
      </x:c>
      <x:c r="AK246" s="13" t="n">
        <x:v>0.005042970740060066</x:v>
      </x:c>
      <x:c r="AL246" s="13" t="n">
        <x:v>0.07281553398058252</x:v>
      </x:c>
      <x:c r="AM246" s="13" t="n">
        <x:v>0.031413612565445025</x:v>
      </x:c>
      <x:c r="AN246" s="13" t="n">
        <x:v>0.14403417429268509</x:v>
      </x:c>
      <x:c r="AO246" s="13" t="n">
        <x:v>1.1930572179463228</x:v>
      </x:c>
      <x:c r="AP246" s="13" t="n">
        <x:v>0.04381526177460162</x:v>
      </x:c>
    </x:row>
    <x:row r="247" ht="15" hidden="0" customHeight="1">
      <x:c r="A247" s="2" t="str">
        <x:v>E246</x:v>
      </x:c>
      <x:c r="B247" s="2" t="str">
        <x:v>***物业服务有限公司</x:v>
      </x:c>
      <x:c r="C247" s="2" t="str">
        <x:v>无信贷记录</x:v>
      </x:c>
      <x:c r="D247" s="2" t="str"/>
      <x:c r="E247" s="2" t="str"/>
      <x:c r="F247" s="13" t="n">
        <x:v>1368</x:v>
      </x:c>
      <x:c r="G247" s="13" t="n">
        <x:v>1298</x:v>
      </x:c>
      <x:c r="H247" s="13" t="n">
        <x:v>70</x:v>
      </x:c>
      <x:c r="I247" s="13" t="n">
        <x:v>11</x:v>
      </x:c>
      <x:c r="J247" s="13" t="n">
        <x:v>7103468.01</x:v>
      </x:c>
      <x:c r="K247" s="13" t="n">
        <x:v>7181355.950000001</x:v>
      </x:c>
      <x:c r="L247" s="13" t="n">
        <x:v>413</x:v>
      </x:c>
      <x:c r="M247" s="13" t="n">
        <x:v>0.05116959064327485</x:v>
      </x:c>
      <x:c r="N247" s="13" t="n">
        <x:v>0.00847457627118644</x:v>
      </x:c>
      <x:c r="O247" s="13" t="n">
        <x:v>0.09527653603289846</x:v>
      </x:c>
      <x:c r="P247" s="13" t="n">
        <x:v>0.2506490435138506</x:v>
      </x:c>
      <x:c r="Q247" s="13" t="n">
        <x:v>221983.3753125</x:v>
      </x:c>
      <x:c r="R247" s="13" t="n">
        <x:v>1.21238549553588</x:v>
      </x:c>
      <x:c r="S247" s="13" t="n">
        <x:v>0.04938148239358463</x:v>
      </x:c>
      <x:c r="T247" s="13" t="n">
        <x:v>31</x:v>
      </x:c>
      <x:c r="U247" s="13" t="n">
        <x:v>829</x:v>
      </x:c>
      <x:c r="V247" s="13" t="n">
        <x:v>749</x:v>
      </x:c>
      <x:c r="W247" s="13" t="n">
        <x:v>80</x:v>
      </x:c>
      <x:c r="X247" s="13" t="n">
        <x:v>14</x:v>
      </x:c>
      <x:c r="Y247" s="13" t="n">
        <x:v>33246947.900000002</x:v>
      </x:c>
      <x:c r="Z247" s="13" t="n">
        <x:v>34683651.1</x:v>
      </x:c>
      <x:c r="AA247" s="13" t="n">
        <x:v>128</x:v>
      </x:c>
      <x:c r="AB247" s="13" t="n">
        <x:v>0.09650180940892641</x:v>
      </x:c>
      <x:c r="AC247" s="13" t="n">
        <x:v>0.018691588785046728</x:v>
      </x:c>
      <x:c r="AD247" s="13" t="n">
        <x:v>0.1560497949277863</x:v>
      </x:c>
      <x:c r="AE247" s="13" t="n">
        <x:v>0.2537246527082035</x:v>
      </x:c>
      <x:c r="AF247" s="13" t="n">
        <x:v>898566.1594594595</x:v>
      </x:c>
      <x:c r="AG247" s="13" t="n">
        <x:v>0.41314884467442886</x:v>
      </x:c>
      <x:c r="AH247" s="13" t="n">
        <x:v>0.02306667235302425</x:v>
      </x:c>
      <x:c r="AI247" s="13" t="n">
        <x:v>37</x:v>
      </x:c>
      <x:c r="AJ247" s="13" t="n">
        <x:v>26143479.89</x:v>
      </x:c>
      <x:c r="AK247" s="13" t="n">
        <x:v>0.20705305589929662</x:v>
      </x:c>
      <x:c r="AL247" s="13" t="n">
        <x:v>0.06827492034592626</x:v>
      </x:c>
      <x:c r="AM247" s="13" t="n">
        <x:v>0.012212994626282364</x:v>
      </x:c>
      <x:c r="AN247" s="13" t="n">
        <x:v>0.1256631654803424</x:v>
      </x:c>
      <x:c r="AO247" s="13" t="n">
        <x:v>0.8127671701051544</x:v>
      </x:c>
      <x:c r="AP247" s="13" t="n">
        <x:v>0.036224077373304436</x:v>
      </x:c>
    </x:row>
    <x:row r="248" ht="15" hidden="0" customHeight="1">
      <x:c r="A248" s="2" t="str">
        <x:v>E247</x:v>
      </x:c>
      <x:c r="B248" s="2" t="str">
        <x:v>***石化有限公司</x:v>
      </x:c>
      <x:c r="C248" s="2" t="str">
        <x:v>无信贷记录</x:v>
      </x:c>
      <x:c r="D248" s="2" t="str"/>
      <x:c r="E248" s="2" t="str"/>
      <x:c r="F248" s="13" t="n">
        <x:v>943</x:v>
      </x:c>
      <x:c r="G248" s="13" t="n">
        <x:v>915</x:v>
      </x:c>
      <x:c r="H248" s="13" t="n">
        <x:v>28</x:v>
      </x:c>
      <x:c r="I248" s="13" t="n">
        <x:v>7</x:v>
      </x:c>
      <x:c r="J248" s="13" t="n">
        <x:v>13781515.22</x:v>
      </x:c>
      <x:c r="K248" s="13" t="n">
        <x:v>13782718.68</x:v>
      </x:c>
      <x:c r="L248" s="13" t="n">
        <x:v>186</x:v>
      </x:c>
      <x:c r="M248" s="13" t="n">
        <x:v>0.029692470837751856</x:v>
      </x:c>
      <x:c r="N248" s="13" t="n">
        <x:v>0.007650273224043716</x:v>
      </x:c>
      <x:c r="O248" s="13" t="n">
        <x:v>0.056877163950251254</x:v>
      </x:c>
      <x:c r="P248" s="13" t="n">
        <x:v>0.11065842925555526</x:v>
      </x:c>
      <x:c r="Q248" s="13" t="n">
        <x:v>362671.4531578948</x:v>
      </x:c>
      <x:c r="R248" s="13" t="n">
        <x:v>0.8269305180041207</x:v>
      </x:c>
      <x:c r="S248" s="13" t="n">
        <x:v>0.03520914235340588</x:v>
      </x:c>
      <x:c r="T248" s="13" t="n">
        <x:v>38</x:v>
      </x:c>
      <x:c r="U248" s="13" t="n">
        <x:v>359</x:v>
      </x:c>
      <x:c r="V248" s="13" t="n">
        <x:v>333</x:v>
      </x:c>
      <x:c r="W248" s="13" t="n">
        <x:v>26</x:v>
      </x:c>
      <x:c r="X248" s="13" t="n">
        <x:v>0</x:v>
      </x:c>
      <x:c r="Y248" s="13" t="n">
        <x:v>24933415.869999997</x:v>
      </x:c>
      <x:c r="Z248" s="13" t="n">
        <x:v>24933415.869999997</x:v>
      </x:c>
      <x:c r="AA248" s="13" t="n">
        <x:v>10</x:v>
      </x:c>
      <x:c r="AB248" s="13" t="n">
        <x:v>0.07242339832869081</x:v>
      </x:c>
      <x:c r="AC248" s="13" t="n">
        <x:v>0</x:v>
      </x:c>
      <x:c r="AD248" s="13" t="n">
        <x:v>0.5994883638466424</x:v>
      </x:c>
      <x:c r="AE248" s="13" t="n">
        <x:v>0.7463503876494721</x:v>
      </x:c>
      <x:c r="AF248" s="13" t="n">
        <x:v>692594.8852777778</x:v>
      </x:c>
      <x:c r="AG248" s="13" t="n">
        <x:v>0.9560777923606384</x:v>
      </x:c>
      <x:c r="AH248" s="13" t="n">
        <x:v>0.0472027854592239</x:v>
      </x:c>
      <x:c r="AI248" s="13" t="n">
        <x:v>36</x:v>
      </x:c>
      <x:c r="AJ248" s="13" t="n">
        <x:v>11151900.649999997</x:v>
      </x:c>
      <x:c r="AK248" s="13" t="n">
        <x:v>0.5527810048916495</x:v>
      </x:c>
      <x:c r="AL248" s="13" t="n">
        <x:v>0.041474654377880185</x:v>
      </x:c>
      <x:c r="AM248" s="13" t="n">
        <x:v>0.005608974358974359</x:v>
      </x:c>
      <x:c r="AN248" s="13" t="n">
        <x:v>0.3281827638984468</x:v>
      </x:c>
      <x:c r="AO248" s="13" t="n">
        <x:v>0.8915041551823795</x:v>
      </x:c>
      <x:c r="AP248" s="13" t="n">
        <x:v>0.04120596390631489</x:v>
      </x:c>
    </x:row>
    <x:row r="249" ht="15" hidden="0" customHeight="1">
      <x:c r="A249" s="2" t="str">
        <x:v>E248</x:v>
      </x:c>
      <x:c r="B249" s="2" t="str">
        <x:v>***智能科技有限公司</x:v>
      </x:c>
      <x:c r="C249" s="2" t="str">
        <x:v>无信贷记录</x:v>
      </x:c>
      <x:c r="D249" s="2" t="str"/>
      <x:c r="E249" s="2" t="str"/>
      <x:c r="F249" s="13" t="n">
        <x:v>1511</x:v>
      </x:c>
      <x:c r="G249" s="13" t="n">
        <x:v>1466</x:v>
      </x:c>
      <x:c r="H249" s="13" t="n">
        <x:v>45</x:v>
      </x:c>
      <x:c r="I249" s="13" t="n">
        <x:v>9</x:v>
      </x:c>
      <x:c r="J249" s="13" t="n">
        <x:v>15029356.669999998</x:v>
      </x:c>
      <x:c r="K249" s="13" t="n">
        <x:v>15390209.21</x:v>
      </x:c>
      <x:c r="L249" s="13" t="n">
        <x:v>265</x:v>
      </x:c>
      <x:c r="M249" s="13" t="n">
        <x:v>0.029781601588352084</x:v>
      </x:c>
      <x:c r="N249" s="13" t="n">
        <x:v>0.006139154160982265</x:v>
      </x:c>
      <x:c r="O249" s="13" t="n">
        <x:v>0.045904783052656765</x:v>
      </x:c>
      <x:c r="P249" s="13" t="n">
        <x:v>0.15342611317237576</x:v>
      </x:c>
      <x:c r="Q249" s="13" t="n">
        <x:v>406198.82891891897</x:v>
      </x:c>
      <x:c r="R249" s="13" t="n">
        <x:v>1.1292978173189188</x:v>
      </x:c>
      <x:c r="S249" s="13" t="n">
        <x:v>0.04562390978289397</x:v>
      </x:c>
      <x:c r="T249" s="13" t="n">
        <x:v>37</x:v>
      </x:c>
      <x:c r="U249" s="13" t="n">
        <x:v>405</x:v>
      </x:c>
      <x:c r="V249" s="13" t="n">
        <x:v>353</x:v>
      </x:c>
      <x:c r="W249" s="13" t="n">
        <x:v>52</x:v>
      </x:c>
      <x:c r="X249" s="13" t="n">
        <x:v>6</x:v>
      </x:c>
      <x:c r="Y249" s="13" t="n">
        <x:v>22353562.990000002</x:v>
      </x:c>
      <x:c r="Z249" s="13" t="n">
        <x:v>22831562.990000002</x:v>
      </x:c>
      <x:c r="AA249" s="13" t="n">
        <x:v>125</x:v>
      </x:c>
      <x:c r="AB249" s="13" t="n">
        <x:v>0.12839506172839507</x:v>
      </x:c>
      <x:c r="AC249" s="13" t="n">
        <x:v>0.0169971671388102</x:v>
      </x:c>
      <x:c r="AD249" s="13" t="n">
        <x:v>0.08814554034702766</x:v>
      </x:c>
      <x:c r="AE249" s="13" t="n">
        <x:v>0.23613624097313715</x:v>
      </x:c>
      <x:c r="AF249" s="13" t="n">
        <x:v>604150.3510810812</x:v>
      </x:c>
      <x:c r="AG249" s="13" t="n">
        <x:v>1.5688480019444402</x:v>
      </x:c>
      <x:c r="AH249" s="13" t="n">
        <x:v>0.029322296014202928</x:v>
      </x:c>
      <x:c r="AI249" s="13" t="n">
        <x:v>36</x:v>
      </x:c>
      <x:c r="AJ249" s="13" t="n">
        <x:v>7324206.320000004</x:v>
      </x:c>
      <x:c r="AK249" s="13" t="n">
        <x:v>0.674076024350184</x:v>
      </x:c>
      <x:c r="AL249" s="13" t="n">
        <x:v>0.050626304801670144</x:v>
      </x:c>
      <x:c r="AM249" s="13" t="n">
        <x:v>0.008246289169873557</x:v>
      </x:c>
      <x:c r="AN249" s="13" t="n">
        <x:v>0.06702516169984221</x:v>
      </x:c>
      <x:c r="AO249" s="13" t="n">
        <x:v>1.3490729096316794</x:v>
      </x:c>
      <x:c r="AP249" s="13" t="n">
        <x:v>0.03747310289854845</x:v>
      </x:c>
    </x:row>
    <x:row r="250" ht="15" hidden="0" customHeight="1">
      <x:c r="A250" s="2" t="str">
        <x:v>E249</x:v>
      </x:c>
      <x:c r="B250" s="2" t="str">
        <x:v>***建筑工程有限公司</x:v>
      </x:c>
      <x:c r="C250" s="2" t="str">
        <x:v>无信贷记录</x:v>
      </x:c>
      <x:c r="D250" s="2" t="str"/>
      <x:c r="E250" s="2" t="str"/>
      <x:c r="F250" s="13" t="n">
        <x:v>719</x:v>
      </x:c>
      <x:c r="G250" s="13" t="n">
        <x:v>620</x:v>
      </x:c>
      <x:c r="H250" s="13" t="n">
        <x:v>99</x:v>
      </x:c>
      <x:c r="I250" s="13" t="n">
        <x:v>1</x:v>
      </x:c>
      <x:c r="J250" s="13" t="n">
        <x:v>28404068.349999998</x:v>
      </x:c>
      <x:c r="K250" s="13" t="n">
        <x:v>28465868.349999998</x:v>
      </x:c>
      <x:c r="L250" s="13" t="n">
        <x:v>106</x:v>
      </x:c>
      <x:c r="M250" s="13" t="n">
        <x:v>0.1376912378303199</x:v>
      </x:c>
      <x:c r="N250" s="13" t="n">
        <x:v>0.0016129032258064516</x:v>
      </x:c>
      <x:c r="O250" s="13" t="n">
        <x:v>0.1487871462966085</x:v>
      </x:c>
      <x:c r="P250" s="13" t="n">
        <x:v>0.2662838142438047</x:v>
      </x:c>
      <x:c r="Q250" s="13" t="n">
        <x:v>767677.5229729731</x:v>
      </x:c>
      <x:c r="R250" s="13" t="n">
        <x:v>2.195956889268825</x:v>
      </x:c>
      <x:c r="S250" s="13" t="n">
        <x:v>0.03648464858089748</x:v>
      </x:c>
      <x:c r="T250" s="13" t="n">
        <x:v>35</x:v>
      </x:c>
      <x:c r="U250" s="13" t="n">
        <x:v>472</x:v>
      </x:c>
      <x:c r="V250" s="13" t="n">
        <x:v>470</x:v>
      </x:c>
      <x:c r="W250" s="13" t="n">
        <x:v>2</x:v>
      </x:c>
      <x:c r="X250" s="13" t="n">
        <x:v>0</x:v>
      </x:c>
      <x:c r="Y250" s="13" t="n">
        <x:v>53619131.20999999</x:v>
      </x:c>
      <x:c r="Z250" s="13" t="n">
        <x:v>53619131.20999999</x:v>
      </x:c>
      <x:c r="AA250" s="13" t="n">
        <x:v>3</x:v>
      </x:c>
      <x:c r="AB250" s="13" t="n">
        <x:v>0.00423728813559322</x:v>
      </x:c>
      <x:c r="AC250" s="13" t="n">
        <x:v>0</x:v>
      </x:c>
      <x:c r="AD250" s="13" t="n">
        <x:v>0.9724687771746404</x:v>
      </x:c>
      <x:c r="AE250" s="13" t="n">
        <x:v>0.986062064357719</x:v>
      </x:c>
      <x:c r="AF250" s="13" t="n">
        <x:v>1675597.8503125</x:v>
      </x:c>
      <x:c r="AG250" s="13" t="n">
        <x:v>1.8373614425649534</x:v>
      </x:c>
      <x:c r="AH250" s="13" t="n">
        <x:v>-0.0666404318616839</x:v>
      </x:c>
      <x:c r="AI250" s="13" t="n">
        <x:v>11</x:v>
      </x:c>
      <x:c r="AJ250" s="13" t="n">
        <x:v>25215062.859999996</x:v>
      </x:c>
      <x:c r="AK250" s="13" t="n">
        <x:v>0.5308901451333307</x:v>
      </x:c>
      <x:c r="AL250" s="13" t="n">
        <x:v>0.08480268681780016</x:v>
      </x:c>
      <x:c r="AM250" s="13" t="n">
        <x:v>0.0009174311926605505</x:v>
      </x:c>
      <x:c r="AN250" s="13" t="n">
        <x:v>0.5606279617356245</x:v>
      </x:c>
      <x:c r="AO250" s="13" t="n">
        <x:v>2.0166591659168893</x:v>
      </x:c>
      <x:c r="AP250" s="13" t="n">
        <x:v>-0.015077891640393214</x:v>
      </x:c>
    </x:row>
    <x:row r="251" ht="15" hidden="0" customHeight="1">
      <x:c r="A251" s="2" t="str">
        <x:v>E250</x:v>
      </x:c>
      <x:c r="B251" s="2" t="str">
        <x:v>***塑料厂</x:v>
      </x:c>
      <x:c r="C251" s="2" t="str">
        <x:v>无信贷记录</x:v>
      </x:c>
      <x:c r="D251" s="2" t="str"/>
      <x:c r="E251" s="2" t="str"/>
      <x:c r="F251" s="13" t="n">
        <x:v>439</x:v>
      </x:c>
      <x:c r="G251" s="13" t="n">
        <x:v>427</x:v>
      </x:c>
      <x:c r="H251" s="13" t="n">
        <x:v>12</x:v>
      </x:c>
      <x:c r="I251" s="13" t="n">
        <x:v>9</x:v>
      </x:c>
      <x:c r="J251" s="13" t="n">
        <x:v>9594722.74</x:v>
      </x:c>
      <x:c r="K251" s="13" t="n">
        <x:v>9635754.719999999</x:v>
      </x:c>
      <x:c r="L251" s="13" t="n">
        <x:v>127</x:v>
      </x:c>
      <x:c r="M251" s="13" t="n">
        <x:v>0.02733485193621868</x:v>
      </x:c>
      <x:c r="N251" s="13" t="n">
        <x:v>0.02107728337236534</x:v>
      </x:c>
      <x:c r="O251" s="13" t="n">
        <x:v>0.17337846528224188</x:v>
      </x:c>
      <x:c r="P251" s="13" t="n">
        <x:v>0.35237177560700716</x:v>
      </x:c>
      <x:c r="Q251" s="13" t="n">
        <x:v>252492.70368421057</x:v>
      </x:c>
      <x:c r="R251" s="13" t="n">
        <x:v>0.8757133922568235</x:v>
      </x:c>
      <x:c r="S251" s="13" t="n">
        <x:v>-0.00014541636334451557</x:v>
      </x:c>
      <x:c r="T251" s="13" t="n">
        <x:v>38</x:v>
      </x:c>
      <x:c r="U251" s="13" t="n">
        <x:v>778</x:v>
      </x:c>
      <x:c r="V251" s="13" t="n">
        <x:v>660</x:v>
      </x:c>
      <x:c r="W251" s="13" t="n">
        <x:v>118</x:v>
      </x:c>
      <x:c r="X251" s="13" t="n">
        <x:v>22</x:v>
      </x:c>
      <x:c r="Y251" s="13" t="n">
        <x:v>37443422.15</x:v>
      </x:c>
      <x:c r="Z251" s="13" t="n">
        <x:v>40426658.99</x:v>
      </x:c>
      <x:c r="AA251" s="13" t="n">
        <x:v>104</x:v>
      </x:c>
      <x:c r="AB251" s="13" t="n">
        <x:v>0.15167095115681234</x:v>
      </x:c>
      <x:c r="AC251" s="13" t="n">
        <x:v>0.03333333333333333</x:v>
      </x:c>
      <x:c r="AD251" s="13" t="n">
        <x:v>0.060851617064408205</x:v>
      </x:c>
      <x:c r="AE251" s="13" t="n">
        <x:v>0.14061031339260815</x:v>
      </x:c>
      <x:c r="AF251" s="13" t="n">
        <x:v>985353.2144736842</x:v>
      </x:c>
      <x:c r="AG251" s="13" t="n">
        <x:v>0.3799938085245569</x:v>
      </x:c>
      <x:c r="AH251" s="13" t="n">
        <x:v>0.004584793759062645</x:v>
      </x:c>
      <x:c r="AI251" s="13" t="n">
        <x:v>38</x:v>
      </x:c>
      <x:c r="AJ251" s="13" t="n">
        <x:v>27848699.409999996</x:v>
      </x:c>
      <x:c r="AK251" s="13" t="n">
        <x:v>0.23835149776743889</x:v>
      </x:c>
      <x:c r="AL251" s="13" t="n">
        <x:v>0.10682004930156122</x:v>
      </x:c>
      <x:c r="AM251" s="13" t="n">
        <x:v>0.028518859245630176</x:v>
      </x:c>
      <x:c r="AN251" s="13" t="n">
        <x:v>0.11711504117332504</x:v>
      </x:c>
      <x:c r="AO251" s="13" t="n">
        <x:v>0.6278536003906903</x:v>
      </x:c>
      <x:c r="AP251" s="13" t="n">
        <x:v>0.002219688697859065</x:v>
      </x:c>
    </x:row>
    <x:row r="252" ht="15" hidden="0" customHeight="1">
      <x:c r="A252" s="2" t="str">
        <x:v>E251</x:v>
      </x:c>
      <x:c r="B252" s="2" t="str">
        <x:v>***医疗器械有限责任公司</x:v>
      </x:c>
      <x:c r="C252" s="2" t="str">
        <x:v>无信贷记录</x:v>
      </x:c>
      <x:c r="D252" s="2" t="str"/>
      <x:c r="E252" s="2" t="str"/>
      <x:c r="F252" s="13" t="n">
        <x:v>1457</x:v>
      </x:c>
      <x:c r="G252" s="13" t="n">
        <x:v>1355</x:v>
      </x:c>
      <x:c r="H252" s="13" t="n">
        <x:v>102</x:v>
      </x:c>
      <x:c r="I252" s="13" t="n">
        <x:v>23</x:v>
      </x:c>
      <x:c r="J252" s="13" t="n">
        <x:v>10160269.83</x:v>
      </x:c>
      <x:c r="K252" s="13" t="n">
        <x:v>11213916.33</x:v>
      </x:c>
      <x:c r="L252" s="13" t="n">
        <x:v>354</x:v>
      </x:c>
      <x:c r="M252" s="13" t="n">
        <x:v>0.07000686341798215</x:v>
      </x:c>
      <x:c r="N252" s="13" t="n">
        <x:v>0.016974169741697416</x:v>
      </x:c>
      <x:c r="O252" s="13" t="n">
        <x:v>0.0463665970076295</x:v>
      </x:c>
      <x:c r="P252" s="13" t="n">
        <x:v>0.12963006118666126</x:v>
      </x:c>
      <x:c r="Q252" s="13" t="n">
        <x:v>338675.661</x:v>
      </x:c>
      <x:c r="R252" s="13" t="n">
        <x:v>1.1716181200721412</x:v>
      </x:c>
      <x:c r="S252" s="13" t="n">
        <x:v>0.07508752702698859</x:v>
      </x:c>
      <x:c r="T252" s="13" t="n">
        <x:v>30</x:v>
      </x:c>
      <x:c r="U252" s="13" t="n">
        <x:v>315</x:v>
      </x:c>
      <x:c r="V252" s="13" t="n">
        <x:v>274</x:v>
      </x:c>
      <x:c r="W252" s="13" t="n">
        <x:v>41</x:v>
      </x:c>
      <x:c r="X252" s="13" t="n">
        <x:v>14</x:v>
      </x:c>
      <x:c r="Y252" s="13" t="n">
        <x:v>14574975.8</x:v>
      </x:c>
      <x:c r="Z252" s="13" t="n">
        <x:v>16619975.8</x:v>
      </x:c>
      <x:c r="AA252" s="13" t="n">
        <x:v>138</x:v>
      </x:c>
      <x:c r="AB252" s="13" t="n">
        <x:v>0.13015873015873017</x:v>
      </x:c>
      <x:c r="AC252" s="13" t="n">
        <x:v>0.051094890510948905</x:v>
      </x:c>
      <x:c r="AD252" s="13" t="n">
        <x:v>0.11807148290590959</x:v>
      </x:c>
      <x:c r="AE252" s="13" t="n">
        <x:v>0.33184788993495407</x:v>
      </x:c>
      <x:c r="AF252" s="13" t="n">
        <x:v>393918.2648648649</x:v>
      </x:c>
      <x:c r="AG252" s="13" t="n">
        <x:v>1.9824484256237376</x:v>
      </x:c>
      <x:c r="AH252" s="13" t="n">
        <x:v>0.10062289055305587</x:v>
      </x:c>
      <x:c r="AI252" s="13" t="n">
        <x:v>23</x:v>
      </x:c>
      <x:c r="AJ252" s="13" t="n">
        <x:v>4414705.970000001</x:v>
      </x:c>
      <x:c r="AK252" s="13" t="n">
        <x:v>0.6747251900330684</x:v>
      </x:c>
      <x:c r="AL252" s="13" t="n">
        <x:v>0.0806997742663657</x:v>
      </x:c>
      <x:c r="AM252" s="13" t="n">
        <x:v>0.022713321055862493</x:v>
      </x:c>
      <x:c r="AN252" s="13" t="n">
        <x:v>0.08221903995676955</x:v>
      </x:c>
      <x:c r="AO252" s="13" t="n">
        <x:v>1.5770332728479395</x:v>
      </x:c>
      <x:c r="AP252" s="13" t="n">
        <x:v>0.08785520879002223</x:v>
      </x:c>
    </x:row>
    <x:row r="253" ht="15" hidden="0" customHeight="1">
      <x:c r="A253" s="2" t="str">
        <x:v>E252</x:v>
      </x:c>
      <x:c r="B253" s="2" t="str">
        <x:v>***印务有限公司</x:v>
      </x:c>
      <x:c r="C253" s="2" t="str">
        <x:v>无信贷记录</x:v>
      </x:c>
      <x:c r="D253" s="2" t="str"/>
      <x:c r="E253" s="2" t="str"/>
      <x:c r="F253" s="13" t="n">
        <x:v>958</x:v>
      </x:c>
      <x:c r="G253" s="13" t="n">
        <x:v>905</x:v>
      </x:c>
      <x:c r="H253" s="13" t="n">
        <x:v>53</x:v>
      </x:c>
      <x:c r="I253" s="13" t="n">
        <x:v>4</x:v>
      </x:c>
      <x:c r="J253" s="13" t="n">
        <x:v>30305520.78</x:v>
      </x:c>
      <x:c r="K253" s="13" t="n">
        <x:v>30389037.22</x:v>
      </x:c>
      <x:c r="L253" s="13" t="n">
        <x:v>111</x:v>
      </x:c>
      <x:c r="M253" s="13" t="n">
        <x:v>0.055323590814196244</x:v>
      </x:c>
      <x:c r="N253" s="13" t="n">
        <x:v>0.004419889502762431</x:v>
      </x:c>
      <x:c r="O253" s="13" t="n">
        <x:v>0.054457843820654606</x:v>
      </x:c>
      <x:c r="P253" s="13" t="n">
        <x:v>0.10036504868251303</x:v>
      </x:c>
      <x:c r="Q253" s="13" t="n">
        <x:v>819068.1291891893</x:v>
      </x:c>
      <x:c r="R253" s="13" t="n">
        <x:v>0.6604297234120827</x:v>
      </x:c>
      <x:c r="S253" s="13" t="n">
        <x:v>-0.0192362052777081</x:v>
      </x:c>
      <x:c r="T253" s="13" t="n">
        <x:v>37</x:v>
      </x:c>
      <x:c r="U253" s="13" t="n">
        <x:v>541</x:v>
      </x:c>
      <x:c r="V253" s="13" t="n">
        <x:v>517</x:v>
      </x:c>
      <x:c r="W253" s="13" t="n">
        <x:v>24</x:v>
      </x:c>
      <x:c r="X253" s="13" t="n">
        <x:v>10</x:v>
      </x:c>
      <x:c r="Y253" s="13" t="n">
        <x:v>44815818.58</x:v>
      </x:c>
      <x:c r="Z253" s="13" t="n">
        <x:v>46559614.38</x:v>
      </x:c>
      <x:c r="AA253" s="13" t="n">
        <x:v>41</x:v>
      </x:c>
      <x:c r="AB253" s="13" t="n">
        <x:v>0.04436229205175601</x:v>
      </x:c>
      <x:c r="AC253" s="13" t="n">
        <x:v>0.019342359767891684</x:v>
      </x:c>
      <x:c r="AD253" s="13" t="n">
        <x:v>0.13305140978241112</x:v>
      </x:c>
      <x:c r="AE253" s="13" t="n">
        <x:v>0.20365908322628165</x:v>
      </x:c>
      <x:c r="AF253" s="13" t="n">
        <x:v>1211238.34</x:v>
      </x:c>
      <x:c r="AG253" s="13" t="n">
        <x:v>1.1529965958640502</x:v>
      </x:c>
      <x:c r="AH253" s="13" t="n">
        <x:v>-0.011550130363139824</x:v>
      </x:c>
      <x:c r="AI253" s="13" t="n">
        <x:v>37</x:v>
      </x:c>
      <x:c r="AJ253" s="13" t="n">
        <x:v>14510297.799999997</x:v>
      </x:c>
      <x:c r="AK253" s="13" t="n">
        <x:v>0.6526909130298514</x:v>
      </x:c>
      <x:c r="AL253" s="13" t="n">
        <x:v>0.0513675783855904</x:v>
      </x:c>
      <x:c r="AM253" s="13" t="n">
        <x:v>0.009845288326300985</x:v>
      </x:c>
      <x:c r="AN253" s="13" t="n">
        <x:v>0.09375462680153286</x:v>
      </x:c>
      <x:c r="AO253" s="13" t="n">
        <x:v>0.9067131596380664</x:v>
      </x:c>
      <x:c r="AP253" s="13" t="n">
        <x:v>-0.01539316782042396</x:v>
      </x:c>
    </x:row>
    <x:row r="254" ht="15" hidden="0" customHeight="1">
      <x:c r="A254" s="2" t="str">
        <x:v>E253</x:v>
      </x:c>
      <x:c r="B254" s="2" t="str">
        <x:v>***钢结构工程有限公司</x:v>
      </x:c>
      <x:c r="C254" s="2" t="str">
        <x:v>无信贷记录</x:v>
      </x:c>
      <x:c r="D254" s="2" t="str"/>
      <x:c r="E254" s="2" t="str"/>
      <x:c r="F254" s="13" t="n">
        <x:v>1237</x:v>
      </x:c>
      <x:c r="G254" s="13" t="n">
        <x:v>1196</x:v>
      </x:c>
      <x:c r="H254" s="13" t="n">
        <x:v>41</x:v>
      </x:c>
      <x:c r="I254" s="13" t="n">
        <x:v>5</x:v>
      </x:c>
      <x:c r="J254" s="13" t="n">
        <x:v>19912674.39</x:v>
      </x:c>
      <x:c r="K254" s="13" t="n">
        <x:v>19986274.39</x:v>
      </x:c>
      <x:c r="L254" s="13" t="n">
        <x:v>320</x:v>
      </x:c>
      <x:c r="M254" s="13" t="n">
        <x:v>0.033144704931285365</x:v>
      </x:c>
      <x:c r="N254" s="13" t="n">
        <x:v>0.004180602006688963</x:v>
      </x:c>
      <x:c r="O254" s="13" t="n">
        <x:v>0.09210748402804671</x:v>
      </x:c>
      <x:c r="P254" s="13" t="n">
        <x:v>0.27125840935680257</x:v>
      </x:c>
      <x:c r="Q254" s="13" t="n">
        <x:v>553129.8441666666</x:v>
      </x:c>
      <x:c r="R254" s="13" t="n">
        <x:v>0.9524777192796366</x:v>
      </x:c>
      <x:c r="S254" s="13" t="n">
        <x:v>0.04746919441948883</x:v>
      </x:c>
      <x:c r="T254" s="13" t="n">
        <x:v>33</x:v>
      </x:c>
      <x:c r="U254" s="13" t="n">
        <x:v>381</x:v>
      </x:c>
      <x:c r="V254" s="13" t="n">
        <x:v>318</x:v>
      </x:c>
      <x:c r="W254" s="13" t="n">
        <x:v>63</x:v>
      </x:c>
      <x:c r="X254" s="13" t="n">
        <x:v>3</x:v>
      </x:c>
      <x:c r="Y254" s="13" t="n">
        <x:v>25318874.69</x:v>
      </x:c>
      <x:c r="Z254" s="13" t="n">
        <x:v>25627232.630000003</x:v>
      </x:c>
      <x:c r="AA254" s="13" t="n">
        <x:v>113</x:v>
      </x:c>
      <x:c r="AB254" s="13" t="n">
        <x:v>0.16535433070866143</x:v>
      </x:c>
      <x:c r="AC254" s="13" t="n">
        <x:v>0.009433962264150943</x:v>
      </x:c>
      <x:c r="AD254" s="13" t="n">
        <x:v>0.03397199829743172</x:v>
      </x:c>
      <x:c r="AE254" s="13" t="n">
        <x:v>0.08311470968217453</x:v>
      </x:c>
      <x:c r="AF254" s="13" t="n">
        <x:v>684293.9105405405</x:v>
      </x:c>
      <x:c r="AG254" s="13" t="n">
        <x:v>0.9467994603424147</x:v>
      </x:c>
      <x:c r="AH254" s="13" t="n">
        <x:v>0.042594439688540146</x:v>
      </x:c>
      <x:c r="AI254" s="13" t="n">
        <x:v>36</x:v>
      </x:c>
      <x:c r="AJ254" s="13" t="n">
        <x:v>5406200.300000001</x:v>
      </x:c>
      <x:c r="AK254" s="13" t="n">
        <x:v>0.779884222325413</x:v>
      </x:c>
      <x:c r="AL254" s="13" t="n">
        <x:v>0.06427688504326329</x:v>
      </x:c>
      <x:c r="AM254" s="13" t="n">
        <x:v>0.005284015852047556</x:v>
      </x:c>
      <x:c r="AN254" s="13" t="n">
        <x:v>0.06303974116273922</x:v>
      </x:c>
      <x:c r="AO254" s="13" t="n">
        <x:v>0.9496385898110257</x:v>
      </x:c>
      <x:c r="AP254" s="13" t="n">
        <x:v>0.04503181705401449</x:v>
      </x:c>
    </x:row>
    <x:row r="255" ht="15" hidden="0" customHeight="1">
      <x:c r="A255" s="2" t="str">
        <x:v>E254</x:v>
      </x:c>
      <x:c r="B255" s="2" t="str">
        <x:v>***设备安装工程有限公司</x:v>
      </x:c>
      <x:c r="C255" s="2" t="str">
        <x:v>无信贷记录</x:v>
      </x:c>
      <x:c r="D255" s="2" t="str"/>
      <x:c r="E255" s="2" t="str"/>
      <x:c r="F255" s="13" t="n">
        <x:v>237</x:v>
      </x:c>
      <x:c r="G255" s="13" t="n">
        <x:v>236</x:v>
      </x:c>
      <x:c r="H255" s="13" t="n">
        <x:v>1</x:v>
      </x:c>
      <x:c r="I255" s="13" t="n">
        <x:v>0</x:v>
      </x:c>
      <x:c r="J255" s="13" t="n">
        <x:v>3614013.5799999996</x:v>
      </x:c>
      <x:c r="K255" s="13" t="n">
        <x:v>3614013.5799999996</x:v>
      </x:c>
      <x:c r="L255" s="13" t="n">
        <x:v>39</x:v>
      </x:c>
      <x:c r="M255" s="13" t="n">
        <x:v>0.004219409282700422</x:v>
      </x:c>
      <x:c r="N255" s="13" t="n">
        <x:v>0</x:v>
      </x:c>
      <x:c r="O255" s="13" t="n">
        <x:v>0.24345914098163754</x:v>
      </x:c>
      <x:c r="P255" s="13" t="n">
        <x:v>0.3624778853210618</x:v>
      </x:c>
      <x:c r="Q255" s="13" t="n">
        <x:v>100389.26611111111</x:v>
      </x:c>
      <x:c r="R255" s="13" t="n">
        <x:v>2.7334641106917923</x:v>
      </x:c>
      <x:c r="S255" s="13" t="n">
        <x:v>0.10590225567929447</x:v>
      </x:c>
      <x:c r="T255" s="13" t="n">
        <x:v>28</x:v>
      </x:c>
      <x:c r="U255" s="13" t="n">
        <x:v>493</x:v>
      </x:c>
      <x:c r="V255" s="13" t="n">
        <x:v>456</x:v>
      </x:c>
      <x:c r="W255" s="13" t="n">
        <x:v>37</x:v>
      </x:c>
      <x:c r="X255" s="13" t="n">
        <x:v>2</x:v>
      </x:c>
      <x:c r="Y255" s="13" t="n">
        <x:v>38316369.22</x:v>
      </x:c>
      <x:c r="Z255" s="13" t="n">
        <x:v>38611369.22</x:v>
      </x:c>
      <x:c r="AA255" s="13" t="n">
        <x:v>23</x:v>
      </x:c>
      <x:c r="AB255" s="13" t="n">
        <x:v>0.07505070993914807</x:v>
      </x:c>
      <x:c r="AC255" s="13" t="n">
        <x:v>0.0043859649122807015</x:v>
      </x:c>
      <x:c r="AD255" s="13" t="n">
        <x:v>0.2592884922769302</x:v>
      </x:c>
      <x:c r="AE255" s="13" t="n">
        <x:v>0.4375473828379299</x:v>
      </x:c>
      <x:c r="AF255" s="13" t="n">
        <x:v>1035577.5464864864</x:v>
      </x:c>
      <x:c r="AG255" s="13" t="n">
        <x:v>0.9516203403808972</x:v>
      </x:c>
      <x:c r="AH255" s="13" t="n">
        <x:v>0.00115248722318561</x:v>
      </x:c>
      <x:c r="AI255" s="13" t="n">
        <x:v>33</x:v>
      </x:c>
      <x:c r="AJ255" s="13" t="n">
        <x:v>34702355.64</x:v>
      </x:c>
      <x:c r="AK255" s="13" t="n">
        <x:v>0.09359972601354953</x:v>
      </x:c>
      <x:c r="AL255" s="13" t="n">
        <x:v>0.052054794520547946</x:v>
      </x:c>
      <x:c r="AM255" s="13" t="n">
        <x:v>0.002890173410404624</x:v>
      </x:c>
      <x:c r="AN255" s="13" t="n">
        <x:v>0.2513738166292839</x:v>
      </x:c>
      <x:c r="AO255" s="13" t="n">
        <x:v>1.8425422255363446</x:v>
      </x:c>
      <x:c r="AP255" s="13" t="n">
        <x:v>0.05352737145124004</x:v>
      </x:c>
    </x:row>
    <x:row r="256" ht="15" hidden="0" customHeight="1">
      <x:c r="A256" s="2" t="str">
        <x:v>E255</x:v>
      </x:c>
      <x:c r="B256" s="2" t="str">
        <x:v>个体经营E255 </x:v>
      </x:c>
      <x:c r="C256" s="2" t="str">
        <x:v>无信贷记录</x:v>
      </x:c>
      <x:c r="D256" s="2" t="str"/>
      <x:c r="E256" s="2" t="str"/>
      <x:c r="F256" s="13" t="n">
        <x:v>1377</x:v>
      </x:c>
      <x:c r="G256" s="13" t="n">
        <x:v>1331</x:v>
      </x:c>
      <x:c r="H256" s="13" t="n">
        <x:v>46</x:v>
      </x:c>
      <x:c r="I256" s="13" t="n">
        <x:v>7</x:v>
      </x:c>
      <x:c r="J256" s="13" t="n">
        <x:v>12836662.39</x:v>
      </x:c>
      <x:c r="K256" s="13" t="n">
        <x:v>13424556.45</x:v>
      </x:c>
      <x:c r="L256" s="13" t="n">
        <x:v>312</x:v>
      </x:c>
      <x:c r="M256" s="13" t="n">
        <x:v>0.03340595497458242</x:v>
      </x:c>
      <x:c r="N256" s="13" t="n">
        <x:v>0.005259203606311044</x:v>
      </x:c>
      <x:c r="O256" s="13" t="n">
        <x:v>0.13582010569741515</x:v>
      </x:c>
      <x:c r="P256" s="13" t="n">
        <x:v>0.2747878273475471</x:v>
      </x:c>
      <x:c r="Q256" s="13" t="n">
        <x:v>377548.8938235294</x:v>
      </x:c>
      <x:c r="R256" s="13" t="n">
        <x:v>1.2136841248215604</x:v>
      </x:c>
      <x:c r="S256" s="13" t="n">
        <x:v>-0.004784263709686443</x:v>
      </x:c>
      <x:c r="T256" s="13" t="n">
        <x:v>34</x:v>
      </x:c>
      <x:c r="U256" s="13" t="n">
        <x:v>639</x:v>
      </x:c>
      <x:c r="V256" s="13" t="n">
        <x:v>599</x:v>
      </x:c>
      <x:c r="W256" s="13" t="n">
        <x:v>40</x:v>
      </x:c>
      <x:c r="X256" s="13" t="n">
        <x:v>30</x:v>
      </x:c>
      <x:c r="Y256" s="13" t="n">
        <x:v>44749893.25</x:v>
      </x:c>
      <x:c r="Z256" s="13" t="n">
        <x:v>48408237.33</x:v>
      </x:c>
      <x:c r="AA256" s="13" t="n">
        <x:v>20</x:v>
      </x:c>
      <x:c r="AB256" s="13" t="n">
        <x:v>0.06259780907668232</x:v>
      </x:c>
      <x:c r="AC256" s="13" t="n">
        <x:v>0.05008347245409015</x:v>
      </x:c>
      <x:c r="AD256" s="13" t="n">
        <x:v>0.4325440419001592</x:v>
      </x:c>
      <x:c r="AE256" s="13" t="n">
        <x:v>0.6149836893885514</x:v>
      </x:c>
      <x:c r="AF256" s="13" t="n">
        <x:v>1243052.590277778</x:v>
      </x:c>
      <x:c r="AG256" s="13" t="n">
        <x:v>1.0282100211920093</x:v>
      </x:c>
      <x:c r="AH256" s="13" t="n">
        <x:v>-0.005055976372632044</x:v>
      </x:c>
      <x:c r="AI256" s="13" t="n">
        <x:v>34</x:v>
      </x:c>
      <x:c r="AJ256" s="13" t="n">
        <x:v>31913230.86</x:v>
      </x:c>
      <x:c r="AK256" s="13" t="n">
        <x:v>0.2773196709990597</x:v>
      </x:c>
      <x:c r="AL256" s="13" t="n">
        <x:v>0.04265873015873016</x:v>
      </x:c>
      <x:c r="AM256" s="13" t="n">
        <x:v>0.01917098445595855</x:v>
      </x:c>
      <x:c r="AN256" s="13" t="n">
        <x:v>0.2841820737987872</x:v>
      </x:c>
      <x:c r="AO256" s="13" t="n">
        <x:v>1.1209470730067848</x:v>
      </x:c>
      <x:c r="AP256" s="13" t="n">
        <x:v>-0.004920120041159244</x:v>
      </x:c>
    </x:row>
    <x:row r="257" ht="15" hidden="0" customHeight="1">
      <x:c r="A257" s="2" t="str">
        <x:v>E256</x:v>
      </x:c>
      <x:c r="B257" s="2" t="str">
        <x:v>***物资有限公司</x:v>
      </x:c>
      <x:c r="C257" s="2" t="str">
        <x:v>无信贷记录</x:v>
      </x:c>
      <x:c r="D257" s="2" t="str"/>
      <x:c r="E257" s="2" t="str"/>
      <x:c r="F257" s="13" t="n">
        <x:v>280</x:v>
      </x:c>
      <x:c r="G257" s="13" t="n">
        <x:v>270</x:v>
      </x:c>
      <x:c r="H257" s="13" t="n">
        <x:v>10</x:v>
      </x:c>
      <x:c r="I257" s="13" t="n">
        <x:v>3</x:v>
      </x:c>
      <x:c r="J257" s="13" t="n">
        <x:v>11913715.21</x:v>
      </x:c>
      <x:c r="K257" s="13" t="n">
        <x:v>11938511.21</x:v>
      </x:c>
      <x:c r="L257" s="13" t="n">
        <x:v>54</x:v>
      </x:c>
      <x:c r="M257" s="13" t="n">
        <x:v>0.03571428571428571</x:v>
      </x:c>
      <x:c r="N257" s="13" t="n">
        <x:v>0.011111111111111112</x:v>
      </x:c>
      <x:c r="O257" s="13" t="n">
        <x:v>0.07795080897220497</x:v>
      </x:c>
      <x:c r="P257" s="13" t="n">
        <x:v>0.19036436453620417</x:v>
      </x:c>
      <x:c r="Q257" s="13" t="n">
        <x:v>321992.302972973</x:v>
      </x:c>
      <x:c r="R257" s="13" t="n">
        <x:v>0.8171288126280136</x:v>
      </x:c>
      <x:c r="S257" s="13" t="n">
        <x:v>-0.029514063312916696</x:v>
      </x:c>
      <x:c r="T257" s="13" t="n">
        <x:v>37</x:v>
      </x:c>
      <x:c r="U257" s="13" t="n">
        <x:v>919</x:v>
      </x:c>
      <x:c r="V257" s="13" t="n">
        <x:v>892</x:v>
      </x:c>
      <x:c r="W257" s="13" t="n">
        <x:v>27</x:v>
      </x:c>
      <x:c r="X257" s="13" t="n">
        <x:v>8</x:v>
      </x:c>
      <x:c r="Y257" s="13" t="n">
        <x:v>34629280.089999996</x:v>
      </x:c>
      <x:c r="Z257" s="13" t="n">
        <x:v>34879167.25</x:v>
      </x:c>
      <x:c r="AA257" s="13" t="n">
        <x:v>212</x:v>
      </x:c>
      <x:c r="AB257" s="13" t="n">
        <x:v>0.029379760609358</x:v>
      </x:c>
      <x:c r="AC257" s="13" t="n">
        <x:v>0.008968609865470852</x:v>
      </x:c>
      <x:c r="AD257" s="13" t="n">
        <x:v>0.043404697835833825</x:v>
      </x:c>
      <x:c r="AE257" s="13" t="n">
        <x:v>0.11666322366110962</x:v>
      </x:c>
      <x:c r="AF257" s="13" t="n">
        <x:v>935926.4889189188</x:v>
      </x:c>
      <x:c r="AG257" s="13" t="n">
        <x:v>0.26846195373827336</x:v>
      </x:c>
      <x:c r="AH257" s="13" t="n">
        <x:v>-0.0034098436947442934</x:v>
      </x:c>
      <x:c r="AI257" s="13" t="n">
        <x:v>37</x:v>
      </x:c>
      <x:c r="AJ257" s="13" t="n">
        <x:v>22715564.879999995</x:v>
      </x:c>
      <x:c r="AK257" s="13" t="n">
        <x:v>0.34228200244660373</x:v>
      </x:c>
      <x:c r="AL257" s="13" t="n">
        <x:v>0.030859049207673062</x:v>
      </x:c>
      <x:c r="AM257" s="13" t="n">
        <x:v>0.00946643717728055</x:v>
      </x:c>
      <x:c r="AN257" s="13" t="n">
        <x:v>0.060677753404019395</x:v>
      </x:c>
      <x:c r="AO257" s="13" t="n">
        <x:v>0.5427953831831435</x:v>
      </x:c>
      <x:c r="AP257" s="13" t="n">
        <x:v>-0.016461953503830496</x:v>
      </x:c>
    </x:row>
    <x:row r="258" ht="15" hidden="0" customHeight="1">
      <x:c r="A258" s="2" t="str">
        <x:v>E257</x:v>
      </x:c>
      <x:c r="B258" s="2" t="str">
        <x:v>***门窗安装有限公司</x:v>
      </x:c>
      <x:c r="C258" s="2" t="str">
        <x:v>无信贷记录</x:v>
      </x:c>
      <x:c r="D258" s="2" t="str"/>
      <x:c r="E258" s="2" t="str"/>
      <x:c r="F258" s="13" t="n">
        <x:v>352</x:v>
      </x:c>
      <x:c r="G258" s="13" t="n">
        <x:v>337</x:v>
      </x:c>
      <x:c r="H258" s="13" t="n">
        <x:v>15</x:v>
      </x:c>
      <x:c r="I258" s="13" t="n">
        <x:v>2</x:v>
      </x:c>
      <x:c r="J258" s="13" t="n">
        <x:v>17434981.259999998</x:v>
      </x:c>
      <x:c r="K258" s="13" t="n">
        <x:v>17645799.98</x:v>
      </x:c>
      <x:c r="L258" s="13" t="n">
        <x:v>98</x:v>
      </x:c>
      <x:c r="M258" s="13" t="n">
        <x:v>0.04261363636363636</x:v>
      </x:c>
      <x:c r="N258" s="13" t="n">
        <x:v>0.005934718100890208</x:v>
      </x:c>
      <x:c r="O258" s="13" t="n">
        <x:v>0.05425333403517039</x:v>
      </x:c>
      <x:c r="P258" s="13" t="n">
        <x:v>0.1335518362823469</x:v>
      </x:c>
      <x:c r="Q258" s="13" t="n">
        <x:v>581166.0419999999</x:v>
      </x:c>
      <x:c r="R258" s="13" t="n">
        <x:v>1.039133316892047</x:v>
      </x:c>
      <x:c r="S258" s="13" t="n">
        <x:v>-0.004488797576374746</x:v>
      </x:c>
      <x:c r="T258" s="13" t="n">
        <x:v>29</x:v>
      </x:c>
      <x:c r="U258" s="13" t="n">
        <x:v>361</x:v>
      </x:c>
      <x:c r="V258" s="13" t="n">
        <x:v>317</x:v>
      </x:c>
      <x:c r="W258" s="13" t="n">
        <x:v>44</x:v>
      </x:c>
      <x:c r="X258" s="13" t="n">
        <x:v>11</x:v>
      </x:c>
      <x:c r="Y258" s="13" t="n">
        <x:v>26519808.48</x:v>
      </x:c>
      <x:c r="Z258" s="13" t="n">
        <x:v>28286808.48</x:v>
      </x:c>
      <x:c r="AA258" s="13" t="n">
        <x:v>42</x:v>
      </x:c>
      <x:c r="AB258" s="13" t="n">
        <x:v>0.12188365650969529</x:v>
      </x:c>
      <x:c r="AC258" s="13" t="n">
        <x:v>0.03470031545741325</x:v>
      </x:c>
      <x:c r="AD258" s="13" t="n">
        <x:v>0.10196357003068082</x:v>
      </x:c>
      <x:c r="AE258" s="13" t="n">
        <x:v>0.19956933225575402</x:v>
      </x:c>
      <x:c r="AF258" s="13" t="n">
        <x:v>883993.616</x:v>
      </x:c>
      <x:c r="AG258" s="13" t="n">
        <x:v>0.867991765966913</x:v>
      </x:c>
      <x:c r="AH258" s="13" t="n">
        <x:v>-0.015481536206494267</x:v>
      </x:c>
      <x:c r="AI258" s="13" t="n">
        <x:v>30</x:v>
      </x:c>
      <x:c r="AJ258" s="13" t="n">
        <x:v>9084827.220000003</x:v>
      </x:c>
      <x:c r="AK258" s="13" t="n">
        <x:v>0.6238172819134525</x:v>
      </x:c>
      <x:c r="AL258" s="13" t="n">
        <x:v>0.08274894810659186</x:v>
      </x:c>
      <x:c r="AM258" s="13" t="n">
        <x:v>0.019877675840978593</x:v>
      </x:c>
      <x:c r="AN258" s="13" t="n">
        <x:v>0.0781084520329256</x:v>
      </x:c>
      <x:c r="AO258" s="13" t="n">
        <x:v>0.9535625414294799</x:v>
      </x:c>
      <x:c r="AP258" s="13" t="n">
        <x:v>-0.009985166891434506</x:v>
      </x:c>
    </x:row>
    <x:row r="259" ht="15" hidden="0" customHeight="1">
      <x:c r="A259" s="2" t="str">
        <x:v>E258</x:v>
      </x:c>
      <x:c r="B259" s="2" t="str">
        <x:v>***国际货运有限公司</x:v>
      </x:c>
      <x:c r="C259" s="2" t="str">
        <x:v>无信贷记录</x:v>
      </x:c>
      <x:c r="D259" s="2" t="str"/>
      <x:c r="E259" s="2" t="str"/>
      <x:c r="F259" s="13" t="n">
        <x:v>2318</x:v>
      </x:c>
      <x:c r="G259" s="13" t="n">
        <x:v>2233</x:v>
      </x:c>
      <x:c r="H259" s="13" t="n">
        <x:v>85</x:v>
      </x:c>
      <x:c r="I259" s="13" t="n">
        <x:v>23</x:v>
      </x:c>
      <x:c r="J259" s="13" t="n">
        <x:v>15662959.58</x:v>
      </x:c>
      <x:c r="K259" s="13" t="n">
        <x:v>16185939.64</x:v>
      </x:c>
      <x:c r="L259" s="13" t="n">
        <x:v>249</x:v>
      </x:c>
      <x:c r="M259" s="13" t="n">
        <x:v>0.036669542709232096</x:v>
      </x:c>
      <x:c r="N259" s="13" t="n">
        <x:v>0.010300044782803403</x:v>
      </x:c>
      <x:c r="O259" s="13" t="n">
        <x:v>0.07182820468176025</x:v>
      </x:c>
      <x:c r="P259" s="13" t="n">
        <x:v>0.18775249182876602</x:v>
      </x:c>
      <x:c r="Q259" s="13" t="n">
        <x:v>412183.14684210526</x:v>
      </x:c>
      <x:c r="R259" s="13" t="n">
        <x:v>0.635819070309672</x:v>
      </x:c>
      <x:c r="S259" s="13" t="n">
        <x:v>-0.0189935464782212</x:v>
      </x:c>
      <x:c r="T259" s="13" t="n">
        <x:v>38</x:v>
      </x:c>
      <x:c r="U259" s="13" t="n">
        <x:v>2495</x:v>
      </x:c>
      <x:c r="V259" s="13" t="n">
        <x:v>2380</x:v>
      </x:c>
      <x:c r="W259" s="13" t="n">
        <x:v>115</x:v>
      </x:c>
      <x:c r="X259" s="13" t="n">
        <x:v>52</x:v>
      </x:c>
      <x:c r="Y259" s="13" t="n">
        <x:v>71523803.33000001</x:v>
      </x:c>
      <x:c r="Z259" s="13" t="n">
        <x:v>73359595.28999999</x:v>
      </x:c>
      <x:c r="AA259" s="13" t="n">
        <x:v>196</x:v>
      </x:c>
      <x:c r="AB259" s="13" t="n">
        <x:v>0.04609218436873747</x:v>
      </x:c>
      <x:c r="AC259" s="13" t="n">
        <x:v>0.021848739495798318</x:v>
      </x:c>
      <x:c r="AD259" s="13" t="n">
        <x:v>0.16062630170144424</x:v>
      </x:c>
      <x:c r="AE259" s="13" t="n">
        <x:v>0.36278589112701737</x:v>
      </x:c>
      <x:c r="AF259" s="13" t="n">
        <x:v>1882205.3507894736</x:v>
      </x:c>
      <x:c r="AG259" s="13" t="n">
        <x:v>0.8473911760632898</x:v>
      </x:c>
      <x:c r="AH259" s="13" t="n">
        <x:v>-0.05863018125877804</x:v>
      </x:c>
      <x:c r="AI259" s="13" t="n">
        <x:v>38</x:v>
      </x:c>
      <x:c r="AJ259" s="13" t="n">
        <x:v>55860843.750000015</x:v>
      </x:c>
      <x:c r="AK259" s="13" t="n">
        <x:v>0.220638344254966</x:v>
      </x:c>
      <x:c r="AL259" s="13" t="n">
        <x:v>0.0415541242468315</x:v>
      </x:c>
      <x:c r="AM259" s="13" t="n">
        <x:v>0.016258400173422935</x:v>
      </x:c>
      <x:c r="AN259" s="13" t="n">
        <x:v>0.11622725319160224</x:v>
      </x:c>
      <x:c r="AO259" s="13" t="n">
        <x:v>0.7416051231864809</x:v>
      </x:c>
      <x:c r="AP259" s="13" t="n">
        <x:v>-0.03881186386849962</x:v>
      </x:c>
    </x:row>
    <x:row r="260" ht="15" hidden="0" customHeight="1">
      <x:c r="A260" s="2" t="str">
        <x:v>E259</x:v>
      </x:c>
      <x:c r="B260" s="2" t="str">
        <x:v>***文化传媒有限公司</x:v>
      </x:c>
      <x:c r="C260" s="2" t="str">
        <x:v>无信贷记录</x:v>
      </x:c>
      <x:c r="D260" s="2" t="str"/>
      <x:c r="E260" s="2" t="str"/>
      <x:c r="F260" s="13" t="n">
        <x:v>2462</x:v>
      </x:c>
      <x:c r="G260" s="13" t="n">
        <x:v>2321</x:v>
      </x:c>
      <x:c r="H260" s="13" t="n">
        <x:v>141</x:v>
      </x:c>
      <x:c r="I260" s="13" t="n">
        <x:v>22</x:v>
      </x:c>
      <x:c r="J260" s="13" t="n">
        <x:v>19761380.98</x:v>
      </x:c>
      <x:c r="K260" s="13" t="n">
        <x:v>20067901.02</x:v>
      </x:c>
      <x:c r="L260" s="13" t="n">
        <x:v>524</x:v>
      </x:c>
      <x:c r="M260" s="13" t="n">
        <x:v>0.05727051177904143</x:v>
      </x:c>
      <x:c r="N260" s="13" t="n">
        <x:v>0.009478672985781991</x:v>
      </x:c>
      <x:c r="O260" s="13" t="n">
        <x:v>0.0157003597311806</x:v>
      </x:c>
      <x:c r="P260" s="13" t="n">
        <x:v>0.05760443201548141</x:v>
      </x:c>
      <x:c r="Q260" s="13" t="n">
        <x:v>534091.3778378379</x:v>
      </x:c>
      <x:c r="R260" s="13" t="n">
        <x:v>0.7092935208945041</x:v>
      </x:c>
      <x:c r="S260" s="13" t="n">
        <x:v>0.029496000672047447</x:v>
      </x:c>
      <x:c r="T260" s="13" t="n">
        <x:v>37</x:v>
      </x:c>
      <x:c r="U260" s="13" t="n">
        <x:v>818</x:v>
      </x:c>
      <x:c r="V260" s="13" t="n">
        <x:v>707</x:v>
      </x:c>
      <x:c r="W260" s="13" t="n">
        <x:v>111</x:v>
      </x:c>
      <x:c r="X260" s="13" t="n">
        <x:v>16</x:v>
      </x:c>
      <x:c r="Y260" s="13" t="n">
        <x:v>33629160.56</x:v>
      </x:c>
      <x:c r="Z260" s="13" t="n">
        <x:v>35398428.56</x:v>
      </x:c>
      <x:c r="AA260" s="13" t="n">
        <x:v>223</x:v>
      </x:c>
      <x:c r="AB260" s="13" t="n">
        <x:v>0.1356968215158924</x:v>
      </x:c>
      <x:c r="AC260" s="13" t="n">
        <x:v>0.02263083451202263</x:v>
      </x:c>
      <x:c r="AD260" s="13" t="n">
        <x:v>0.014588396062433649</x:v>
      </x:c>
      <x:c r="AE260" s="13" t="n">
        <x:v>0.05729067878147639</x:v>
      </x:c>
      <x:c r="AF260" s="13" t="n">
        <x:v>908896.2313513514</x:v>
      </x:c>
      <x:c r="AG260" s="13" t="n">
        <x:v>0.5384811327662453</x:v>
      </x:c>
      <x:c r="AH260" s="13" t="n">
        <x:v>0.010174340132108753</x:v>
      </x:c>
      <x:c r="AI260" s="13" t="n">
        <x:v>37</x:v>
      </x:c>
      <x:c r="AJ260" s="13" t="n">
        <x:v>13867779.580000002</x:v>
      </x:c>
      <x:c r="AK260" s="13" t="n">
        <x:v>0.5669150252244982</x:v>
      </x:c>
      <x:c r="AL260" s="13" t="n">
        <x:v>0.07682926829268293</x:v>
      </x:c>
      <x:c r="AM260" s="13" t="n">
        <x:v>0.012549537648612946</x:v>
      </x:c>
      <x:c r="AN260" s="13" t="n">
        <x:v>0.015144377896807124</x:v>
      </x:c>
      <x:c r="AO260" s="13" t="n">
        <x:v>0.6238873268303747</x:v>
      </x:c>
      <x:c r="AP260" s="13" t="n">
        <x:v>0.0198351704020781</x:v>
      </x:c>
    </x:row>
    <x:row r="261" ht="15" hidden="0" customHeight="1">
      <x:c r="A261" s="2" t="str">
        <x:v>E260</x:v>
      </x:c>
      <x:c r="B261" s="2" t="str">
        <x:v>***广告有限公司</x:v>
      </x:c>
      <x:c r="C261" s="2" t="str">
        <x:v>无信贷记录</x:v>
      </x:c>
      <x:c r="D261" s="2" t="str"/>
      <x:c r="E261" s="2" t="str"/>
      <x:c r="F261" s="13" t="n">
        <x:v>1365</x:v>
      </x:c>
      <x:c r="G261" s="13" t="n">
        <x:v>1343</x:v>
      </x:c>
      <x:c r="H261" s="13" t="n">
        <x:v>22</x:v>
      </x:c>
      <x:c r="I261" s="13" t="n">
        <x:v>9</x:v>
      </x:c>
      <x:c r="J261" s="13" t="n">
        <x:v>20332238.69</x:v>
      </x:c>
      <x:c r="K261" s="13" t="n">
        <x:v>20468442.590000004</x:v>
      </x:c>
      <x:c r="L261" s="13" t="n">
        <x:v>259</x:v>
      </x:c>
      <x:c r="M261" s="13" t="n">
        <x:v>0.01611721611721612</x:v>
      </x:c>
      <x:c r="N261" s="13" t="n">
        <x:v>0.006701414743112435</x:v>
      </x:c>
      <x:c r="O261" s="13" t="n">
        <x:v>0.04307938959465804</x:v>
      </x:c>
      <x:c r="P261" s="13" t="n">
        <x:v>0.1159492222998682</x:v>
      </x:c>
      <x:c r="Q261" s="13" t="n">
        <x:v>549519.9645945948</x:v>
      </x:c>
      <x:c r="R261" s="13" t="n">
        <x:v>0.7511756906075079</x:v>
      </x:c>
      <x:c r="S261" s="13" t="n">
        <x:v>0.045872099667403646</x:v>
      </x:c>
      <x:c r="T261" s="13" t="n">
        <x:v>37</x:v>
      </x:c>
      <x:c r="U261" s="13" t="n">
        <x:v>1588</x:v>
      </x:c>
      <x:c r="V261" s="13" t="n">
        <x:v>1405</x:v>
      </x:c>
      <x:c r="W261" s="13" t="n">
        <x:v>183</x:v>
      </x:c>
      <x:c r="X261" s="13" t="n">
        <x:v>24</x:v>
      </x:c>
      <x:c r="Y261" s="13" t="n">
        <x:v>25312742.11</x:v>
      </x:c>
      <x:c r="Z261" s="13" t="n">
        <x:v>26227514.31</x:v>
      </x:c>
      <x:c r="AA261" s="13" t="n">
        <x:v>309</x:v>
      </x:c>
      <x:c r="AB261" s="13" t="n">
        <x:v>0.11523929471032746</x:v>
      </x:c>
      <x:c r="AC261" s="13" t="n">
        <x:v>0.01708185053380783</x:v>
      </x:c>
      <x:c r="AD261" s="13" t="n">
        <x:v>0.04436310838214136</x:v>
      </x:c>
      <x:c r="AE261" s="13" t="n">
        <x:v>0.1195366412898928</x:v>
      </x:c>
      <x:c r="AF261" s="13" t="n">
        <x:v>684128.1651351351</x:v>
      </x:c>
      <x:c r="AG261" s="13" t="n">
        <x:v>0.9428450143508993</x:v>
      </x:c>
      <x:c r="AH261" s="13" t="n">
        <x:v>0.05509426477748876</x:v>
      </x:c>
      <x:c r="AI261" s="13" t="n">
        <x:v>37</x:v>
      </x:c>
      <x:c r="AJ261" s="13" t="n">
        <x:v>4980503.419999998</x:v>
      </x:c>
      <x:c r="AK261" s="13" t="n">
        <x:v>0.7804186987783214</x:v>
      </x:c>
      <x:c r="AL261" s="13" t="n">
        <x:v>0.06942092786996275</x:v>
      </x:c>
      <x:c r="AM261" s="13" t="n">
        <x:v>0.012008733624454149</x:v>
      </x:c>
      <x:c r="AN261" s="13" t="n">
        <x:v>0.0437212489883997</x:v>
      </x:c>
      <x:c r="AO261" s="13" t="n">
        <x:v>0.8470103524792036</x:v>
      </x:c>
      <x:c r="AP261" s="13" t="n">
        <x:v>0.0504831822224462</x:v>
      </x:c>
    </x:row>
    <x:row r="262" ht="15" hidden="0" customHeight="1">
      <x:c r="A262" s="2" t="str">
        <x:v>E261</x:v>
      </x:c>
      <x:c r="B262" s="2" t="str">
        <x:v>***医疗器械有限公司</x:v>
      </x:c>
      <x:c r="C262" s="2" t="str">
        <x:v>无信贷记录</x:v>
      </x:c>
      <x:c r="D262" s="2" t="str"/>
      <x:c r="E262" s="2" t="str"/>
      <x:c r="F262" s="13" t="n">
        <x:v>1386</x:v>
      </x:c>
      <x:c r="G262" s="13" t="n">
        <x:v>1338</x:v>
      </x:c>
      <x:c r="H262" s="13" t="n">
        <x:v>48</x:v>
      </x:c>
      <x:c r="I262" s="13" t="n">
        <x:v>9</x:v>
      </x:c>
      <x:c r="J262" s="13" t="n">
        <x:v>9843435.94</x:v>
      </x:c>
      <x:c r="K262" s="13" t="n">
        <x:v>9851897</x:v>
      </x:c>
      <x:c r="L262" s="13" t="n">
        <x:v>461</x:v>
      </x:c>
      <x:c r="M262" s="13" t="n">
        <x:v>0.03463203463203463</x:v>
      </x:c>
      <x:c r="N262" s="13" t="n">
        <x:v>0.006726457399103139</x:v>
      </x:c>
      <x:c r="O262" s="13" t="n">
        <x:v>0.5563957163228096</x:v>
      </x:c>
      <x:c r="P262" s="13" t="n">
        <x:v>0.7437449863716602</x:v>
      </x:c>
      <x:c r="Q262" s="13" t="n">
        <x:v>266038.8091891891</x:v>
      </x:c>
      <x:c r="R262" s="13" t="n">
        <x:v>0.6823125256556007</x:v>
      </x:c>
      <x:c r="S262" s="13" t="n">
        <x:v>0.04572722011637564</x:v>
      </x:c>
      <x:c r="T262" s="13" t="n">
        <x:v>37</x:v>
      </x:c>
      <x:c r="U262" s="13" t="n">
        <x:v>1548</x:v>
      </x:c>
      <x:c r="V262" s="13" t="n">
        <x:v>1367</x:v>
      </x:c>
      <x:c r="W262" s="13" t="n">
        <x:v>181</x:v>
      </x:c>
      <x:c r="X262" s="13" t="n">
        <x:v>24</x:v>
      </x:c>
      <x:c r="Y262" s="13" t="n">
        <x:v>18385636.41</x:v>
      </x:c>
      <x:c r="Z262" s="13" t="n">
        <x:v>18909020.41</x:v>
      </x:c>
      <x:c r="AA262" s="13" t="n">
        <x:v>140</x:v>
      </x:c>
      <x:c r="AB262" s="13" t="n">
        <x:v>0.11692506459948321</x:v>
      </x:c>
      <x:c r="AC262" s="13" t="n">
        <x:v>0.01755669348939283</x:v>
      </x:c>
      <x:c r="AD262" s="13" t="n">
        <x:v>0.05169264676594363</x:v>
      </x:c>
      <x:c r="AE262" s="13" t="n">
        <x:v>0.1379083603199728</x:v>
      </x:c>
      <x:c r="AF262" s="13" t="n">
        <x:v>496909.0921621622</x:v>
      </x:c>
      <x:c r="AG262" s="13" t="n">
        <x:v>0.624188710074008</x:v>
      </x:c>
      <x:c r="AH262" s="13" t="n">
        <x:v>0.054785590930266574</x:v>
      </x:c>
      <x:c r="AI262" s="13" t="n">
        <x:v>37</x:v>
      </x:c>
      <x:c r="AJ262" s="13" t="n">
        <x:v>8542200.47</x:v>
      </x:c>
      <x:c r="AK262" s="13" t="n">
        <x:v>0.5210157261657956</x:v>
      </x:c>
      <x:c r="AL262" s="13" t="n">
        <x:v>0.07805044308111793</x:v>
      </x:c>
      <x:c r="AM262" s="13" t="n">
        <x:v>0.012199630314232901</x:v>
      </x:c>
      <x:c r="AN262" s="13" t="n">
        <x:v>0.3040441815443766</x:v>
      </x:c>
      <x:c r="AO262" s="13" t="n">
        <x:v>0.6532506178648043</x:v>
      </x:c>
      <x:c r="AP262" s="13" t="n">
        <x:v>0.050256405523321106</x:v>
      </x:c>
    </x:row>
    <x:row r="263" ht="15" hidden="0" customHeight="1">
      <x:c r="A263" s="2" t="str">
        <x:v>E262</x:v>
      </x:c>
      <x:c r="B263" s="2" t="str">
        <x:v>个体经营E262 </x:v>
      </x:c>
      <x:c r="C263" s="2" t="str">
        <x:v>无信贷记录</x:v>
      </x:c>
      <x:c r="D263" s="2" t="str"/>
      <x:c r="E263" s="2" t="str"/>
      <x:c r="F263" s="13" t="n">
        <x:v>329</x:v>
      </x:c>
      <x:c r="G263" s="13" t="n">
        <x:v>320</x:v>
      </x:c>
      <x:c r="H263" s="13" t="n">
        <x:v>9</x:v>
      </x:c>
      <x:c r="I263" s="13" t="n">
        <x:v>0</x:v>
      </x:c>
      <x:c r="J263" s="13" t="n">
        <x:v>18858875.21</x:v>
      </x:c>
      <x:c r="K263" s="13" t="n">
        <x:v>18858875.21</x:v>
      </x:c>
      <x:c r="L263" s="13" t="n">
        <x:v>42</x:v>
      </x:c>
      <x:c r="M263" s="13" t="n">
        <x:v>0.02735562310030395</x:v>
      </x:c>
      <x:c r="N263" s="13" t="n">
        <x:v>0</x:v>
      </x:c>
      <x:c r="O263" s="13" t="n">
        <x:v>0.0936796199646626</x:v>
      </x:c>
      <x:c r="P263" s="13" t="n">
        <x:v>0.16608253965958555</x:v>
      </x:c>
      <x:c r="Q263" s="13" t="n">
        <x:v>523857.64472222223</x:v>
      </x:c>
      <x:c r="R263" s="13" t="n">
        <x:v>1.1353930430525336</x:v>
      </x:c>
      <x:c r="S263" s="13" t="n">
        <x:v>0.0175893432588444</x:v>
      </x:c>
      <x:c r="T263" s="13" t="n">
        <x:v>32</x:v>
      </x:c>
      <x:c r="U263" s="13" t="n">
        <x:v>692</x:v>
      </x:c>
      <x:c r="V263" s="13" t="n">
        <x:v>656</x:v>
      </x:c>
      <x:c r="W263" s="13" t="n">
        <x:v>36</x:v>
      </x:c>
      <x:c r="X263" s="13" t="n">
        <x:v>9</x:v>
      </x:c>
      <x:c r="Y263" s="13" t="n">
        <x:v>28266974.63</x:v>
      </x:c>
      <x:c r="Z263" s="13" t="n">
        <x:v>28494667.029999997</x:v>
      </x:c>
      <x:c r="AA263" s="13" t="n">
        <x:v>202</x:v>
      </x:c>
      <x:c r="AB263" s="13" t="n">
        <x:v>0.05202312138728324</x:v>
      </x:c>
      <x:c r="AC263" s="13" t="n">
        <x:v>0.013719512195121951</x:v>
      </x:c>
      <x:c r="AD263" s="13" t="n">
        <x:v>0.23350272728768742</x:v>
      </x:c>
      <x:c r="AE263" s="13" t="n">
        <x:v>0.4166350295478431</x:v>
      </x:c>
      <x:c r="AF263" s="13" t="n">
        <x:v>785193.7397222222</x:v>
      </x:c>
      <x:c r="AG263" s="13" t="n">
        <x:v>1.2395492469611513</x:v>
      </x:c>
      <x:c r="AH263" s="13" t="n">
        <x:v>0.021112106560273094</x:v>
      </x:c>
      <x:c r="AI263" s="13" t="n">
        <x:v>30</x:v>
      </x:c>
      <x:c r="AJ263" s="13" t="n">
        <x:v>9408099.419999998</x:v>
      </x:c>
      <x:c r="AK263" s="13" t="n">
        <x:v>0.6618387640797782</x:v>
      </x:c>
      <x:c r="AL263" s="13" t="n">
        <x:v>0.04407443682664055</x:v>
      </x:c>
      <x:c r="AM263" s="13" t="n">
        <x:v>0.009221311475409836</x:v>
      </x:c>
      <x:c r="AN263" s="13" t="n">
        <x:v>0.163591173626175</x:v>
      </x:c>
      <x:c r="AO263" s="13" t="n">
        <x:v>1.1874711450068425</x:v>
      </x:c>
      <x:c r="AP263" s="13" t="n">
        <x:v>0.019350724909558747</x:v>
      </x:c>
    </x:row>
    <x:row r="264" ht="15" hidden="0" customHeight="1">
      <x:c r="A264" s="2" t="str">
        <x:v>E263</x:v>
      </x:c>
      <x:c r="B264" s="2" t="str">
        <x:v>***通信工程有限公司</x:v>
      </x:c>
      <x:c r="C264" s="2" t="str">
        <x:v>无信贷记录</x:v>
      </x:c>
      <x:c r="D264" s="2" t="str"/>
      <x:c r="E264" s="2" t="str"/>
      <x:c r="F264" s="13" t="n">
        <x:v>496</x:v>
      </x:c>
      <x:c r="G264" s="13" t="n">
        <x:v>490</x:v>
      </x:c>
      <x:c r="H264" s="13" t="n">
        <x:v>6</x:v>
      </x:c>
      <x:c r="I264" s="13" t="n">
        <x:v>1</x:v>
      </x:c>
      <x:c r="J264" s="13" t="n">
        <x:v>15049140.91</x:v>
      </x:c>
      <x:c r="K264" s="13" t="n">
        <x:v>15049940.91</x:v>
      </x:c>
      <x:c r="L264" s="13" t="n">
        <x:v>148</x:v>
      </x:c>
      <x:c r="M264" s="13" t="n">
        <x:v>0.012096774193548387</x:v>
      </x:c>
      <x:c r="N264" s="13" t="n">
        <x:v>0.0020408163265306124</x:v>
      </x:c>
      <x:c r="O264" s="13" t="n">
        <x:v>0.2021845847023684</x:v>
      </x:c>
      <x:c r="P264" s="13" t="n">
        <x:v>0.315969516985964</x:v>
      </x:c>
      <x:c r="Q264" s="13" t="n">
        <x:v>406733.5381081081</x:v>
      </x:c>
      <x:c r="R264" s="13" t="n">
        <x:v>2.3456776418938117</x:v>
      </x:c>
      <x:c r="S264" s="13" t="n">
        <x:v>0.08838493291937406</x:v>
      </x:c>
      <x:c r="T264" s="13" t="n">
        <x:v>37</x:v>
      </x:c>
      <x:c r="U264" s="13" t="n">
        <x:v>496</x:v>
      </x:c>
      <x:c r="V264" s="13" t="n">
        <x:v>404</x:v>
      </x:c>
      <x:c r="W264" s="13" t="n">
        <x:v>92</x:v>
      </x:c>
      <x:c r="X264" s="13" t="n">
        <x:v>18</x:v>
      </x:c>
      <x:c r="Y264" s="13" t="n">
        <x:v>28462497.86</x:v>
      </x:c>
      <x:c r="Z264" s="13" t="n">
        <x:v>30134165.020000003</x:v>
      </x:c>
      <x:c r="AA264" s="13" t="n">
        <x:v>17</x:v>
      </x:c>
      <x:c r="AB264" s="13" t="n">
        <x:v>0.18548387096774194</x:v>
      </x:c>
      <x:c r="AC264" s="13" t="n">
        <x:v>0.04455445544554455</x:v>
      </x:c>
      <x:c r="AD264" s="13" t="n">
        <x:v>0.25852571917236206</x:v>
      </x:c>
      <x:c r="AE264" s="13" t="n">
        <x:v>0.42008753657512155</x:v>
      </x:c>
      <x:c r="AF264" s="13" t="n">
        <x:v>769256.6989189188</x:v>
      </x:c>
      <x:c r="AG264" s="13" t="n">
        <x:v>1.0825861442891926</x:v>
      </x:c>
      <x:c r="AH264" s="13" t="n">
        <x:v>0.025889817247312805</x:v>
      </x:c>
      <x:c r="AI264" s="13" t="n">
        <x:v>36</x:v>
      </x:c>
      <x:c r="AJ264" s="13" t="n">
        <x:v>13413356.95</x:v>
      </x:c>
      <x:c r="AK264" s="13" t="n">
        <x:v>0.4994311572931049</x:v>
      </x:c>
      <x:c r="AL264" s="13" t="n">
        <x:v>0.09879032258064516</x:v>
      </x:c>
      <x:c r="AM264" s="13" t="n">
        <x:v>0.021252796420581657</x:v>
      </x:c>
      <x:c r="AN264" s="13" t="n">
        <x:v>0.23035515193736522</x:v>
      </x:c>
      <x:c r="AO264" s="13" t="n">
        <x:v>1.7141318930915022</x:v>
      </x:c>
      <x:c r="AP264" s="13" t="n">
        <x:v>0.057137375083343434</x:v>
      </x:c>
    </x:row>
    <x:row r="265" ht="15" hidden="0" customHeight="1">
      <x:c r="A265" s="2" t="str">
        <x:v>E264</x:v>
      </x:c>
      <x:c r="B265" s="2" t="str">
        <x:v>个体经营E264 </x:v>
      </x:c>
      <x:c r="C265" s="2" t="str">
        <x:v>无信贷记录</x:v>
      </x:c>
      <x:c r="D265" s="2" t="str"/>
      <x:c r="E265" s="2" t="str"/>
      <x:c r="F265" s="13" t="n">
        <x:v>1610</x:v>
      </x:c>
      <x:c r="G265" s="13" t="n">
        <x:v>1502</x:v>
      </x:c>
      <x:c r="H265" s="13" t="n">
        <x:v>108</x:v>
      </x:c>
      <x:c r="I265" s="13" t="n">
        <x:v>11</x:v>
      </x:c>
      <x:c r="J265" s="13" t="n">
        <x:v>27083599.909999996</x:v>
      </x:c>
      <x:c r="K265" s="13" t="n">
        <x:v>28038108.709999997</x:v>
      </x:c>
      <x:c r="L265" s="13" t="n">
        <x:v>1610</x:v>
      </x:c>
      <x:c r="M265" s="13" t="n">
        <x:v>0.0670807453416149</x:v>
      </x:c>
      <x:c r="N265" s="13" t="n">
        <x:v>0.007323568575233023</x:v>
      </x:c>
      <x:c r="O265" s="13" t="n">
        <x:v>0.006783244727106819</x:v>
      </x:c>
      <x:c r="P265" s="13" t="n">
        <x:v>0.0362458577542194</x:v>
      </x:c>
      <x:c r="Q265" s="13" t="n">
        <x:v>1083343.9964</x:v>
      </x:c>
      <x:c r="R265" s="13" t="n">
        <x:v>0.9519155462044642</x:v>
      </x:c>
      <x:c r="S265" s="13" t="n">
        <x:v>-0.04062738983692099</x:v>
      </x:c>
      <x:c r="T265" s="13" t="n">
        <x:v>25</x:v>
      </x:c>
      <x:c r="U265" s="13" t="n">
        <x:v>423</x:v>
      </x:c>
      <x:c r="V265" s="13" t="n">
        <x:v>24</x:v>
      </x:c>
      <x:c r="W265" s="13" t="n">
        <x:v>399</x:v>
      </x:c>
      <x:c r="X265" s="13" t="n">
        <x:v>0</x:v>
      </x:c>
      <x:c r="Y265" s="13" t="n">
        <x:v>1365389.73</x:v>
      </x:c>
      <x:c r="Z265" s="13" t="n">
        <x:v>1365389.73</x:v>
      </x:c>
      <x:c r="AA265" s="13" t="n">
        <x:v>15</x:v>
      </x:c>
      <x:c r="AB265" s="13" t="n">
        <x:v>0.9432624113475178</x:v>
      </x:c>
      <x:c r="AC265" s="13" t="n">
        <x:v>0</x:v>
      </x:c>
      <x:c r="AD265" s="13" t="n">
        <x:v>0.531394471510877</x:v>
      </x:c>
      <x:c r="AE265" s="13" t="n">
        <x:v>0.6995627028775147</x:v>
      </x:c>
      <x:c r="AF265" s="13" t="n">
        <x:v>62063.16954545455</x:v>
      </x:c>
      <x:c r="AG265" s="13" t="n">
        <x:v>1.2551011355802215</x:v>
      </x:c>
      <x:c r="AH265" s="13" t="n">
        <x:v>-0.10204008299261</x:v>
      </x:c>
      <x:c r="AI265" s="13" t="n">
        <x:v>13</x:v>
      </x:c>
      <x:c r="AJ265" s="13" t="n">
        <x:v>-25718210.179999996</x:v>
      </x:c>
      <x:c r="AK265" s="13" t="n">
        <x:v>20.534875936118237</x:v>
      </x:c>
      <x:c r="AL265" s="13" t="n">
        <x:v>0.24938514510575505</x:v>
      </x:c>
      <x:c r="AM265" s="13" t="n">
        <x:v>0.007208387942332897</x:v>
      </x:c>
      <x:c r="AN265" s="13" t="n">
        <x:v>0.2690888581189919</x:v>
      </x:c>
      <x:c r="AO265" s="13" t="n">
        <x:v>1.103508340892343</x:v>
      </x:c>
      <x:c r="AP265" s="13" t="n">
        <x:v>-0.0713337364147655</x:v>
      </x:c>
    </x:row>
    <x:row r="266" ht="15" hidden="0" customHeight="1">
      <x:c r="A266" s="2" t="str">
        <x:v>E265</x:v>
      </x:c>
      <x:c r="B266" s="2" t="str">
        <x:v>***净化工程有限公司</x:v>
      </x:c>
      <x:c r="C266" s="2" t="str">
        <x:v>无信贷记录</x:v>
      </x:c>
      <x:c r="D266" s="2" t="str"/>
      <x:c r="E266" s="2" t="str"/>
      <x:c r="F266" s="13" t="n">
        <x:v>2035</x:v>
      </x:c>
      <x:c r="G266" s="13" t="n">
        <x:v>1968</x:v>
      </x:c>
      <x:c r="H266" s="13" t="n">
        <x:v>67</x:v>
      </x:c>
      <x:c r="I266" s="13" t="n">
        <x:v>13</x:v>
      </x:c>
      <x:c r="J266" s="13" t="n">
        <x:v>23719602.21</x:v>
      </x:c>
      <x:c r="K266" s="13" t="n">
        <x:v>23936426.65</x:v>
      </x:c>
      <x:c r="L266" s="13" t="n">
        <x:v>481</x:v>
      </x:c>
      <x:c r="M266" s="13" t="n">
        <x:v>0.03292383292383293</x:v>
      </x:c>
      <x:c r="N266" s="13" t="n">
        <x:v>0.0066056910569105695</x:v>
      </x:c>
      <x:c r="O266" s="13" t="n">
        <x:v>0.11457571249390124</x:v>
      </x:c>
      <x:c r="P266" s="13" t="n">
        <x:v>0.2960090365033663</x:v>
      </x:c>
      <x:c r="Q266" s="13" t="n">
        <x:v>718775.8245454546</x:v>
      </x:c>
      <x:c r="R266" s="13" t="n">
        <x:v>0.9028208113564212</x:v>
      </x:c>
      <x:c r="S266" s="13" t="n">
        <x:v>0.003859272227602145</x:v>
      </x:c>
      <x:c r="T266" s="13" t="n">
        <x:v>33</x:v>
      </x:c>
      <x:c r="U266" s="13" t="n">
        <x:v>475</x:v>
      </x:c>
      <x:c r="V266" s="13" t="n">
        <x:v>401</x:v>
      </x:c>
      <x:c r="W266" s="13" t="n">
        <x:v>74</x:v>
      </x:c>
      <x:c r="X266" s="13" t="n">
        <x:v>16</x:v>
      </x:c>
      <x:c r="Y266" s="13" t="n">
        <x:v>26395523.04</x:v>
      </x:c>
      <x:c r="Z266" s="13" t="n">
        <x:v>29165245.6</x:v>
      </x:c>
      <x:c r="AA266" s="13" t="n">
        <x:v>67</x:v>
      </x:c>
      <x:c r="AB266" s="13" t="n">
        <x:v>0.15578947368421053</x:v>
      </x:c>
      <x:c r="AC266" s="13" t="n">
        <x:v>0.0399002493765586</x:v>
      </x:c>
      <x:c r="AD266" s="13" t="n">
        <x:v>0.0942524166157002</x:v>
      </x:c>
      <x:c r="AE266" s="13" t="n">
        <x:v>0.1934795028779048</x:v>
      </x:c>
      <x:c r="AF266" s="13" t="n">
        <x:v>799864.3345454545</x:v>
      </x:c>
      <x:c r="AG266" s="13" t="n">
        <x:v>0.9842343693706057</x:v>
      </x:c>
      <x:c r="AH266" s="13" t="n">
        <x:v>0.015646503011493024</x:v>
      </x:c>
      <x:c r="AI266" s="13" t="n">
        <x:v>32</x:v>
      </x:c>
      <x:c r="AJ266" s="13" t="n">
        <x:v>2675920.829999998</x:v>
      </x:c>
      <x:c r="AK266" s="13" t="n">
        <x:v>0.8207174723740368</x:v>
      </x:c>
      <x:c r="AL266" s="13" t="n">
        <x:v>0.05617529880478088</x:v>
      </x:c>
      <x:c r="AM266" s="13" t="n">
        <x:v>0.012241452089489235</x:v>
      </x:c>
      <x:c r="AN266" s="13" t="n">
        <x:v>0.10441406455480072</x:v>
      </x:c>
      <x:c r="AO266" s="13" t="n">
        <x:v>0.9435275903635134</x:v>
      </x:c>
      <x:c r="AP266" s="13" t="n">
        <x:v>0.009752887619547585</x:v>
      </x:c>
    </x:row>
    <x:row r="267" ht="15" hidden="0" customHeight="1">
      <x:c r="A267" s="2" t="str">
        <x:v>E266</x:v>
      </x:c>
      <x:c r="B267" s="2" t="str">
        <x:v>***煤矿机械有限公司</x:v>
      </x:c>
      <x:c r="C267" s="2" t="str">
        <x:v>无信贷记录</x:v>
      </x:c>
      <x:c r="D267" s="2" t="str"/>
      <x:c r="E267" s="2" t="str"/>
      <x:c r="F267" s="13" t="n">
        <x:v>295</x:v>
      </x:c>
      <x:c r="G267" s="13" t="n">
        <x:v>289</x:v>
      </x:c>
      <x:c r="H267" s="13" t="n">
        <x:v>6</x:v>
      </x:c>
      <x:c r="I267" s="13" t="n">
        <x:v>2</x:v>
      </x:c>
      <x:c r="J267" s="13" t="n">
        <x:v>1331567.42</x:v>
      </x:c>
      <x:c r="K267" s="13" t="n">
        <x:v>1339925.3199999998</x:v>
      </x:c>
      <x:c r="L267" s="13" t="n">
        <x:v>83</x:v>
      </x:c>
      <x:c r="M267" s="13" t="n">
        <x:v>0.020338983050847456</x:v>
      </x:c>
      <x:c r="N267" s="13" t="n">
        <x:v>0.006920415224913495</x:v>
      </x:c>
      <x:c r="O267" s="13" t="n">
        <x:v>0.31328194477904486</x:v>
      </x:c>
      <x:c r="P267" s="13" t="n">
        <x:v>0.5227903298371882</x:v>
      </x:c>
      <x:c r="Q267" s="13" t="n">
        <x:v>36987.983888888884</x:v>
      </x:c>
      <x:c r="R267" s="13" t="n">
        <x:v>1.84155626783704</x:v>
      </x:c>
      <x:c r="S267" s="13" t="n">
        <x:v>-0.018907645607841736</x:v>
      </x:c>
      <x:c r="T267" s="13" t="n">
        <x:v>34</x:v>
      </x:c>
      <x:c r="U267" s="13" t="n">
        <x:v>484</x:v>
      </x:c>
      <x:c r="V267" s="13" t="n">
        <x:v>450</x:v>
      </x:c>
      <x:c r="W267" s="13" t="n">
        <x:v>34</x:v>
      </x:c>
      <x:c r="X267" s="13" t="n">
        <x:v>9</x:v>
      </x:c>
      <x:c r="Y267" s="13" t="n">
        <x:v>30456385.44</x:v>
      </x:c>
      <x:c r="Z267" s="13" t="n">
        <x:v>32043545.44</x:v>
      </x:c>
      <x:c r="AA267" s="13" t="n">
        <x:v>16</x:v>
      </x:c>
      <x:c r="AB267" s="13" t="n">
        <x:v>0.07024793388429752</x:v>
      </x:c>
      <x:c r="AC267" s="13" t="n">
        <x:v>0.02</x:v>
      </x:c>
      <x:c r="AD267" s="13" t="n">
        <x:v>0.6746791494077339</x:v>
      </x:c>
      <x:c r="AE267" s="13" t="n">
        <x:v>0.8173630583120642</x:v>
      </x:c>
      <x:c r="AF267" s="13" t="n">
        <x:v>895776.0423529411</x:v>
      </x:c>
      <x:c r="AG267" s="13" t="n">
        <x:v>0.8809529281821771</x:v>
      </x:c>
      <x:c r="AH267" s="13" t="n">
        <x:v>-0.026546854409978515</x:v>
      </x:c>
      <x:c r="AI267" s="13" t="n">
        <x:v>28</x:v>
      </x:c>
      <x:c r="AJ267" s="13" t="n">
        <x:v>29124818.020000003</x:v>
      </x:c>
      <x:c r="AK267" s="13" t="n">
        <x:v>0.04181576356801545</x:v>
      </x:c>
      <x:c r="AL267" s="13" t="n">
        <x:v>0.051347881899871634</x:v>
      </x:c>
      <x:c r="AM267" s="13" t="n">
        <x:v>0.014884979702300407</x:v>
      </x:c>
      <x:c r="AN267" s="13" t="n">
        <x:v>0.49398054709338934</x:v>
      </x:c>
      <x:c r="AO267" s="13" t="n">
        <x:v>1.3612545980096087</x:v>
      </x:c>
      <x:c r="AP267" s="13" t="n">
        <x:v>-0.022727250008910127</x:v>
      </x:c>
    </x:row>
    <x:row r="268" ht="15" hidden="0" customHeight="1">
      <x:c r="A268" s="2" t="str">
        <x:v>E267</x:v>
      </x:c>
      <x:c r="B268" s="2" t="str">
        <x:v>***林园艺场</x:v>
      </x:c>
      <x:c r="C268" s="2" t="str">
        <x:v>无信贷记录</x:v>
      </x:c>
      <x:c r="D268" s="2" t="str"/>
      <x:c r="E268" s="2" t="str"/>
      <x:c r="F268" s="13" t="n">
        <x:v>192</x:v>
      </x:c>
      <x:c r="G268" s="13" t="n">
        <x:v>189</x:v>
      </x:c>
      <x:c r="H268" s="13" t="n">
        <x:v>3</x:v>
      </x:c>
      <x:c r="I268" s="13" t="n">
        <x:v>0</x:v>
      </x:c>
      <x:c r="J268" s="13" t="n">
        <x:v>1041604</x:v>
      </x:c>
      <x:c r="K268" s="13" t="n">
        <x:v>1041604</x:v>
      </x:c>
      <x:c r="L268" s="13" t="n">
        <x:v>42</x:v>
      </x:c>
      <x:c r="M268" s="13" t="n">
        <x:v>0.015625</x:v>
      </x:c>
      <x:c r="N268" s="13" t="n">
        <x:v>0</x:v>
      </x:c>
      <x:c r="O268" s="13" t="n">
        <x:v>0.33774625549362186</x:v>
      </x:c>
      <x:c r="P268" s="13" t="n">
        <x:v>0.5241915353627674</x:v>
      </x:c>
      <x:c r="Q268" s="13" t="n">
        <x:v>54821.26315789474</x:v>
      </x:c>
      <x:c r="R268" s="13" t="n">
        <x:v>2.9350919729645946</x:v>
      </x:c>
      <x:c r="S268" s="13" t="n">
        <x:v>-0.08806043371569067</x:v>
      </x:c>
      <x:c r="T268" s="13" t="n">
        <x:v>19</x:v>
      </x:c>
      <x:c r="U268" s="13" t="n">
        <x:v>227</x:v>
      </x:c>
      <x:c r="V268" s="13" t="n">
        <x:v>202</x:v>
      </x:c>
      <x:c r="W268" s="13" t="n">
        <x:v>25</x:v>
      </x:c>
      <x:c r="X268" s="13" t="n">
        <x:v>5</x:v>
      </x:c>
      <x:c r="Y268" s="13" t="n">
        <x:v>17736414.67</x:v>
      </x:c>
      <x:c r="Z268" s="13" t="n">
        <x:v>18339334.669999998</x:v>
      </x:c>
      <x:c r="AA268" s="13" t="n">
        <x:v>11</x:v>
      </x:c>
      <x:c r="AB268" s="13" t="n">
        <x:v>0.11013215859030837</x:v>
      </x:c>
      <x:c r="AC268" s="13" t="n">
        <x:v>0.024752475247524754</x:v>
      </x:c>
      <x:c r="AD268" s="13" t="n">
        <x:v>0.17594711901254065</x:v>
      </x:c>
      <x:c r="AE268" s="13" t="n">
        <x:v>0.292307507140334</x:v>
      </x:c>
      <x:c r="AF268" s="13" t="n">
        <x:v>985356.3705555554</x:v>
      </x:c>
      <x:c r="AG268" s="13" t="n">
        <x:v>1.115195813299179</x:v>
      </x:c>
      <x:c r="AH268" s="13" t="n">
        <x:v>-0.04573456401367567</x:v>
      </x:c>
      <x:c r="AI268" s="13" t="n">
        <x:v>14</x:v>
      </x:c>
      <x:c r="AJ268" s="13" t="n">
        <x:v>16694810.670000002</x:v>
      </x:c>
      <x:c r="AK268" s="13" t="n">
        <x:v>0.05679617165740943</x:v>
      </x:c>
      <x:c r="AL268" s="13" t="n">
        <x:v>0.06682577565632458</x:v>
      </x:c>
      <x:c r="AM268" s="13" t="n">
        <x:v>0.01278772378516624</x:v>
      </x:c>
      <x:c r="AN268" s="13" t="n">
        <x:v>0.25684668725308124</x:v>
      </x:c>
      <x:c r="AO268" s="13" t="n">
        <x:v>2.0251438931318866</x:v>
      </x:c>
      <x:c r="AP268" s="13" t="n">
        <x:v>-0.06689749886468317</x:v>
      </x:c>
    </x:row>
    <x:row r="269" ht="15" hidden="0" customHeight="1">
      <x:c r="A269" s="2" t="str">
        <x:v>E268</x:v>
      </x:c>
      <x:c r="B269" s="2" t="str">
        <x:v>***建筑劳务有限公司</x:v>
      </x:c>
      <x:c r="C269" s="2" t="str">
        <x:v>无信贷记录</x:v>
      </x:c>
      <x:c r="D269" s="2" t="str"/>
      <x:c r="E269" s="2" t="str"/>
      <x:c r="F269" s="13" t="n">
        <x:v>47</x:v>
      </x:c>
      <x:c r="G269" s="13" t="n">
        <x:v>42</x:v>
      </x:c>
      <x:c r="H269" s="13" t="n">
        <x:v>5</x:v>
      </x:c>
      <x:c r="I269" s="13" t="n">
        <x:v>0</x:v>
      </x:c>
      <x:c r="J269" s="13" t="n">
        <x:v>6029728</x:v>
      </x:c>
      <x:c r="K269" s="13" t="n">
        <x:v>6029728</x:v>
      </x:c>
      <x:c r="L269" s="13" t="n">
        <x:v>20</x:v>
      </x:c>
      <x:c r="M269" s="13" t="n">
        <x:v>0.10638297872340426</x:v>
      </x:c>
      <x:c r="N269" s="13" t="n">
        <x:v>0</x:v>
      </x:c>
      <x:c r="O269" s="13" t="n">
        <x:v>0.17858676259021358</x:v>
      </x:c>
      <x:c r="P269" s="13" t="n">
        <x:v>0.323397672332815</x:v>
      </x:c>
      <x:c r="Q269" s="13" t="n">
        <x:v>223323.25925925927</x:v>
      </x:c>
      <x:c r="R269" s="13" t="n">
        <x:v>1.9885069752845104</x:v>
      </x:c>
      <x:c r="S269" s="13" t="n">
        <x:v>0.08484682380876332</x:v>
      </x:c>
      <x:c r="T269" s="13" t="n">
        <x:v>12</x:v>
      </x:c>
      <x:c r="U269" s="13" t="n">
        <x:v>360</x:v>
      </x:c>
      <x:c r="V269" s="13" t="n">
        <x:v>342</x:v>
      </x:c>
      <x:c r="W269" s="13" t="n">
        <x:v>18</x:v>
      </x:c>
      <x:c r="X269" s="13" t="n">
        <x:v>9</x:v>
      </x:c>
      <x:c r="Y269" s="13" t="n">
        <x:v>27065832.92</x:v>
      </x:c>
      <x:c r="Z269" s="13" t="n">
        <x:v>28815438.52</x:v>
      </x:c>
      <x:c r="AA269" s="13" t="n">
        <x:v>11</x:v>
      </x:c>
      <x:c r="AB269" s="13" t="n">
        <x:v>0.05</x:v>
      </x:c>
      <x:c r="AC269" s="13" t="n">
        <x:v>0.02631578947368421</x:v>
      </x:c>
      <x:c r="AD269" s="13" t="n">
        <x:v>0.2958875821016277</x:v>
      </x:c>
      <x:c r="AE269" s="13" t="n">
        <x:v>0.4313659808221444</x:v>
      </x:c>
      <x:c r="AF269" s="13" t="n">
        <x:v>731508.9978378379</x:v>
      </x:c>
      <x:c r="AG269" s="13" t="n">
        <x:v>1.3001783179753916</x:v>
      </x:c>
      <x:c r="AH269" s="13" t="n">
        <x:v>0.006801318636812493</x:v>
      </x:c>
      <x:c r="AI269" s="13" t="n">
        <x:v>20</x:v>
      </x:c>
      <x:c r="AJ269" s="13" t="n">
        <x:v>21036104.92</x:v>
      </x:c>
      <x:c r="AK269" s="13" t="n">
        <x:v>0.20925338324505915</x:v>
      </x:c>
      <x:c r="AL269" s="13" t="n">
        <x:v>0.056511056511056514</x:v>
      </x:c>
      <x:c r="AM269" s="13" t="n">
        <x:v>0.0234375</x:v>
      </x:c>
      <x:c r="AN269" s="13" t="n">
        <x:v>0.23723717234592062</x:v>
      </x:c>
      <x:c r="AO269" s="13" t="n">
        <x:v>1.6443426466299509</x:v>
      </x:c>
      <x:c r="AP269" s="13" t="n">
        <x:v>0.04582407122278791</x:v>
      </x:c>
    </x:row>
    <x:row r="270" ht="15" hidden="0" customHeight="1">
      <x:c r="A270" s="2" t="str">
        <x:v>E269</x:v>
      </x:c>
      <x:c r="B270" s="2" t="str">
        <x:v>***节能服务有限公司</x:v>
      </x:c>
      <x:c r="C270" s="2" t="str">
        <x:v>无信贷记录</x:v>
      </x:c>
      <x:c r="D270" s="2" t="str"/>
      <x:c r="E270" s="2" t="str"/>
      <x:c r="F270" s="13" t="n">
        <x:v>170</x:v>
      </x:c>
      <x:c r="G270" s="13" t="n">
        <x:v>169</x:v>
      </x:c>
      <x:c r="H270" s="13" t="n">
        <x:v>1</x:v>
      </x:c>
      <x:c r="I270" s="13" t="n">
        <x:v>0</x:v>
      </x:c>
      <x:c r="J270" s="13" t="n">
        <x:v>1035305.25</x:v>
      </x:c>
      <x:c r="K270" s="13" t="n">
        <x:v>1035305.25</x:v>
      </x:c>
      <x:c r="L270" s="13" t="n">
        <x:v>69</x:v>
      </x:c>
      <x:c r="M270" s="13" t="n">
        <x:v>0.0058823529411764705</x:v>
      </x:c>
      <x:c r="N270" s="13" t="n">
        <x:v>0</x:v>
      </x:c>
      <x:c r="O270" s="13" t="n">
        <x:v>0.16642673823946302</x:v>
      </x:c>
      <x:c r="P270" s="13" t="n">
        <x:v>0.309087585521275</x:v>
      </x:c>
      <x:c r="Q270" s="13" t="n">
        <x:v>32353.2890625</x:v>
      </x:c>
      <x:c r="R270" s="13" t="n">
        <x:v>1.9802331067565617</x:v>
      </x:c>
      <x:c r="S270" s="13" t="n">
        <x:v>-0.08620967360426472</x:v>
      </x:c>
      <x:c r="T270" s="13" t="n">
        <x:v>30</x:v>
      </x:c>
      <x:c r="U270" s="13" t="n">
        <x:v>223</x:v>
      </x:c>
      <x:c r="V270" s="13" t="n">
        <x:v>194</x:v>
      </x:c>
      <x:c r="W270" s="13" t="n">
        <x:v>29</x:v>
      </x:c>
      <x:c r="X270" s="13" t="n">
        <x:v>9</x:v>
      </x:c>
      <x:c r="Y270" s="13" t="n">
        <x:v>34536444.730000004</x:v>
      </x:c>
      <x:c r="Z270" s="13" t="n">
        <x:v>35605824.93</x:v>
      </x:c>
      <x:c r="AA270" s="13" t="n">
        <x:v>21</x:v>
      </x:c>
      <x:c r="AB270" s="13" t="n">
        <x:v>0.13004484304932734</x:v>
      </x:c>
      <x:c r="AC270" s="13" t="n">
        <x:v>0.04639175257731959</x:v>
      </x:c>
      <x:c r="AD270" s="13" t="n">
        <x:v>0.7179872104368</x:v>
      </x:c>
      <x:c r="AE270" s="13" t="n">
        <x:v>0.8434785473737372</x:v>
      </x:c>
      <x:c r="AF270" s="13" t="n">
        <x:v>959345.6869444443</x:v>
      </x:c>
      <x:c r="AG270" s="13" t="n">
        <x:v>1.775627688552449</x:v>
      </x:c>
      <x:c r="AH270" s="13" t="n">
        <x:v>-0.04995711515611562</x:v>
      </x:c>
      <x:c r="AI270" s="13" t="n">
        <x:v>35</x:v>
      </x:c>
      <x:c r="AJ270" s="13" t="n">
        <x:v>33501139.480000004</x:v>
      </x:c>
      <x:c r="AK270" s="13" t="n">
        <x:v>0.029076850544408943</x:v>
      </x:c>
      <x:c r="AL270" s="13" t="n">
        <x:v>0.07633587786259542</x:v>
      </x:c>
      <x:c r="AM270" s="13" t="n">
        <x:v>0.024793388429752067</x:v>
      </x:c>
      <x:c r="AN270" s="13" t="n">
        <x:v>0.4422069743381315</x:v>
      </x:c>
      <x:c r="AO270" s="13" t="n">
        <x:v>1.8779303976545054</x:v>
      </x:c>
      <x:c r="AP270" s="13" t="n">
        <x:v>-0.06808339438019018</x:v>
      </x:c>
    </x:row>
    <x:row r="271" ht="15" hidden="0" customHeight="1">
      <x:c r="A271" s="2" t="str">
        <x:v>E270</x:v>
      </x:c>
      <x:c r="B271" s="2" t="str">
        <x:v>个体经营E270 </x:v>
      </x:c>
      <x:c r="C271" s="2" t="str">
        <x:v>无信贷记录</x:v>
      </x:c>
      <x:c r="D271" s="2" t="str"/>
      <x:c r="E271" s="2" t="str"/>
      <x:c r="F271" s="13" t="n">
        <x:v>561</x:v>
      </x:c>
      <x:c r="G271" s="13" t="n">
        <x:v>548</x:v>
      </x:c>
      <x:c r="H271" s="13" t="n">
        <x:v>13</x:v>
      </x:c>
      <x:c r="I271" s="13" t="n">
        <x:v>4</x:v>
      </x:c>
      <x:c r="J271" s="13" t="n">
        <x:v>6742372.370000001</x:v>
      </x:c>
      <x:c r="K271" s="13" t="n">
        <x:v>6806372.370000001</x:v>
      </x:c>
      <x:c r="L271" s="13" t="n">
        <x:v>90</x:v>
      </x:c>
      <x:c r="M271" s="13" t="n">
        <x:v>0.023172905525846704</x:v>
      </x:c>
      <x:c r="N271" s="13" t="n">
        <x:v>0.0072992700729927005</x:v>
      </x:c>
      <x:c r="O271" s="13" t="n">
        <x:v>0.2614042595235331</x:v>
      </x:c>
      <x:c r="P271" s="13" t="n">
        <x:v>0.48905243778191937</x:v>
      </x:c>
      <x:c r="Q271" s="13" t="n">
        <x:v>187288.12138888886</x:v>
      </x:c>
      <x:c r="R271" s="13" t="n">
        <x:v>0.9375116791408015</x:v>
      </x:c>
      <x:c r="S271" s="13" t="n">
        <x:v>-0.010782880516020978</x:v>
      </x:c>
      <x:c r="T271" s="13" t="n">
        <x:v>36</x:v>
      </x:c>
      <x:c r="U271" s="13" t="n">
        <x:v>415</x:v>
      </x:c>
      <x:c r="V271" s="13" t="n">
        <x:v>335</x:v>
      </x:c>
      <x:c r="W271" s="13" t="n">
        <x:v>80</x:v>
      </x:c>
      <x:c r="X271" s="13" t="n">
        <x:v>10</x:v>
      </x:c>
      <x:c r="Y271" s="13" t="n">
        <x:v>23111924.82</x:v>
      </x:c>
      <x:c r="Z271" s="13" t="n">
        <x:v>24033827.08</x:v>
      </x:c>
      <x:c r="AA271" s="13" t="n">
        <x:v>40</x:v>
      </x:c>
      <x:c r="AB271" s="13" t="n">
        <x:v>0.1927710843373494</x:v>
      </x:c>
      <x:c r="AC271" s="13" t="n">
        <x:v>0.029850746268656716</x:v>
      </x:c>
      <x:c r="AD271" s="13" t="n">
        <x:v>0.3356253959196852</x:v>
      </x:c>
      <x:c r="AE271" s="13" t="n">
        <x:v>0.5577926072854145</x:v>
      </x:c>
      <x:c r="AF271" s="13" t="n">
        <x:v>660340.7091428571</x:v>
      </x:c>
      <x:c r="AG271" s="13" t="n">
        <x:v>0.7682138444266713</x:v>
      </x:c>
      <x:c r="AH271" s="13" t="n">
        <x:v>0.02423643932264274</x:v>
      </x:c>
      <x:c r="AI271" s="13" t="n">
        <x:v>32</x:v>
      </x:c>
      <x:c r="AJ271" s="13" t="n">
        <x:v>16369552.45</x:v>
      </x:c>
      <x:c r="AK271" s="13" t="n">
        <x:v>0.2831996896434357</x:v>
      </x:c>
      <x:c r="AL271" s="13" t="n">
        <x:v>0.09528688524590163</x:v>
      </x:c>
      <x:c r="AM271" s="13" t="n">
        <x:v>0.015855039637599093</x:v>
      </x:c>
      <x:c r="AN271" s="13" t="n">
        <x:v>0.29851482772160914</x:v>
      </x:c>
      <x:c r="AO271" s="13" t="n">
        <x:v>0.8528627617837363</x:v>
      </x:c>
      <x:c r="AP271" s="13" t="n">
        <x:v>0.006726779403310882</x:v>
      </x:c>
    </x:row>
    <x:row r="272" ht="15" hidden="0" customHeight="1">
      <x:c r="A272" s="2" t="str">
        <x:v>E271</x:v>
      </x:c>
      <x:c r="B272" s="2" t="str">
        <x:v>***科技有限公司</x:v>
      </x:c>
      <x:c r="C272" s="2" t="str">
        <x:v>无信贷记录</x:v>
      </x:c>
      <x:c r="D272" s="2" t="str"/>
      <x:c r="E272" s="2" t="str"/>
      <x:c r="F272" s="13" t="n">
        <x:v>1698</x:v>
      </x:c>
      <x:c r="G272" s="13" t="n">
        <x:v>1638</x:v>
      </x:c>
      <x:c r="H272" s="13" t="n">
        <x:v>60</x:v>
      </x:c>
      <x:c r="I272" s="13" t="n">
        <x:v>8</x:v>
      </x:c>
      <x:c r="J272" s="13" t="n">
        <x:v>30113470.369999997</x:v>
      </x:c>
      <x:c r="K272" s="13" t="n">
        <x:v>31150016.369999997</x:v>
      </x:c>
      <x:c r="L272" s="13" t="n">
        <x:v>510</x:v>
      </x:c>
      <x:c r="M272" s="13" t="n">
        <x:v>0.0353356890459364</x:v>
      </x:c>
      <x:c r="N272" s="13" t="n">
        <x:v>0.004884004884004884</x:v>
      </x:c>
      <x:c r="O272" s="13" t="n">
        <x:v>0.04760136962054235</x:v>
      </x:c>
      <x:c r="P272" s="13" t="n">
        <x:v>0.10229015491204378</x:v>
      </x:c>
      <x:c r="Q272" s="13" t="n">
        <x:v>813877.5775675677</x:v>
      </x:c>
      <x:c r="R272" s="13" t="n">
        <x:v>1.2431616953754814</x:v>
      </x:c>
      <x:c r="S272" s="13" t="n">
        <x:v>-0.03398235479461694</x:v>
      </x:c>
      <x:c r="T272" s="13" t="n">
        <x:v>37</x:v>
      </x:c>
      <x:c r="U272" s="13" t="n">
        <x:v>557</x:v>
      </x:c>
      <x:c r="V272" s="13" t="n">
        <x:v>440</x:v>
      </x:c>
      <x:c r="W272" s="13" t="n">
        <x:v>117</x:v>
      </x:c>
      <x:c r="X272" s="13" t="n">
        <x:v>15</x:v>
      </x:c>
      <x:c r="Y272" s="13" t="n">
        <x:v>35017134.71</x:v>
      </x:c>
      <x:c r="Z272" s="13" t="n">
        <x:v>40371382.71</x:v>
      </x:c>
      <x:c r="AA272" s="13" t="n">
        <x:v>99</x:v>
      </x:c>
      <x:c r="AB272" s="13" t="n">
        <x:v>0.21005385996409337</x:v>
      </x:c>
      <x:c r="AC272" s="13" t="n">
        <x:v>0.03409090909090909</x:v>
      </x:c>
      <x:c r="AD272" s="13" t="n">
        <x:v>0.06363883729818448</x:v>
      </x:c>
      <x:c r="AE272" s="13" t="n">
        <x:v>0.12429596568554092</x:v>
      </x:c>
      <x:c r="AF272" s="13" t="n">
        <x:v>946409.0462162163</x:v>
      </x:c>
      <x:c r="AG272" s="13" t="n">
        <x:v>1.2725771358825502</x:v>
      </x:c>
      <x:c r="AH272" s="13" t="n">
        <x:v>-0.025217466154756184</x:v>
      </x:c>
      <x:c r="AI272" s="13" t="n">
        <x:v>37</x:v>
      </x:c>
      <x:c r="AJ272" s="13" t="n">
        <x:v>4903664.340000004</x:v>
      </x:c>
      <x:c r="AK272" s="13" t="n">
        <x:v>0.7715865615443518</x:v>
      </x:c>
      <x:c r="AL272" s="13" t="n">
        <x:v>0.07849223946784922</x:v>
      </x:c>
      <x:c r="AM272" s="13" t="n">
        <x:v>0.011068334937439845</x:v>
      </x:c>
      <x:c r="AN272" s="13" t="n">
        <x:v>0.05562010345936341</x:v>
      </x:c>
      <x:c r="AO272" s="13" t="n">
        <x:v>1.2578694156290158</x:v>
      </x:c>
      <x:c r="AP272" s="13" t="n">
        <x:v>-0.02959991047468656</x:v>
      </x:c>
    </x:row>
    <x:row r="273" ht="15" hidden="0" customHeight="1">
      <x:c r="A273" s="2" t="str">
        <x:v>E272</x:v>
      </x:c>
      <x:c r="B273" s="2" t="str">
        <x:v>个体经营E272 </x:v>
      </x:c>
      <x:c r="C273" s="2" t="str">
        <x:v>无信贷记录</x:v>
      </x:c>
      <x:c r="D273" s="2" t="str"/>
      <x:c r="E273" s="2" t="str"/>
      <x:c r="F273" s="13" t="n">
        <x:v>1206</x:v>
      </x:c>
      <x:c r="G273" s="13" t="n">
        <x:v>1168</x:v>
      </x:c>
      <x:c r="H273" s="13" t="n">
        <x:v>38</x:v>
      </x:c>
      <x:c r="I273" s="13" t="n">
        <x:v>14</x:v>
      </x:c>
      <x:c r="J273" s="13" t="n">
        <x:v>4830779.880000001</x:v>
      </x:c>
      <x:c r="K273" s="13" t="n">
        <x:v>5103959.96</x:v>
      </x:c>
      <x:c r="L273" s="13" t="n">
        <x:v>284</x:v>
      </x:c>
      <x:c r="M273" s="13" t="n">
        <x:v>0.03150912106135987</x:v>
      </x:c>
      <x:c r="N273" s="13" t="n">
        <x:v>0.011986301369863013</x:v>
      </x:c>
      <x:c r="O273" s="13" t="n">
        <x:v>0.08507989074928048</x:v>
      </x:c>
      <x:c r="P273" s="13" t="n">
        <x:v>0.23918327721364024</x:v>
      </x:c>
      <x:c r="Q273" s="13" t="n">
        <x:v>134188.33</x:v>
      </x:c>
      <x:c r="R273" s="13" t="n">
        <x:v>0.7487082923047418</x:v>
      </x:c>
      <x:c r="S273" s="13" t="n">
        <x:v>0.02800069353074352</x:v>
      </x:c>
      <x:c r="T273" s="13" t="n">
        <x:v>36</x:v>
      </x:c>
      <x:c r="U273" s="13" t="n">
        <x:v>595</x:v>
      </x:c>
      <x:c r="V273" s="13" t="n">
        <x:v>542</x:v>
      </x:c>
      <x:c r="W273" s="13" t="n">
        <x:v>53</x:v>
      </x:c>
      <x:c r="X273" s="13" t="n">
        <x:v>33</x:v>
      </x:c>
      <x:c r="Y273" s="13" t="n">
        <x:v>15958046.440000001</x:v>
      </x:c>
      <x:c r="Z273" s="13" t="n">
        <x:v>19241921.44</x:v>
      </x:c>
      <x:c r="AA273" s="13" t="n">
        <x:v>74</x:v>
      </x:c>
      <x:c r="AB273" s="13" t="n">
        <x:v>0.08907563025210084</x:v>
      </x:c>
      <x:c r="AC273" s="13" t="n">
        <x:v>0.06088560885608856</x:v>
      </x:c>
      <x:c r="AD273" s="13" t="n">
        <x:v>0.14945877007335395</x:v>
      </x:c>
      <x:c r="AE273" s="13" t="n">
        <x:v>0.2339534029404082</x:v>
      </x:c>
      <x:c r="AF273" s="13" t="n">
        <x:v>443279.0677777778</x:v>
      </x:c>
      <x:c r="AG273" s="13" t="n">
        <x:v>1.0025324081212035</x:v>
      </x:c>
      <x:c r="AH273" s="13" t="n">
        <x:v>0.04000861890695019</x:v>
      </x:c>
      <x:c r="AI273" s="13" t="n">
        <x:v>36</x:v>
      </x:c>
      <x:c r="AJ273" s="13" t="n">
        <x:v>11127266.56</x:v>
      </x:c>
      <x:c r="AK273" s="13" t="n">
        <x:v>0.26525209428357377</x:v>
      </x:c>
      <x:c r="AL273" s="13" t="n">
        <x:v>0.05052748473070516</x:v>
      </x:c>
      <x:c r="AM273" s="13" t="n">
        <x:v>0.027485380116959064</x:v>
      </x:c>
      <x:c r="AN273" s="13" t="n">
        <x:v>0.11726933041131721</x:v>
      </x:c>
      <x:c r="AO273" s="13" t="n">
        <x:v>0.8756203502129727</x:v>
      </x:c>
      <x:c r="AP273" s="13" t="n">
        <x:v>0.03400465621884685</x:v>
      </x:c>
    </x:row>
    <x:row r="274" ht="15" hidden="0" customHeight="1">
      <x:c r="A274" s="2" t="str">
        <x:v>E273</x:v>
      </x:c>
      <x:c r="B274" s="2" t="str">
        <x:v>个体经营E273 </x:v>
      </x:c>
      <x:c r="C274" s="2" t="str">
        <x:v>无信贷记录</x:v>
      </x:c>
      <x:c r="D274" s="2" t="str"/>
      <x:c r="E274" s="2" t="str"/>
      <x:c r="F274" s="13" t="n">
        <x:v>1546</x:v>
      </x:c>
      <x:c r="G274" s="13" t="n">
        <x:v>1460</x:v>
      </x:c>
      <x:c r="H274" s="13" t="n">
        <x:v>86</x:v>
      </x:c>
      <x:c r="I274" s="13" t="n">
        <x:v>18</x:v>
      </x:c>
      <x:c r="J274" s="13" t="n">
        <x:v>10496619.8</x:v>
      </x:c>
      <x:c r="K274" s="13" t="n">
        <x:v>11691520.22</x:v>
      </x:c>
      <x:c r="L274" s="13" t="n">
        <x:v>325</x:v>
      </x:c>
      <x:c r="M274" s="13" t="n">
        <x:v>0.055627425614489</x:v>
      </x:c>
      <x:c r="N274" s="13" t="n">
        <x:v>0.012328767123287671</x:v>
      </x:c>
      <x:c r="O274" s="13" t="n">
        <x:v>0.38250040974347205</x:v>
      </x:c>
      <x:c r="P274" s="13" t="n">
        <x:v>0.6075097084337934</x:v>
      </x:c>
      <x:c r="Q274" s="13" t="n">
        <x:v>361952.40689655184</x:v>
      </x:c>
      <x:c r="R274" s="13" t="n">
        <x:v>1.2665061812455907</x:v>
      </x:c>
      <x:c r="S274" s="13" t="n">
        <x:v>-0.021891806024204787</x:v>
      </x:c>
      <x:c r="T274" s="13" t="n">
        <x:v>29</x:v>
      </x:c>
      <x:c r="U274" s="13" t="n">
        <x:v>8046</x:v>
      </x:c>
      <x:c r="V274" s="13" t="n">
        <x:v>7961</x:v>
      </x:c>
      <x:c r="W274" s="13" t="n">
        <x:v>85</x:v>
      </x:c>
      <x:c r="X274" s="13" t="n">
        <x:v>13</x:v>
      </x:c>
      <x:c r="Y274" s="13" t="n">
        <x:v>23824472.15</x:v>
      </x:c>
      <x:c r="Z274" s="13" t="n">
        <x:v>23941672.15</x:v>
      </x:c>
      <x:c r="AA274" s="13" t="n">
        <x:v>5133</x:v>
      </x:c>
      <x:c r="AB274" s="13" t="n">
        <x:v>0.010564255530698483</x:v>
      </x:c>
      <x:c r="AC274" s="13" t="n">
        <x:v>0.0016329606833312398</x:v>
      </x:c>
      <x:c r="AD274" s="13" t="n">
        <x:v>0.0009333181021589085</x:v>
      </x:c>
      <x:c r="AE274" s="13" t="n">
        <x:v>0.017542634339347933</x:v>
      </x:c>
      <x:c r="AF274" s="13" t="n">
        <x:v>680699.2042857142</x:v>
      </x:c>
      <x:c r="AG274" s="13" t="n">
        <x:v>0.4940372323941354</x:v>
      </x:c>
      <x:c r="AH274" s="13" t="n">
        <x:v>-0.007807541223169228</x:v>
      </x:c>
      <x:c r="AI274" s="13" t="n">
        <x:v>35</x:v>
      </x:c>
      <x:c r="AJ274" s="13" t="n">
        <x:v>13327852.349999998</x:v>
      </x:c>
      <x:c r="AK274" s="13" t="n">
        <x:v>0.4883334859298874</x:v>
      </x:c>
      <x:c r="AL274" s="13" t="n">
        <x:v>0.017827356130108423</x:v>
      </x:c>
      <x:c r="AM274" s="13" t="n">
        <x:v>0.0032905211760959558</x:v>
      </x:c>
      <x:c r="AN274" s="13" t="n">
        <x:v>0.19171686392281548</x:v>
      </x:c>
      <x:c r="AO274" s="13" t="n">
        <x:v>0.880271706819863</x:v>
      </x:c>
      <x:c r="AP274" s="13" t="n">
        <x:v>-0.014849673623687007</x:v>
      </x:c>
    </x:row>
    <x:row r="275" ht="15" hidden="0" customHeight="1">
      <x:c r="A275" s="2" t="str">
        <x:v>E274</x:v>
      </x:c>
      <x:c r="B275" s="2" t="str">
        <x:v>***建筑劳务有限公司</x:v>
      </x:c>
      <x:c r="C275" s="2" t="str">
        <x:v>无信贷记录</x:v>
      </x:c>
      <x:c r="D275" s="2" t="str"/>
      <x:c r="E275" s="2" t="str"/>
      <x:c r="F275" s="13" t="n">
        <x:v>12</x:v>
      </x:c>
      <x:c r="G275" s="13" t="n">
        <x:v>12</x:v>
      </x:c>
      <x:c r="H275" s="13" t="n">
        <x:v>0</x:v>
      </x:c>
      <x:c r="I275" s="13" t="n">
        <x:v>0</x:v>
      </x:c>
      <x:c r="J275" s="13" t="n">
        <x:v>36788</x:v>
      </x:c>
      <x:c r="K275" s="13" t="n">
        <x:v>36788</x:v>
      </x:c>
      <x:c r="L275" s="13" t="n">
        <x:v>9</x:v>
      </x:c>
      <x:c r="M275" s="13" t="n">
        <x:v>0</x:v>
      </x:c>
      <x:c r="N275" s="13" t="n">
        <x:v>0</x:v>
      </x:c>
      <x:c r="O275" s="13" t="n">
        <x:v>0.48006413894012573</x:v>
      </x:c>
      <x:c r="P275" s="13" t="n">
        <x:v>0.6360769816244427</x:v>
      </x:c>
      <x:c r="Q275" s="13" t="n">
        <x:v>1751.8095238095239</x:v>
      </x:c>
      <x:c r="R275" s="13" t="n">
        <x:v>3.018004952752088</x:v>
      </x:c>
      <x:c r="S275" s="13" t="n">
        <x:v>0.17284984233979478</x:v>
      </x:c>
      <x:c r="T275" s="13" t="n">
        <x:v>7</x:v>
      </x:c>
      <x:c r="U275" s="13" t="n">
        <x:v>154</x:v>
      </x:c>
      <x:c r="V275" s="13" t="n">
        <x:v>136</x:v>
      </x:c>
      <x:c r="W275" s="13" t="n">
        <x:v>18</x:v>
      </x:c>
      <x:c r="X275" s="13" t="n">
        <x:v>2</x:v>
      </x:c>
      <x:c r="Y275" s="13" t="n">
        <x:v>12085701.52</x:v>
      </x:c>
      <x:c r="Z275" s="13" t="n">
        <x:v>12285645.28</x:v>
      </x:c>
      <x:c r="AA275" s="13" t="n">
        <x:v>17</x:v>
      </x:c>
      <x:c r="AB275" s="13" t="n">
        <x:v>0.11688311688311688</x:v>
      </x:c>
      <x:c r="AC275" s="13" t="n">
        <x:v>0.014705882352941176</x:v>
      </x:c>
      <x:c r="AD275" s="13" t="n">
        <x:v>0.14491301736017176</x:v>
      </x:c>
      <x:c r="AE275" s="13" t="n">
        <x:v>0.27180648015583925</x:v>
      </x:c>
      <x:c r="AF275" s="13" t="n">
        <x:v>575509.5961904762</x:v>
      </x:c>
      <x:c r="AG275" s="13" t="n">
        <x:v>1.3849338954881714</x:v>
      </x:c>
      <x:c r="AH275" s="13" t="n">
        <x:v>0.08038144774419485</x:v>
      </x:c>
      <x:c r="AI275" s="13" t="n">
        <x:v>15</x:v>
      </x:c>
      <x:c r="AJ275" s="13" t="n">
        <x:v>12048913.52</x:v>
      </x:c>
      <x:c r="AK275" s="13" t="n">
        <x:v>0.0029943889117397663</x:v>
      </x:c>
      <x:c r="AL275" s="13" t="n">
        <x:v>0.10843373493975904</x:v>
      </x:c>
      <x:c r="AM275" s="13" t="n">
        <x:v>0.013513513513513514</x:v>
      </x:c>
      <x:c r="AN275" s="13" t="n">
        <x:v>0.31248857815014874</x:v>
      </x:c>
      <x:c r="AO275" s="13" t="n">
        <x:v>2.2014694241201296</x:v>
      </x:c>
      <x:c r="AP275" s="13" t="n">
        <x:v>0.12661564504199482</x:v>
      </x:c>
    </x:row>
    <x:row r="276" ht="15" hidden="0" customHeight="1">
      <x:c r="A276" s="2" t="str">
        <x:v>E275</x:v>
      </x:c>
      <x:c r="B276" s="2" t="str">
        <x:v>***网络工程有限公司</x:v>
      </x:c>
      <x:c r="C276" s="2" t="str">
        <x:v>无信贷记录</x:v>
      </x:c>
      <x:c r="D276" s="2" t="str"/>
      <x:c r="E276" s="2" t="str"/>
      <x:c r="F276" s="13" t="n">
        <x:v>379</x:v>
      </x:c>
      <x:c r="G276" s="13" t="n">
        <x:v>364</x:v>
      </x:c>
      <x:c r="H276" s="13" t="n">
        <x:v>15</x:v>
      </x:c>
      <x:c r="I276" s="13" t="n">
        <x:v>6</x:v>
      </x:c>
      <x:c r="J276" s="13" t="n">
        <x:v>1784574.95</x:v>
      </x:c>
      <x:c r="K276" s="13" t="n">
        <x:v>1794097.7500000002</x:v>
      </x:c>
      <x:c r="L276" s="13" t="n">
        <x:v>97</x:v>
      </x:c>
      <x:c r="M276" s="13" t="n">
        <x:v>0.0395778364116095</x:v>
      </x:c>
      <x:c r="N276" s="13" t="n">
        <x:v>0.016483516483516484</x:v>
      </x:c>
      <x:c r="O276" s="13" t="n">
        <x:v>0.1326320828023269</x:v>
      </x:c>
      <x:c r="P276" s="13" t="n">
        <x:v>0.2562234972982938</x:v>
      </x:c>
      <x:c r="Q276" s="13" t="n">
        <x:v>50987.85571428571</x:v>
      </x:c>
      <x:c r="R276" s="13" t="n">
        <x:v>1.628631975482916</x:v>
      </x:c>
      <x:c r="S276" s="13" t="n">
        <x:v>-0.009793118754560778</x:v>
      </x:c>
      <x:c r="T276" s="13" t="n">
        <x:v>34</x:v>
      </x:c>
      <x:c r="U276" s="13" t="n">
        <x:v>441</x:v>
      </x:c>
      <x:c r="V276" s="13" t="n">
        <x:v>357</x:v>
      </x:c>
      <x:c r="W276" s="13" t="n">
        <x:v>84</x:v>
      </x:c>
      <x:c r="X276" s="13" t="n">
        <x:v>24</x:v>
      </x:c>
      <x:c r="Y276" s="13" t="n">
        <x:v>22230844.15</x:v>
      </x:c>
      <x:c r="Z276" s="13" t="n">
        <x:v>26364477.19</x:v>
      </x:c>
      <x:c r="AA276" s="13" t="n">
        <x:v>48</x:v>
      </x:c>
      <x:c r="AB276" s="13" t="n">
        <x:v>0.19047619047619047</x:v>
      </x:c>
      <x:c r="AC276" s="13" t="n">
        <x:v>0.06722689075630252</x:v>
      </x:c>
      <x:c r="AD276" s="13" t="n">
        <x:v>0.07336474795898748</x:v>
      </x:c>
      <x:c r="AE276" s="13" t="n">
        <x:v>0.17661632189566662</x:v>
      </x:c>
      <x:c r="AF276" s="13" t="n">
        <x:v>585022.2144736842</x:v>
      </x:c>
      <x:c r="AG276" s="13" t="n">
        <x:v>1.0415263294637025</x:v>
      </x:c>
      <x:c r="AH276" s="13" t="n">
        <x:v>0.002102152532172081</x:v>
      </x:c>
      <x:c r="AI276" s="13" t="n">
        <x:v>34</x:v>
      </x:c>
      <x:c r="AJ276" s="13" t="n">
        <x:v>20446269.2</x:v>
      </x:c>
      <x:c r="AK276" s="13" t="n">
        <x:v>0.06804981327983618</x:v>
      </x:c>
      <x:c r="AL276" s="13" t="n">
        <x:v>0.12073170731707317</x:v>
      </x:c>
      <x:c r="AM276" s="13" t="n">
        <x:v>0.04160887656033287</x:v>
      </x:c>
      <x:c r="AN276" s="13" t="n">
        <x:v>0.1029984153806572</x:v>
      </x:c>
      <x:c r="AO276" s="13" t="n">
        <x:v>1.3350791524733092</x:v>
      </x:c>
      <x:c r="AP276" s="13" t="n">
        <x:v>-0.0038454831111943487</x:v>
      </x:c>
    </x:row>
    <x:row r="277" ht="15" hidden="0" customHeight="1">
      <x:c r="A277" s="2" t="str">
        <x:v>E276</x:v>
      </x:c>
      <x:c r="B277" s="2" t="str">
        <x:v>***体育设施工程有限公司</x:v>
      </x:c>
      <x:c r="C277" s="2" t="str">
        <x:v>无信贷记录</x:v>
      </x:c>
      <x:c r="D277" s="2" t="str"/>
      <x:c r="E277" s="2" t="str"/>
      <x:c r="F277" s="13" t="n">
        <x:v>1040</x:v>
      </x:c>
      <x:c r="G277" s="13" t="n">
        <x:v>1022</x:v>
      </x:c>
      <x:c r="H277" s="13" t="n">
        <x:v>18</x:v>
      </x:c>
      <x:c r="I277" s="13" t="n">
        <x:v>1</x:v>
      </x:c>
      <x:c r="J277" s="13" t="n">
        <x:v>4290675.12</x:v>
      </x:c>
      <x:c r="K277" s="13" t="n">
        <x:v>4294193.12</x:v>
      </x:c>
      <x:c r="L277" s="13" t="n">
        <x:v>245</x:v>
      </x:c>
      <x:c r="M277" s="13" t="n">
        <x:v>0.01730769230769231</x:v>
      </x:c>
      <x:c r="N277" s="13" t="n">
        <x:v>0.0009784735812133072</x:v>
      </x:c>
      <x:c r="O277" s="13" t="n">
        <x:v>0.21903243602683797</x:v>
      </x:c>
      <x:c r="P277" s="13" t="n">
        <x:v>0.4408744430199264</x:v>
      </x:c>
      <x:c r="Q277" s="13" t="n">
        <x:v>130020.45818181819</x:v>
      </x:c>
      <x:c r="R277" s="13" t="n">
        <x:v>2.15056549077044</x:v>
      </x:c>
      <x:c r="S277" s="13" t="n">
        <x:v>0.06851612864425978</x:v>
      </x:c>
      <x:c r="T277" s="13" t="n">
        <x:v>32</x:v>
      </x:c>
      <x:c r="U277" s="13" t="n">
        <x:v>212</x:v>
      </x:c>
      <x:c r="V277" s="13" t="n">
        <x:v>169</x:v>
      </x:c>
      <x:c r="W277" s="13" t="n">
        <x:v>43</x:v>
      </x:c>
      <x:c r="X277" s="13" t="n">
        <x:v>8</x:v>
      </x:c>
      <x:c r="Y277" s="13" t="n">
        <x:v>13180153.620000001</x:v>
      </x:c>
      <x:c r="Z277" s="13" t="n">
        <x:v>14510913.459999999</x:v>
      </x:c>
      <x:c r="AA277" s="13" t="n">
        <x:v>23</x:v>
      </x:c>
      <x:c r="AB277" s="13" t="n">
        <x:v>0.2028301886792453</x:v>
      </x:c>
      <x:c r="AC277" s="13" t="n">
        <x:v>0.047337278106508875</x:v>
      </x:c>
      <x:c r="AD277" s="13" t="n">
        <x:v>0.15626657711320988</x:v>
      </x:c>
      <x:c r="AE277" s="13" t="n">
        <x:v>0.2899364958379402</x:v>
      </x:c>
      <x:c r="AF277" s="13" t="n">
        <x:v>356220.36810810806</x:v>
      </x:c>
      <x:c r="AG277" s="13" t="n">
        <x:v>1.7590286886905524</x:v>
      </x:c>
      <x:c r="AH277" s="13" t="n">
        <x:v>0.01930926291477146</x:v>
      </x:c>
      <x:c r="AI277" s="13" t="n">
        <x:v>24</x:v>
      </x:c>
      <x:c r="AJ277" s="13" t="n">
        <x:v>8889478.5</x:v>
      </x:c>
      <x:c r="AK277" s="13" t="n">
        <x:v>0.29592851834153244</x:v>
      </x:c>
      <x:c r="AL277" s="13" t="n">
        <x:v>0.048722044728434506</x:v>
      </x:c>
      <x:c r="AM277" s="13" t="n">
        <x:v>0.007556675062972292</x:v>
      </x:c>
      <x:c r="AN277" s="13" t="n">
        <x:v>0.18764950657002394</x:v>
      </x:c>
      <x:c r="AO277" s="13" t="n">
        <x:v>1.9547970897304963</x:v>
      </x:c>
      <x:c r="AP277" s="13" t="n">
        <x:v>0.04391269577951562</x:v>
      </x:c>
    </x:row>
    <x:row r="278" ht="15" hidden="0" customHeight="1">
      <x:c r="A278" s="2" t="str">
        <x:v>E277</x:v>
      </x:c>
      <x:c r="B278" s="2" t="str">
        <x:v>***消防设备制造有限公司</x:v>
      </x:c>
      <x:c r="C278" s="2" t="str">
        <x:v>无信贷记录</x:v>
      </x:c>
      <x:c r="D278" s="2" t="str"/>
      <x:c r="E278" s="2" t="str"/>
      <x:c r="F278" s="13" t="n">
        <x:v>334</x:v>
      </x:c>
      <x:c r="G278" s="13" t="n">
        <x:v>319</x:v>
      </x:c>
      <x:c r="H278" s="13" t="n">
        <x:v>15</x:v>
      </x:c>
      <x:c r="I278" s="13" t="n">
        <x:v>2</x:v>
      </x:c>
      <x:c r="J278" s="13" t="n">
        <x:v>14119097.81</x:v>
      </x:c>
      <x:c r="K278" s="13" t="n">
        <x:v>14190175.510000002</x:v>
      </x:c>
      <x:c r="L278" s="13" t="n">
        <x:v>81</x:v>
      </x:c>
      <x:c r="M278" s="13" t="n">
        <x:v>0.04491017964071856</x:v>
      </x:c>
      <x:c r="N278" s="13" t="n">
        <x:v>0.006269592476489028</x:v>
      </x:c>
      <x:c r="O278" s="13" t="n">
        <x:v>0.08493008164255032</x:v>
      </x:c>
      <x:c r="P278" s="13" t="n">
        <x:v>0.20238652284294403</x:v>
      </x:c>
      <x:c r="Q278" s="13" t="n">
        <x:v>470636.5936666666</x:v>
      </x:c>
      <x:c r="R278" s="13" t="n">
        <x:v>0.4711956464101815</x:v>
      </x:c>
      <x:c r="S278" s="13" t="n">
        <x:v>0.013084448106312228</x:v>
      </x:c>
      <x:c r="T278" s="13" t="n">
        <x:v>30</x:v>
      </x:c>
      <x:c r="U278" s="13" t="n">
        <x:v>271</x:v>
      </x:c>
      <x:c r="V278" s="13" t="n">
        <x:v>254</x:v>
      </x:c>
      <x:c r="W278" s="13" t="n">
        <x:v>17</x:v>
      </x:c>
      <x:c r="X278" s="13" t="n">
        <x:v>1</x:v>
      </x:c>
      <x:c r="Y278" s="13" t="n">
        <x:v>20946120.060000002</x:v>
      </x:c>
      <x:c r="Z278" s="13" t="n">
        <x:v>21157320.060000002</x:v>
      </x:c>
      <x:c r="AA278" s="13" t="n">
        <x:v>36</x:v>
      </x:c>
      <x:c r="AB278" s="13" t="n">
        <x:v>0.06273062730627306</x:v>
      </x:c>
      <x:c r="AC278" s="13" t="n">
        <x:v>0.003937007874015748</x:v>
      </x:c>
      <x:c r="AD278" s="13" t="n">
        <x:v>0.7491416445246173</x:v>
      </x:c>
      <x:c r="AE278" s="13" t="n">
        <x:v>0.8645374725214607</x:v>
      </x:c>
      <x:c r="AF278" s="13" t="n">
        <x:v>698204.002</x:v>
      </x:c>
      <x:c r="AG278" s="13" t="n">
        <x:v>0.31914269008733953</x:v>
      </x:c>
      <x:c r="AH278" s="13" t="n">
        <x:v>-0.010732650808244544</x:v>
      </x:c>
      <x:c r="AI278" s="13" t="n">
        <x:v>30</x:v>
      </x:c>
      <x:c r="AJ278" s="13" t="n">
        <x:v>6827022.250000002</x:v>
      </x:c>
      <x:c r="AK278" s="13" t="n">
        <x:v>0.6706981541026042</x:v>
      </x:c>
      <x:c r="AL278" s="13" t="n">
        <x:v>0.05289256198347107</x:v>
      </x:c>
      <x:c r="AM278" s="13" t="n">
        <x:v>0.005235602094240838</x:v>
      </x:c>
      <x:c r="AN278" s="13" t="n">
        <x:v>0.4170358630835838</x:v>
      </x:c>
      <x:c r="AO278" s="13" t="n">
        <x:v>0.3951691682487605</x:v>
      </x:c>
      <x:c r="AP278" s="13" t="n">
        <x:v>0.0011758986490338422</x:v>
      </x:c>
    </x:row>
    <x:row r="279" ht="15" hidden="0" customHeight="1">
      <x:c r="A279" s="2" t="str">
        <x:v>E278</x:v>
      </x:c>
      <x:c r="B279" s="2" t="str">
        <x:v>***贸易有限公司</x:v>
      </x:c>
      <x:c r="C279" s="2" t="str">
        <x:v>无信贷记录</x:v>
      </x:c>
      <x:c r="D279" s="2" t="str"/>
      <x:c r="E279" s="2" t="str"/>
      <x:c r="F279" s="13" t="n">
        <x:v>405</x:v>
      </x:c>
      <x:c r="G279" s="13" t="n">
        <x:v>389</x:v>
      </x:c>
      <x:c r="H279" s="13" t="n">
        <x:v>16</x:v>
      </x:c>
      <x:c r="I279" s="13" t="n">
        <x:v>2</x:v>
      </x:c>
      <x:c r="J279" s="13" t="n">
        <x:v>12680187.66</x:v>
      </x:c>
      <x:c r="K279" s="13" t="n">
        <x:v>12684673.86</x:v>
      </x:c>
      <x:c r="L279" s="13" t="n">
        <x:v>98</x:v>
      </x:c>
      <x:c r="M279" s="13" t="n">
        <x:v>0.03950617283950617</x:v>
      </x:c>
      <x:c r="N279" s="13" t="n">
        <x:v>0.005141388174807198</x:v>
      </x:c>
      <x:c r="O279" s="13" t="n">
        <x:v>0.05748577832812701</x:v>
      </x:c>
      <x:c r="P279" s="13" t="n">
        <x:v>0.12333292501380876</x:v>
      </x:c>
      <x:c r="Q279" s="13" t="n">
        <x:v>342707.7745945946</x:v>
      </x:c>
      <x:c r="R279" s="13" t="n">
        <x:v>1.2170469775588102</x:v>
      </x:c>
      <x:c r="S279" s="13" t="n">
        <x:v>0.036850301402026865</x:v>
      </x:c>
      <x:c r="T279" s="13" t="n">
        <x:v>36</x:v>
      </x:c>
      <x:c r="U279" s="13" t="n">
        <x:v>238</x:v>
      </x:c>
      <x:c r="V279" s="13" t="n">
        <x:v>222</x:v>
      </x:c>
      <x:c r="W279" s="13" t="n">
        <x:v>16</x:v>
      </x:c>
      <x:c r="X279" s="13" t="n">
        <x:v>2</x:v>
      </x:c>
      <x:c r="Y279" s="13" t="n">
        <x:v>14964986.83</x:v>
      </x:c>
      <x:c r="Z279" s="13" t="n">
        <x:v>15369682.870000001</x:v>
      </x:c>
      <x:c r="AA279" s="13" t="n">
        <x:v>39</x:v>
      </x:c>
      <x:c r="AB279" s="13" t="n">
        <x:v>0.06722689075630252</x:v>
      </x:c>
      <x:c r="AC279" s="13" t="n">
        <x:v>0.009009009009009009</x:v>
      </x:c>
      <x:c r="AD279" s="13" t="n">
        <x:v>0.137271108422762</x:v>
      </x:c>
      <x:c r="AE279" s="13" t="n">
        <x:v>0.31555197534144047</x:v>
      </x:c>
      <x:c r="AF279" s="13" t="n">
        <x:v>404459.1035135136</x:v>
      </x:c>
      <x:c r="AG279" s="13" t="n">
        <x:v>1.1171993282269126</x:v>
      </x:c>
      <x:c r="AH279" s="13" t="n">
        <x:v>0.04377510491325772</x:v>
      </x:c>
      <x:c r="AI279" s="13" t="n">
        <x:v>36</x:v>
      </x:c>
      <x:c r="AJ279" s="13" t="n">
        <x:v>2284799.17</x:v>
      </x:c>
      <x:c r="AK279" s="13" t="n">
        <x:v>0.8253048528905657</x:v>
      </x:c>
      <x:c r="AL279" s="13" t="n">
        <x:v>0.049766718506998445</x:v>
      </x:c>
      <x:c r="AM279" s="13" t="n">
        <x:v>0.006546644844517185</x:v>
      </x:c>
      <x:c r="AN279" s="13" t="n">
        <x:v>0.0973784433754445</x:v>
      </x:c>
      <x:c r="AO279" s="13" t="n">
        <x:v>1.1671231528928614</x:v>
      </x:c>
      <x:c r="AP279" s="13" t="n">
        <x:v>0.04031270315764229</x:v>
      </x:c>
    </x:row>
    <x:row r="280" ht="15" hidden="0" customHeight="1">
      <x:c r="A280" s="2" t="str">
        <x:v>E279</x:v>
      </x:c>
      <x:c r="B280" s="2" t="str">
        <x:v>***环保包装有限公司</x:v>
      </x:c>
      <x:c r="C280" s="2" t="str">
        <x:v>无信贷记录</x:v>
      </x:c>
      <x:c r="D280" s="2" t="str"/>
      <x:c r="E280" s="2" t="str"/>
      <x:c r="F280" s="13" t="n">
        <x:v>619</x:v>
      </x:c>
      <x:c r="G280" s="13" t="n">
        <x:v>600</x:v>
      </x:c>
      <x:c r="H280" s="13" t="n">
        <x:v>19</x:v>
      </x:c>
      <x:c r="I280" s="13" t="n">
        <x:v>4</x:v>
      </x:c>
      <x:c r="J280" s="13" t="n">
        <x:v>18815634.03</x:v>
      </x:c>
      <x:c r="K280" s="13" t="n">
        <x:v>19440061.31</x:v>
      </x:c>
      <x:c r="L280" s="13" t="n">
        <x:v>91</x:v>
      </x:c>
      <x:c r="M280" s="13" t="n">
        <x:v>0.030694668820678513</x:v>
      </x:c>
      <x:c r="N280" s="13" t="n">
        <x:v>0.006666666666666667</x:v>
      </x:c>
      <x:c r="O280" s="13" t="n">
        <x:v>0.11987258031271139</x:v>
      </x:c>
      <x:c r="P280" s="13" t="n">
        <x:v>0.2204414693792959</x:v>
      </x:c>
      <x:c r="Q280" s="13" t="n">
        <x:v>627187.8010000001</x:v>
      </x:c>
      <x:c r="R280" s="13" t="n">
        <x:v>0.6394618576547844</x:v>
      </x:c>
      <x:c r="S280" s="13" t="n">
        <x:v>-0.029183068633913987</x:v>
      </x:c>
      <x:c r="T280" s="13" t="n">
        <x:v>30</x:v>
      </x:c>
      <x:c r="U280" s="13" t="n">
        <x:v>526</x:v>
      </x:c>
      <x:c r="V280" s="13" t="n">
        <x:v>500</x:v>
      </x:c>
      <x:c r="W280" s="13" t="n">
        <x:v>26</x:v>
      </x:c>
      <x:c r="X280" s="13" t="n">
        <x:v>33</x:v>
      </x:c>
      <x:c r="Y280" s="13" t="n">
        <x:v>23289521.66</x:v>
      </x:c>
      <x:c r="Z280" s="13" t="n">
        <x:v>27718236.220000003</x:v>
      </x:c>
      <x:c r="AA280" s="13" t="n">
        <x:v>7</x:v>
      </x:c>
      <x:c r="AB280" s="13" t="n">
        <x:v>0.049429657794676805</x:v>
      </x:c>
      <x:c r="AC280" s="13" t="n">
        <x:v>0.066</x:v>
      </x:c>
      <x:c r="AD280" s="13" t="n">
        <x:v>0.8433250786731018</x:v>
      </x:c>
      <x:c r="AE280" s="13" t="n">
        <x:v>0.9154850654490886</x:v>
      </x:c>
      <x:c r="AF280" s="13" t="n">
        <x:v>776317.3886666667</x:v>
      </x:c>
      <x:c r="AG280" s="13" t="n">
        <x:v>0.6470181529356073</x:v>
      </x:c>
      <x:c r="AH280" s="13" t="n">
        <x:v>-0.03408887759359852</x:v>
      </x:c>
      <x:c r="AI280" s="13" t="n">
        <x:v>29</x:v>
      </x:c>
      <x:c r="AJ280" s="13" t="n">
        <x:v>4473887.629999999</x:v>
      </x:c>
      <x:c r="AK280" s="13" t="n">
        <x:v>0.7013455385726559</x:v>
      </x:c>
      <x:c r="AL280" s="13" t="n">
        <x:v>0.039301310043668124</x:v>
      </x:c>
      <x:c r="AM280" s="13" t="n">
        <x:v>0.03363636363636364</x:v>
      </x:c>
      <x:c r="AN280" s="13" t="n">
        <x:v>0.4815988294929066</x:v>
      </x:c>
      <x:c r="AO280" s="13" t="n">
        <x:v>0.6432400052951959</x:v>
      </x:c>
      <x:c r="AP280" s="13" t="n">
        <x:v>-0.03163597311375625</x:v>
      </x:c>
    </x:row>
    <x:row r="281" ht="15" hidden="0" customHeight="1">
      <x:c r="A281" s="2" t="str">
        <x:v>E280</x:v>
      </x:c>
      <x:c r="B281" s="2" t="str">
        <x:v>个体经营E280 </x:v>
      </x:c>
      <x:c r="C281" s="2" t="str">
        <x:v>无信贷记录</x:v>
      </x:c>
      <x:c r="D281" s="2" t="str"/>
      <x:c r="E281" s="2" t="str"/>
      <x:c r="F281" s="13" t="n">
        <x:v>555</x:v>
      </x:c>
      <x:c r="G281" s="13" t="n">
        <x:v>544</x:v>
      </x:c>
      <x:c r="H281" s="13" t="n">
        <x:v>11</x:v>
      </x:c>
      <x:c r="I281" s="13" t="n">
        <x:v>0</x:v>
      </x:c>
      <x:c r="J281" s="13" t="n">
        <x:v>14112182.98</x:v>
      </x:c>
      <x:c r="K281" s="13" t="n">
        <x:v>14112182.98</x:v>
      </x:c>
      <x:c r="L281" s="13" t="n">
        <x:v>104</x:v>
      </x:c>
      <x:c r="M281" s="13" t="n">
        <x:v>0.01981981981981982</x:v>
      </x:c>
      <x:c r="N281" s="13" t="n">
        <x:v>0</x:v>
      </x:c>
      <x:c r="O281" s="13" t="n">
        <x:v>0.09179471852274346</x:v>
      </x:c>
      <x:c r="P281" s="13" t="n">
        <x:v>0.1905012359753289</x:v>
      </x:c>
      <x:c r="Q281" s="13" t="n">
        <x:v>486626.99931034487</x:v>
      </x:c>
      <x:c r="R281" s="13" t="n">
        <x:v>0.5872604920521634</x:v>
      </x:c>
      <x:c r="S281" s="13" t="n">
        <x:v>-0.009786838439728199</x:v>
      </x:c>
      <x:c r="T281" s="13" t="n">
        <x:v>29</x:v>
      </x:c>
      <x:c r="U281" s="13" t="n">
        <x:v>588</x:v>
      </x:c>
      <x:c r="V281" s="13" t="n">
        <x:v>549</x:v>
      </x:c>
      <x:c r="W281" s="13" t="n">
        <x:v>39</x:v>
      </x:c>
      <x:c r="X281" s="13" t="n">
        <x:v>4</x:v>
      </x:c>
      <x:c r="Y281" s="13" t="n">
        <x:v>19742329.56</x:v>
      </x:c>
      <x:c r="Z281" s="13" t="n">
        <x:v>20044275.56</x:v>
      </x:c>
      <x:c r="AA281" s="13" t="n">
        <x:v>127</x:v>
      </x:c>
      <x:c r="AB281" s="13" t="n">
        <x:v>0.0663265306122449</x:v>
      </x:c>
      <x:c r="AC281" s="13" t="n">
        <x:v>0.007285974499089253</x:v>
      </x:c>
      <x:c r="AD281" s="13" t="n">
        <x:v>0.03464529110155739</x:v>
      </x:c>
      <x:c r="AE281" s="13" t="n">
        <x:v>0.1049050959065941</x:v>
      </x:c>
      <x:c r="AF281" s="13" t="n">
        <x:v>548398.0433333333</x:v>
      </x:c>
      <x:c r="AG281" s="13" t="n">
        <x:v>0.532656778648409</x:v>
      </x:c>
      <x:c r="AH281" s="13" t="n">
        <x:v>0.018019830315049216</x:v>
      </x:c>
      <x:c r="AI281" s="13" t="n">
        <x:v>36</x:v>
      </x:c>
      <x:c r="AJ281" s="13" t="n">
        <x:v>5630146.579999998</x:v>
      </x:c>
      <x:c r="AK281" s="13" t="n">
        <x:v>0.7040505374093949</x:v>
      </x:c>
      <x:c r="AL281" s="13" t="n">
        <x:v>0.04374453193350831</x:v>
      </x:c>
      <x:c r="AM281" s="13" t="n">
        <x:v>0.0036596523330283625</x:v>
      </x:c>
      <x:c r="AN281" s="13" t="n">
        <x:v>0.06322000481215043</x:v>
      </x:c>
      <x:c r="AO281" s="13" t="n">
        <x:v>0.5599586353502861</x:v>
      </x:c>
      <x:c r="AP281" s="13" t="n">
        <x:v>0.004116495937660509</x:v>
      </x:c>
    </x:row>
    <x:row r="282" ht="15" hidden="0" customHeight="1">
      <x:c r="A282" s="2" t="str">
        <x:v>E281</x:v>
      </x:c>
      <x:c r="B282" s="2" t="str">
        <x:v>***商业管理有限责任公司</x:v>
      </x:c>
      <x:c r="C282" s="2" t="str">
        <x:v>无信贷记录</x:v>
      </x:c>
      <x:c r="D282" s="2" t="str"/>
      <x:c r="E282" s="2" t="str"/>
      <x:c r="F282" s="13" t="n">
        <x:v>1062</x:v>
      </x:c>
      <x:c r="G282" s="13" t="n">
        <x:v>1002</x:v>
      </x:c>
      <x:c r="H282" s="13" t="n">
        <x:v>60</x:v>
      </x:c>
      <x:c r="I282" s="13" t="n">
        <x:v>0</x:v>
      </x:c>
      <x:c r="J282" s="13" t="n">
        <x:v>21614464.91</x:v>
      </x:c>
      <x:c r="K282" s="13" t="n">
        <x:v>21614464.91</x:v>
      </x:c>
      <x:c r="L282" s="13" t="n">
        <x:v>189</x:v>
      </x:c>
      <x:c r="M282" s="13" t="n">
        <x:v>0.05649717514124294</x:v>
      </x:c>
      <x:c r="N282" s="13" t="n">
        <x:v>0</x:v>
      </x:c>
      <x:c r="O282" s="13" t="n">
        <x:v>0.33290982105441813</x:v>
      </x:c>
      <x:c r="P282" s="13" t="n">
        <x:v>0.5669847993475032</x:v>
      </x:c>
      <x:c r="Q282" s="13" t="n">
        <x:v>635719.5561764706</x:v>
      </x:c>
      <x:c r="R282" s="13" t="n">
        <x:v>0.543179924140449</x:v>
      </x:c>
      <x:c r="S282" s="13" t="n">
        <x:v>-0.00334301311354385</x:v>
      </x:c>
      <x:c r="T282" s="13" t="n">
        <x:v>34</x:v>
      </x:c>
      <x:c r="U282" s="13" t="n">
        <x:v>581</x:v>
      </x:c>
      <x:c r="V282" s="13" t="n">
        <x:v>551</x:v>
      </x:c>
      <x:c r="W282" s="13" t="n">
        <x:v>30</x:v>
      </x:c>
      <x:c r="X282" s="13" t="n">
        <x:v>3</x:v>
      </x:c>
      <x:c r="Y282" s="13" t="n">
        <x:v>17774526.18</x:v>
      </x:c>
      <x:c r="Z282" s="13" t="n">
        <x:v>17838526.18</x:v>
      </x:c>
      <x:c r="AA282" s="13" t="n">
        <x:v>43</x:v>
      </x:c>
      <x:c r="AB282" s="13" t="n">
        <x:v>0.05163511187607573</x:v>
      </x:c>
      <x:c r="AC282" s="13" t="n">
        <x:v>0.0054446460980036296</x:v>
      </x:c>
      <x:c r="AD282" s="13" t="n">
        <x:v>0.20500045637121866</x:v>
      </x:c>
      <x:c r="AE282" s="13" t="n">
        <x:v>0.38186918197521186</x:v>
      </x:c>
      <x:c r="AF282" s="13" t="n">
        <x:v>538622.0054545456</x:v>
      </x:c>
      <x:c r="AG282" s="13" t="n">
        <x:v>0.5974547208508427</x:v>
      </x:c>
      <x:c r="AH282" s="13" t="n">
        <x:v>0.015382780925382242</x:v>
      </x:c>
      <x:c r="AI282" s="13" t="n">
        <x:v>33</x:v>
      </x:c>
      <x:c r="AJ282" s="13" t="n">
        <x:v>-3839938.7300000004</x:v>
      </x:c>
      <x:c r="AK282" s="13" t="n">
        <x:v>1.211673245418305</x:v>
      </x:c>
      <x:c r="AL282" s="13" t="n">
        <x:v>0.054777845404747415</x:v>
      </x:c>
      <x:c r="AM282" s="13" t="n">
        <x:v>0.0019317450096587251</x:v>
      </x:c>
      <x:c r="AN282" s="13" t="n">
        <x:v>0.2689551387128184</x:v>
      </x:c>
      <x:c r="AO282" s="13" t="n">
        <x:v>0.5703173224956459</x:v>
      </x:c>
      <x:c r="AP282" s="13" t="n">
        <x:v>0.006019883905919196</x:v>
      </x:c>
    </x:row>
    <x:row r="283" ht="15" hidden="0" customHeight="1">
      <x:c r="A283" s="2" t="str">
        <x:v>E282</x:v>
      </x:c>
      <x:c r="B283" s="2" t="str">
        <x:v>***影城有限公司***分公司</x:v>
      </x:c>
      <x:c r="C283" s="2" t="str">
        <x:v>无信贷记录</x:v>
      </x:c>
      <x:c r="D283" s="2" t="str"/>
      <x:c r="E283" s="2" t="str"/>
      <x:c r="F283" s="13" t="n">
        <x:v>795</x:v>
      </x:c>
      <x:c r="G283" s="13" t="n">
        <x:v>752</x:v>
      </x:c>
      <x:c r="H283" s="13" t="n">
        <x:v>43</x:v>
      </x:c>
      <x:c r="I283" s="13" t="n">
        <x:v>19</x:v>
      </x:c>
      <x:c r="J283" s="13" t="n">
        <x:v>12876647.509999998</x:v>
      </x:c>
      <x:c r="K283" s="13" t="n">
        <x:v>13639714.989999998</x:v>
      </x:c>
      <x:c r="L283" s="13" t="n">
        <x:v>93</x:v>
      </x:c>
      <x:c r="M283" s="13" t="n">
        <x:v>0.05408805031446541</x:v>
      </x:c>
      <x:c r="N283" s="13" t="n">
        <x:v>0.02526595744680851</x:v>
      </x:c>
      <x:c r="O283" s="13" t="n">
        <x:v>0.5168252093996654</x:v>
      </x:c>
      <x:c r="P283" s="13" t="n">
        <x:v>0.7083589764950067</x:v>
      </x:c>
      <x:c r="Q283" s="13" t="n">
        <x:v>338859.145</x:v>
      </x:c>
      <x:c r="R283" s="13" t="n">
        <x:v>0.16439451603427777</x:v>
      </x:c>
      <x:c r="S283" s="13" t="n">
        <x:v>0.0003533761211515482</x:v>
      </x:c>
      <x:c r="T283" s="13" t="n">
        <x:v>38</x:v>
      </x:c>
      <x:c r="U283" s="13" t="n">
        <x:v>2711</x:v>
      </x:c>
      <x:c r="V283" s="13" t="n">
        <x:v>1959</x:v>
      </x:c>
      <x:c r="W283" s="13" t="n">
        <x:v>752</x:v>
      </x:c>
      <x:c r="X283" s="13" t="n">
        <x:v>18</x:v>
      </x:c>
      <x:c r="Y283" s="13" t="n">
        <x:v>22048760.630000003</x:v>
      </x:c>
      <x:c r="Z283" s="13" t="n">
        <x:v>22577740.55</x:v>
      </x:c>
      <x:c r="AA283" s="13" t="n">
        <x:v>593</x:v>
      </x:c>
      <x:c r="AB283" s="13" t="n">
        <x:v>0.2773884175580966</x:v>
      </x:c>
      <x:c r="AC283" s="13" t="n">
        <x:v>0.009188361408882083</x:v>
      </x:c>
      <x:c r="AD283" s="13" t="n">
        <x:v>0.09840428844068463</x:v>
      </x:c>
      <x:c r="AE283" s="13" t="n">
        <x:v>0.23346003061409082</x:v>
      </x:c>
      <x:c r="AF283" s="13" t="n">
        <x:v>580230.5428947369</x:v>
      </x:c>
      <x:c r="AG283" s="13" t="n">
        <x:v>0.5009557728926948</x:v>
      </x:c>
      <x:c r="AH283" s="13" t="n">
        <x:v>-0.004842077976409063</x:v>
      </x:c>
      <x:c r="AI283" s="13" t="n">
        <x:v>38</x:v>
      </x:c>
      <x:c r="AJ283" s="13" t="n">
        <x:v>9172113.120000005</x:v>
      </x:c>
      <x:c r="AK283" s="13" t="n">
        <x:v>0.6041222309111882</x:v>
      </x:c>
      <x:c r="AL283" s="13" t="n">
        <x:v>0.22675413576725614</x:v>
      </x:c>
      <x:c r="AM283" s="13" t="n">
        <x:v>0.01364810033198082</x:v>
      </x:c>
      <x:c r="AN283" s="13" t="n">
        <x:v>0.307614748920175</x:v>
      </x:c>
      <x:c r="AO283" s="13" t="n">
        <x:v>0.3326751444634863</x:v>
      </x:c>
      <x:c r="AP283" s="13" t="n">
        <x:v>-0.0022443509276287577</x:v>
      </x:c>
    </x:row>
    <x:row r="284" ht="15" hidden="0" customHeight="1">
      <x:c r="A284" s="2" t="str">
        <x:v>E283</x:v>
      </x:c>
      <x:c r="B284" s="2" t="str">
        <x:v>***机械铸造有限责任公司</x:v>
      </x:c>
      <x:c r="C284" s="2" t="str">
        <x:v>无信贷记录</x:v>
      </x:c>
      <x:c r="D284" s="2" t="str"/>
      <x:c r="E284" s="2" t="str"/>
      <x:c r="F284" s="13" t="n">
        <x:v>609</x:v>
      </x:c>
      <x:c r="G284" s="13" t="n">
        <x:v>582</x:v>
      </x:c>
      <x:c r="H284" s="13" t="n">
        <x:v>27</x:v>
      </x:c>
      <x:c r="I284" s="13" t="n">
        <x:v>0</x:v>
      </x:c>
      <x:c r="J284" s="13" t="n">
        <x:v>17369732.990000002</x:v>
      </x:c>
      <x:c r="K284" s="13" t="n">
        <x:v>17369732.990000002</x:v>
      </x:c>
      <x:c r="L284" s="13" t="n">
        <x:v>107</x:v>
      </x:c>
      <x:c r="M284" s="13" t="n">
        <x:v>0.04433497536945813</x:v>
      </x:c>
      <x:c r="N284" s="13" t="n">
        <x:v>0</x:v>
      </x:c>
      <x:c r="O284" s="13" t="n">
        <x:v>0.10141292584760565</x:v>
      </x:c>
      <x:c r="P284" s="13" t="n">
        <x:v>0.20720274641366265</x:v>
      </x:c>
      <x:c r="Q284" s="13" t="n">
        <x:v>469452.2429729729</x:v>
      </x:c>
      <x:c r="R284" s="13" t="n">
        <x:v>0.5116291952796859</x:v>
      </x:c>
      <x:c r="S284" s="13" t="n">
        <x:v>0.01336064508607613</x:v>
      </x:c>
      <x:c r="T284" s="13" t="n">
        <x:v>37</x:v>
      </x:c>
      <x:c r="U284" s="13" t="n">
        <x:v>299</x:v>
      </x:c>
      <x:c r="V284" s="13" t="n">
        <x:v>291</x:v>
      </x:c>
      <x:c r="W284" s="13" t="n">
        <x:v>8</x:v>
      </x:c>
      <x:c r="X284" s="13" t="n">
        <x:v>0</x:v>
      </x:c>
      <x:c r="Y284" s="13" t="n">
        <x:v>22691463.44</x:v>
      </x:c>
      <x:c r="Z284" s="13" t="n">
        <x:v>22691463.44</x:v>
      </x:c>
      <x:c r="AA284" s="13" t="n">
        <x:v>20</x:v>
      </x:c>
      <x:c r="AB284" s="13" t="n">
        <x:v>0.026755852842809364</x:v>
      </x:c>
      <x:c r="AC284" s="13" t="n">
        <x:v>0</x:v>
      </x:c>
      <x:c r="AD284" s="13" t="n">
        <x:v>0.14841188594961646</x:v>
      </x:c>
      <x:c r="AE284" s="13" t="n">
        <x:v>0.2501219405706166</x:v>
      </x:c>
      <x:c r="AF284" s="13" t="n">
        <x:v>613282.7956756756</x:v>
      </x:c>
      <x:c r="AG284" s="13" t="n">
        <x:v>0.5064390263333685</x:v>
      </x:c>
      <x:c r="AH284" s="13" t="n">
        <x:v>0.021075594768157194</x:v>
      </x:c>
      <x:c r="AI284" s="13" t="n">
        <x:v>37</x:v>
      </x:c>
      <x:c r="AJ284" s="13" t="n">
        <x:v>5321730.449999999</x:v>
      </x:c>
      <x:c r="AK284" s="13" t="n">
        <x:v>0.7654743395430824</x:v>
      </x:c>
      <x:c r="AL284" s="13" t="n">
        <x:v>0.03854625550660793</x:v>
      </x:c>
      <x:c r="AM284" s="13" t="n">
        <x:v>0</x:v>
      </x:c>
      <x:c r="AN284" s="13" t="n">
        <x:v>0.12491240589861105</x:v>
      </x:c>
      <x:c r="AO284" s="13" t="n">
        <x:v>0.5090341108065272</x:v>
      </x:c>
      <x:c r="AP284" s="13" t="n">
        <x:v>0.01721811992711666</x:v>
      </x:c>
    </x:row>
    <x:row r="285" ht="15" hidden="0" customHeight="1">
      <x:c r="A285" s="2" t="str">
        <x:v>E284</x:v>
      </x:c>
      <x:c r="B285" s="2" t="str">
        <x:v>***成焊科技有限公司</x:v>
      </x:c>
      <x:c r="C285" s="2" t="str">
        <x:v>无信贷记录</x:v>
      </x:c>
      <x:c r="D285" s="2" t="str"/>
      <x:c r="E285" s="2" t="str"/>
      <x:c r="F285" s="13" t="n">
        <x:v>1058</x:v>
      </x:c>
      <x:c r="G285" s="13" t="n">
        <x:v>1007</x:v>
      </x:c>
      <x:c r="H285" s="13" t="n">
        <x:v>51</x:v>
      </x:c>
      <x:c r="I285" s="13" t="n">
        <x:v>5</x:v>
      </x:c>
      <x:c r="J285" s="13" t="n">
        <x:v>12229856.17</x:v>
      </x:c>
      <x:c r="K285" s="13" t="n">
        <x:v>12275303.809999999</x:v>
      </x:c>
      <x:c r="L285" s="13" t="n">
        <x:v>122</x:v>
      </x:c>
      <x:c r="M285" s="13" t="n">
        <x:v>0.048204158790170135</x:v>
      </x:c>
      <x:c r="N285" s="13" t="n">
        <x:v>0.004965243296921549</x:v>
      </x:c>
      <x:c r="O285" s="13" t="n">
        <x:v>0.08356171572541377</x:v>
      </x:c>
      <x:c r="P285" s="13" t="n">
        <x:v>0.19912045256336508</x:v>
      </x:c>
      <x:c r="Q285" s="13" t="n">
        <x:v>321838.32026315783</x:v>
      </x:c>
      <x:c r="R285" s="13" t="n">
        <x:v>0.49486907587429546</x:v>
      </x:c>
      <x:c r="S285" s="13" t="n">
        <x:v>0.013183025791375992</x:v>
      </x:c>
      <x:c r="T285" s="13" t="n">
        <x:v>38</x:v>
      </x:c>
      <x:c r="U285" s="13" t="n">
        <x:v>466</x:v>
      </x:c>
      <x:c r="V285" s="13" t="n">
        <x:v>429</x:v>
      </x:c>
      <x:c r="W285" s="13" t="n">
        <x:v>37</x:v>
      </x:c>
      <x:c r="X285" s="13" t="n">
        <x:v>2</x:v>
      </x:c>
      <x:c r="Y285" s="13" t="n">
        <x:v>18471740.5</x:v>
      </x:c>
      <x:c r="Z285" s="13" t="n">
        <x:v>18488300.5</x:v>
      </x:c>
      <x:c r="AA285" s="13" t="n">
        <x:v>127</x:v>
      </x:c>
      <x:c r="AB285" s="13" t="n">
        <x:v>0.07939914163090128</x:v>
      </x:c>
      <x:c r="AC285" s="13" t="n">
        <x:v>0.004662004662004662</x:v>
      </x:c>
      <x:c r="AD285" s="13" t="n">
        <x:v>0.32903438981434235</x:v>
      </x:c>
      <x:c r="AE285" s="13" t="n">
        <x:v>0.557468329768872</x:v>
      </x:c>
      <x:c r="AF285" s="13" t="n">
        <x:v>499236.2297297297</x:v>
      </x:c>
      <x:c r="AG285" s="13" t="n">
        <x:v>0.48666701546341856</x:v>
      </x:c>
      <x:c r="AH285" s="13" t="n">
        <x:v>0.025162416222067253</x:v>
      </x:c>
      <x:c r="AI285" s="13" t="n">
        <x:v>37</x:v>
      </x:c>
      <x:c r="AJ285" s="13" t="n">
        <x:v>6241884.33</x:v>
      </x:c>
      <x:c r="AK285" s="13" t="n">
        <x:v>0.663949821131477</x:v>
      </x:c>
      <x:c r="AL285" s="13" t="n">
        <x:v>0.05774278215223097</x:v>
      </x:c>
      <x:c r="AM285" s="13" t="n">
        <x:v>0.004874651810584958</x:v>
      </x:c>
      <x:c r="AN285" s="13" t="n">
        <x:v>0.20629805276987806</x:v>
      </x:c>
      <x:c r="AO285" s="13" t="n">
        <x:v>0.490768045668857</x:v>
      </x:c>
      <x:c r="AP285" s="13" t="n">
        <x:v>0.019172721006721623</x:v>
      </x:c>
    </x:row>
    <x:row r="286" ht="15" hidden="0" customHeight="1">
      <x:c r="A286" s="2" t="str">
        <x:v>E285</x:v>
      </x:c>
      <x:c r="B286" s="2" t="str">
        <x:v>个体经营E285 </x:v>
      </x:c>
      <x:c r="C286" s="2" t="str">
        <x:v>无信贷记录</x:v>
      </x:c>
      <x:c r="D286" s="2" t="str"/>
      <x:c r="E286" s="2" t="str"/>
      <x:c r="F286" s="13" t="n">
        <x:v>772</x:v>
      </x:c>
      <x:c r="G286" s="13" t="n">
        <x:v>730</x:v>
      </x:c>
      <x:c r="H286" s="13" t="n">
        <x:v>42</x:v>
      </x:c>
      <x:c r="I286" s="13" t="n">
        <x:v>4</x:v>
      </x:c>
      <x:c r="J286" s="13" t="n">
        <x:v>18423110.880000003</x:v>
      </x:c>
      <x:c r="K286" s="13" t="n">
        <x:v>18808321.660000004</x:v>
      </x:c>
      <x:c r="L286" s="13" t="n">
        <x:v>226</x:v>
      </x:c>
      <x:c r="M286" s="13" t="n">
        <x:v>0.054404145077720206</x:v>
      </x:c>
      <x:c r="N286" s="13" t="n">
        <x:v>0.005479452054794521</x:v>
      </x:c>
      <x:c r="O286" s="13" t="n">
        <x:v>0.07158385803605552</x:v>
      </x:c>
      <x:c r="P286" s="13" t="n">
        <x:v>0.1738207411112513</x:v>
      </x:c>
      <x:c r="Q286" s="13" t="n">
        <x:v>511753.0800000001</x:v>
      </x:c>
      <x:c r="R286" s="13" t="n">
        <x:v>1.6792092976044128</x:v>
      </x:c>
      <x:c r="S286" s="13" t="n">
        <x:v>-0.0036105918479260035</x:v>
      </x:c>
      <x:c r="T286" s="13" t="n">
        <x:v>36</x:v>
      </x:c>
      <x:c r="U286" s="13" t="n">
        <x:v>564</x:v>
      </x:c>
      <x:c r="V286" s="13" t="n">
        <x:v>458</x:v>
      </x:c>
      <x:c r="W286" s="13" t="n">
        <x:v>106</x:v>
      </x:c>
      <x:c r="X286" s="13" t="n">
        <x:v>7</x:v>
      </x:c>
      <x:c r="Y286" s="13" t="n">
        <x:v>34052493.51</x:v>
      </x:c>
      <x:c r="Z286" s="13" t="n">
        <x:v>35045355.51</x:v>
      </x:c>
      <x:c r="AA286" s="13" t="n">
        <x:v>55</x:v>
      </x:c>
      <x:c r="AB286" s="13" t="n">
        <x:v>0.1879432624113475</x:v>
      </x:c>
      <x:c r="AC286" s="13" t="n">
        <x:v>0.015283842794759825</x:v>
      </x:c>
      <x:c r="AD286" s="13" t="n">
        <x:v>0.06963007105214296</x:v>
      </x:c>
      <x:c r="AE286" s="13" t="n">
        <x:v>0.19441469207113204</x:v>
      </x:c>
      <x:c r="AF286" s="13" t="n">
        <x:v>945902.5974999999</x:v>
      </x:c>
      <x:c r="AG286" s="13" t="n">
        <x:v>1.3754265663931977</x:v>
      </x:c>
      <x:c r="AH286" s="13" t="n">
        <x:v>0.03207635988665854</x:v>
      </x:c>
      <x:c r="AI286" s="13" t="n">
        <x:v>36</x:v>
      </x:c>
      <x:c r="AJ286" s="13" t="n">
        <x:v>15629382.629999995</x:v>
      </x:c>
      <x:c r="AK286" s="13" t="n">
        <x:v>0.5366851437598672</x:v>
      </x:c>
      <x:c r="AL286" s="13" t="n">
        <x:v>0.11077844311377245</x:v>
      </x:c>
      <x:c r="AM286" s="13" t="n">
        <x:v>0.009259259259259259</x:v>
      </x:c>
      <x:c r="AN286" s="13" t="n">
        <x:v>0.07060696454409923</x:v>
      </x:c>
      <x:c r="AO286" s="13" t="n">
        <x:v>1.5273179319988053</x:v>
      </x:c>
      <x:c r="AP286" s="13" t="n">
        <x:v>0.014232884019366267</x:v>
      </x:c>
    </x:row>
    <x:row r="287" ht="15" hidden="0" customHeight="1">
      <x:c r="A287" s="2" t="str">
        <x:v>E286</x:v>
      </x:c>
      <x:c r="B287" s="2" t="str">
        <x:v>***印务有限公司</x:v>
      </x:c>
      <x:c r="C287" s="2" t="str">
        <x:v>无信贷记录</x:v>
      </x:c>
      <x:c r="D287" s="2" t="str"/>
      <x:c r="E287" s="2" t="str"/>
      <x:c r="F287" s="13" t="n">
        <x:v>305</x:v>
      </x:c>
      <x:c r="G287" s="13" t="n">
        <x:v>290</x:v>
      </x:c>
      <x:c r="H287" s="13" t="n">
        <x:v>15</x:v>
      </x:c>
      <x:c r="I287" s="13" t="n">
        <x:v>0</x:v>
      </x:c>
      <x:c r="J287" s="13" t="n">
        <x:v>12889214.059999999</x:v>
      </x:c>
      <x:c r="K287" s="13" t="n">
        <x:v>12889214.059999999</x:v>
      </x:c>
      <x:c r="L287" s="13" t="n">
        <x:v>81</x:v>
      </x:c>
      <x:c r="M287" s="13" t="n">
        <x:v>0.04918032786885246</x:v>
      </x:c>
      <x:c r="N287" s="13" t="n">
        <x:v>0</x:v>
      </x:c>
      <x:c r="O287" s="13" t="n">
        <x:v>0.07997926330319281</x:v>
      </x:c>
      <x:c r="P287" s="13" t="n">
        <x:v>0.14973760161137395</x:v>
      </x:c>
      <x:c r="Q287" s="13" t="n">
        <x:v>537050.5858333333</x:v>
      </x:c>
      <x:c r="R287" s="13" t="n">
        <x:v>0.9786191484121239</x:v>
      </x:c>
      <x:c r="S287" s="13" t="n">
        <x:v>0.06859970546634664</x:v>
      </x:c>
      <x:c r="T287" s="13" t="n">
        <x:v>24</x:v>
      </x:c>
      <x:c r="U287" s="13" t="n">
        <x:v>258</x:v>
      </x:c>
      <x:c r="V287" s="13" t="n">
        <x:v>199</x:v>
      </x:c>
      <x:c r="W287" s="13" t="n">
        <x:v>59</x:v>
      </x:c>
      <x:c r="X287" s="13" t="n">
        <x:v>5</x:v>
      </x:c>
      <x:c r="Y287" s="13" t="n">
        <x:v>13842740</x:v>
      </x:c>
      <x:c r="Z287" s="13" t="n">
        <x:v>14394029.12</x:v>
      </x:c>
      <x:c r="AA287" s="13" t="n">
        <x:v>35</x:v>
      </x:c>
      <x:c r="AB287" s="13" t="n">
        <x:v>0.22868217054263565</x:v>
      </x:c>
      <x:c r="AC287" s="13" t="n">
        <x:v>0.02512562814070352</x:v>
      </x:c>
      <x:c r="AD287" s="13" t="n">
        <x:v>0.14795110127051161</x:v>
      </x:c>
      <x:c r="AE287" s="13" t="n">
        <x:v>0.24821459719264485</x:v>
      </x:c>
      <x:c r="AF287" s="13" t="n">
        <x:v>576780.8333333333</x:v>
      </x:c>
      <x:c r="AG287" s="13" t="n">
        <x:v>1.0172232560492875</x:v>
      </x:c>
      <x:c r="AH287" s="13" t="n">
        <x:v>0.07932480315815825</x:v>
      </x:c>
      <x:c r="AI287" s="13" t="n">
        <x:v>23</x:v>
      </x:c>
      <x:c r="AJ287" s="13" t="n">
        <x:v>953525.9400000013</x:v>
      </x:c>
      <x:c r="AK287" s="13" t="n">
        <x:v>0.8954556054142537</x:v>
      </x:c>
      <x:c r="AL287" s="13" t="n">
        <x:v>0.13143872113676733</x:v>
      </x:c>
      <x:c r="AM287" s="13" t="n">
        <x:v>0.010224948875255624</x:v>
      </x:c>
      <x:c r="AN287" s="13" t="n">
        <x:v>0.1139651822868522</x:v>
      </x:c>
      <x:c r="AO287" s="13" t="n">
        <x:v>0.9979212022307058</x:v>
      </x:c>
      <x:c r="AP287" s="13" t="n">
        <x:v>0.07396225431225245</x:v>
      </x:c>
    </x:row>
    <x:row r="288" ht="15" hidden="0" customHeight="1">
      <x:c r="A288" s="2" t="str">
        <x:v>E287</x:v>
      </x:c>
      <x:c r="B288" s="2" t="str">
        <x:v>***鞋材有限公司</x:v>
      </x:c>
      <x:c r="C288" s="2" t="str">
        <x:v>无信贷记录</x:v>
      </x:c>
      <x:c r="D288" s="2" t="str"/>
      <x:c r="E288" s="2" t="str"/>
      <x:c r="F288" s="13" t="n">
        <x:v>462</x:v>
      </x:c>
      <x:c r="G288" s="13" t="n">
        <x:v>422</x:v>
      </x:c>
      <x:c r="H288" s="13" t="n">
        <x:v>40</x:v>
      </x:c>
      <x:c r="I288" s="13" t="n">
        <x:v>3</x:v>
      </x:c>
      <x:c r="J288" s="13" t="n">
        <x:v>16489546.81</x:v>
      </x:c>
      <x:c r="K288" s="13" t="n">
        <x:v>16746076.030000001</x:v>
      </x:c>
      <x:c r="L288" s="13" t="n">
        <x:v>94</x:v>
      </x:c>
      <x:c r="M288" s="13" t="n">
        <x:v>0.08658008658008658</x:v>
      </x:c>
      <x:c r="N288" s="13" t="n">
        <x:v>0.0071090047393364926</x:v>
      </x:c>
      <x:c r="O288" s="13" t="n">
        <x:v>0.06069880221596188</x:v>
      </x:c>
      <x:c r="P288" s="13" t="n">
        <x:v>0.1835944727882619</x:v>
      </x:c>
      <x:c r="Q288" s="13" t="n">
        <x:v>445663.4272972973</x:v>
      </x:c>
      <x:c r="R288" s="13" t="n">
        <x:v>0.5933124328642673</x:v>
      </x:c>
      <x:c r="S288" s="13" t="n">
        <x:v>0.017843242420823715</x:v>
      </x:c>
      <x:c r="T288" s="13" t="n">
        <x:v>37</x:v>
      </x:c>
      <x:c r="U288" s="13" t="n">
        <x:v>309</x:v>
      </x:c>
      <x:c r="V288" s="13" t="n">
        <x:v>267</x:v>
      </x:c>
      <x:c r="W288" s="13" t="n">
        <x:v>42</x:v>
      </x:c>
      <x:c r="X288" s="13" t="n">
        <x:v>1</x:v>
      </x:c>
      <x:c r="Y288" s="13" t="n">
        <x:v>17369176.9</x:v>
      </x:c>
      <x:c r="Z288" s="13" t="n">
        <x:v>17533795.700000003</x:v>
      </x:c>
      <x:c r="AA288" s="13" t="n">
        <x:v>26</x:v>
      </x:c>
      <x:c r="AB288" s="13" t="n">
        <x:v>0.13592233009708737</x:v>
      </x:c>
      <x:c r="AC288" s="13" t="n">
        <x:v>0.003745318352059925</x:v>
      </x:c>
      <x:c r="AD288" s="13" t="n">
        <x:v>0.12947370433416314</x:v>
      </x:c>
      <x:c r="AE288" s="13" t="n">
        <x:v>0.2396400683509732</x:v>
      </x:c>
      <x:c r="AF288" s="13" t="n">
        <x:v>469437.21351351344</x:v>
      </x:c>
      <x:c r="AG288" s="13" t="n">
        <x:v>0.44057223069133117</x:v>
      </x:c>
      <x:c r="AH288" s="13" t="n">
        <x:v>0.020133873703312176</x:v>
      </x:c>
      <x:c r="AI288" s="13" t="n">
        <x:v>37</x:v>
      </x:c>
      <x:c r="AJ288" s="13" t="n">
        <x:v>879630.089999998</x:v>
      </x:c>
      <x:c r="AK288" s="13" t="n">
        <x:v>0.9550742073491821</x:v>
      </x:c>
      <x:c r="AL288" s="13" t="n">
        <x:v>0.10635538261997406</x:v>
      </x:c>
      <x:c r="AM288" s="13" t="n">
        <x:v>0.005805515239477504</x:v>
      </x:c>
      <x:c r="AN288" s="13" t="n">
        <x:v>0.09508625327506251</x:v>
      </x:c>
      <x:c r="AO288" s="13" t="n">
        <x:v>0.5169423317777992</x:v>
      </x:c>
      <x:c r="AP288" s="13" t="n">
        <x:v>0.018988558062067944</x:v>
      </x:c>
    </x:row>
    <x:row r="289" ht="15" hidden="0" customHeight="1">
      <x:c r="A289" s="2" t="str">
        <x:v>E288</x:v>
      </x:c>
      <x:c r="B289" s="2" t="str">
        <x:v>个体经营E288 </x:v>
      </x:c>
      <x:c r="C289" s="2" t="str">
        <x:v>无信贷记录</x:v>
      </x:c>
      <x:c r="D289" s="2" t="str"/>
      <x:c r="E289" s="2" t="str"/>
      <x:c r="F289" s="13" t="n">
        <x:v>582</x:v>
      </x:c>
      <x:c r="G289" s="13" t="n">
        <x:v>575</x:v>
      </x:c>
      <x:c r="H289" s="13" t="n">
        <x:v>7</x:v>
      </x:c>
      <x:c r="I289" s="13" t="n">
        <x:v>1</x:v>
      </x:c>
      <x:c r="J289" s="13" t="n">
        <x:v>15170160.33</x:v>
      </x:c>
      <x:c r="K289" s="13" t="n">
        <x:v>15170346.129999999</x:v>
      </x:c>
      <x:c r="L289" s="13" t="n">
        <x:v>126</x:v>
      </x:c>
      <x:c r="M289" s="13" t="n">
        <x:v>0.012027491408934709</x:v>
      </x:c>
      <x:c r="N289" s="13" t="n">
        <x:v>0.0017391304347826088</x:v>
      </x:c>
      <x:c r="O289" s="13" t="n">
        <x:v>0.18981285782571422</x:v>
      </x:c>
      <x:c r="P289" s="13" t="n">
        <x:v>0.32001962172764215</x:v>
      </x:c>
      <x:c r="Q289" s="13" t="n">
        <x:v>474067.5103125</x:v>
      </x:c>
      <x:c r="R289" s="13" t="n">
        <x:v>0.7383487329554251</x:v>
      </x:c>
      <x:c r="S289" s="13" t="n">
        <x:v>0.014118492279349614</x:v>
      </x:c>
      <x:c r="T289" s="13" t="n">
        <x:v>31</x:v>
      </x:c>
      <x:c r="U289" s="13" t="n">
        <x:v>308</x:v>
      </x:c>
      <x:c r="V289" s="13" t="n">
        <x:v>240</x:v>
      </x:c>
      <x:c r="W289" s="13" t="n">
        <x:v>68</x:v>
      </x:c>
      <x:c r="X289" s="13" t="n">
        <x:v>4</x:v>
      </x:c>
      <x:c r="Y289" s="13" t="n">
        <x:v>18556702.73</x:v>
      </x:c>
      <x:c r="Z289" s="13" t="n">
        <x:v>19353257.73</x:v>
      </x:c>
      <x:c r="AA289" s="13" t="n">
        <x:v>40</x:v>
      </x:c>
      <x:c r="AB289" s="13" t="n">
        <x:v>0.22077922077922077</x:v>
      </x:c>
      <x:c r="AC289" s="13" t="n">
        <x:v>0.016666666666666666</x:v>
      </x:c>
      <x:c r="AD289" s="13" t="n">
        <x:v>0.12487472100790244</x:v>
      </x:c>
      <x:c r="AE289" s="13" t="n">
        <x:v>0.2694361684605127</x:v>
      </x:c>
      <x:c r="AF289" s="13" t="n">
        <x:v>545785.3744117647</x:v>
      </x:c>
      <x:c r="AG289" s="13" t="n">
        <x:v>0.8522590318213095</x:v>
      </x:c>
      <x:c r="AH289" s="13" t="n">
        <x:v>-0.0034562952880687636</x:v>
      </x:c>
      <x:c r="AI289" s="13" t="n">
        <x:v>33</x:v>
      </x:c>
      <x:c r="AJ289" s="13" t="n">
        <x:v>3386542.4000000004</x:v>
      </x:c>
      <x:c r="AK289" s="13" t="n">
        <x:v>0.7838652459262215</x:v>
      </x:c>
      <x:c r="AL289" s="13" t="n">
        <x:v>0.08426966292134831</x:v>
      </x:c>
      <x:c r="AM289" s="13" t="n">
        <x:v>0.006134969325153374</x:v>
      </x:c>
      <x:c r="AN289" s="13" t="n">
        <x:v>0.15734378941680832</x:v>
      </x:c>
      <x:c r="AO289" s="13" t="n">
        <x:v>0.7953038823883674</x:v>
      </x:c>
      <x:c r="AP289" s="13" t="n">
        <x:v>0.005331098495640426</x:v>
      </x:c>
    </x:row>
    <x:row r="290" ht="15" hidden="0" customHeight="1">
      <x:c r="A290" s="2" t="str">
        <x:v>E289</x:v>
      </x:c>
      <x:c r="B290" s="2" t="str">
        <x:v>***运业有限公司***分公司</x:v>
      </x:c>
      <x:c r="C290" s="2" t="str">
        <x:v>无信贷记录</x:v>
      </x:c>
      <x:c r="D290" s="2" t="str"/>
      <x:c r="E290" s="2" t="str"/>
      <x:c r="F290" s="13" t="n">
        <x:v>3335</x:v>
      </x:c>
      <x:c r="G290" s="13" t="n">
        <x:v>3307</x:v>
      </x:c>
      <x:c r="H290" s="13" t="n">
        <x:v>28</x:v>
      </x:c>
      <x:c r="I290" s="13" t="n">
        <x:v>9</x:v>
      </x:c>
      <x:c r="J290" s="13" t="n">
        <x:v>7872247.51</x:v>
      </x:c>
      <x:c r="K290" s="13" t="n">
        <x:v>7934650.25</x:v>
      </x:c>
      <x:c r="L290" s="13" t="n">
        <x:v>171</x:v>
      </x:c>
      <x:c r="M290" s="13" t="n">
        <x:v>0.008395802098950524</x:v>
      </x:c>
      <x:c r="N290" s="13" t="n">
        <x:v>0.002721499848805564</x:v>
      </x:c>
      <x:c r="O290" s="13" t="n">
        <x:v>0.16899100584735668</x:v>
      </x:c>
      <x:c r="P290" s="13" t="n">
        <x:v>0.26604829872621044</x:v>
      </x:c>
      <x:c r="Q290" s="13" t="n">
        <x:v>207164.40815789474</x:v>
      </x:c>
      <x:c r="R290" s="13" t="n">
        <x:v>1.0166750071893405</x:v>
      </x:c>
      <x:c r="S290" s="13" t="n">
        <x:v>0.02279278890676733</x:v>
      </x:c>
      <x:c r="T290" s="13" t="n">
        <x:v>38</x:v>
      </x:c>
      <x:c r="U290" s="13" t="n">
        <x:v>1679</x:v>
      </x:c>
      <x:c r="V290" s="13" t="n">
        <x:v>1567</x:v>
      </x:c>
      <x:c r="W290" s="13" t="n">
        <x:v>112</x:v>
      </x:c>
      <x:c r="X290" s="13" t="n">
        <x:v>24</x:v>
      </x:c>
      <x:c r="Y290" s="13" t="n">
        <x:v>21683150.51</x:v>
      </x:c>
      <x:c r="Z290" s="13" t="n">
        <x:v>21898854.91</x:v>
      </x:c>
      <x:c r="AA290" s="13" t="n">
        <x:v>405</x:v>
      </x:c>
      <x:c r="AB290" s="13" t="n">
        <x:v>0.06670637284097677</x:v>
      </x:c>
      <x:c r="AC290" s="13" t="n">
        <x:v>0.015315890236119975</x:v>
      </x:c>
      <x:c r="AD290" s="13" t="n">
        <x:v>0.08077625871701019</x:v>
      </x:c>
      <x:c r="AE290" s="13" t="n">
        <x:v>0.18086817855445575</x:v>
      </x:c>
      <x:c r="AF290" s="13" t="n">
        <x:v>586031.094864865</x:v>
      </x:c>
      <x:c r="AG290" s="13" t="n">
        <x:v>0.20446756433262475</x:v>
      </x:c>
      <x:c r="AH290" s="13" t="n">
        <x:v>-0.009063989700394142</x:v>
      </x:c>
      <x:c r="AI290" s="13" t="n">
        <x:v>37</x:v>
      </x:c>
      <x:c r="AJ290" s="13" t="n">
        <x:v>13810903.000000002</x:v>
      </x:c>
      <x:c r="AK290" s="13" t="n">
        <x:v>0.36233174212121394</x:v>
      </x:c>
      <x:c r="AL290" s="13" t="n">
        <x:v>0.02792181890706023</x:v>
      </x:c>
      <x:c r="AM290" s="13" t="n">
        <x:v>0.006770619614279852</x:v>
      </x:c>
      <x:c r="AN290" s="13" t="n">
        <x:v>0.12488363228218344</x:v>
      </x:c>
      <x:c r="AO290" s="13" t="n">
        <x:v>0.6105712857609826</x:v>
      </x:c>
      <x:c r="AP290" s="13" t="n">
        <x:v>0.006864399603186594</x:v>
      </x:c>
    </x:row>
    <x:row r="291" ht="15" hidden="0" customHeight="1">
      <x:c r="A291" s="2" t="str">
        <x:v>E290</x:v>
      </x:c>
      <x:c r="B291" s="2" t="str">
        <x:v>***机电有限公司</x:v>
      </x:c>
      <x:c r="C291" s="2" t="str">
        <x:v>无信贷记录</x:v>
      </x:c>
      <x:c r="D291" s="2" t="str"/>
      <x:c r="E291" s="2" t="str"/>
      <x:c r="F291" s="13" t="n">
        <x:v>871</x:v>
      </x:c>
      <x:c r="G291" s="13" t="n">
        <x:v>859</x:v>
      </x:c>
      <x:c r="H291" s="13" t="n">
        <x:v>12</x:v>
      </x:c>
      <x:c r="I291" s="13" t="n">
        <x:v>6</x:v>
      </x:c>
      <x:c r="J291" s="13" t="n">
        <x:v>6097913.970000001</x:v>
      </x:c>
      <x:c r="K291" s="13" t="n">
        <x:v>6112651.13</x:v>
      </x:c>
      <x:c r="L291" s="13" t="n">
        <x:v>219</x:v>
      </x:c>
      <x:c r="M291" s="13" t="n">
        <x:v>0.013777267508610792</x:v>
      </x:c>
      <x:c r="N291" s="13" t="n">
        <x:v>0.006984866123399301</x:v>
      </x:c>
      <x:c r="O291" s="13" t="n">
        <x:v>0.045133548558525645</x:v>
      </x:c>
      <x:c r="P291" s="13" t="n">
        <x:v>0.08896908860558513</x:v>
      </x:c>
      <x:c r="Q291" s="13" t="n">
        <x:v>160471.42026315787</x:v>
      </x:c>
      <x:c r="R291" s="13" t="n">
        <x:v>0.9656178224532931</x:v>
      </x:c>
      <x:c r="S291" s="13" t="n">
        <x:v>0.005609323399108452</x:v>
      </x:c>
      <x:c r="T291" s="13" t="n">
        <x:v>38</x:v>
      </x:c>
      <x:c r="U291" s="13" t="n">
        <x:v>1125</x:v>
      </x:c>
      <x:c r="V291" s="13" t="n">
        <x:v>988</x:v>
      </x:c>
      <x:c r="W291" s="13" t="n">
        <x:v>137</x:v>
      </x:c>
      <x:c r="X291" s="13" t="n">
        <x:v>19</x:v>
      </x:c>
      <x:c r="Y291" s="13" t="n">
        <x:v>19389050.37</x:v>
      </x:c>
      <x:c r="Z291" s="13" t="n">
        <x:v>19801590.37</x:v>
      </x:c>
      <x:c r="AA291" s="13" t="n">
        <x:v>113</x:v>
      </x:c>
      <x:c r="AB291" s="13" t="n">
        <x:v>0.12177777777777778</x:v>
      </x:c>
      <x:c r="AC291" s="13" t="n">
        <x:v>0.019230769230769232</x:v>
      </x:c>
      <x:c r="AD291" s="13" t="n">
        <x:v>0.13301826317719614</x:v>
      </x:c>
      <x:c r="AE291" s="13" t="n">
        <x:v>0.3427311278129424</x:v>
      </x:c>
      <x:c r="AF291" s="13" t="n">
        <x:v>524028.3883783783</x:v>
      </x:c>
      <x:c r="AG291" s="13" t="n">
        <x:v>0.8252202666661315</x:v>
      </x:c>
      <x:c r="AH291" s="13" t="n">
        <x:v>0.0077811306145496775</x:v>
      </x:c>
      <x:c r="AI291" s="13" t="n">
        <x:v>37</x:v>
      </x:c>
      <x:c r="AJ291" s="13" t="n">
        <x:v>13291136.4</x:v>
      </x:c>
      <x:c r="AK291" s="13" t="n">
        <x:v>0.30869495913120437</x:v>
      </x:c>
      <x:c r="AL291" s="13" t="n">
        <x:v>0.0746492985971944</x:v>
      </x:c>
      <x:c r="AM291" s="13" t="n">
        <x:v>0.01353546291283162</x:v>
      </x:c>
      <x:c r="AN291" s="13" t="n">
        <x:v>0.08907590586786089</x:v>
      </x:c>
      <x:c r="AO291" s="13" t="n">
        <x:v>0.8954190445597123</x:v>
      </x:c>
      <x:c r="AP291" s="13" t="n">
        <x:v>0.006695227006829065</x:v>
      </x:c>
    </x:row>
    <x:row r="292" ht="15" hidden="0" customHeight="1">
      <x:c r="A292" s="2" t="str">
        <x:v>E291</x:v>
      </x:c>
      <x:c r="B292" s="2" t="str">
        <x:v>***文业建设工程有限公司</x:v>
      </x:c>
      <x:c r="C292" s="2" t="str">
        <x:v>无信贷记录</x:v>
      </x:c>
      <x:c r="D292" s="2" t="str"/>
      <x:c r="E292" s="2" t="str"/>
      <x:c r="F292" s="13" t="n">
        <x:v>393</x:v>
      </x:c>
      <x:c r="G292" s="13" t="n">
        <x:v>372</x:v>
      </x:c>
      <x:c r="H292" s="13" t="n">
        <x:v>21</x:v>
      </x:c>
      <x:c r="I292" s="13" t="n">
        <x:v>9</x:v>
      </x:c>
      <x:c r="J292" s="13" t="n">
        <x:v>18636178.8</x:v>
      </x:c>
      <x:c r="K292" s="13" t="n">
        <x:v>18788386.6</x:v>
      </x:c>
      <x:c r="L292" s="13" t="n">
        <x:v>118</x:v>
      </x:c>
      <x:c r="M292" s="13" t="n">
        <x:v>0.05343511450381679</x:v>
      </x:c>
      <x:c r="N292" s="13" t="n">
        <x:v>0.024193548387096774</x:v>
      </x:c>
      <x:c r="O292" s="13" t="n">
        <x:v>0.574095216145241</x:v>
      </x:c>
      <x:c r="P292" s="13" t="n">
        <x:v>0.7456641859817809</x:v>
      </x:c>
      <x:c r="Q292" s="13" t="n">
        <x:v>517671.63333333336</x:v>
      </x:c>
      <x:c r="R292" s="13" t="n">
        <x:v>3.135890310361815</x:v>
      </x:c>
      <x:c r="S292" s="13" t="n">
        <x:v>-0.015113480575811898</x:v>
      </x:c>
      <x:c r="T292" s="13" t="n">
        <x:v>29</x:v>
      </x:c>
      <x:c r="U292" s="13" t="n">
        <x:v>162</x:v>
      </x:c>
      <x:c r="V292" s="13" t="n">
        <x:v>129</x:v>
      </x:c>
      <x:c r="W292" s="13" t="n">
        <x:v>33</x:v>
      </x:c>
      <x:c r="X292" s="13" t="n">
        <x:v>2</x:v>
      </x:c>
      <x:c r="Y292" s="13" t="n">
        <x:v>12997289.02</x:v>
      </x:c>
      <x:c r="Z292" s="13" t="n">
        <x:v>13248849.02</x:v>
      </x:c>
      <x:c r="AA292" s="13" t="n">
        <x:v>31</x:v>
      </x:c>
      <x:c r="AB292" s="13" t="n">
        <x:v>0.2037037037037037</x:v>
      </x:c>
      <x:c r="AC292" s="13" t="n">
        <x:v>0.015503875968992248</x:v>
      </x:c>
      <x:c r="AD292" s="13" t="n">
        <x:v>0.9446691799432569</x:v>
      </x:c>
      <x:c r="AE292" s="13" t="n">
        <x:v>0.9717893743497426</x:v>
      </x:c>
      <x:c r="AF292" s="13" t="n">
        <x:v>481381.0748148148</x:v>
      </x:c>
      <x:c r="AG292" s="13" t="n">
        <x:v>2.9949577460867824</x:v>
      </x:c>
      <x:c r="AH292" s="13" t="n">
        <x:v>-0.026069633672438114</x:v>
      </x:c>
      <x:c r="AI292" s="13" t="n">
        <x:v>7</x:v>
      </x:c>
      <x:c r="AJ292" s="13" t="n">
        <x:v>-5638889.780000001</x:v>
      </x:c>
      <x:c r="AK292" s="13" t="n">
        <x:v>1.418114628043365</x:v>
      </x:c>
      <x:c r="AL292" s="13" t="n">
        <x:v>0.0972972972972973</x:v>
      </x:c>
      <x:c r="AM292" s="13" t="n">
        <x:v>0.021956087824351298</x:v>
      </x:c>
      <x:c r="AN292" s="13" t="n">
        <x:v>0.759382198044249</x:v>
      </x:c>
      <x:c r="AO292" s="13" t="n">
        <x:v>3.0654240282242986</x:v>
      </x:c>
      <x:c r="AP292" s="13" t="n">
        <x:v>-0.020591557124125005</x:v>
      </x:c>
    </x:row>
    <x:row r="293" ht="15" hidden="0" customHeight="1">
      <x:c r="A293" s="2" t="str">
        <x:v>E292</x:v>
      </x:c>
      <x:c r="B293" s="2" t="str">
        <x:v>***物流有限公司</x:v>
      </x:c>
      <x:c r="C293" s="2" t="str">
        <x:v>无信贷记录</x:v>
      </x:c>
      <x:c r="D293" s="2" t="str"/>
      <x:c r="E293" s="2" t="str"/>
      <x:c r="F293" s="13" t="n">
        <x:v>335</x:v>
      </x:c>
      <x:c r="G293" s="13" t="n">
        <x:v>323</x:v>
      </x:c>
      <x:c r="H293" s="13" t="n">
        <x:v>12</x:v>
      </x:c>
      <x:c r="I293" s="13" t="n">
        <x:v>0</x:v>
      </x:c>
      <x:c r="J293" s="13" t="n">
        <x:v>7488457</x:v>
      </x:c>
      <x:c r="K293" s="13" t="n">
        <x:v>7488457</x:v>
      </x:c>
      <x:c r="L293" s="13" t="n">
        <x:v>83</x:v>
      </x:c>
      <x:c r="M293" s="13" t="n">
        <x:v>0.03582089552238806</x:v>
      </x:c>
      <x:c r="N293" s="13" t="n">
        <x:v>0</x:v>
      </x:c>
      <x:c r="O293" s="13" t="n">
        <x:v>0.19817802563630788</x:v>
      </x:c>
      <x:c r="P293" s="13" t="n">
        <x:v>0.3949438449069014</x:v>
      </x:c>
      <x:c r="Q293" s="13" t="n">
        <x:v>213955.91428571427</x:v>
      </x:c>
      <x:c r="R293" s="13" t="n">
        <x:v>1.069474235686372</x:v>
      </x:c>
      <x:c r="S293" s="13" t="n">
        <x:v>0.06365493937837217</x:v>
      </x:c>
      <x:c r="T293" s="13" t="n">
        <x:v>34</x:v>
      </x:c>
      <x:c r="U293" s="13" t="n">
        <x:v>1317</x:v>
      </x:c>
      <x:c r="V293" s="13" t="n">
        <x:v>1278</x:v>
      </x:c>
      <x:c r="W293" s="13" t="n">
        <x:v>39</x:v>
      </x:c>
      <x:c r="X293" s="13" t="n">
        <x:v>2</x:v>
      </x:c>
      <x:c r="Y293" s="13" t="n">
        <x:v>12466899.79</x:v>
      </x:c>
      <x:c r="Z293" s="13" t="n">
        <x:v>12493106.99</x:v>
      </x:c>
      <x:c r="AA293" s="13" t="n">
        <x:v>20</x:v>
      </x:c>
      <x:c r="AB293" s="13" t="n">
        <x:v>0.029612756264236904</x:v>
      </x:c>
      <x:c r="AC293" s="13" t="n">
        <x:v>0.001564945226917058</x:v>
      </x:c>
      <x:c r="AD293" s="13" t="n">
        <x:v>0.21162971841579575</x:v>
      </x:c>
      <x:c r="AE293" s="13" t="n">
        <x:v>0.34266420142136317</x:v>
      </x:c>
      <x:c r="AF293" s="13" t="n">
        <x:v>356197.13685714285</x:v>
      </x:c>
      <x:c r="AG293" s="13" t="n">
        <x:v>0.7974015906927153</x:v>
      </x:c>
      <x:c r="AH293" s="13" t="n">
        <x:v>0.0505275872410541</x:v>
      </x:c>
      <x:c r="AI293" s="13" t="n">
        <x:v>33</x:v>
      </x:c>
      <x:c r="AJ293" s="13" t="n">
        <x:v>4978442.789999999</x:v>
      </x:c>
      <x:c r="AK293" s="13" t="n">
        <x:v>0.5994070975293871</x:v>
      </x:c>
      <x:c r="AL293" s="13" t="n">
        <x:v>0.030871670702179176</x:v>
      </x:c>
      <x:c r="AM293" s="13" t="n">
        <x:v>0.0012492192379762648</x:v>
      </x:c>
      <x:c r="AN293" s="13" t="n">
        <x:v>0.20490387202605181</x:v>
      </x:c>
      <x:c r="AO293" s="13" t="n">
        <x:v>0.9334379131895436</x:v>
      </x:c>
      <x:c r="AP293" s="13" t="n">
        <x:v>0.05709126330971313</x:v>
      </x:c>
    </x:row>
    <x:row r="294" ht="15" hidden="0" customHeight="1">
      <x:c r="A294" s="2" t="str">
        <x:v>E293</x:v>
      </x:c>
      <x:c r="B294" s="2" t="str">
        <x:v>***物资有限公司</x:v>
      </x:c>
      <x:c r="C294" s="2" t="str">
        <x:v>无信贷记录</x:v>
      </x:c>
      <x:c r="D294" s="2" t="str"/>
      <x:c r="E294" s="2" t="str"/>
      <x:c r="F294" s="13" t="n">
        <x:v>59</x:v>
      </x:c>
      <x:c r="G294" s="13" t="n">
        <x:v>56</x:v>
      </x:c>
      <x:c r="H294" s="13" t="n">
        <x:v>3</x:v>
      </x:c>
      <x:c r="I294" s="13" t="n">
        <x:v>0</x:v>
      </x:c>
      <x:c r="J294" s="13" t="n">
        <x:v>8573544.459999999</x:v>
      </x:c>
      <x:c r="K294" s="13" t="n">
        <x:v>8573544.459999999</x:v>
      </x:c>
      <x:c r="L294" s="13" t="n">
        <x:v>27</x:v>
      </x:c>
      <x:c r="M294" s="13" t="n">
        <x:v>0.05084745762711865</x:v>
      </x:c>
      <x:c r="N294" s="13" t="n">
        <x:v>0</x:v>
      </x:c>
      <x:c r="O294" s="13" t="n">
        <x:v>0.667540899389283</x:v>
      </x:c>
      <x:c r="P294" s="13" t="n">
        <x:v>0.8137879452951482</x:v>
      </x:c>
      <x:c r="Q294" s="13" t="n">
        <x:v>238154.01277777774</x:v>
      </x:c>
      <x:c r="R294" s="13" t="n">
        <x:v>1.7116646997477354</x:v>
      </x:c>
      <x:c r="S294" s="13" t="n">
        <x:v>0.072706134429532</x:v>
      </x:c>
      <x:c r="T294" s="13" t="n">
        <x:v>23</x:v>
      </x:c>
      <x:c r="U294" s="13" t="n">
        <x:v>117</x:v>
      </x:c>
      <x:c r="V294" s="13" t="n">
        <x:v>107</x:v>
      </x:c>
      <x:c r="W294" s="13" t="n">
        <x:v>10</x:v>
      </x:c>
      <x:c r="X294" s="13" t="n">
        <x:v>0</x:v>
      </x:c>
      <x:c r="Y294" s="13" t="n">
        <x:v>8831231.14</x:v>
      </x:c>
      <x:c r="Z294" s="13" t="n">
        <x:v>8831231.14</x:v>
      </x:c>
      <x:c r="AA294" s="13" t="n">
        <x:v>3</x:v>
      </x:c>
      <x:c r="AB294" s="13" t="n">
        <x:v>0.08547008547008547</x:v>
      </x:c>
      <x:c r="AC294" s="13" t="n">
        <x:v>0</x:v>
      </x:c>
      <x:c r="AD294" s="13" t="n">
        <x:v>0.6363826735296351</x:v>
      </x:c>
      <x:c r="AE294" s="13" t="n">
        <x:v>0.7785838204207618</x:v>
      </x:c>
      <x:c r="AF294" s="13" t="n">
        <x:v>238681.92270270272</x:v>
      </x:c>
      <x:c r="AG294" s="13" t="n">
        <x:v>1.688498362291617</x:v>
      </x:c>
      <x:c r="AH294" s="13" t="n">
        <x:v>0.0636642829373905</x:v>
      </x:c>
      <x:c r="AI294" s="13" t="n">
        <x:v>37</x:v>
      </x:c>
      <x:c r="AJ294" s="13" t="n">
        <x:v>257686.68000000156</x:v>
      </x:c>
      <x:c r="AK294" s="13" t="n">
        <x:v>0.9708209788742996</x:v>
      </x:c>
      <x:c r="AL294" s="13" t="n">
        <x:v>0.07386363636363637</x:v>
      </x:c>
      <x:c r="AM294" s="13" t="n">
        <x:v>0</x:v>
      </x:c>
      <x:c r="AN294" s="13" t="n">
        <x:v>0.651961786459459</x:v>
      </x:c>
      <x:c r="AO294" s="13" t="n">
        <x:v>1.7000815310196762</x:v>
      </x:c>
      <x:c r="AP294" s="13" t="n">
        <x:v>0.06818520868346126</x:v>
      </x:c>
    </x:row>
    <x:row r="295" ht="15" hidden="0" customHeight="1">
      <x:c r="A295" s="2" t="str">
        <x:v>E294</x:v>
      </x:c>
      <x:c r="B295" s="2" t="str">
        <x:v>个体经营E294 </x:v>
      </x:c>
      <x:c r="C295" s="2" t="str">
        <x:v>无信贷记录</x:v>
      </x:c>
      <x:c r="D295" s="2" t="str"/>
      <x:c r="E295" s="2" t="str"/>
      <x:c r="F295" s="13" t="n">
        <x:v>867</x:v>
      </x:c>
      <x:c r="G295" s="13" t="n">
        <x:v>845</x:v>
      </x:c>
      <x:c r="H295" s="13" t="n">
        <x:v>22</x:v>
      </x:c>
      <x:c r="I295" s="13" t="n">
        <x:v>4</x:v>
      </x:c>
      <x:c r="J295" s="13" t="n">
        <x:v>4566083.58</x:v>
      </x:c>
      <x:c r="K295" s="13" t="n">
        <x:v>4606561.58</x:v>
      </x:c>
      <x:c r="L295" s="13" t="n">
        <x:v>235</x:v>
      </x:c>
      <x:c r="M295" s="13" t="n">
        <x:v>0.025374855824682813</x:v>
      </x:c>
      <x:c r="N295" s="13" t="n">
        <x:v>0.004733727810650888</x:v>
      </x:c>
      <x:c r="O295" s="13" t="n">
        <x:v>0.08618243906278686</x:v>
      </x:c>
      <x:c r="P295" s="13" t="n">
        <x:v>0.22639803286858481</x:v>
      </x:c>
      <x:c r="Q295" s="13" t="n">
        <x:v>152202.786</x:v>
      </x:c>
      <x:c r="R295" s="13" t="n">
        <x:v>1.1343831551405406</x:v>
      </x:c>
      <x:c r="S295" s="13" t="n">
        <x:v>-0.007366692362803245</x:v>
      </x:c>
      <x:c r="T295" s="13" t="n">
        <x:v>30</x:v>
      </x:c>
      <x:c r="U295" s="13" t="n">
        <x:v>359</x:v>
      </x:c>
      <x:c r="V295" s="13" t="n">
        <x:v>310</x:v>
      </x:c>
      <x:c r="W295" s="13" t="n">
        <x:v>49</x:v>
      </x:c>
      <x:c r="X295" s="13" t="n">
        <x:v>1</x:v>
      </x:c>
      <x:c r="Y295" s="13" t="n">
        <x:v>26189024.009999998</x:v>
      </x:c>
      <x:c r="Z295" s="13" t="n">
        <x:v>26420024.009999998</x:v>
      </x:c>
      <x:c r="AA295" s="13" t="n">
        <x:v>47</x:v>
      </x:c>
      <x:c r="AB295" s="13" t="n">
        <x:v>0.13649025069637882</x:v>
      </x:c>
      <x:c r="AC295" s="13" t="n">
        <x:v>0.0032258064516129032</x:v>
      </x:c>
      <x:c r="AD295" s="13" t="n">
        <x:v>0.07201861346218191</x:v>
      </x:c>
      <x:c r="AE295" s="13" t="n">
        <x:v>0.1427001307255814</x:v>
      </x:c>
      <x:c r="AF295" s="13" t="n">
        <x:v>727472.8891666667</x:v>
      </x:c>
      <x:c r="AG295" s="13" t="n">
        <x:v>0.6392835705011055</x:v>
      </x:c>
      <x:c r="AH295" s="13" t="n">
        <x:v>-0.01075306503837299</x:v>
      </x:c>
      <x:c r="AI295" s="13" t="n">
        <x:v>36</x:v>
      </x:c>
      <x:c r="AJ295" s="13" t="n">
        <x:v>21622940.43</x:v>
      </x:c>
      <x:c r="AK295" s="13" t="n">
        <x:v>0.17435872042570488</x:v>
      </x:c>
      <x:c r="AL295" s="13" t="n">
        <x:v>0.05791190864600326</x:v>
      </x:c>
      <x:c r="AM295" s="13" t="n">
        <x:v>0.004329004329004329</x:v>
      </x:c>
      <x:c r="AN295" s="13" t="n">
        <x:v>0.07910052626248439</x:v>
      </x:c>
      <x:c r="AO295" s="13" t="n">
        <x:v>0.886833362820823</x:v>
      </x:c>
      <x:c r="AP295" s="13" t="n">
        <x:v>-0.009059878700588117</x:v>
      </x:c>
    </x:row>
    <x:row r="296" ht="15" hidden="0" customHeight="1">
      <x:c r="A296" s="2" t="str">
        <x:v>E295</x:v>
      </x:c>
      <x:c r="B296" s="2" t="str">
        <x:v>***电器设备制造有限公司</x:v>
      </x:c>
      <x:c r="C296" s="2" t="str">
        <x:v>无信贷记录</x:v>
      </x:c>
      <x:c r="D296" s="2" t="str"/>
      <x:c r="E296" s="2" t="str"/>
      <x:c r="F296" s="13" t="n">
        <x:v>854</x:v>
      </x:c>
      <x:c r="G296" s="13" t="n">
        <x:v>818</x:v>
      </x:c>
      <x:c r="H296" s="13" t="n">
        <x:v>36</x:v>
      </x:c>
      <x:c r="I296" s="13" t="n">
        <x:v>1</x:v>
      </x:c>
      <x:c r="J296" s="13" t="n">
        <x:v>12865263.94</x:v>
      </x:c>
      <x:c r="K296" s="13" t="n">
        <x:v>12921396.44</x:v>
      </x:c>
      <x:c r="L296" s="13" t="n">
        <x:v>216</x:v>
      </x:c>
      <x:c r="M296" s="13" t="n">
        <x:v>0.04215456674473068</x:v>
      </x:c>
      <x:c r="N296" s="13" t="n">
        <x:v>0.0012224938875305623</x:v>
      </x:c>
      <x:c r="O296" s="13" t="n">
        <x:v>0.06865300760557859</x:v>
      </x:c>
      <x:c r="P296" s="13" t="n">
        <x:v>0.22628414069462605</x:v>
      </x:c>
      <x:c r="Q296" s="13" t="n">
        <x:v>347709.83621621627</x:v>
      </x:c>
      <x:c r="R296" s="13" t="n">
        <x:v>1.1425684286166882</x:v>
      </x:c>
      <x:c r="S296" s="13" t="n">
        <x:v>0.014903591618390145</x:v>
      </x:c>
      <x:c r="T296" s="13" t="n">
        <x:v>37</x:v>
      </x:c>
      <x:c r="U296" s="13" t="n">
        <x:v>251</x:v>
      </x:c>
      <x:c r="V296" s="13" t="n">
        <x:v>206</x:v>
      </x:c>
      <x:c r="W296" s="13" t="n">
        <x:v>45</x:v>
      </x:c>
      <x:c r="X296" s="13" t="n">
        <x:v>3</x:v>
      </x:c>
      <x:c r="Y296" s="13" t="n">
        <x:v>15791956.189999998</x:v>
      </x:c>
      <x:c r="Z296" s="13" t="n">
        <x:v>16100447.93</x:v>
      </x:c>
      <x:c r="AA296" s="13" t="n">
        <x:v>59</x:v>
      </x:c>
      <x:c r="AB296" s="13" t="n">
        <x:v>0.17928286852589642</x:v>
      </x:c>
      <x:c r="AC296" s="13" t="n">
        <x:v>0.014563106796116505</x:v>
      </x:c>
      <x:c r="AD296" s="13" t="n">
        <x:v>0.05687074579506028</x:v>
      </x:c>
      <x:c r="AE296" s="13" t="n">
        <x:v>0.1535554830989103</x:v>
      </x:c>
      <x:c r="AF296" s="13" t="n">
        <x:v>426809.62675675674</x:v>
      </x:c>
      <x:c r="AG296" s="13" t="n">
        <x:v>1.0311269797388851</x:v>
      </x:c>
      <x:c r="AH296" s="13" t="n">
        <x:v>0.01086895109740064</x:v>
      </x:c>
      <x:c r="AI296" s="13" t="n">
        <x:v>33</x:v>
      </x:c>
      <x:c r="AJ296" s="13" t="n">
        <x:v>2926692.249999998</x:v>
      </x:c>
      <x:c r="AK296" s="13" t="n">
        <x:v>0.802548879147861</x:v>
      </x:c>
      <x:c r="AL296" s="13" t="n">
        <x:v>0.07330316742081448</x:v>
      </x:c>
      <x:c r="AM296" s="13" t="n">
        <x:v>0.00390625</x:v>
      </x:c>
      <x:c r="AN296" s="13" t="n">
        <x:v>0.06276187670031944</x:v>
      </x:c>
      <x:c r="AO296" s="13" t="n">
        <x:v>1.0868477041777866</x:v>
      </x:c>
      <x:c r="AP296" s="13" t="n">
        <x:v>0.012886271357895392</x:v>
      </x:c>
    </x:row>
    <x:row r="297" ht="15" hidden="0" customHeight="1">
      <x:c r="A297" s="2" t="str">
        <x:v>E296</x:v>
      </x:c>
      <x:c r="B297" s="2" t="str">
        <x:v>***装饰设计工程有限公司</x:v>
      </x:c>
      <x:c r="C297" s="2" t="str">
        <x:v>无信贷记录</x:v>
      </x:c>
      <x:c r="D297" s="2" t="str"/>
      <x:c r="E297" s="2" t="str"/>
      <x:c r="F297" s="13" t="n">
        <x:v>1544</x:v>
      </x:c>
      <x:c r="G297" s="13" t="n">
        <x:v>1446</x:v>
      </x:c>
      <x:c r="H297" s="13" t="n">
        <x:v>98</x:v>
      </x:c>
      <x:c r="I297" s="13" t="n">
        <x:v>28</x:v>
      </x:c>
      <x:c r="J297" s="13" t="n">
        <x:v>5806430.69</x:v>
      </x:c>
      <x:c r="K297" s="13" t="n">
        <x:v>7143624.61</x:v>
      </x:c>
      <x:c r="L297" s="13" t="n">
        <x:v>386</x:v>
      </x:c>
      <x:c r="M297" s="13" t="n">
        <x:v>0.06347150259067358</x:v>
      </x:c>
      <x:c r="N297" s="13" t="n">
        <x:v>0.019363762102351315</x:v>
      </x:c>
      <x:c r="O297" s="13" t="n">
        <x:v>0.044377190996802526</x:v>
      </x:c>
      <x:c r="P297" s="13" t="n">
        <x:v>0.11128804261174635</x:v>
      </x:c>
      <x:c r="Q297" s="13" t="n">
        <x:v>175952.44515151516</x:v>
      </x:c>
      <x:c r="R297" s="13" t="n">
        <x:v>1.228221042970877</x:v>
      </x:c>
      <x:c r="S297" s="13" t="n">
        <x:v>0.01867896171871496</x:v>
      </x:c>
      <x:c r="T297" s="13" t="n">
        <x:v>28</x:v>
      </x:c>
      <x:c r="U297" s="13" t="n">
        <x:v>252</x:v>
      </x:c>
      <x:c r="V297" s="13" t="n">
        <x:v>219</x:v>
      </x:c>
      <x:c r="W297" s="13" t="n">
        <x:v>33</x:v>
      </x:c>
      <x:c r="X297" s="13" t="n">
        <x:v>19</x:v>
      </x:c>
      <x:c r="Y297" s="13" t="n">
        <x:v>13194399.370000001</x:v>
      </x:c>
      <x:c r="Z297" s="13" t="n">
        <x:v>16873297.39</x:v>
      </x:c>
      <x:c r="AA297" s="13" t="n">
        <x:v>19</x:v>
      </x:c>
      <x:c r="AB297" s="13" t="n">
        <x:v>0.13095238095238096</x:v>
      </x:c>
      <x:c r="AC297" s="13" t="n">
        <x:v>0.0867579908675799</x:v>
      </x:c>
      <x:c r="AD297" s="13" t="n">
        <x:v>0.3904781761789698</x:v>
      </x:c>
      <x:c r="AE297" s="13" t="n">
        <x:v>0.6105462359778867</x:v>
      </x:c>
      <x:c r="AF297" s="13" t="n">
        <x:v>388070.56970588234</x:v>
      </x:c>
      <x:c r="AG297" s="13" t="n">
        <x:v>1.6860383634004792</x:v>
      </x:c>
      <x:c r="AH297" s="13" t="n">
        <x:v>0.04450186089453254</x:v>
      </x:c>
      <x:c r="AI297" s="13" t="n">
        <x:v>20</x:v>
      </x:c>
      <x:c r="AJ297" s="13" t="n">
        <x:v>7387968.680000001</x:v>
      </x:c>
      <x:c r="AK297" s="13" t="n">
        <x:v>0.42336861876408854</x:v>
      </x:c>
      <x:c r="AL297" s="13" t="n">
        <x:v>0.07293986636971046</x:v>
      </x:c>
      <x:c r="AM297" s="13" t="n">
        <x:v>0.02822822822822823</x:v>
      </x:c>
      <x:c r="AN297" s="13" t="n">
        <x:v>0.21742768358788617</x:v>
      </x:c>
      <x:c r="AO297" s="13" t="n">
        <x:v>1.4571297031856782</x:v>
      </x:c>
      <x:c r="AP297" s="13" t="n">
        <x:v>0.03159041130662375</x:v>
      </x:c>
    </x:row>
    <x:row r="298" ht="15" hidden="0" customHeight="1">
      <x:c r="A298" s="2" t="str">
        <x:v>E297</x:v>
      </x:c>
      <x:c r="B298" s="2" t="str">
        <x:v>***建筑机械租赁有限公司</x:v>
      </x:c>
      <x:c r="C298" s="2" t="str">
        <x:v>无信贷记录</x:v>
      </x:c>
      <x:c r="D298" s="2" t="str"/>
      <x:c r="E298" s="2" t="str"/>
      <x:c r="F298" s="13" t="n">
        <x:v>50</x:v>
      </x:c>
      <x:c r="G298" s="13" t="n">
        <x:v>50</x:v>
      </x:c>
      <x:c r="H298" s="13" t="n">
        <x:v>0</x:v>
      </x:c>
      <x:c r="I298" s="13" t="n">
        <x:v>0</x:v>
      </x:c>
      <x:c r="J298" s="13" t="n">
        <x:v>11818960</x:v>
      </x:c>
      <x:c r="K298" s="13" t="n">
        <x:v>11818960</x:v>
      </x:c>
      <x:c r="L298" s="13" t="n">
        <x:v>10</x:v>
      </x:c>
      <x:c r="M298" s="13" t="n">
        <x:v>0</x:v>
      </x:c>
      <x:c r="N298" s="13" t="n">
        <x:v>0</x:v>
      </x:c>
      <x:c r="O298" s="13" t="n">
        <x:v>0.5873312153754091</x:v>
      </x:c>
      <x:c r="P298" s="13" t="n">
        <x:v>0.7502335230849415</x:v>
      </x:c>
      <x:c r="Q298" s="13" t="n">
        <x:v>369342.5</x:v>
      </x:c>
      <x:c r="R298" s="13" t="n">
        <x:v>1.9664910385866616</x:v>
      </x:c>
      <x:c r="S298" s="13" t="n">
        <x:v>0.03407220808904743</x:v>
      </x:c>
      <x:c r="T298" s="13" t="n">
        <x:v>13</x:v>
      </x:c>
      <x:c r="U298" s="13" t="n">
        <x:v>183</x:v>
      </x:c>
      <x:c r="V298" s="13" t="n">
        <x:v>162</x:v>
      </x:c>
      <x:c r="W298" s="13" t="n">
        <x:v>21</x:v>
      </x:c>
      <x:c r="X298" s="13" t="n">
        <x:v>0</x:v>
      </x:c>
      <x:c r="Y298" s="13" t="n">
        <x:v>15690373</x:v>
      </x:c>
      <x:c r="Z298" s="13" t="n">
        <x:v>15690373</x:v>
      </x:c>
      <x:c r="AA298" s="13" t="n">
        <x:v>3</x:v>
      </x:c>
      <x:c r="AB298" s="13" t="n">
        <x:v>0.11475409836065574</x:v>
      </x:c>
      <x:c r="AC298" s="13" t="n">
        <x:v>0</x:v>
      </x:c>
      <x:c r="AD298" s="13" t="n">
        <x:v>0.4940782576081245</x:v>
      </x:c>
      <x:c r="AE298" s="13" t="n">
        <x:v>0.6502971599209273</x:v>
      </x:c>
      <x:c r="AF298" s="13" t="n">
        <x:v>653765.5416666666</x:v>
      </x:c>
      <x:c r="AG298" s="13" t="n">
        <x:v>1.2281719324286355</x:v>
      </x:c>
      <x:c r="AH298" s="13" t="n">
        <x:v>-0.022419182713529842</x:v>
      </x:c>
      <x:c r="AI298" s="13" t="n">
        <x:v>14</x:v>
      </x:c>
      <x:c r="AJ298" s="13" t="n">
        <x:v>3871413</x:v>
      </x:c>
      <x:c r="AK298" s="13" t="n">
        <x:v>0.7532618886753042</x:v>
      </x:c>
      <x:c r="AL298" s="13" t="n">
        <x:v>0.09012875536480687</x:v>
      </x:c>
      <x:c r="AM298" s="13" t="n">
        <x:v>0</x:v>
      </x:c>
      <x:c r="AN298" s="13" t="n">
        <x:v>0.5407047364917668</x:v>
      </x:c>
      <x:c r="AO298" s="13" t="n">
        <x:v>1.5973314855076486</x:v>
      </x:c>
      <x:c r="AP298" s="13" t="n">
        <x:v>0.005826512687758793</x:v>
      </x:c>
    </x:row>
    <x:row r="299" ht="15" hidden="0" customHeight="1">
      <x:c r="A299" s="2" t="str">
        <x:v>E298</x:v>
      </x:c>
      <x:c r="B299" s="2" t="str">
        <x:v>***电器维护服务有限公司</x:v>
      </x:c>
      <x:c r="C299" s="2" t="str">
        <x:v>无信贷记录</x:v>
      </x:c>
      <x:c r="D299" s="2" t="str"/>
      <x:c r="E299" s="2" t="str"/>
      <x:c r="F299" s="13" t="n">
        <x:v>909</x:v>
      </x:c>
      <x:c r="G299" s="13" t="n">
        <x:v>902</x:v>
      </x:c>
      <x:c r="H299" s="13" t="n">
        <x:v>7</x:v>
      </x:c>
      <x:c r="I299" s="13" t="n">
        <x:v>10</x:v>
      </x:c>
      <x:c r="J299" s="13" t="n">
        <x:v>5748300.0600000005</x:v>
      </x:c>
      <x:c r="K299" s="13" t="n">
        <x:v>5834734</x:v>
      </x:c>
      <x:c r="L299" s="13" t="n">
        <x:v>70</x:v>
      </x:c>
      <x:c r="M299" s="13" t="n">
        <x:v>0.007700770077007701</x:v>
      </x:c>
      <x:c r="N299" s="13" t="n">
        <x:v>0.011086474501108648</x:v>
      </x:c>
      <x:c r="O299" s="13" t="n">
        <x:v>0.10165810120125719</x:v>
      </x:c>
      <x:c r="P299" s="13" t="n">
        <x:v>0.13399788233705257</x:v>
      </x:c>
      <x:c r="Q299" s="13" t="n">
        <x:v>198217.24344827584</x:v>
      </x:c>
      <x:c r="R299" s="13" t="n">
        <x:v>1.243315581126584</x:v>
      </x:c>
      <x:c r="S299" s="13" t="n">
        <x:v>0.08986221185183786</x:v>
      </x:c>
      <x:c r="T299" s="13" t="n">
        <x:v>28</x:v>
      </x:c>
      <x:c r="U299" s="13" t="n">
        <x:v>2813</x:v>
      </x:c>
      <x:c r="V299" s="13" t="n">
        <x:v>2436</x:v>
      </x:c>
      <x:c r="W299" s="13" t="n">
        <x:v>377</x:v>
      </x:c>
      <x:c r="X299" s="13" t="n">
        <x:v>29</x:v>
      </x:c>
      <x:c r="Y299" s="13" t="n">
        <x:v>16738275.44</x:v>
      </x:c>
      <x:c r="Z299" s="13" t="n">
        <x:v>17023616.3</x:v>
      </x:c>
      <x:c r="AA299" s="13" t="n">
        <x:v>263</x:v>
      </x:c>
      <x:c r="AB299" s="13" t="n">
        <x:v>0.13402061855670103</x:v>
      </x:c>
      <x:c r="AC299" s="13" t="n">
        <x:v>0.011904761904761904</x:v>
      </x:c>
      <x:c r="AD299" s="13" t="n">
        <x:v>0.2909860290778349</x:v>
      </x:c>
      <x:c r="AE299" s="13" t="n">
        <x:v>0.495498454109307</x:v>
      </x:c>
      <x:c r="AF299" s="13" t="n">
        <x:v>440480.93263157894</x:v>
      </x:c>
      <x:c r="AG299" s="13" t="n">
        <x:v>0.5514928216632025</x:v>
      </x:c>
      <x:c r="AH299" s="13" t="n">
        <x:v>0.024401062865302588</x:v>
      </x:c>
      <x:c r="AI299" s="13" t="n">
        <x:v>38</x:v>
      </x:c>
      <x:c r="AJ299" s="13" t="n">
        <x:v>10989975.379999999</x:v>
      </x:c>
      <x:c r="AK299" s="13" t="n">
        <x:v>0.3427435097911599</x:v>
      </x:c>
      <x:c r="AL299" s="13" t="n">
        <x:v>0.1031703385276733</x:v>
      </x:c>
      <x:c r="AM299" s="13" t="n">
        <x:v>0.011683642899940084</x:v>
      </x:c>
      <x:c r="AN299" s="13" t="n">
        <x:v>0.19632206513954603</x:v>
      </x:c>
      <x:c r="AO299" s="13" t="n">
        <x:v>0.8974042013948932</x:v>
      </x:c>
      <x:c r="AP299" s="13" t="n">
        <x:v>0.05713163735857023</x:v>
      </x:c>
    </x:row>
    <x:row r="300" ht="15" hidden="0" customHeight="1">
      <x:c r="A300" s="2" t="str">
        <x:v>E299</x:v>
      </x:c>
      <x:c r="B300" s="2" t="str">
        <x:v>***压缩天然气有限责任公司</x:v>
      </x:c>
      <x:c r="C300" s="2" t="str">
        <x:v>无信贷记录</x:v>
      </x:c>
      <x:c r="D300" s="2" t="str"/>
      <x:c r="E300" s="2" t="str"/>
      <x:c r="F300" s="13" t="n">
        <x:v>592</x:v>
      </x:c>
      <x:c r="G300" s="13" t="n">
        <x:v>570</x:v>
      </x:c>
      <x:c r="H300" s="13" t="n">
        <x:v>22</x:v>
      </x:c>
      <x:c r="I300" s="13" t="n">
        <x:v>6</x:v>
      </x:c>
      <x:c r="J300" s="13" t="n">
        <x:v>26824293.29</x:v>
      </x:c>
      <x:c r="K300" s="13" t="n">
        <x:v>27325580.89</x:v>
      </x:c>
      <x:c r="L300" s="13" t="n">
        <x:v>109</x:v>
      </x:c>
      <x:c r="M300" s="13" t="n">
        <x:v>0.037162162162162164</x:v>
      </x:c>
      <x:c r="N300" s="13" t="n">
        <x:v>0.010526315789473684</x:v>
      </x:c>
      <x:c r="O300" s="13" t="n">
        <x:v>0.41737240365516914</x:v>
      </x:c>
      <x:c r="P300" s="13" t="n">
        <x:v>0.6183401651374738</x:v>
      </x:c>
      <x:c r="Q300" s="13" t="n">
        <x:v>705902.4550000001</x:v>
      </x:c>
      <x:c r="R300" s="13" t="n">
        <x:v>0.754538152110569</x:v>
      </x:c>
      <x:c r="S300" s="13" t="n">
        <x:v>0.027444729761013545</x:v>
      </x:c>
      <x:c r="T300" s="13" t="n">
        <x:v>38</x:v>
      </x:c>
      <x:c r="U300" s="13" t="n">
        <x:v>545</x:v>
      </x:c>
      <x:c r="V300" s="13" t="n">
        <x:v>495</x:v>
      </x:c>
      <x:c r="W300" s="13" t="n">
        <x:v>50</x:v>
      </x:c>
      <x:c r="X300" s="13" t="n">
        <x:v>6</x:v>
      </x:c>
      <x:c r="Y300" s="13" t="n">
        <x:v>21871451.740000002</x:v>
      </x:c>
      <x:c r="Z300" s="13" t="n">
        <x:v>22972443.160000004</x:v>
      </x:c>
      <x:c r="AA300" s="13" t="n">
        <x:v>279</x:v>
      </x:c>
      <x:c r="AB300" s="13" t="n">
        <x:v>0.09174311926605505</x:v>
      </x:c>
      <x:c r="AC300" s="13" t="n">
        <x:v>0.012121212121212121</x:v>
      </x:c>
      <x:c r="AD300" s="13" t="n">
        <x:v>0.3233224816854719</x:v>
      </x:c>
      <x:c r="AE300" s="13" t="n">
        <x:v>0.4870160336050212</x:v>
      </x:c>
      <x:c r="AF300" s="13" t="n">
        <x:v>575564.5194736841</x:v>
      </x:c>
      <x:c r="AG300" s="13" t="n">
        <x:v>0.7753612142157176</x:v>
      </x:c>
      <x:c r="AH300" s="13" t="n">
        <x:v>0.00873948031481533</x:v>
      </x:c>
      <x:c r="AI300" s="13" t="n">
        <x:v>38</x:v>
      </x:c>
      <x:c r="AJ300" s="13" t="n">
        <x:v>-4952841.549999997</x:v>
      </x:c>
      <x:c r="AK300" s="13" t="n">
        <x:v>1.1894938949105662</x:v>
      </x:c>
      <x:c r="AL300" s="13" t="n">
        <x:v>0.0633245382585752</x:v>
      </x:c>
      <x:c r="AM300" s="13" t="n">
        <x:v>0.011267605633802818</x:v>
      </x:c>
      <x:c r="AN300" s="13" t="n">
        <x:v>0.3703474426703205</x:v>
      </x:c>
      <x:c r="AO300" s="13" t="n">
        <x:v>0.7649496831631433</x:v>
      </x:c>
      <x:c r="AP300" s="13" t="n">
        <x:v>0.018092105037914436</x:v>
      </x:c>
    </x:row>
    <x:row r="301" ht="15" hidden="0" customHeight="1">
      <x:c r="A301" s="2" t="str">
        <x:v>E300</x:v>
      </x:c>
      <x:c r="B301" s="2" t="str">
        <x:v>***建设工程有限公司</x:v>
      </x:c>
      <x:c r="C301" s="2" t="str">
        <x:v>无信贷记录</x:v>
      </x:c>
      <x:c r="D301" s="2" t="str"/>
      <x:c r="E301" s="2" t="str"/>
      <x:c r="F301" s="13" t="n">
        <x:v>771</x:v>
      </x:c>
      <x:c r="G301" s="13" t="n">
        <x:v>747</x:v>
      </x:c>
      <x:c r="H301" s="13" t="n">
        <x:v>24</x:v>
      </x:c>
      <x:c r="I301" s="13" t="n">
        <x:v>2</x:v>
      </x:c>
      <x:c r="J301" s="13" t="n">
        <x:v>16132911.690000001</x:v>
      </x:c>
      <x:c r="K301" s="13" t="n">
        <x:v>16333842.469999999</x:v>
      </x:c>
      <x:c r="L301" s="13" t="n">
        <x:v>234</x:v>
      </x:c>
      <x:c r="M301" s="13" t="n">
        <x:v>0.0311284046692607</x:v>
      </x:c>
      <x:c r="N301" s="13" t="n">
        <x:v>0.002677376171352075</x:v>
      </x:c>
      <x:c r="O301" s="13" t="n">
        <x:v>0.059862356712001234</x:v>
      </x:c>
      <x:c r="P301" s="13" t="n">
        <x:v>0.15975411999917494</x:v>
      </x:c>
      <x:c r="Q301" s="13" t="n">
        <x:v>460940.334</x:v>
      </x:c>
      <x:c r="R301" s="13" t="n">
        <x:v>1.8774204574432962</x:v>
      </x:c>
      <x:c r="S301" s="13" t="n">
        <x:v>0.12472725623629036</x:v>
      </x:c>
      <x:c r="T301" s="13" t="n">
        <x:v>35</x:v>
      </x:c>
      <x:c r="U301" s="13" t="n">
        <x:v>246</x:v>
      </x:c>
      <x:c r="V301" s="13" t="n">
        <x:v>223</x:v>
      </x:c>
      <x:c r="W301" s="13" t="n">
        <x:v>23</x:v>
      </x:c>
      <x:c r="X301" s="13" t="n">
        <x:v>4</x:v>
      </x:c>
      <x:c r="Y301" s="13" t="n">
        <x:v>20246738.77</x:v>
      </x:c>
      <x:c r="Z301" s="13" t="n">
        <x:v>21038738.770000003</x:v>
      </x:c>
      <x:c r="AA301" s="13" t="n">
        <x:v>23</x:v>
      </x:c>
      <x:c r="AB301" s="13" t="n">
        <x:v>0.09349593495934959</x:v>
      </x:c>
      <x:c r="AC301" s="13" t="n">
        <x:v>0.017937219730941704</x:v>
      </x:c>
      <x:c r="AD301" s="13" t="n">
        <x:v>0.1539367268785865</x:v>
      </x:c>
      <x:c r="AE301" s="13" t="n">
        <x:v>0.30065954804381084</x:v>
      </x:c>
      <x:c r="AF301" s="13" t="n">
        <x:v>613537.5384848486</x:v>
      </x:c>
      <x:c r="AG301" s="13" t="n">
        <x:v>1.823406929668842</x:v>
      </x:c>
      <x:c r="AH301" s="13" t="n">
        <x:v>0.12463954456724097</x:v>
      </x:c>
      <x:c r="AI301" s="13" t="n">
        <x:v>18</x:v>
      </x:c>
      <x:c r="AJ301" s="13" t="n">
        <x:v>4113827.079999998</x:v>
      </x:c>
      <x:c r="AK301" s="13" t="n">
        <x:v>0.7763698503301487</x:v>
      </x:c>
      <x:c r="AL301" s="13" t="n">
        <x:v>0.046214355948869225</x:v>
      </x:c>
      <x:c r="AM301" s="13" t="n">
        <x:v>0.006185567010309278</x:v>
      </x:c>
      <x:c r="AN301" s="13" t="n">
        <x:v>0.10689954179529387</x:v>
      </x:c>
      <x:c r="AO301" s="13" t="n">
        <x:v>1.850413693556069</x:v>
      </x:c>
      <x:c r="AP301" s="13" t="n">
        <x:v>0.12468340040176566</x:v>
      </x:c>
    </x:row>
    <x:row r="302" ht="15" hidden="0" customHeight="1">
      <x:c r="A302" s="2" t="str">
        <x:v>E301</x:v>
      </x:c>
      <x:c r="B302" s="2" t="str">
        <x:v>***企业管理咨询有限公司</x:v>
      </x:c>
      <x:c r="C302" s="2" t="str">
        <x:v>无信贷记录</x:v>
      </x:c>
      <x:c r="D302" s="2" t="str"/>
      <x:c r="E302" s="2" t="str"/>
      <x:c r="F302" s="13" t="n">
        <x:v>3029</x:v>
      </x:c>
      <x:c r="G302" s="13" t="n">
        <x:v>2971</x:v>
      </x:c>
      <x:c r="H302" s="13" t="n">
        <x:v>58</x:v>
      </x:c>
      <x:c r="I302" s="13" t="n">
        <x:v>7</x:v>
      </x:c>
      <x:c r="J302" s="13" t="n">
        <x:v>4118577.67</x:v>
      </x:c>
      <x:c r="K302" s="13" t="n">
        <x:v>4136788.6700000004</x:v>
      </x:c>
      <x:c r="L302" s="13" t="n">
        <x:v>789</x:v>
      </x:c>
      <x:c r="M302" s="13" t="n">
        <x:v>0.01914823374050842</x:v>
      </x:c>
      <x:c r="N302" s="13" t="n">
        <x:v>0.0023561090541905083</x:v>
      </x:c>
      <x:c r="O302" s="13" t="n">
        <x:v>0.0643779641296795</x:v>
      </x:c>
      <x:c r="P302" s="13" t="n">
        <x:v>0.21632722176257557</x:v>
      </x:c>
      <x:c r="Q302" s="13" t="n">
        <x:v>114404.93527777778</x:v>
      </x:c>
      <x:c r="R302" s="13" t="n">
        <x:v>0.7969355674600227</x:v>
      </x:c>
      <x:c r="S302" s="13" t="n">
        <x:v>0.051295325938227145</x:v>
      </x:c>
      <x:c r="T302" s="13" t="n">
        <x:v>35</x:v>
      </x:c>
      <x:c r="U302" s="13" t="n">
        <x:v>458</x:v>
      </x:c>
      <x:c r="V302" s="13" t="n">
        <x:v>428</x:v>
      </x:c>
      <x:c r="W302" s="13" t="n">
        <x:v>30</x:v>
      </x:c>
      <x:c r="X302" s="13" t="n">
        <x:v>8</x:v>
      </x:c>
      <x:c r="Y302" s="13" t="n">
        <x:v>16238685.06</x:v>
      </x:c>
      <x:c r="Z302" s="13" t="n">
        <x:v>16609162.16</x:v>
      </x:c>
      <x:c r="AA302" s="13" t="n">
        <x:v>121</x:v>
      </x:c>
      <x:c r="AB302" s="13" t="n">
        <x:v>0.06550218340611354</x:v>
      </x:c>
      <x:c r="AC302" s="13" t="n">
        <x:v>0.018691588785046728</x:v>
      </x:c>
      <x:c r="AD302" s="13" t="n">
        <x:v>0.11284800775451194</x:v>
      </x:c>
      <x:c r="AE302" s="13" t="n">
        <x:v>0.2976572606357165</x:v>
      </x:c>
      <x:c r="AF302" s="13" t="n">
        <x:v>477608.384117647</x:v>
      </x:c>
      <x:c r="AG302" s="13" t="n">
        <x:v>1.111379332398064</x:v>
      </x:c>
      <x:c r="AH302" s="13" t="n">
        <x:v>0.046905006235769584</x:v>
      </x:c>
      <x:c r="AI302" s="13" t="n">
        <x:v>34</x:v>
      </x:c>
      <x:c r="AJ302" s="13" t="n">
        <x:v>12120107.39</x:v>
      </x:c>
      <x:c r="AK302" s="13" t="n">
        <x:v>0.24906666755067675</x:v>
      </x:c>
      <x:c r="AL302" s="13" t="n">
        <x:v>0.025236593059936908</x:v>
      </x:c>
      <x:c r="AM302" s="13" t="n">
        <x:v>0.00441306266548985</x:v>
      </x:c>
      <x:c r="AN302" s="13" t="n">
        <x:v>0.08861298594209571</x:v>
      </x:c>
      <x:c r="AO302" s="13" t="n">
        <x:v>0.9541574499290434</x:v>
      </x:c>
      <x:c r="AP302" s="13" t="n">
        <x:v>0.04910016608699837</x:v>
      </x:c>
    </x:row>
    <x:row r="303" ht="15" hidden="0" customHeight="1">
      <x:c r="A303" s="2" t="str">
        <x:v>E302</x:v>
      </x:c>
      <x:c r="B303" s="2" t="str">
        <x:v>***机电设备有限公司</x:v>
      </x:c>
      <x:c r="C303" s="2" t="str">
        <x:v>无信贷记录</x:v>
      </x:c>
      <x:c r="D303" s="2" t="str"/>
      <x:c r="E303" s="2" t="str"/>
      <x:c r="F303" s="13" t="n">
        <x:v>955</x:v>
      </x:c>
      <x:c r="G303" s="13" t="n">
        <x:v>899</x:v>
      </x:c>
      <x:c r="H303" s="13" t="n">
        <x:v>56</x:v>
      </x:c>
      <x:c r="I303" s="13" t="n">
        <x:v>8</x:v>
      </x:c>
      <x:c r="J303" s="13" t="n">
        <x:v>3494287.41</x:v>
      </x:c>
      <x:c r="K303" s="13" t="n">
        <x:v>3630375.41</x:v>
      </x:c>
      <x:c r="L303" s="13" t="n">
        <x:v>237</x:v>
      </x:c>
      <x:c r="M303" s="13" t="n">
        <x:v>0.05863874345549738</x:v>
      </x:c>
      <x:c r="N303" s="13" t="n">
        <x:v>0.008898776418242492</x:v>
      </x:c>
      <x:c r="O303" s="13" t="n">
        <x:v>0.10136188001214458</x:v>
      </x:c>
      <x:c r="P303" s="13" t="n">
        <x:v>0.2508195040909006</x:v>
      </x:c>
      <x:c r="Q303" s="13" t="n">
        <x:v>91954.93184210527</x:v>
      </x:c>
      <x:c r="R303" s="13" t="n">
        <x:v>1.7355161783312947</x:v>
      </x:c>
      <x:c r="S303" s="13" t="n">
        <x:v>0.032977719392182615</x:v>
      </x:c>
      <x:c r="T303" s="13" t="n">
        <x:v>38</x:v>
      </x:c>
      <x:c r="U303" s="13" t="n">
        <x:v>289</x:v>
      </x:c>
      <x:c r="V303" s="13" t="n">
        <x:v>261</x:v>
      </x:c>
      <x:c r="W303" s="13" t="n">
        <x:v>28</x:v>
      </x:c>
      <x:c r="X303" s="13" t="n">
        <x:v>1</x:v>
      </x:c>
      <x:c r="Y303" s="13" t="n">
        <x:v>10753014.6</x:v>
      </x:c>
      <x:c r="Z303" s="13" t="n">
        <x:v>10941062.2</x:v>
      </x:c>
      <x:c r="AA303" s="13" t="n">
        <x:v>34</x:v>
      </x:c>
      <x:c r="AB303" s="13" t="n">
        <x:v>0.09688581314878893</x:v>
      </x:c>
      <x:c r="AC303" s="13" t="n">
        <x:v>0.0038314176245210726</x:v>
      </x:c>
      <x:c r="AD303" s="13" t="n">
        <x:v>0.0924845700017668</x:v>
      </x:c>
      <x:c r="AE303" s="13" t="n">
        <x:v>0.1521650247084785</x:v>
      </x:c>
      <x:c r="AF303" s="13" t="n">
        <x:v>290622.0162162162</x:v>
      </x:c>
      <x:c r="AG303" s="13" t="n">
        <x:v>0.8586142929790735</x:v>
      </x:c>
      <x:c r="AH303" s="13" t="n">
        <x:v>0.04872706027259685</x:v>
      </x:c>
      <x:c r="AI303" s="13" t="n">
        <x:v>36</x:v>
      </x:c>
      <x:c r="AJ303" s="13" t="n">
        <x:v>7258727.1899999995</x:v>
      </x:c>
      <x:c r="AK303" s="13" t="n">
        <x:v>0.3318119706878186</x:v>
      </x:c>
      <x:c r="AL303" s="13" t="n">
        <x:v>0.06752411575562701</x:v>
      </x:c>
      <x:c r="AM303" s="13" t="n">
        <x:v>0.007758620689655172</x:v>
      </x:c>
      <x:c r="AN303" s="13" t="n">
        <x:v>0.09692322500695569</x:v>
      </x:c>
      <x:c r="AO303" s="13" t="n">
        <x:v>1.2970652356551842</x:v>
      </x:c>
      <x:c r="AP303" s="13" t="n">
        <x:v>0.04085238983238973</x:v>
      </x:c>
    </x:row>
    <x:row r="304" ht="15" hidden="0" customHeight="1">
      <x:c r="A304" s="2" t="str">
        <x:v>E303</x:v>
      </x:c>
      <x:c r="B304" s="2" t="str">
        <x:v>***图书发行有限公司</x:v>
      </x:c>
      <x:c r="C304" s="2" t="str">
        <x:v>无信贷记录</x:v>
      </x:c>
      <x:c r="D304" s="2" t="str"/>
      <x:c r="E304" s="2" t="str"/>
      <x:c r="F304" s="13" t="n">
        <x:v>693</x:v>
      </x:c>
      <x:c r="G304" s="13" t="n">
        <x:v>682</x:v>
      </x:c>
      <x:c r="H304" s="13" t="n">
        <x:v>11</x:v>
      </x:c>
      <x:c r="I304" s="13" t="n">
        <x:v>1</x:v>
      </x:c>
      <x:c r="J304" s="13" t="n">
        <x:v>2423111.9699999997</x:v>
      </x:c>
      <x:c r="K304" s="13" t="n">
        <x:v>2423671.9699999997</x:v>
      </x:c>
      <x:c r="L304" s="13" t="n">
        <x:v>112</x:v>
      </x:c>
      <x:c r="M304" s="13" t="n">
        <x:v>0.015873015873015872</x:v>
      </x:c>
      <x:c r="N304" s="13" t="n">
        <x:v>0.001466275659824047</x:v>
      </x:c>
      <x:c r="O304" s="13" t="n">
        <x:v>0.29765144880737887</x:v>
      </x:c>
      <x:c r="P304" s="13" t="n">
        <x:v>0.43322694366102693</x:v>
      </x:c>
      <x:c r="Q304" s="13" t="n">
        <x:v>63766.1044736842</x:v>
      </x:c>
      <x:c r="R304" s="13" t="n">
        <x:v>2.8707049393153876</x:v>
      </x:c>
      <x:c r="S304" s="13" t="n">
        <x:v>0.025688799904982344</x:v>
      </x:c>
      <x:c r="T304" s="13" t="n">
        <x:v>34</x:v>
      </x:c>
      <x:c r="U304" s="13" t="n">
        <x:v>360</x:v>
      </x:c>
      <x:c r="V304" s="13" t="n">
        <x:v>315</x:v>
      </x:c>
      <x:c r="W304" s="13" t="n">
        <x:v>45</x:v>
      </x:c>
      <x:c r="X304" s="13" t="n">
        <x:v>1</x:v>
      </x:c>
      <x:c r="Y304" s="13" t="n">
        <x:v>16428418.700000001</x:v>
      </x:c>
      <x:c r="Z304" s="13" t="n">
        <x:v>16431556.12</x:v>
      </x:c>
      <x:c r="AA304" s="13" t="n">
        <x:v>48</x:v>
      </x:c>
      <x:c r="AB304" s="13" t="n">
        <x:v>0.125</x:v>
      </x:c>
      <x:c r="AC304" s="13" t="n">
        <x:v>0.0031746031746031746</x:v>
      </x:c>
      <x:c r="AD304" s="13" t="n">
        <x:v>0.10659402015658866</x:v>
      </x:c>
      <x:c r="AE304" s="13" t="n">
        <x:v>0.23481822791595713</x:v>
      </x:c>
      <x:c r="AF304" s="13" t="n">
        <x:v>432326.8078947368</x:v>
      </x:c>
      <x:c r="AG304" s="13" t="n">
        <x:v>0.6376967341082121</x:v>
      </x:c>
      <x:c r="AH304" s="13" t="n">
        <x:v>0.017197917346960877</x:v>
      </x:c>
      <x:c r="AI304" s="13" t="n">
        <x:v>33</x:v>
      </x:c>
      <x:c r="AJ304" s="13" t="n">
        <x:v>14005306.73</x:v>
      </x:c>
      <x:c r="AK304" s="13" t="n">
        <x:v>0.1475010615123651</x:v>
      </x:c>
      <x:c r="AL304" s="13" t="n">
        <x:v>0.05318138651471985</x:v>
      </x:c>
      <x:c r="AM304" s="13" t="n">
        <x:v>0.0020060180541624875</x:v>
      </x:c>
      <x:c r="AN304" s="13" t="n">
        <x:v>0.20212273448198376</x:v>
      </x:c>
      <x:c r="AO304" s="13" t="n">
        <x:v>1.7542008367117998</x:v>
      </x:c>
      <x:c r="AP304" s="13" t="n">
        <x:v>0.02144335862597161</x:v>
      </x:c>
    </x:row>
    <x:row r="305" ht="15" hidden="0" customHeight="1">
      <x:c r="A305" s="2" t="str">
        <x:v>E304</x:v>
      </x:c>
      <x:c r="B305" s="2" t="str">
        <x:v>***环保科技有限公司</x:v>
      </x:c>
      <x:c r="C305" s="2" t="str">
        <x:v>无信贷记录</x:v>
      </x:c>
      <x:c r="D305" s="2" t="str"/>
      <x:c r="E305" s="2" t="str"/>
      <x:c r="F305" s="13" t="n">
        <x:v>607</x:v>
      </x:c>
      <x:c r="G305" s="13" t="n">
        <x:v>588</x:v>
      </x:c>
      <x:c r="H305" s="13" t="n">
        <x:v>19</x:v>
      </x:c>
      <x:c r="I305" s="13" t="n">
        <x:v>1</x:v>
      </x:c>
      <x:c r="J305" s="13" t="n">
        <x:v>19039870.27</x:v>
      </x:c>
      <x:c r="K305" s="13" t="n">
        <x:v>19042870.27</x:v>
      </x:c>
      <x:c r="L305" s="13" t="n">
        <x:v>143</x:v>
      </x:c>
      <x:c r="M305" s="13" t="n">
        <x:v>0.03130148270181219</x:v>
      </x:c>
      <x:c r="N305" s="13" t="n">
        <x:v>0.0017006802721088435</x:v>
      </x:c>
      <x:c r="O305" s="13" t="n">
        <x:v>0.21354100541127194</x:v>
      </x:c>
      <x:c r="P305" s="13" t="n">
        <x:v>0.4222840299798986</x:v>
      </x:c>
      <x:c r="Q305" s="13" t="n">
        <x:v>514591.08837837836</x:v>
      </x:c>
      <x:c r="R305" s="13" t="n">
        <x:v>0.8406654381459118</x:v>
      </x:c>
      <x:c r="S305" s="13" t="n">
        <x:v>0.058049584848187105</x:v>
      </x:c>
      <x:c r="T305" s="13" t="n">
        <x:v>37</x:v>
      </x:c>
      <x:c r="U305" s="13" t="n">
        <x:v>1029</x:v>
      </x:c>
      <x:c r="V305" s="13" t="n">
        <x:v>951</x:v>
      </x:c>
      <x:c r="W305" s="13" t="n">
        <x:v>78</x:v>
      </x:c>
      <x:c r="X305" s="13" t="n">
        <x:v>0</x:v>
      </x:c>
      <x:c r="Y305" s="13" t="n">
        <x:v>10784176.790000001</x:v>
      </x:c>
      <x:c r="Z305" s="13" t="n">
        <x:v>10784176.790000001</x:v>
      </x:c>
      <x:c r="AA305" s="13" t="n">
        <x:v>202</x:v>
      </x:c>
      <x:c r="AB305" s="13" t="n">
        <x:v>0.07580174927113703</x:v>
      </x:c>
      <x:c r="AC305" s="13" t="n">
        <x:v>0</x:v>
      </x:c>
      <x:c r="AD305" s="13" t="n">
        <x:v>0.046979442402059195</x:v>
      </x:c>
      <x:c r="AE305" s="13" t="n">
        <x:v>0.1511102823825276</x:v>
      </x:c>
      <x:c r="AF305" s="13" t="n">
        <x:v>291464.2375675676</x:v>
      </x:c>
      <x:c r="AG305" s="13" t="n">
        <x:v>0.6380889326198673</x:v>
      </x:c>
      <x:c r="AH305" s="13" t="n">
        <x:v>0.04742599667117084</x:v>
      </x:c>
      <x:c r="AI305" s="13" t="n">
        <x:v>37</x:v>
      </x:c>
      <x:c r="AJ305" s="13" t="n">
        <x:v>-8255693.479999999</x:v>
      </x:c>
      <x:c r="AK305" s="13" t="n">
        <x:v>1.7658158467559761</x:v>
      </x:c>
      <x:c r="AL305" s="13" t="n">
        <x:v>0.059290953545232276</x:v>
      </x:c>
      <x:c r="AM305" s="13" t="n">
        <x:v>0.000649772579597141</x:v>
      </x:c>
      <x:c r="AN305" s="13" t="n">
        <x:v>0.13026022390666556</x:v>
      </x:c>
      <x:c r="AO305" s="13" t="n">
        <x:v>0.7393771853828895</x:v>
      </x:c>
      <x:c r="AP305" s="13" t="n">
        <x:v>0.05273779075967897</x:v>
      </x:c>
    </x:row>
    <x:row r="306" ht="15" hidden="0" customHeight="1">
      <x:c r="A306" s="2" t="str">
        <x:v>E305</x:v>
      </x:c>
      <x:c r="B306" s="2" t="str">
        <x:v>***劳务有限公司</x:v>
      </x:c>
      <x:c r="C306" s="2" t="str">
        <x:v>无信贷记录</x:v>
      </x:c>
      <x:c r="D306" s="2" t="str"/>
      <x:c r="E306" s="2" t="str"/>
      <x:c r="F306" s="13" t="n">
        <x:v>590</x:v>
      </x:c>
      <x:c r="G306" s="13" t="n">
        <x:v>575</x:v>
      </x:c>
      <x:c r="H306" s="13" t="n">
        <x:v>15</x:v>
      </x:c>
      <x:c r="I306" s="13" t="n">
        <x:v>0</x:v>
      </x:c>
      <x:c r="J306" s="13" t="n">
        <x:v>19564194.07</x:v>
      </x:c>
      <x:c r="K306" s="13" t="n">
        <x:v>19564194.07</x:v>
      </x:c>
      <x:c r="L306" s="13" t="n">
        <x:v>164</x:v>
      </x:c>
      <x:c r="M306" s="13" t="n">
        <x:v>0.025423728813559324</x:v>
      </x:c>
      <x:c r="N306" s="13" t="n">
        <x:v>0</x:v>
      </x:c>
      <x:c r="O306" s="13" t="n">
        <x:v>0.390651749351576</x:v>
      </x:c>
      <x:c r="P306" s="13" t="n">
        <x:v>0.5834688594458417</x:v>
      </x:c>
      <x:c r="Q306" s="13" t="n">
        <x:v>543449.8352777777</x:v>
      </x:c>
      <x:c r="R306" s="13" t="n">
        <x:v>3.2159761869460777</x:v>
      </x:c>
      <x:c r="S306" s="13" t="n">
        <x:v>-0.06694445442445293</x:v>
      </x:c>
      <x:c r="T306" s="13" t="n">
        <x:v>36</x:v>
      </x:c>
      <x:c r="U306" s="13" t="n">
        <x:v>359</x:v>
      </x:c>
      <x:c r="V306" s="13" t="n">
        <x:v>321</x:v>
      </x:c>
      <x:c r="W306" s="13" t="n">
        <x:v>38</x:v>
      </x:c>
      <x:c r="X306" s="13" t="n">
        <x:v>2</x:v>
      </x:c>
      <x:c r="Y306" s="13" t="n">
        <x:v>50508527.989999995</x:v>
      </x:c>
      <x:c r="Z306" s="13" t="n">
        <x:v>51122985.23</x:v>
      </x:c>
      <x:c r="AA306" s="13" t="n">
        <x:v>5</x:v>
      </x:c>
      <x:c r="AB306" s="13" t="n">
        <x:v>0.10584958217270195</x:v>
      </x:c>
      <x:c r="AC306" s="13" t="n">
        <x:v>0.006230529595015576</x:v>
      </x:c>
      <x:c r="AD306" s="13" t="n">
        <x:v>0.32952620895480955</x:v>
      </x:c>
      <x:c r="AE306" s="13" t="n">
        <x:v>0.4662666701241851</x:v>
      </x:c>
      <x:c r="AF306" s="13" t="n">
        <x:v>1365095.3510810812</x:v>
      </x:c>
      <x:c r="AG306" s="13" t="n">
        <x:v>1.285601351538861</x:v>
      </x:c>
      <x:c r="AH306" s="13" t="n">
        <x:v>-0.036996595320199915</x:v>
      </x:c>
      <x:c r="AI306" s="13" t="n">
        <x:v>26</x:v>
      </x:c>
      <x:c r="AJ306" s="13" t="n">
        <x:v>30944333.919999994</x:v>
      </x:c>
      <x:c r="AK306" s="13" t="n">
        <x:v>0.38268880391044413</x:v>
      </x:c>
      <x:c r="AL306" s="13" t="n">
        <x:v>0.05584826132771338</x:v>
      </x:c>
      <x:c r="AM306" s="13" t="n">
        <x:v>0.002232142857142857</x:v>
      </x:c>
      <x:c r="AN306" s="13" t="n">
        <x:v>0.36008897915319277</x:v>
      </x:c>
      <x:c r="AO306" s="13" t="n">
        <x:v>2.2507887692424693</x:v>
      </x:c>
      <x:c r="AP306" s="13" t="n">
        <x:v>-0.051970524872326423</x:v>
      </x:c>
    </x:row>
    <x:row r="307" ht="15" hidden="0" customHeight="1">
      <x:c r="A307" s="2" t="str">
        <x:v>E306</x:v>
      </x:c>
      <x:c r="B307" s="2" t="str">
        <x:v>个体经营E306 </x:v>
      </x:c>
      <x:c r="C307" s="2" t="str">
        <x:v>无信贷记录</x:v>
      </x:c>
      <x:c r="D307" s="2" t="str"/>
      <x:c r="E307" s="2" t="str"/>
      <x:c r="F307" s="13" t="n">
        <x:v>1251</x:v>
      </x:c>
      <x:c r="G307" s="13" t="n">
        <x:v>1225</x:v>
      </x:c>
      <x:c r="H307" s="13" t="n">
        <x:v>26</x:v>
      </x:c>
      <x:c r="I307" s="13" t="n">
        <x:v>5</x:v>
      </x:c>
      <x:c r="J307" s="13" t="n">
        <x:v>3947691.98</x:v>
      </x:c>
      <x:c r="K307" s="13" t="n">
        <x:v>4039762.78</x:v>
      </x:c>
      <x:c r="L307" s="13" t="n">
        <x:v>340</x:v>
      </x:c>
      <x:c r="M307" s="13" t="n">
        <x:v>0.020783373301358914</x:v>
      </x:c>
      <x:c r="N307" s="13" t="n">
        <x:v>0.004081632653061225</x:v>
      </x:c>
      <x:c r="O307" s="13" t="n">
        <x:v>0.23588471234181344</x:v>
      </x:c>
      <x:c r="P307" s="13" t="n">
        <x:v>0.36170366419386635</x:v>
      </x:c>
      <x:c r="Q307" s="13" t="n">
        <x:v>127344.90258064514</x:v>
      </x:c>
      <x:c r="R307" s="13" t="n">
        <x:v>1.6951003904607138</x:v>
      </x:c>
      <x:c r="S307" s="13" t="n">
        <x:v>0.07236045864196271</x:v>
      </x:c>
      <x:c r="T307" s="13" t="n">
        <x:v>31</x:v>
      </x:c>
      <x:c r="U307" s="13" t="n">
        <x:v>382</x:v>
      </x:c>
      <x:c r="V307" s="13" t="n">
        <x:v>329</x:v>
      </x:c>
      <x:c r="W307" s="13" t="n">
        <x:v>53</x:v>
      </x:c>
      <x:c r="X307" s="13" t="n">
        <x:v>7</x:v>
      </x:c>
      <x:c r="Y307" s="13" t="n">
        <x:v>13395256.239999998</x:v>
      </x:c>
      <x:c r="Z307" s="13" t="n">
        <x:v>14115656.239999998</x:v>
      </x:c>
      <x:c r="AA307" s="13" t="n">
        <x:v>67</x:v>
      </x:c>
      <x:c r="AB307" s="13" t="n">
        <x:v>0.1387434554973822</x:v>
      </x:c>
      <x:c r="AC307" s="13" t="n">
        <x:v>0.02127659574468085</x:v>
      </x:c>
      <x:c r="AD307" s="13" t="n">
        <x:v>0.07860659718596695</x:v>
      </x:c>
      <x:c r="AE307" s="13" t="n">
        <x:v>0.22289303993421705</x:v>
      </x:c>
      <x:c r="AF307" s="13" t="n">
        <x:v>372090.4511111111</x:v>
      </x:c>
      <x:c r="AG307" s="13" t="n">
        <x:v>1.03018707674779</x:v>
      </x:c>
      <x:c r="AH307" s="13" t="n">
        <x:v>0.035499644580233865</x:v>
      </x:c>
      <x:c r="AI307" s="13" t="n">
        <x:v>34</x:v>
      </x:c>
      <x:c r="AJ307" s="13" t="n">
        <x:v>9447564.259999998</x:v>
      </x:c>
      <x:c r="AK307" s="13" t="n">
        <x:v>0.2861902210789457</x:v>
      </x:c>
      <x:c r="AL307" s="13" t="n">
        <x:v>0.04837721984078383</x:v>
      </x:c>
      <x:c r="AM307" s="13" t="n">
        <x:v>0.007722007722007722</x:v>
      </x:c>
      <x:c r="AN307" s="13" t="n">
        <x:v>0.15724565476389019</x:v>
      </x:c>
      <x:c r="AO307" s="13" t="n">
        <x:v>1.3626437336042518</x:v>
      </x:c>
      <x:c r="AP307" s="13" t="n">
        <x:v>0.05393005161109829</x:v>
      </x:c>
    </x:row>
    <x:row r="308" ht="15" hidden="0" customHeight="1">
      <x:c r="A308" s="2" t="str">
        <x:v>E307</x:v>
      </x:c>
      <x:c r="B308" s="2" t="str">
        <x:v>***通信工程有限公司</x:v>
      </x:c>
      <x:c r="C308" s="2" t="str">
        <x:v>无信贷记录</x:v>
      </x:c>
      <x:c r="D308" s="2" t="str"/>
      <x:c r="E308" s="2" t="str"/>
      <x:c r="F308" s="13" t="n">
        <x:v>461</x:v>
      </x:c>
      <x:c r="G308" s="13" t="n">
        <x:v>452</x:v>
      </x:c>
      <x:c r="H308" s="13" t="n">
        <x:v>9</x:v>
      </x:c>
      <x:c r="I308" s="13" t="n">
        <x:v>0</x:v>
      </x:c>
      <x:c r="J308" s="13" t="n">
        <x:v>3229215.4300000006</x:v>
      </x:c>
      <x:c r="K308" s="13" t="n">
        <x:v>3229215.4300000006</x:v>
      </x:c>
      <x:c r="L308" s="13" t="n">
        <x:v>111</x:v>
      </x:c>
      <x:c r="M308" s="13" t="n">
        <x:v>0.019522776572668113</x:v>
      </x:c>
      <x:c r="N308" s="13" t="n">
        <x:v>0</x:v>
      </x:c>
      <x:c r="O308" s="13" t="n">
        <x:v>0.39960351568479613</x:v>
      </x:c>
      <x:c r="P308" s="13" t="n">
        <x:v>0.6193617438524379</x:v>
      </x:c>
      <x:c r="Q308" s="13" t="n">
        <x:v>97855.01303030305</x:v>
      </x:c>
      <x:c r="R308" s="13" t="n">
        <x:v>3.6146297311163353</x:v>
      </x:c>
      <x:c r="S308" s="13" t="n">
        <x:v>0.11695419359002432</x:v>
      </x:c>
      <x:c r="T308" s="13" t="n">
        <x:v>33</x:v>
      </x:c>
      <x:c r="U308" s="13" t="n">
        <x:v>115</x:v>
      </x:c>
      <x:c r="V308" s="13" t="n">
        <x:v>98</x:v>
      </x:c>
      <x:c r="W308" s="13" t="n">
        <x:v>17</x:v>
      </x:c>
      <x:c r="X308" s="13" t="n">
        <x:v>0</x:v>
      </x:c>
      <x:c r="Y308" s="13" t="n">
        <x:v>6688991.92</x:v>
      </x:c>
      <x:c r="Z308" s="13" t="n">
        <x:v>6688991.92</x:v>
      </x:c>
      <x:c r="AA308" s="13" t="n">
        <x:v>10</x:v>
      </x:c>
      <x:c r="AB308" s="13" t="n">
        <x:v>0.14782608695652175</x:v>
      </x:c>
      <x:c r="AC308" s="13" t="n">
        <x:v>0</x:v>
      </x:c>
      <x:c r="AD308" s="13" t="n">
        <x:v>0.32737675946500927</x:v>
      </x:c>
      <x:c r="AE308" s="13" t="n">
        <x:v>0.44849807502832206</x:v>
      </x:c>
      <x:c r="AF308" s="13" t="n">
        <x:v>215773.9329032258</x:v>
      </x:c>
      <x:c r="AG308" s="13" t="n">
        <x:v>2.89179839600632</x:v>
      </x:c>
      <x:c r="AH308" s="13" t="n">
        <x:v>0.05882290742847814</x:v>
      </x:c>
      <x:c r="AI308" s="13" t="n">
        <x:v>14</x:v>
      </x:c>
      <x:c r="AJ308" s="13" t="n">
        <x:v>3459776.4899999993</x:v>
      </x:c>
      <x:c r="AK308" s="13" t="n">
        <x:v>0.48276563473558515</x:v>
      </x:c>
      <x:c r="AL308" s="13" t="n">
        <x:v>0.04513888888888889</x:v>
      </x:c>
      <x:c r="AM308" s="13" t="n">
        <x:v>0</x:v>
      </x:c>
      <x:c r="AN308" s="13" t="n">
        <x:v>0.36349013757490267</x:v>
      </x:c>
      <x:c r="AO308" s="13" t="n">
        <x:v>3.2532140635613276</x:v>
      </x:c>
      <x:c r="AP308" s="13" t="n">
        <x:v>0.08788855050925123</x:v>
      </x:c>
    </x:row>
    <x:row r="309" ht="15" hidden="0" customHeight="1">
      <x:c r="A309" s="2" t="str">
        <x:v>E308</x:v>
      </x:c>
      <x:c r="B309" s="2" t="str">
        <x:v>***餐饮文化服务有限公司</x:v>
      </x:c>
      <x:c r="C309" s="2" t="str">
        <x:v>无信贷记录</x:v>
      </x:c>
      <x:c r="D309" s="2" t="str"/>
      <x:c r="E309" s="2" t="str"/>
      <x:c r="F309" s="13" t="n">
        <x:v>514</x:v>
      </x:c>
      <x:c r="G309" s="13" t="n">
        <x:v>487</x:v>
      </x:c>
      <x:c r="H309" s="13" t="n">
        <x:v>27</x:v>
      </x:c>
      <x:c r="I309" s="13" t="n">
        <x:v>9</x:v>
      </x:c>
      <x:c r="J309" s="13" t="n">
        <x:v>8393697.35</x:v>
      </x:c>
      <x:c r="K309" s="13" t="n">
        <x:v>8531115.35</x:v>
      </x:c>
      <x:c r="L309" s="13" t="n">
        <x:v>66</x:v>
      </x:c>
      <x:c r="M309" s="13" t="n">
        <x:v>0.05252918287937743</x:v>
      </x:c>
      <x:c r="N309" s="13" t="n">
        <x:v>0.018480492813141684</x:v>
      </x:c>
      <x:c r="O309" s="13" t="n">
        <x:v>0.06932838742137713</x:v>
      </x:c>
      <x:c r="P309" s="13" t="n">
        <x:v>0.1334731688981324</x:v>
      </x:c>
      <x:c r="Q309" s="13" t="n">
        <x:v>226856.68513513514</x:v>
      </x:c>
      <x:c r="R309" s="13" t="n">
        <x:v>1.3375015020011773</x:v>
      </x:c>
      <x:c r="S309" s="13" t="n">
        <x:v>0.05951959267160132</x:v>
      </x:c>
      <x:c r="T309" s="13" t="n">
        <x:v>37</x:v>
      </x:c>
      <x:c r="U309" s="13" t="n">
        <x:v>2015</x:v>
      </x:c>
      <x:c r="V309" s="13" t="n">
        <x:v>1613</x:v>
      </x:c>
      <x:c r="W309" s="13" t="n">
        <x:v>402</x:v>
      </x:c>
      <x:c r="X309" s="13" t="n">
        <x:v>11</x:v>
      </x:c>
      <x:c r="Y309" s="13" t="n">
        <x:v>12296994.39</x:v>
      </x:c>
      <x:c r="Z309" s="13" t="n">
        <x:v>12436161.53</x:v>
      </x:c>
      <x:c r="AA309" s="13" t="n">
        <x:v>1713</x:v>
      </x:c>
      <x:c r="AB309" s="13" t="n">
        <x:v>0.19950372208436726</x:v>
      </x:c>
      <x:c r="AC309" s="13" t="n">
        <x:v>0.006819590824550527</x:v>
      </x:c>
      <x:c r="AD309" s="13" t="n">
        <x:v>0.001382636453357707</x:v>
      </x:c>
      <x:c r="AE309" s="13" t="n">
        <x:v>0.022960460855319883</x:v>
      </x:c>
      <x:c r="AF309" s="13" t="n">
        <x:v>332351.19972972973</x:v>
      </x:c>
      <x:c r="AG309" s="13" t="n">
        <x:v>0.47813434006000427</x:v>
      </x:c>
      <x:c r="AH309" s="13" t="n">
        <x:v>0.02115896794968269</x:v>
      </x:c>
      <x:c r="AI309" s="13" t="n">
        <x:v>37</x:v>
      </x:c>
      <x:c r="AJ309" s="13" t="n">
        <x:v>3903297.040000001</x:v>
      </x:c>
      <x:c r="AK309" s="13" t="n">
        <x:v>0.6859926456744888</x:v>
      </x:c>
      <x:c r="AL309" s="13" t="n">
        <x:v>0.16963226571767498</x:v>
      </x:c>
      <x:c r="AM309" s="13" t="n">
        <x:v>0.009523809523809525</x:v>
      </x:c>
      <x:c r="AN309" s="13" t="n">
        <x:v>0.03535551193736742</x:v>
      </x:c>
      <x:c r="AO309" s="13" t="n">
        <x:v>0.9078179210305908</x:v>
      </x:c>
      <x:c r="AP309" s="13" t="n">
        <x:v>0.040339280310642</x:v>
      </x:c>
    </x:row>
    <x:row r="310" ht="15" hidden="0" customHeight="1">
      <x:c r="A310" s="2" t="str">
        <x:v>E309</x:v>
      </x:c>
      <x:c r="B310" s="2" t="str">
        <x:v>个体经营E309 </x:v>
      </x:c>
      <x:c r="C310" s="2" t="str">
        <x:v>无信贷记录</x:v>
      </x:c>
      <x:c r="D310" s="2" t="str"/>
      <x:c r="E310" s="2" t="str"/>
      <x:c r="F310" s="13" t="n">
        <x:v>986</x:v>
      </x:c>
      <x:c r="G310" s="13" t="n">
        <x:v>934</x:v>
      </x:c>
      <x:c r="H310" s="13" t="n">
        <x:v>52</x:v>
      </x:c>
      <x:c r="I310" s="13" t="n">
        <x:v>14</x:v>
      </x:c>
      <x:c r="J310" s="13" t="n">
        <x:v>6796476.2</x:v>
      </x:c>
      <x:c r="K310" s="13" t="n">
        <x:v>6987278.739999999</x:v>
      </x:c>
      <x:c r="L310" s="13" t="n">
        <x:v>195</x:v>
      </x:c>
      <x:c r="M310" s="13" t="n">
        <x:v>0.05273833671399594</x:v>
      </x:c>
      <x:c r="N310" s="13" t="n">
        <x:v>0.014989293361884369</x:v>
      </x:c>
      <x:c r="O310" s="13" t="n">
        <x:v>0.07653495415815198</x:v>
      </x:c>
      <x:c r="P310" s="13" t="n">
        <x:v>0.22096176314843852</x:v>
      </x:c>
      <x:c r="Q310" s="13" t="n">
        <x:v>212389.88125</x:v>
      </x:c>
      <x:c r="R310" s="13" t="n">
        <x:v>1.01352284177242</x:v>
      </x:c>
      <x:c r="S310" s="13" t="n">
        <x:v>0.023372779291394776</x:v>
      </x:c>
      <x:c r="T310" s="13" t="n">
        <x:v>31</x:v>
      </x:c>
      <x:c r="U310" s="13" t="n">
        <x:v>211</x:v>
      </x:c>
      <x:c r="V310" s="13" t="n">
        <x:v>172</x:v>
      </x:c>
      <x:c r="W310" s="13" t="n">
        <x:v>39</x:v>
      </x:c>
      <x:c r="X310" s="13" t="n">
        <x:v>2</x:v>
      </x:c>
      <x:c r="Y310" s="13" t="n">
        <x:v>13443105.5</x:v>
      </x:c>
      <x:c r="Z310" s="13" t="n">
        <x:v>13613105.5</x:v>
      </x:c>
      <x:c r="AA310" s="13" t="n">
        <x:v>41</x:v>
      </x:c>
      <x:c r="AB310" s="13" t="n">
        <x:v>0.1848341232227488</x:v>
      </x:c>
      <x:c r="AC310" s="13" t="n">
        <x:v>0.011627906976744186</x:v>
      </x:c>
      <x:c r="AD310" s="13" t="n">
        <x:v>0.09212839169365725</x:v>
      </x:c>
      <x:c r="AE310" s="13" t="n">
        <x:v>0.16225241183945868</x:v>
      </x:c>
      <x:c r="AF310" s="13" t="n">
        <x:v>373419.59722222225</x:v>
      </x:c>
      <x:c r="AG310" s="13" t="n">
        <x:v>1.0595705902194557</x:v>
      </x:c>
      <x:c r="AH310" s="13" t="n">
        <x:v>-0.007495935913364412</x:v>
      </x:c>
      <x:c r="AI310" s="13" t="n">
        <x:v>33</x:v>
      </x:c>
      <x:c r="AJ310" s="13" t="n">
        <x:v>6646629.3</x:v>
      </x:c>
      <x:c r="AK310" s="13" t="n">
        <x:v>0.513275882567721</x:v>
      </x:c>
      <x:c r="AL310" s="13" t="n">
        <x:v>0.07602339181286549</x:v>
      </x:c>
      <x:c r="AM310" s="13" t="n">
        <x:v>0.014466546112115732</x:v>
      </x:c>
      <x:c r="AN310" s="13" t="n">
        <x:v>0.08433167292590461</x:v>
      </x:c>
      <x:c r="AO310" s="13" t="n">
        <x:v>1.0365467159959378</x:v>
      </x:c>
      <x:c r="AP310" s="13" t="n">
        <x:v>0.007938421689015183</x:v>
      </x:c>
    </x:row>
    <x:row r="311" ht="15" hidden="0" customHeight="1">
      <x:c r="A311" s="2" t="str">
        <x:v>E310</x:v>
      </x:c>
      <x:c r="B311" s="2" t="str">
        <x:v>***律师事务所</x:v>
      </x:c>
      <x:c r="C311" s="2" t="str">
        <x:v>无信贷记录</x:v>
      </x:c>
      <x:c r="D311" s="2" t="str"/>
      <x:c r="E311" s="2" t="str"/>
      <x:c r="F311" s="13" t="n">
        <x:v>1862</x:v>
      </x:c>
      <x:c r="G311" s="13" t="n">
        <x:v>1839</x:v>
      </x:c>
      <x:c r="H311" s="13" t="n">
        <x:v>23</x:v>
      </x:c>
      <x:c r="I311" s="13" t="n">
        <x:v>9</x:v>
      </x:c>
      <x:c r="J311" s="13" t="n">
        <x:v>3856558.9200000004</x:v>
      </x:c>
      <x:c r="K311" s="13" t="n">
        <x:v>4673030.100000001</x:v>
      </x:c>
      <x:c r="L311" s="13" t="n">
        <x:v>482</x:v>
      </x:c>
      <x:c r="M311" s="13" t="n">
        <x:v>0.012352309344790547</x:v>
      </x:c>
      <x:c r="N311" s="13" t="n">
        <x:v>0.004893964110929853</x:v>
      </x:c>
      <x:c r="O311" s="13" t="n">
        <x:v>0.05555786961986719</x:v>
      </x:c>
      <x:c r="P311" s="13" t="n">
        <x:v>0.17119513097080202</x:v>
      </x:c>
      <x:c r="Q311" s="13" t="n">
        <x:v>124405.12645161289</x:v>
      </x:c>
      <x:c r="R311" s="13" t="n">
        <x:v>1.4538060652962588</x:v>
      </x:c>
      <x:c r="S311" s="13" t="n">
        <x:v>0.04113357326560086</x:v>
      </x:c>
      <x:c r="T311" s="13" t="n">
        <x:v>31</x:v>
      </x:c>
      <x:c r="U311" s="13" t="n">
        <x:v>997</x:v>
      </x:c>
      <x:c r="V311" s="13" t="n">
        <x:v>938</x:v>
      </x:c>
      <x:c r="W311" s="13" t="n">
        <x:v>59</x:v>
      </x:c>
      <x:c r="X311" s="13" t="n">
        <x:v>30</x:v>
      </x:c>
      <x:c r="Y311" s="13" t="n">
        <x:v>11560120.530000001</x:v>
      </x:c>
      <x:c r="Z311" s="13" t="n">
        <x:v>12355560.530000001</x:v>
      </x:c>
      <x:c r="AA311" s="13" t="n">
        <x:v>456</x:v>
      </x:c>
      <x:c r="AB311" s="13" t="n">
        <x:v>0.05917753259779338</x:v>
      </x:c>
      <x:c r="AC311" s="13" t="n">
        <x:v>0.031982942430703626</x:v>
      </x:c>
      <x:c r="AD311" s="13" t="n">
        <x:v>0.023398947629139726</x:v>
      </x:c>
      <x:c r="AE311" s="13" t="n">
        <x:v>0.10718345127155475</x:v>
      </x:c>
      <x:c r="AF311" s="13" t="n">
        <x:v>372907.1138709677</x:v>
      </x:c>
      <x:c r="AG311" s="13" t="n">
        <x:v>0.550934059846357</x:v>
      </x:c>
      <x:c r="AH311" s="13" t="n">
        <x:v>0.01041241656500269</x:v>
      </x:c>
      <x:c r="AI311" s="13" t="n">
        <x:v>31</x:v>
      </x:c>
      <x:c r="AJ311" s="13" t="n">
        <x:v>7703561.610000001</x:v>
      </x:c>
      <x:c r="AK311" s="13" t="n">
        <x:v>0.378212715534323</x:v>
      </x:c>
      <x:c r="AL311" s="13" t="n">
        <x:v>0.028681357117873382</x:v>
      </x:c>
      <x:c r="AM311" s="13" t="n">
        <x:v>0.014043932301044292</x:v>
      </x:c>
      <x:c r="AN311" s="13" t="n">
        <x:v>0.039478408624503455</x:v>
      </x:c>
      <x:c r="AO311" s="13" t="n">
        <x:v>1.002370062571308</x:v>
      </x:c>
      <x:c r="AP311" s="13" t="n">
        <x:v>0.025772994915301776</x:v>
      </x:c>
    </x:row>
    <x:row r="312" ht="15" hidden="0" customHeight="1">
      <x:c r="A312" s="2" t="str">
        <x:v>E311</x:v>
      </x:c>
      <x:c r="B312" s="2" t="str">
        <x:v>***律师事务所</x:v>
      </x:c>
      <x:c r="C312" s="2" t="str">
        <x:v>无信贷记录</x:v>
      </x:c>
      <x:c r="D312" s="2" t="str"/>
      <x:c r="E312" s="2" t="str"/>
      <x:c r="F312" s="13" t="n">
        <x:v>2544</x:v>
      </x:c>
      <x:c r="G312" s="13" t="n">
        <x:v>2514</x:v>
      </x:c>
      <x:c r="H312" s="13" t="n">
        <x:v>30</x:v>
      </x:c>
      <x:c r="I312" s="13" t="n">
        <x:v>22</x:v>
      </x:c>
      <x:c r="J312" s="13" t="n">
        <x:v>2146017.87</x:v>
      </x:c>
      <x:c r="K312" s="13" t="n">
        <x:v>2173121.99</x:v>
      </x:c>
      <x:c r="L312" s="13" t="n">
        <x:v>348</x:v>
      </x:c>
      <x:c r="M312" s="13" t="n">
        <x:v>0.01179245283018868</x:v>
      </x:c>
      <x:c r="N312" s="13" t="n">
        <x:v>0.008750994431185362</x:v>
      </x:c>
      <x:c r="O312" s="13" t="n">
        <x:v>0.04877242138206172</x:v>
      </x:c>
      <x:c r="P312" s="13" t="n">
        <x:v>0.14783661546768478</x:v>
      </x:c>
      <x:c r="Q312" s="13" t="n">
        <x:v>79482.14333333334</x:v>
      </x:c>
      <x:c r="R312" s="13" t="n">
        <x:v>0.5581368543400573</x:v>
      </x:c>
      <x:c r="S312" s="13" t="n">
        <x:v>0.0015628911876592849</x:v>
      </x:c>
      <x:c r="T312" s="13" t="n">
        <x:v>27</x:v>
      </x:c>
      <x:c r="U312" s="13" t="n">
        <x:v>467</x:v>
      </x:c>
      <x:c r="V312" s="13" t="n">
        <x:v>411</x:v>
      </x:c>
      <x:c r="W312" s="13" t="n">
        <x:v>56</x:v>
      </x:c>
      <x:c r="X312" s="13" t="n">
        <x:v>18</x:v>
      </x:c>
      <x:c r="Y312" s="13" t="n">
        <x:v>10991572.01</x:v>
      </x:c>
      <x:c r="Z312" s="13" t="n">
        <x:v>12301140.01</x:v>
      </x:c>
      <x:c r="AA312" s="13" t="n">
        <x:v>134</x:v>
      </x:c>
      <x:c r="AB312" s="13" t="n">
        <x:v>0.11991434689507495</x:v>
      </x:c>
      <x:c r="AC312" s="13" t="n">
        <x:v>0.043795620437956206</x:v>
      </x:c>
      <x:c r="AD312" s="13" t="n">
        <x:v>0.04838761617982297</x:v>
      </x:c>
      <x:c r="AE312" s="13" t="n">
        <x:v>0.16014775853282887</x:v>
      </x:c>
      <x:c r="AF312" s="13" t="n">
        <x:v>422752.7696153847</x:v>
      </x:c>
      <x:c r="AG312" s="13" t="n">
        <x:v>0.6719682442507192</x:v>
      </x:c>
      <x:c r="AH312" s="13" t="n">
        <x:v>0.013407441366645265</x:v>
      </x:c>
      <x:c r="AI312" s="13" t="n">
        <x:v>26</x:v>
      </x:c>
      <x:c r="AJ312" s="13" t="n">
        <x:v>8845554.14</x:v>
      </x:c>
      <x:c r="AK312" s="13" t="n">
        <x:v>0.17666021102380738</x:v>
      </x:c>
      <x:c r="AL312" s="13" t="n">
        <x:v>0.028561939554965127</x:v>
      </x:c>
      <x:c r="AM312" s="13" t="n">
        <x:v>0.013675213675213675</x:v>
      </x:c>
      <x:c r="AN312" s="13" t="n">
        <x:v>0.04858001878094234</x:v>
      </x:c>
      <x:c r="AO312" s="13" t="n">
        <x:v>0.6150525492953882</x:v>
      </x:c>
      <x:c r="AP312" s="13" t="n">
        <x:v>0.007485166277152275</x:v>
      </x:c>
    </x:row>
    <x:row r="313" ht="15" hidden="0" customHeight="1">
      <x:c r="A313" s="2" t="str">
        <x:v>E312</x:v>
      </x:c>
      <x:c r="B313" s="2" t="str">
        <x:v>***家居用品有限公司</x:v>
      </x:c>
      <x:c r="C313" s="2" t="str">
        <x:v>无信贷记录</x:v>
      </x:c>
      <x:c r="D313" s="2" t="str"/>
      <x:c r="E313" s="2" t="str"/>
      <x:c r="F313" s="13" t="n">
        <x:v>4652</x:v>
      </x:c>
      <x:c r="G313" s="13" t="n">
        <x:v>4433</x:v>
      </x:c>
      <x:c r="H313" s="13" t="n">
        <x:v>219</x:v>
      </x:c>
      <x:c r="I313" s="13" t="n">
        <x:v>31</x:v>
      </x:c>
      <x:c r="J313" s="13" t="n">
        <x:v>83614546.00999999</x:v>
      </x:c>
      <x:c r="K313" s="13" t="n">
        <x:v>85463449.95</x:v>
      </x:c>
      <x:c r="L313" s="13" t="n">
        <x:v>908</x:v>
      </x:c>
      <x:c r="M313" s="13" t="n">
        <x:v>0.04707652622527945</x:v>
      </x:c>
      <x:c r="N313" s="13" t="n">
        <x:v>0.006993006993006993</x:v>
      </x:c>
      <x:c r="O313" s="13" t="n">
        <x:v>0.06573006614763811</x:v>
      </x:c>
      <x:c r="P313" s="13" t="n">
        <x:v>0.21236447289008603</x:v>
      </x:c>
      <x:c r="Q313" s="13" t="n">
        <x:v>2259852.594864865</x:v>
      </x:c>
      <x:c r="R313" s="13" t="n">
        <x:v>0.6661979970132822</x:v>
      </x:c>
      <x:c r="S313" s="13" t="n">
        <x:v>0.053841188271344015</x:v>
      </x:c>
      <x:c r="T313" s="13" t="n">
        <x:v>37</x:v>
      </x:c>
      <x:c r="U313" s="13" t="n">
        <x:v>683</x:v>
      </x:c>
      <x:c r="V313" s="13" t="n">
        <x:v>666</x:v>
      </x:c>
      <x:c r="W313" s="13" t="n">
        <x:v>17</x:v>
      </x:c>
      <x:c r="X313" s="13" t="n">
        <x:v>15</x:v>
      </x:c>
      <x:c r="Y313" s="13" t="n">
        <x:v>14193546.55</x:v>
      </x:c>
      <x:c r="Z313" s="13" t="n">
        <x:v>15268705.049999999</x:v>
      </x:c>
      <x:c r="AA313" s="13" t="n">
        <x:v>192</x:v>
      </x:c>
      <x:c r="AB313" s="13" t="n">
        <x:v>0.024890190336749635</x:v>
      </x:c>
      <x:c r="AC313" s="13" t="n">
        <x:v>0.02252252252252252</x:v>
      </x:c>
      <x:c r="AD313" s="13" t="n">
        <x:v>0.16579435201333642</x:v>
      </x:c>
      <x:c r="AE313" s="13" t="n">
        <x:v>0.38837669275692766</x:v>
      </x:c>
      <x:c r="AF313" s="13" t="n">
        <x:v>383609.36621621624</x:v>
      </x:c>
      <x:c r="AG313" s="13" t="n">
        <x:v>0.5382180923648465</x:v>
      </x:c>
      <x:c r="AH313" s="13" t="n">
        <x:v>-0.0034776964776365217</x:v>
      </x:c>
      <x:c r="AI313" s="13" t="n">
        <x:v>37</x:v>
      </x:c>
      <x:c r="AJ313" s="13" t="n">
        <x:v>-69420999.46</x:v>
      </x:c>
      <x:c r="AK313" s="13" t="n">
        <x:v>5.59729523035092</x:v>
      </x:c>
      <x:c r="AL313" s="13" t="n">
        <x:v>0.04423617619493908</x:v>
      </x:c>
      <x:c r="AM313" s="13" t="n">
        <x:v>0.00902137674053736</x:v>
      </x:c>
      <x:c r="AN313" s="13" t="n">
        <x:v>0.11576220908048726</x:v>
      </x:c>
      <x:c r="AO313" s="13" t="n">
        <x:v>0.6022080446890643</x:v>
      </x:c>
      <x:c r="AP313" s="13" t="n">
        <x:v>0.025181745896853746</x:v>
      </x:c>
    </x:row>
    <x:row r="314" ht="15" hidden="0" customHeight="1">
      <x:c r="A314" s="2" t="str">
        <x:v>E313</x:v>
      </x:c>
      <x:c r="B314" s="2" t="str">
        <x:v>***物流有限公司</x:v>
      </x:c>
      <x:c r="C314" s="2" t="str">
        <x:v>无信贷记录</x:v>
      </x:c>
      <x:c r="D314" s="2" t="str"/>
      <x:c r="E314" s="2" t="str"/>
      <x:c r="F314" s="13" t="n">
        <x:v>331</x:v>
      </x:c>
      <x:c r="G314" s="13" t="n">
        <x:v>325</x:v>
      </x:c>
      <x:c r="H314" s="13" t="n">
        <x:v>6</x:v>
      </x:c>
      <x:c r="I314" s="13" t="n">
        <x:v>5</x:v>
      </x:c>
      <x:c r="J314" s="13" t="n">
        <x:v>8138200.39</x:v>
      </x:c>
      <x:c r="K314" s="13" t="n">
        <x:v>8183833.91</x:v>
      </x:c>
      <x:c r="L314" s="13" t="n">
        <x:v>63</x:v>
      </x:c>
      <x:c r="M314" s="13" t="n">
        <x:v>0.01812688821752266</x:v>
      </x:c>
      <x:c r="N314" s="13" t="n">
        <x:v>0.015384615384615385</x:v>
      </x:c>
      <x:c r="O314" s="13" t="n">
        <x:v>0.1934126839785365</x:v>
      </x:c>
      <x:c r="P314" s="13" t="n">
        <x:v>0.36091498464929134</x:v>
      </x:c>
      <x:c r="Q314" s="13" t="n">
        <x:v>214163.16815789475</x:v>
      </x:c>
      <x:c r="R314" s="13" t="n">
        <x:v>0.6205897552560043</x:v>
      </x:c>
      <x:c r="S314" s="13" t="n">
        <x:v>-0.010200706369823393</x:v>
      </x:c>
      <x:c r="T314" s="13" t="n">
        <x:v>38</x:v>
      </x:c>
      <x:c r="U314" s="13" t="n">
        <x:v>297</x:v>
      </x:c>
      <x:c r="V314" s="13" t="n">
        <x:v>279</x:v>
      </x:c>
      <x:c r="W314" s="13" t="n">
        <x:v>18</x:v>
      </x:c>
      <x:c r="X314" s="13" t="n">
        <x:v>8</x:v>
      </x:c>
      <x:c r="Y314" s="13" t="n">
        <x:v>14560245.07</x:v>
      </x:c>
      <x:c r="Z314" s="13" t="n">
        <x:v>15349203.91</x:v>
      </x:c>
      <x:c r="AA314" s="13" t="n">
        <x:v>29</x:v>
      </x:c>
      <x:c r="AB314" s="13" t="n">
        <x:v>0.06060606060606061</x:v>
      </x:c>
      <x:c r="AC314" s="13" t="n">
        <x:v>0.02867383512544803</x:v>
      </x:c>
      <x:c r="AD314" s="13" t="n">
        <x:v>0.1979913357569045</x:v>
      </x:c>
      <x:c r="AE314" s="13" t="n">
        <x:v>0.310035057055933</x:v>
      </x:c>
      <x:c r="AF314" s="13" t="n">
        <x:v>383164.3439473684</x:v>
      </x:c>
      <x:c r="AG314" s="13" t="n">
        <x:v>0.6636408102625279</x:v>
      </x:c>
      <x:c r="AH314" s="13" t="n">
        <x:v>0.0051797283533205046</x:v>
      </x:c>
      <x:c r="AI314" s="13" t="n">
        <x:v>37</x:v>
      </x:c>
      <x:c r="AJ314" s="13" t="n">
        <x:v>6422044.680000001</x:v>
      </x:c>
      <x:c r="AK314" s="13" t="n">
        <x:v>0.533176440809952</x:v>
      </x:c>
      <x:c r="AL314" s="13" t="n">
        <x:v>0.03821656050955414</x:v>
      </x:c>
      <x:c r="AM314" s="13" t="n">
        <x:v>0.02152317880794702</x:v>
      </x:c>
      <x:c r="AN314" s="13" t="n">
        <x:v>0.19570200986772052</x:v>
      </x:c>
      <x:c r="AO314" s="13" t="n">
        <x:v>0.6421152827592661</x:v>
      </x:c>
      <x:c r="AP314" s="13" t="n">
        <x:v>-0.002510489008251444</x:v>
      </x:c>
    </x:row>
    <x:row r="315" ht="15" hidden="0" customHeight="1">
      <x:c r="A315" s="2" t="str">
        <x:v>E314</x:v>
      </x:c>
      <x:c r="B315" s="2" t="str">
        <x:v>***房地产营销策划有限公司</x:v>
      </x:c>
      <x:c r="C315" s="2" t="str">
        <x:v>无信贷记录</x:v>
      </x:c>
      <x:c r="D315" s="2" t="str"/>
      <x:c r="E315" s="2" t="str"/>
      <x:c r="F315" s="13" t="n">
        <x:v>1249</x:v>
      </x:c>
      <x:c r="G315" s="13" t="n">
        <x:v>1237</x:v>
      </x:c>
      <x:c r="H315" s="13" t="n">
        <x:v>12</x:v>
      </x:c>
      <x:c r="I315" s="13" t="n">
        <x:v>39</x:v>
      </x:c>
      <x:c r="J315" s="13" t="n">
        <x:v>3092942.8499999996</x:v>
      </x:c>
      <x:c r="K315" s="13" t="n">
        <x:v>3121332.55</x:v>
      </x:c>
      <x:c r="L315" s="13" t="n">
        <x:v>233</x:v>
      </x:c>
      <x:c r="M315" s="13" t="n">
        <x:v>0.009607686148919135</x:v>
      </x:c>
      <x:c r="N315" s="13" t="n">
        <x:v>0.03152789005658852</x:v>
      </x:c>
      <x:c r="O315" s="13" t="n">
        <x:v>0.32838928317135646</x:v>
      </x:c>
      <x:c r="P315" s="13" t="n">
        <x:v>0.5190619628145678</x:v>
      </x:c>
      <x:c r="Q315" s="13" t="n">
        <x:v>93725.54090909091</x:v>
      </x:c>
      <x:c r="R315" s="13" t="n">
        <x:v>2.0352609213563686</x:v>
      </x:c>
      <x:c r="S315" s="13" t="n">
        <x:v>0.05010180820137939</x:v>
      </x:c>
      <x:c r="T315" s="13" t="n">
        <x:v>32</x:v>
      </x:c>
      <x:c r="U315" s="13" t="n">
        <x:v>127</x:v>
      </x:c>
      <x:c r="V315" s="13" t="n">
        <x:v>110</x:v>
      </x:c>
      <x:c r="W315" s="13" t="n">
        <x:v>17</x:v>
      </x:c>
      <x:c r="X315" s="13" t="n">
        <x:v>2</x:v>
      </x:c>
      <x:c r="Y315" s="13" t="n">
        <x:v>7627606</x:v>
      </x:c>
      <x:c r="Z315" s="13" t="n">
        <x:v>7929048</x:v>
      </x:c>
      <x:c r="AA315" s="13" t="n">
        <x:v>5</x:v>
      </x:c>
      <x:c r="AB315" s="13" t="n">
        <x:v>0.13385826771653545</x:v>
      </x:c>
      <x:c r="AC315" s="13" t="n">
        <x:v>0.01818181818181818</x:v>
      </x:c>
      <x:c r="AD315" s="13" t="n">
        <x:v>0.2933825677981243</x:v>
      </x:c>
      <x:c r="AE315" s="13" t="n">
        <x:v>0.4669389061587217</x:v>
      </x:c>
      <x:c r="AF315" s="13" t="n">
        <x:v>211877.94444444444</x:v>
      </x:c>
      <x:c r="AG315" s="13" t="n">
        <x:v>1.1437051574886654</x:v>
      </x:c>
      <x:c r="AH315" s="13" t="n">
        <x:v>0.03839575012842205</x:v>
      </x:c>
      <x:c r="AI315" s="13" t="n">
        <x:v>31</x:v>
      </x:c>
      <x:c r="AJ315" s="13" t="n">
        <x:v>4534663.15</x:v>
      </x:c>
      <x:c r="AK315" s="13" t="n">
        <x:v>0.39365792085001877</x:v>
      </x:c>
      <x:c r="AL315" s="13" t="n">
        <x:v>0.021075581395348836</x:v>
      </x:c>
      <x:c r="AM315" s="13" t="n">
        <x:v>0.030438010393466965</x:v>
      </x:c>
      <x:c r="AN315" s="13" t="n">
        <x:v>0.31088592548474037</x:v>
      </x:c>
      <x:c r="AO315" s="13" t="n">
        <x:v>1.589483039422517</x:v>
      </x:c>
      <x:c r="AP315" s="13" t="n">
        <x:v>0.04424877916490072</x:v>
      </x:c>
    </x:row>
    <x:row r="316" ht="15" hidden="0" customHeight="1">
      <x:c r="A316" s="2" t="str">
        <x:v>E315</x:v>
      </x:c>
      <x:c r="B316" s="2" t="str">
        <x:v>***轮胎有限公司</x:v>
      </x:c>
      <x:c r="C316" s="2" t="str">
        <x:v>无信贷记录</x:v>
      </x:c>
      <x:c r="D316" s="2" t="str"/>
      <x:c r="E316" s="2" t="str"/>
      <x:c r="F316" s="13" t="n">
        <x:v>388</x:v>
      </x:c>
      <x:c r="G316" s="13" t="n">
        <x:v>376</x:v>
      </x:c>
      <x:c r="H316" s="13" t="n">
        <x:v>12</x:v>
      </x:c>
      <x:c r="I316" s="13" t="n">
        <x:v>4</x:v>
      </x:c>
      <x:c r="J316" s="13" t="n">
        <x:v>2443360.33</x:v>
      </x:c>
      <x:c r="K316" s="13" t="n">
        <x:v>2612809.51</x:v>
      </x:c>
      <x:c r="L316" s="13" t="n">
        <x:v>95</x:v>
      </x:c>
      <x:c r="M316" s="13" t="n">
        <x:v>0.030927835051546393</x:v>
      </x:c>
      <x:c r="N316" s="13" t="n">
        <x:v>0.010638297872340425</x:v>
      </x:c>
      <x:c r="O316" s="13" t="n">
        <x:v>0.059215388941642765</x:v>
      </x:c>
      <x:c r="P316" s="13" t="n">
        <x:v>0.14807202688113302</x:v>
      </x:c>
      <x:c r="Q316" s="13" t="n">
        <x:v>66036.76567567568</x:v>
      </x:c>
      <x:c r="R316" s="13" t="n">
        <x:v>1.18209471149734</x:v>
      </x:c>
      <x:c r="S316" s="13" t="n">
        <x:v>0.016959520983291405</x:v>
      </x:c>
      <x:c r="T316" s="13" t="n">
        <x:v>37</x:v>
      </x:c>
      <x:c r="U316" s="13" t="n">
        <x:v>1580</x:v>
      </x:c>
      <x:c r="V316" s="13" t="n">
        <x:v>1533</x:v>
      </x:c>
      <x:c r="W316" s="13" t="n">
        <x:v>47</x:v>
      </x:c>
      <x:c r="X316" s="13" t="n">
        <x:v>3</x:v>
      </x:c>
      <x:c r="Y316" s="13" t="n">
        <x:v>13218795.030000001</x:v>
      </x:c>
      <x:c r="Z316" s="13" t="n">
        <x:v>13258475.030000001</x:v>
      </x:c>
      <x:c r="AA316" s="13" t="n">
        <x:v>141</x:v>
      </x:c>
      <x:c r="AB316" s="13" t="n">
        <x:v>0.029746835443037974</x:v>
      </x:c>
      <x:c r="AC316" s="13" t="n">
        <x:v>0.0019569471624266144</x:v>
      </x:c>
      <x:c r="AD316" s="13" t="n">
        <x:v>0.14743125421024098</x:v>
      </x:c>
      <x:c r="AE316" s="13" t="n">
        <x:v>0.3302899066515043</x:v>
      </x:c>
      <x:c r="AF316" s="13" t="n">
        <x:v>357264.7305405406</x:v>
      </x:c>
      <x:c r="AG316" s="13" t="n">
        <x:v>0.3989423796588609</x:v>
      </x:c>
      <x:c r="AH316" s="13" t="n">
        <x:v>0.008148516484753014</x:v>
      </x:c>
      <x:c r="AI316" s="13" t="n">
        <x:v>37</x:v>
      </x:c>
      <x:c r="AJ316" s="13" t="n">
        <x:v>10775434.700000001</x:v>
      </x:c>
      <x:c r="AK316" s="13" t="n">
        <x:v>0.1970671215270222</x:v>
      </x:c>
      <x:c r="AL316" s="13" t="n">
        <x:v>0.029979674796747968</x:v>
      </x:c>
      <x:c r="AM316" s="13" t="n">
        <x:v>0.003666841278156103</x:v>
      </x:c>
      <x:c r="AN316" s="13" t="n">
        <x:v>0.10332332157594187</x:v>
      </x:c>
      <x:c r="AO316" s="13" t="n">
        <x:v>0.7905185455781004</x:v>
      </x:c>
      <x:c r="AP316" s="13" t="n">
        <x:v>0.01255401873402221</x:v>
      </x:c>
    </x:row>
    <x:row r="317" ht="15" hidden="0" customHeight="1">
      <x:c r="A317" s="2" t="str">
        <x:v>E316</x:v>
      </x:c>
      <x:c r="B317" s="2" t="str">
        <x:v>个体经营E316 </x:v>
      </x:c>
      <x:c r="C317" s="2" t="str">
        <x:v>无信贷记录</x:v>
      </x:c>
      <x:c r="D317" s="2" t="str"/>
      <x:c r="E317" s="2" t="str"/>
      <x:c r="F317" s="13" t="n">
        <x:v>767</x:v>
      </x:c>
      <x:c r="G317" s="13" t="n">
        <x:v>754</x:v>
      </x:c>
      <x:c r="H317" s="13" t="n">
        <x:v>13</x:v>
      </x:c>
      <x:c r="I317" s="13" t="n">
        <x:v>3</x:v>
      </x:c>
      <x:c r="J317" s="13" t="n">
        <x:v>2817553.6500000004</x:v>
      </x:c>
      <x:c r="K317" s="13" t="n">
        <x:v>2830335.6500000004</x:v>
      </x:c>
      <x:c r="L317" s="13" t="n">
        <x:v>185</x:v>
      </x:c>
      <x:c r="M317" s="13" t="n">
        <x:v>0.01694915254237288</x:v>
      </x:c>
      <x:c r="N317" s="13" t="n">
        <x:v>0.003978779840848806</x:v>
      </x:c>
      <x:c r="O317" s="13" t="n">
        <x:v>0.09207537529260298</x:v>
      </x:c>
      <x:c r="P317" s="13" t="n">
        <x:v>0.2403633646772601</x:v>
      </x:c>
      <x:c r="Q317" s="13" t="n">
        <x:v>78265.37916666667</x:v>
      </x:c>
      <x:c r="R317" s="13" t="n">
        <x:v>1.4625332960492514</x:v>
      </x:c>
      <x:c r="S317" s="13" t="n">
        <x:v>0.07440359799236561</x:v>
      </x:c>
      <x:c r="T317" s="13" t="n">
        <x:v>36</x:v>
      </x:c>
      <x:c r="U317" s="13" t="n">
        <x:v>456</x:v>
      </x:c>
      <x:c r="V317" s="13" t="n">
        <x:v>404</x:v>
      </x:c>
      <x:c r="W317" s="13" t="n">
        <x:v>52</x:v>
      </x:c>
      <x:c r="X317" s="13" t="n">
        <x:v>13</x:v>
      </x:c>
      <x:c r="Y317" s="13" t="n">
        <x:v>12409487.580000002</x:v>
      </x:c>
      <x:c r="Z317" s="13" t="n">
        <x:v>13409978.4</x:v>
      </x:c>
      <x:c r="AA317" s="13" t="n">
        <x:v>23</x:v>
      </x:c>
      <x:c r="AB317" s="13" t="n">
        <x:v>0.11403508771929824</x:v>
      </x:c>
      <x:c r="AC317" s="13" t="n">
        <x:v>0.03217821782178218</x:v>
      </x:c>
      <x:c r="AD317" s="13" t="n">
        <x:v>0.5256407200321228</x:v>
      </x:c>
      <x:c r="AE317" s="13" t="n">
        <x:v>0.7145673254775713</x:v>
      </x:c>
      <x:c r="AF317" s="13" t="n">
        <x:v>354556.788</x:v>
      </x:c>
      <x:c r="AG317" s="13" t="n">
        <x:v>1.233331348950115</x:v>
      </x:c>
      <x:c r="AH317" s="13" t="n">
        <x:v>0.05950305287998623</x:v>
      </x:c>
      <x:c r="AI317" s="13" t="n">
        <x:v>33</x:v>
      </x:c>
      <x:c r="AJ317" s="13" t="n">
        <x:v>9591933.930000002</x:v>
      </x:c>
      <x:c r="AK317" s="13" t="n">
        <x:v>0.2110619096895786</x:v>
      </x:c>
      <x:c r="AL317" s="13" t="n">
        <x:v>0.053147996729354045</x:v>
      </x:c>
      <x:c r="AM317" s="13" t="n">
        <x:v>0.013816925734024179</x:v>
      </x:c>
      <x:c r="AN317" s="13" t="n">
        <x:v>0.3088580476623629</x:v>
      </x:c>
      <x:c r="AO317" s="13" t="n">
        <x:v>1.347932322499683</x:v>
      </x:c>
      <x:c r="AP317" s="13" t="n">
        <x:v>0.06695332543617592</x:v>
      </x:c>
    </x:row>
    <x:row r="318" ht="15" hidden="0" customHeight="1">
      <x:c r="A318" s="2" t="str">
        <x:v>E317</x:v>
      </x:c>
      <x:c r="B318" s="2" t="str">
        <x:v>***科技有限公司</x:v>
      </x:c>
      <x:c r="C318" s="2" t="str">
        <x:v>无信贷记录</x:v>
      </x:c>
      <x:c r="D318" s="2" t="str"/>
      <x:c r="E318" s="2" t="str"/>
      <x:c r="F318" s="13" t="n">
        <x:v>354</x:v>
      </x:c>
      <x:c r="G318" s="13" t="n">
        <x:v>347</x:v>
      </x:c>
      <x:c r="H318" s="13" t="n">
        <x:v>7</x:v>
      </x:c>
      <x:c r="I318" s="13" t="n">
        <x:v>3</x:v>
      </x:c>
      <x:c r="J318" s="13" t="n">
        <x:v>1734789.89</x:v>
      </x:c>
      <x:c r="K318" s="13" t="n">
        <x:v>1735945.89</x:v>
      </x:c>
      <x:c r="L318" s="13" t="n">
        <x:v>107</x:v>
      </x:c>
      <x:c r="M318" s="13" t="n">
        <x:v>0.01977401129943503</x:v>
      </x:c>
      <x:c r="N318" s="13" t="n">
        <x:v>0.008645533141210375</x:v>
      </x:c>
      <x:c r="O318" s="13" t="n">
        <x:v>0.10314200920838994</x:v>
      </x:c>
      <x:c r="P318" s="13" t="n">
        <x:v>0.19355442006317375</x:v>
      </x:c>
      <x:c r="Q318" s="13" t="n">
        <x:v>54212.1840625</x:v>
      </x:c>
      <x:c r="R318" s="13" t="n">
        <x:v>1.5196246839863565</x:v>
      </x:c>
      <x:c r="S318" s="13" t="n">
        <x:v>0.08476567036976268</x:v>
      </x:c>
      <x:c r="T318" s="13" t="n">
        <x:v>31</x:v>
      </x:c>
      <x:c r="U318" s="13" t="n">
        <x:v>209</x:v>
      </x:c>
      <x:c r="V318" s="13" t="n">
        <x:v>171</x:v>
      </x:c>
      <x:c r="W318" s="13" t="n">
        <x:v>38</x:v>
      </x:c>
      <x:c r="X318" s="13" t="n">
        <x:v>10</x:v>
      </x:c>
      <x:c r="Y318" s="13" t="n">
        <x:v>6081654.529999999</x:v>
      </x:c>
      <x:c r="Z318" s="13" t="n">
        <x:v>6723373.1899999995</x:v>
      </x:c>
      <x:c r="AA318" s="13" t="n">
        <x:v>35</x:v>
      </x:c>
      <x:c r="AB318" s="13" t="n">
        <x:v>0.18181818181818182</x:v>
      </x:c>
      <x:c r="AC318" s="13" t="n">
        <x:v>0.05847953216374269</x:v>
      </x:c>
      <x:c r="AD318" s="13" t="n">
        <x:v>0.07809860860894909</x:v>
      </x:c>
      <x:c r="AE318" s="13" t="n">
        <x:v>0.1300261929979228</x:v>
      </x:c>
      <x:c r="AF318" s="13" t="n">
        <x:v>190051.70406249998</x:v>
      </x:c>
      <x:c r="AG318" s="13" t="n">
        <x:v>1.3516315413168944</x:v>
      </x:c>
      <x:c r="AH318" s="13" t="n">
        <x:v>0.10188350040804652</x:v>
      </x:c>
      <x:c r="AI318" s="13" t="n">
        <x:v>25</x:v>
      </x:c>
      <x:c r="AJ318" s="13" t="n">
        <x:v>4346864.64</x:v>
      </x:c>
      <x:c r="AK318" s="13" t="n">
        <x:v>0.2581956766258277</x:v>
      </x:c>
      <x:c r="AL318" s="13" t="n">
        <x:v>0.07992895204262877</x:v>
      </x:c>
      <x:c r="AM318" s="13" t="n">
        <x:v>0.025096525096525095</x:v>
      </x:c>
      <x:c r="AN318" s="13" t="n">
        <x:v>0.09062030890866951</x:v>
      </x:c>
      <x:c r="AO318" s="13" t="n">
        <x:v>1.4356281126516255</x:v>
      </x:c>
      <x:c r="AP318" s="13" t="n">
        <x:v>0.09332458538890459</x:v>
      </x:c>
    </x:row>
    <x:row r="319" ht="15" hidden="0" customHeight="1">
      <x:c r="A319" s="2" t="str">
        <x:v>E318</x:v>
      </x:c>
      <x:c r="B319" s="2" t="str">
        <x:v>***商贸有限公司</x:v>
      </x:c>
      <x:c r="C319" s="2" t="str">
        <x:v>无信贷记录</x:v>
      </x:c>
      <x:c r="D319" s="2" t="str"/>
      <x:c r="E319" s="2" t="str"/>
      <x:c r="F319" s="13" t="n">
        <x:v>300</x:v>
      </x:c>
      <x:c r="G319" s="13" t="n">
        <x:v>297</x:v>
      </x:c>
      <x:c r="H319" s="13" t="n">
        <x:v>3</x:v>
      </x:c>
      <x:c r="I319" s="13" t="n">
        <x:v>2</x:v>
      </x:c>
      <x:c r="J319" s="13" t="n">
        <x:v>1276891.5599999998</x:v>
      </x:c>
      <x:c r="K319" s="13" t="n">
        <x:v>1479003</x:v>
      </x:c>
      <x:c r="L319" s="13" t="n">
        <x:v>25</x:v>
      </x:c>
      <x:c r="M319" s="13" t="n">
        <x:v>0.01</x:v>
      </x:c>
      <x:c r="N319" s="13" t="n">
        <x:v>0.006734006734006734</x:v>
      </x:c>
      <x:c r="O319" s="13" t="n">
        <x:v>0.31150894444164234</x:v>
      </x:c>
      <x:c r="P319" s="13" t="n">
        <x:v>0.5198847128775264</x:v>
      </x:c>
      <x:c r="Q319" s="13" t="n">
        <x:v>33602.40947368421</x:v>
      </x:c>
      <x:c r="R319" s="13" t="n">
        <x:v>1.2144409235650007</x:v>
      </x:c>
      <x:c r="S319" s="13" t="n">
        <x:v>0.014401609578665526</x:v>
      </x:c>
      <x:c r="T319" s="13" t="n">
        <x:v>38</x:v>
      </x:c>
      <x:c r="U319" s="13" t="n">
        <x:v>409</x:v>
      </x:c>
      <x:c r="V319" s="13" t="n">
        <x:v>349</x:v>
      </x:c>
      <x:c r="W319" s="13" t="n">
        <x:v>60</x:v>
      </x:c>
      <x:c r="X319" s="13" t="n">
        <x:v>2</x:v>
      </x:c>
      <x:c r="Y319" s="13" t="n">
        <x:v>12866601.950000001</x:v>
      </x:c>
      <x:c r="Z319" s="13" t="n">
        <x:v>12934721.47</x:v>
      </x:c>
      <x:c r="AA319" s="13" t="n">
        <x:v>17</x:v>
      </x:c>
      <x:c r="AB319" s="13" t="n">
        <x:v>0.1466992665036675</x:v>
      </x:c>
      <x:c r="AC319" s="13" t="n">
        <x:v>0.0057306590257879654</x:v>
      </x:c>
      <x:c r="AD319" s="13" t="n">
        <x:v>0.20108577771912597</x:v>
      </x:c>
      <x:c r="AE319" s="13" t="n">
        <x:v>0.380053777841418</x:v>
      </x:c>
      <x:c r="AF319" s="13" t="n">
        <x:v>338594.78815789474</x:v>
      </x:c>
      <x:c r="AG319" s="13" t="n">
        <x:v>0.32267864372852506</x:v>
      </x:c>
      <x:c r="AH319" s="13" t="n">
        <x:v>0.00459671256822946</x:v>
      </x:c>
      <x:c r="AI319" s="13" t="n">
        <x:v>38</x:v>
      </x:c>
      <x:c r="AJ319" s="13" t="n">
        <x:v>11589710.39</x:v>
      </x:c>
      <x:c r="AK319" s="13" t="n">
        <x:v>0.11434362954241485</x:v>
      </x:c>
      <x:c r="AL319" s="13" t="n">
        <x:v>0.08885754583921016</x:v>
      </x:c>
      <x:c r="AM319" s="13" t="n">
        <x:v>0.006191950464396285</x:v>
      </x:c>
      <x:c r="AN319" s="13" t="n">
        <x:v>0.25629736108038415</x:v>
      </x:c>
      <x:c r="AO319" s="13" t="n">
        <x:v>0.7685597836467628</x:v>
      </x:c>
      <x:c r="AP319" s="13" t="n">
        <x:v>0.009499161073447494</x:v>
      </x:c>
    </x:row>
    <x:row r="320" ht="15" hidden="0" customHeight="1">
      <x:c r="A320" s="2" t="str">
        <x:v>E319</x:v>
      </x:c>
      <x:c r="B320" s="2" t="str">
        <x:v>个体经营E319 </x:v>
      </x:c>
      <x:c r="C320" s="2" t="str">
        <x:v>无信贷记录</x:v>
      </x:c>
      <x:c r="D320" s="2" t="str"/>
      <x:c r="E320" s="2" t="str"/>
      <x:c r="F320" s="13" t="n">
        <x:v>182</x:v>
      </x:c>
      <x:c r="G320" s="13" t="n">
        <x:v>176</x:v>
      </x:c>
      <x:c r="H320" s="13" t="n">
        <x:v>6</x:v>
      </x:c>
      <x:c r="I320" s="13" t="n">
        <x:v>1</x:v>
      </x:c>
      <x:c r="J320" s="13" t="n">
        <x:v>8395262.15</x:v>
      </x:c>
      <x:c r="K320" s="13" t="n">
        <x:v>8409262.15</x:v>
      </x:c>
      <x:c r="L320" s="13" t="n">
        <x:v>37</x:v>
      </x:c>
      <x:c r="M320" s="13" t="n">
        <x:v>0.03296703296703297</x:v>
      </x:c>
      <x:c r="N320" s="13" t="n">
        <x:v>0.005681818181818182</x:v>
      </x:c>
      <x:c r="O320" s="13" t="n">
        <x:v>0.089726236617484</x:v>
      </x:c>
      <x:c r="P320" s="13" t="n">
        <x:v>0.17191861476217624</x:v>
      </x:c>
      <x:c r="Q320" s="13" t="n">
        <x:v>279842.0716666666</x:v>
      </x:c>
      <x:c r="R320" s="13" t="n">
        <x:v>0.8549268543765681</x:v>
      </x:c>
      <x:c r="S320" s="13" t="n">
        <x:v>-0.0036629133860947966</x:v>
      </x:c>
      <x:c r="T320" s="13" t="n">
        <x:v>30</x:v>
      </x:c>
      <x:c r="U320" s="13" t="n">
        <x:v>742</x:v>
      </x:c>
      <x:c r="V320" s="13" t="n">
        <x:v>691</x:v>
      </x:c>
      <x:c r="W320" s="13" t="n">
        <x:v>51</x:v>
      </x:c>
      <x:c r="X320" s="13" t="n">
        <x:v>6</x:v>
      </x:c>
      <x:c r="Y320" s="13" t="n">
        <x:v>15716166.969999999</x:v>
      </x:c>
      <x:c r="Z320" s="13" t="n">
        <x:v>15834642.969999999</x:v>
      </x:c>
      <x:c r="AA320" s="13" t="n">
        <x:v>177</x:v>
      </x:c>
      <x:c r="AB320" s="13" t="n">
        <x:v>0.06873315363881402</x:v>
      </x:c>
      <x:c r="AC320" s="13" t="n">
        <x:v>0.008683068017366137</x:v>
      </x:c>
      <x:c r="AD320" s="13" t="n">
        <x:v>0.03207834525771488</x:v>
      </x:c>
      <x:c r="AE320" s="13" t="n">
        <x:v>0.09732106009081681</x:v>
      </x:c>
      <x:c r="AF320" s="13" t="n">
        <x:v>436560.1936111111</x:v>
      </x:c>
      <x:c r="AG320" s="13" t="n">
        <x:v>0.46343331951069355</x:v>
      </x:c>
      <x:c r="AH320" s="13" t="n">
        <x:v>-0.017955121106851674</x:v>
      </x:c>
      <x:c r="AI320" s="13" t="n">
        <x:v>36</x:v>
      </x:c>
      <x:c r="AJ320" s="13" t="n">
        <x:v>7320904.819999998</x:v>
      </x:c>
      <x:c r="AK320" s="13" t="n">
        <x:v>0.5310673670339155</x:v>
      </x:c>
      <x:c r="AL320" s="13" t="n">
        <x:v>0.06168831168831169</x:v>
      </x:c>
      <x:c r="AM320" s="13" t="n">
        <x:v>0.008073817762399077</x:v>
      </x:c>
      <x:c r="AN320" s="13" t="n">
        <x:v>0.06090229093759944</x:v>
      </x:c>
      <x:c r="AO320" s="13" t="n">
        <x:v>0.6591800869436308</x:v>
      </x:c>
      <x:c r="AP320" s="13" t="n">
        <x:v>-0.010809017246473235</x:v>
      </x:c>
    </x:row>
    <x:row r="321" ht="15" hidden="0" customHeight="1">
      <x:c r="A321" s="2" t="str">
        <x:v>E320</x:v>
      </x:c>
      <x:c r="B321" s="2" t="str">
        <x:v>***建筑设计有限公司</x:v>
      </x:c>
      <x:c r="C321" s="2" t="str">
        <x:v>无信贷记录</x:v>
      </x:c>
      <x:c r="D321" s="2" t="str"/>
      <x:c r="E321" s="2" t="str"/>
      <x:c r="F321" s="13" t="n">
        <x:v>244</x:v>
      </x:c>
      <x:c r="G321" s="13" t="n">
        <x:v>231</x:v>
      </x:c>
      <x:c r="H321" s="13" t="n">
        <x:v>13</x:v>
      </x:c>
      <x:c r="I321" s="13" t="n">
        <x:v>0</x:v>
      </x:c>
      <x:c r="J321" s="13" t="n">
        <x:v>6765048.12</x:v>
      </x:c>
      <x:c r="K321" s="13" t="n">
        <x:v>6765048.12</x:v>
      </x:c>
      <x:c r="L321" s="13" t="n">
        <x:v>77</x:v>
      </x:c>
      <x:c r="M321" s="13" t="n">
        <x:v>0.05327868852459016</x:v>
      </x:c>
      <x:c r="N321" s="13" t="n">
        <x:v>0</x:v>
      </x:c>
      <x:c r="O321" s="13" t="n">
        <x:v>0.6332129823673902</x:v>
      </x:c>
      <x:c r="P321" s="13" t="n">
        <x:v>0.7878731836721954</x:v>
      </x:c>
      <x:c r="Q321" s="13" t="n">
        <x:v>205001.45818181816</x:v>
      </x:c>
      <x:c r="R321" s="13" t="n">
        <x:v>4.465726097544905</x:v>
      </x:c>
      <x:c r="S321" s="13" t="n">
        <x:v>0.05934012266232796</x:v>
      </x:c>
      <x:c r="T321" s="13" t="n">
        <x:v>30</x:v>
      </x:c>
      <x:c r="U321" s="13" t="n">
        <x:v>98</x:v>
      </x:c>
      <x:c r="V321" s="13" t="n">
        <x:v>92</x:v>
      </x:c>
      <x:c r="W321" s="13" t="n">
        <x:v>6</x:v>
      </x:c>
      <x:c r="X321" s="13" t="n">
        <x:v>0</x:v>
      </x:c>
      <x:c r="Y321" s="13" t="n">
        <x:v>9009170.31</x:v>
      </x:c>
      <x:c r="Z321" s="13" t="n">
        <x:v>9009170.31</x:v>
      </x:c>
      <x:c r="AA321" s="13" t="n">
        <x:v>6</x:v>
      </x:c>
      <x:c r="AB321" s="13" t="n">
        <x:v>0.061224489795918366</x:v>
      </x:c>
      <x:c r="AC321" s="13" t="n">
        <x:v>0</x:v>
      </x:c>
      <x:c r="AD321" s="13" t="n">
        <x:v>0.46640336227309387</x:v>
      </x:c>
      <x:c r="AE321" s="13" t="n">
        <x:v>0.607538843385457</x:v>
      </x:c>
      <x:c r="AF321" s="13" t="n">
        <x:v>563073.144375</x:v>
      </x:c>
      <x:c r="AG321" s="13" t="n">
        <x:v>1.9413290261835179</x:v>
      </x:c>
      <x:c r="AH321" s="13" t="n">
        <x:v>0.008237576188470284</x:v>
      </x:c>
      <x:c r="AI321" s="13" t="n">
        <x:v>6</x:v>
      </x:c>
      <x:c r="AJ321" s="13" t="n">
        <x:v>2244122.1900000004</x:v>
      </x:c>
      <x:c r="AK321" s="13" t="n">
        <x:v>0.7509068967750481</x:v>
      </x:c>
      <x:c r="AL321" s="13" t="n">
        <x:v>0.05555555555555555</x:v>
      </x:c>
      <x:c r="AM321" s="13" t="n">
        <x:v>0</x:v>
      </x:c>
      <x:c r="AN321" s="13" t="n">
        <x:v>0.549808172320242</x:v>
      </x:c>
      <x:c r="AO321" s="13" t="n">
        <x:v>3.2035275618642114</x:v>
      </x:c>
      <x:c r="AP321" s="13" t="n">
        <x:v>0.03378884942539912</x:v>
      </x:c>
    </x:row>
    <x:row r="322" ht="15" hidden="0" customHeight="1">
      <x:c r="A322" s="2" t="str">
        <x:v>E321</x:v>
      </x:c>
      <x:c r="B322" s="2" t="str">
        <x:v>***生物流有限公司</x:v>
      </x:c>
      <x:c r="C322" s="2" t="str">
        <x:v>无信贷记录</x:v>
      </x:c>
      <x:c r="D322" s="2" t="str"/>
      <x:c r="E322" s="2" t="str"/>
      <x:c r="F322" s="13" t="n">
        <x:v>63</x:v>
      </x:c>
      <x:c r="G322" s="13" t="n">
        <x:v>62</x:v>
      </x:c>
      <x:c r="H322" s="13" t="n">
        <x:v>1</x:v>
      </x:c>
      <x:c r="I322" s="13" t="n">
        <x:v>1</x:v>
      </x:c>
      <x:c r="J322" s="13" t="n">
        <x:v>5929272.51</x:v>
      </x:c>
      <x:c r="K322" s="13" t="n">
        <x:v>6031672.51</x:v>
      </x:c>
      <x:c r="L322" s="13" t="n">
        <x:v>15</x:v>
      </x:c>
      <x:c r="M322" s="13" t="n">
        <x:v>0.015873015873015872</x:v>
      </x:c>
      <x:c r="N322" s="13" t="n">
        <x:v>0.016129032258064516</x:v>
      </x:c>
      <x:c r="O322" s="13" t="n">
        <x:v>0.6544642989714573</x:v>
      </x:c>
      <x:c r="P322" s="13" t="n">
        <x:v>0.8048879480693159</x:v>
      </x:c>
      <x:c r="Q322" s="13" t="n">
        <x:v>160250.60837837838</x:v>
      </x:c>
      <x:c r="R322" s="13" t="n">
        <x:v>0.631328227963122</x:v>
      </x:c>
      <x:c r="S322" s="13" t="n">
        <x:v>0.024013313477083433</x:v>
      </x:c>
      <x:c r="T322" s="13" t="n">
        <x:v>33</x:v>
      </x:c>
      <x:c r="U322" s="13" t="n">
        <x:v>427</x:v>
      </x:c>
      <x:c r="V322" s="13" t="n">
        <x:v>365</x:v>
      </x:c>
      <x:c r="W322" s="13" t="n">
        <x:v>62</x:v>
      </x:c>
      <x:c r="X322" s="13" t="n">
        <x:v>6</x:v>
      </x:c>
      <x:c r="Y322" s="13" t="n">
        <x:v>12442307.91</x:v>
      </x:c>
      <x:c r="Z322" s="13" t="n">
        <x:v>13112707.91</x:v>
      </x:c>
      <x:c r="AA322" s="13" t="n">
        <x:v>128</x:v>
      </x:c>
      <x:c r="AB322" s="13" t="n">
        <x:v>0.1451990632318501</x:v>
      </x:c>
      <x:c r="AC322" s="13" t="n">
        <x:v>0.01643835616438356</x:v>
      </x:c>
      <x:c r="AD322" s="13" t="n">
        <x:v>0.0372819540150705</x:v>
      </x:c>
      <x:c r="AE322" s="13" t="n">
        <x:v>0.1052642985319117</x:v>
      </x:c>
      <x:c r="AF322" s="13" t="n">
        <x:v>336278.5921621621</x:v>
      </x:c>
      <x:c r="AG322" s="13" t="n">
        <x:v>0.8500870664051199</x:v>
      </x:c>
      <x:c r="AH322" s="13" t="n">
        <x:v>0.03210622700951151</x:v>
      </x:c>
      <x:c r="AI322" s="13" t="n">
        <x:v>37</x:v>
      </x:c>
      <x:c r="AJ322" s="13" t="n">
        <x:v>6513035.4</x:v>
      </x:c>
      <x:c r="AK322" s="13" t="n">
        <x:v>0.4599867968842752</x:v>
      </x:c>
      <x:c r="AL322" s="13" t="n">
        <x:v>0.12857142857142856</x:v>
      </x:c>
      <x:c r="AM322" s="13" t="n">
        <x:v>0.01639344262295082</x:v>
      </x:c>
      <x:c r="AN322" s="13" t="n">
        <x:v>0.3458731264932639</x:v>
      </x:c>
      <x:c r="AO322" s="13" t="n">
        <x:v>0.740707647184121</x:v>
      </x:c>
      <x:c r="AP322" s="13" t="n">
        <x:v>0.02805977024329747</x:v>
      </x:c>
    </x:row>
    <x:row r="323" ht="15" hidden="0" customHeight="1">
      <x:c r="A323" s="2" t="str">
        <x:v>E322</x:v>
      </x:c>
      <x:c r="B323" s="2" t="str">
        <x:v>***装饰工程设计有限公司</x:v>
      </x:c>
      <x:c r="C323" s="2" t="str">
        <x:v>无信贷记录</x:v>
      </x:c>
      <x:c r="D323" s="2" t="str"/>
      <x:c r="E323" s="2" t="str"/>
      <x:c r="F323" s="13" t="n">
        <x:v>904</x:v>
      </x:c>
      <x:c r="G323" s="13" t="n">
        <x:v>884</x:v>
      </x:c>
      <x:c r="H323" s="13" t="n">
        <x:v>20</x:v>
      </x:c>
      <x:c r="I323" s="13" t="n">
        <x:v>12</x:v>
      </x:c>
      <x:c r="J323" s="13" t="n">
        <x:v>10250591.05</x:v>
      </x:c>
      <x:c r="K323" s="13" t="n">
        <x:v>10321581.65</x:v>
      </x:c>
      <x:c r="L323" s="13" t="n">
        <x:v>231</x:v>
      </x:c>
      <x:c r="M323" s="13" t="n">
        <x:v>0.022123893805309734</x:v>
      </x:c>
      <x:c r="N323" s="13" t="n">
        <x:v>0.013574660633484163</x:v>
      </x:c>
      <x:c r="O323" s="13" t="n">
        <x:v>0.0899959087665655</x:v>
      </x:c>
      <x:c r="P323" s="13" t="n">
        <x:v>0.2410947453968937</x:v>
      </x:c>
      <x:c r="Q323" s="13" t="n">
        <x:v>341686.3683333333</x:v>
      </x:c>
      <x:c r="R323" s="13" t="n">
        <x:v>0.741618445509938</x:v>
      </x:c>
      <x:c r="S323" s="13" t="n">
        <x:v>0.018336355934219083</x:v>
      </x:c>
      <x:c r="T323" s="13" t="n">
        <x:v>30</x:v>
      </x:c>
      <x:c r="U323" s="13" t="n">
        <x:v>880</x:v>
      </x:c>
      <x:c r="V323" s="13" t="n">
        <x:v>832</x:v>
      </x:c>
      <x:c r="W323" s="13" t="n">
        <x:v>48</x:v>
      </x:c>
      <x:c r="X323" s="13" t="n">
        <x:v>43</x:v>
      </x:c>
      <x:c r="Y323" s="13" t="n">
        <x:v>11278085.22</x:v>
      </x:c>
      <x:c r="Z323" s="13" t="n">
        <x:v>14705401.12</x:v>
      </x:c>
      <x:c r="AA323" s="13" t="n">
        <x:v>14</x:v>
      </x:c>
      <x:c r="AB323" s="13" t="n">
        <x:v>0.05454545454545454</x:v>
      </x:c>
      <x:c r="AC323" s="13" t="n">
        <x:v>0.051682692307692304</x:v>
      </x:c>
      <x:c r="AD323" s="13" t="n">
        <x:v>0.23692231237970304</x:v>
      </x:c>
      <x:c r="AE323" s="13" t="n">
        <x:v>0.33101807154241025</x:v>
      </x:c>
      <x:c r="AF323" s="13" t="n">
        <x:v>375936.174</x:v>
      </x:c>
      <x:c r="AG323" s="13" t="n">
        <x:v>0.8769843826105431</x:v>
      </x:c>
      <x:c r="AH323" s="13" t="n">
        <x:v>0.03951146101697287</x:v>
      </x:c>
      <x:c r="AI323" s="13" t="n">
        <x:v>29</x:v>
      </x:c>
      <x:c r="AJ323" s="13" t="n">
        <x:v>1027494.1699999999</x:v>
      </x:c>
      <x:c r="AK323" s="13" t="n">
        <x:v>0.7018905207530987</x:v>
      </x:c>
      <x:c r="AL323" s="13" t="n">
        <x:v>0.03811659192825112</x:v>
      </x:c>
      <x:c r="AM323" s="13" t="n">
        <x:v>0.03205128205128205</x:v>
      </x:c>
      <x:c r="AN323" s="13" t="n">
        <x:v>0.16345911057313428</x:v>
      </x:c>
      <x:c r="AO323" s="13" t="n">
        <x:v>0.8093014140602406</x:v>
      </x:c>
      <x:c r="AP323" s="13" t="n">
        <x:v>0.028923908475595977</x:v>
      </x:c>
    </x:row>
    <x:row r="324" ht="15" hidden="0" customHeight="1">
      <x:c r="A324" s="2" t="str">
        <x:v>E323</x:v>
      </x:c>
      <x:c r="B324" s="2" t="str">
        <x:v>***建筑装饰工程有限公司</x:v>
      </x:c>
      <x:c r="C324" s="2" t="str">
        <x:v>无信贷记录</x:v>
      </x:c>
      <x:c r="D324" s="2" t="str"/>
      <x:c r="E324" s="2" t="str"/>
      <x:c r="F324" s="13" t="n">
        <x:v>501</x:v>
      </x:c>
      <x:c r="G324" s="13" t="n">
        <x:v>468</x:v>
      </x:c>
      <x:c r="H324" s="13" t="n">
        <x:v>33</x:v>
      </x:c>
      <x:c r="I324" s="13" t="n">
        <x:v>4</x:v>
      </x:c>
      <x:c r="J324" s="13" t="n">
        <x:v>4315841.96</x:v>
      </x:c>
      <x:c r="K324" s="13" t="n">
        <x:v>4818901.919999999</x:v>
      </x:c>
      <x:c r="L324" s="13" t="n">
        <x:v>147</x:v>
      </x:c>
      <x:c r="M324" s="13" t="n">
        <x:v>0.0658682634730539</x:v>
      </x:c>
      <x:c r="N324" s="13" t="n">
        <x:v>0.008547008547008548</x:v>
      </x:c>
      <x:c r="O324" s="13" t="n">
        <x:v>0.07298598575081161</x:v>
      </x:c>
      <x:c r="P324" s="13" t="n">
        <x:v>0.19921550924613962</x:v>
      </x:c>
      <x:c r="Q324" s="13" t="n">
        <x:v>165993.92153846152</x:v>
      </x:c>
      <x:c r="R324" s="13" t="n">
        <x:v>1.7366814704878148</x:v>
      </x:c>
      <x:c r="S324" s="13" t="n">
        <x:v>0.15116525482987914</x:v>
      </x:c>
      <x:c r="T324" s="13" t="n">
        <x:v>26</x:v>
      </x:c>
      <x:c r="U324" s="13" t="n">
        <x:v>165</x:v>
      </x:c>
      <x:c r="V324" s="13" t="n">
        <x:v>117</x:v>
      </x:c>
      <x:c r="W324" s="13" t="n">
        <x:v>48</x:v>
      </x:c>
      <x:c r="X324" s="13" t="n">
        <x:v>0</x:v>
      </x:c>
      <x:c r="Y324" s="13" t="n">
        <x:v>5969410.87</x:v>
      </x:c>
      <x:c r="Z324" s="13" t="n">
        <x:v>5969410.87</x:v>
      </x:c>
      <x:c r="AA324" s="13" t="n">
        <x:v>15</x:v>
      </x:c>
      <x:c r="AB324" s="13" t="n">
        <x:v>0.2909090909090909</x:v>
      </x:c>
      <x:c r="AC324" s="13" t="n">
        <x:v>0</x:v>
      </x:c>
      <x:c r="AD324" s="13" t="n">
        <x:v>0.3825116847189998</x:v>
      </x:c>
      <x:c r="AE324" s="13" t="n">
        <x:v>0.5211521685723737</x:v>
      </x:c>
      <x:c r="AF324" s="13" t="n">
        <x:v>259539.60304347827</x:v>
      </x:c>
      <x:c r="AG324" s="13" t="n">
        <x:v>1.5527809539431692</x:v>
      </x:c>
      <x:c r="AH324" s="13" t="n">
        <x:v>0.1550815472835606</x:v>
      </x:c>
      <x:c r="AI324" s="13" t="n">
        <x:v>16</x:v>
      </x:c>
      <x:c r="AJ324" s="13" t="n">
        <x:v>1653568.9100000001</x:v>
      </x:c>
      <x:c r="AK324" s="13" t="n">
        <x:v>0.8072659136629338</x:v>
      </x:c>
      <x:c r="AL324" s="13" t="n">
        <x:v>0.12162162162162163</x:v>
      </x:c>
      <x:c r="AM324" s="13" t="n">
        <x:v>0.006837606837606838</x:v>
      </x:c>
      <x:c r="AN324" s="13" t="n">
        <x:v>0.22774883523490572</x:v>
      </x:c>
      <x:c r="AO324" s="13" t="n">
        <x:v>1.644731212215492</x:v>
      </x:c>
      <x:c r="AP324" s="13" t="n">
        <x:v>0.15312340105671987</x:v>
      </x:c>
    </x:row>
    <x:row r="325" ht="15" hidden="0" customHeight="1">
      <x:c r="A325" s="2" t="str">
        <x:v>E324</x:v>
      </x:c>
      <x:c r="B325" s="2" t="str">
        <x:v>***汽贸有限公司</x:v>
      </x:c>
      <x:c r="C325" s="2" t="str">
        <x:v>无信贷记录</x:v>
      </x:c>
      <x:c r="D325" s="2" t="str"/>
      <x:c r="E325" s="2" t="str"/>
      <x:c r="F325" s="13" t="n">
        <x:v>1621</x:v>
      </x:c>
      <x:c r="G325" s="13" t="n">
        <x:v>1569</x:v>
      </x:c>
      <x:c r="H325" s="13" t="n">
        <x:v>52</x:v>
      </x:c>
      <x:c r="I325" s="13" t="n">
        <x:v>6</x:v>
      </x:c>
      <x:c r="J325" s="13" t="n">
        <x:v>91927033.15</x:v>
      </x:c>
      <x:c r="K325" s="13" t="n">
        <x:v>92014235.15</x:v>
      </x:c>
      <x:c r="L325" s="13" t="n">
        <x:v>82</x:v>
      </x:c>
      <x:c r="M325" s="13" t="n">
        <x:v>0.032078963602714373</x:v>
      </x:c>
      <x:c r="N325" s="13" t="n">
        <x:v>0.0038240917782026767</x:v>
      </x:c>
      <x:c r="O325" s="13" t="n">
        <x:v>0.2694956005555338</x:v>
      </x:c>
      <x:c r="P325" s="13" t="n">
        <x:v>0.4780301336885046</x:v>
      </x:c>
      <x:c r="Q325" s="13" t="n">
        <x:v>2484514.409459459</x:v>
      </x:c>
      <x:c r="R325" s="13" t="n">
        <x:v>0.4258691915844231</x:v>
      </x:c>
      <x:c r="S325" s="13" t="n">
        <x:v>0.01288908377918325</x:v>
      </x:c>
      <x:c r="T325" s="13" t="n">
        <x:v>37</x:v>
      </x:c>
      <x:c r="U325" s="13" t="n">
        <x:v>416</x:v>
      </x:c>
      <x:c r="V325" s="13" t="n">
        <x:v>339</x:v>
      </x:c>
      <x:c r="W325" s="13" t="n">
        <x:v>77</x:v>
      </x:c>
      <x:c r="X325" s="13" t="n">
        <x:v>6</x:v>
      </x:c>
      <x:c r="Y325" s="13" t="n">
        <x:v>14963640.68</x:v>
      </x:c>
      <x:c r="Z325" s="13" t="n">
        <x:v>15398344.04</x:v>
      </x:c>
      <x:c r="AA325" s="13" t="n">
        <x:v>43</x:v>
      </x:c>
      <x:c r="AB325" s="13" t="n">
        <x:v>0.18509615384615385</x:v>
      </x:c>
      <x:c r="AC325" s="13" t="n">
        <x:v>0.017699115044247787</x:v>
      </x:c>
      <x:c r="AD325" s="13" t="n">
        <x:v>0.38735165679094175</x:v>
      </x:c>
      <x:c r="AE325" s="13" t="n">
        <x:v>0.6115410842580447</x:v>
      </x:c>
      <x:c r="AF325" s="13" t="n">
        <x:v>404422.7210810811</x:v>
      </x:c>
      <x:c r="AG325" s="13" t="n">
        <x:v>0.7302791975088189</x:v>
      </x:c>
      <x:c r="AH325" s="13" t="n">
        <x:v>-0.012731548890329018</x:v>
      </x:c>
      <x:c r="AI325" s="13" t="n">
        <x:v>37</x:v>
      </x:c>
      <x:c r="AJ325" s="13" t="n">
        <x:v>-76963392.47</x:v>
      </x:c>
      <x:c r="AK325" s="13" t="n">
        <x:v>5.975592889142903</x:v>
      </x:c>
      <x:c r="AL325" s="13" t="n">
        <x:v>0.06332842415316642</x:v>
      </x:c>
      <x:c r="AM325" s="13" t="n">
        <x:v>0.006289308176100629</x:v>
      </x:c>
      <x:c r="AN325" s="13" t="n">
        <x:v>0.32842362867323777</x:v>
      </x:c>
      <x:c r="AO325" s="13" t="n">
        <x:v>0.578074194546621</x:v>
      </x:c>
      <x:c r="AP325" s="13" t="n">
        <x:v>0.00007876744442711619</x:v>
      </x:c>
    </x:row>
    <x:row r="326" ht="15" hidden="0" customHeight="1">
      <x:c r="A326" s="2" t="str">
        <x:v>E325</x:v>
      </x:c>
      <x:c r="B326" s="2" t="str">
        <x:v>***通讯器材有限公司</x:v>
      </x:c>
      <x:c r="C326" s="2" t="str">
        <x:v>无信贷记录</x:v>
      </x:c>
      <x:c r="D326" s="2" t="str"/>
      <x:c r="E326" s="2" t="str"/>
      <x:c r="F326" s="13" t="n">
        <x:v>530</x:v>
      </x:c>
      <x:c r="G326" s="13" t="n">
        <x:v>513</x:v>
      </x:c>
      <x:c r="H326" s="13" t="n">
        <x:v>17</x:v>
      </x:c>
      <x:c r="I326" s="13" t="n">
        <x:v>12</x:v>
      </x:c>
      <x:c r="J326" s="13" t="n">
        <x:v>35538257.46</x:v>
      </x:c>
      <x:c r="K326" s="13" t="n">
        <x:v>35540512.7</x:v>
      </x:c>
      <x:c r="L326" s="13" t="n">
        <x:v>63</x:v>
      </x:c>
      <x:c r="M326" s="13" t="n">
        <x:v>0.03207547169811321</x:v>
      </x:c>
      <x:c r="N326" s="13" t="n">
        <x:v>0.023391812865497075</x:v>
      </x:c>
      <x:c r="O326" s="13" t="n">
        <x:v>0.591268762603272</x:v>
      </x:c>
      <x:c r="P326" s="13" t="n">
        <x:v>0.7630364901854667</x:v>
      </x:c>
      <x:c r="Q326" s="13" t="n">
        <x:v>960493.4448648649</x:v>
      </x:c>
      <x:c r="R326" s="13" t="n">
        <x:v>0.44232340169532747</x:v>
      </x:c>
      <x:c r="S326" s="13" t="n">
        <x:v>0.02701936633919642</x:v>
      </x:c>
      <x:c r="T326" s="13" t="n">
        <x:v>37</x:v>
      </x:c>
      <x:c r="U326" s="13" t="n">
        <x:v>4180</x:v>
      </x:c>
      <x:c r="V326" s="13" t="n">
        <x:v>4001</x:v>
      </x:c>
      <x:c r="W326" s="13" t="n">
        <x:v>179</x:v>
      </x:c>
      <x:c r="X326" s="13" t="n">
        <x:v>29</x:v>
      </x:c>
      <x:c r="Y326" s="13" t="n">
        <x:v>13065285.05</x:v>
      </x:c>
      <x:c r="Z326" s="13" t="n">
        <x:v>13368199.57</x:v>
      </x:c>
      <x:c r="AA326" s="13" t="n">
        <x:v>1519</x:v>
      </x:c>
      <x:c r="AB326" s="13" t="n">
        <x:v>0.042822966507177034</x:v>
      </x:c>
      <x:c r="AC326" s="13" t="n">
        <x:v>0.007248187953011747</x:v>
      </x:c>
      <x:c r="AD326" s="13" t="n">
        <x:v>0.1468224845396342</x:v>
      </x:c>
      <x:c r="AE326" s="13" t="n">
        <x:v>0.3021521236909541</x:v>
      </x:c>
      <x:c r="AF326" s="13" t="n">
        <x:v>343823.2907894737</x:v>
      </x:c>
      <x:c r="AG326" s="13" t="n">
        <x:v>0.46143128828836705</x:v>
      </x:c>
      <x:c r="AH326" s="13" t="n">
        <x:v>-0.010615942879263793</x:v>
      </x:c>
      <x:c r="AI326" s="13" t="n">
        <x:v>38</x:v>
      </x:c>
      <x:c r="AJ326" s="13" t="n">
        <x:v>-22472972.41</x:v>
      </x:c>
      <x:c r="AK326" s="13" t="n">
        <x:v>2.6585863349734535</x:v>
      </x:c>
      <x:c r="AL326" s="13" t="n">
        <x:v>0.041613588110403395</x:v>
      </x:c>
      <x:c r="AM326" s="13" t="n">
        <x:v>0.009082853345148427</x:v>
      </x:c>
      <x:c r="AN326" s="13" t="n">
        <x:v>0.3690456235714531</x:v>
      </x:c>
      <x:c r="AO326" s="13" t="n">
        <x:v>0.4518773449918473</x:v>
      </x:c>
      <x:c r="AP326" s="13" t="n">
        <x:v>0.008201711729966314</x:v>
      </x:c>
    </x:row>
    <x:row r="327" ht="15" hidden="0" customHeight="1">
      <x:c r="A327" s="2" t="str">
        <x:v>E326</x:v>
      </x:c>
      <x:c r="B327" s="2" t="str">
        <x:v>***包装材料有限公司</x:v>
      </x:c>
      <x:c r="C327" s="2" t="str">
        <x:v>无信贷记录</x:v>
      </x:c>
      <x:c r="D327" s="2" t="str"/>
      <x:c r="E327" s="2" t="str"/>
      <x:c r="F327" s="13" t="n">
        <x:v>286</x:v>
      </x:c>
      <x:c r="G327" s="13" t="n">
        <x:v>270</x:v>
      </x:c>
      <x:c r="H327" s="13" t="n">
        <x:v>16</x:v>
      </x:c>
      <x:c r="I327" s="13" t="n">
        <x:v>0</x:v>
      </x:c>
      <x:c r="J327" s="13" t="n">
        <x:v>10208729.25</x:v>
      </x:c>
      <x:c r="K327" s="13" t="n">
        <x:v>10208729.25</x:v>
      </x:c>
      <x:c r="L327" s="13" t="n">
        <x:v>38</x:v>
      </x:c>
      <x:c r="M327" s="13" t="n">
        <x:v>0.055944055944055944</x:v>
      </x:c>
      <x:c r="N327" s="13" t="n">
        <x:v>0</x:v>
      </x:c>
      <x:c r="O327" s="13" t="n">
        <x:v>0.0919740865989707</x:v>
      </x:c>
      <x:c r="P327" s="13" t="n">
        <x:v>0.2119971846642911</x:v>
      </x:c>
      <x:c r="Q327" s="13" t="n">
        <x:v>300256.7426470588</x:v>
      </x:c>
      <x:c r="R327" s="13" t="n">
        <x:v>0.5541295141687682</x:v>
      </x:c>
      <x:c r="S327" s="13" t="n">
        <x:v>-0.024503238361602866</x:v>
      </x:c>
      <x:c r="T327" s="13" t="n">
        <x:v>33</x:v>
      </x:c>
      <x:c r="U327" s="13" t="n">
        <x:v>198</x:v>
      </x:c>
      <x:c r="V327" s="13" t="n">
        <x:v>181</x:v>
      </x:c>
      <x:c r="W327" s="13" t="n">
        <x:v>17</x:v>
      </x:c>
      <x:c r="X327" s="13" t="n">
        <x:v>0</x:v>
      </x:c>
      <x:c r="Y327" s="13" t="n">
        <x:v>12813213.69</x:v>
      </x:c>
      <x:c r="Z327" s="13" t="n">
        <x:v>12813213.69</x:v>
      </x:c>
      <x:c r="AA327" s="13" t="n">
        <x:v>36</x:v>
      </x:c>
      <x:c r="AB327" s="13" t="n">
        <x:v>0.08585858585858586</x:v>
      </x:c>
      <x:c r="AC327" s="13" t="n">
        <x:v>0</x:v>
      </x:c>
      <x:c r="AD327" s="13" t="n">
        <x:v>0.18558673386710367</x:v>
      </x:c>
      <x:c r="AE327" s="13" t="n">
        <x:v>0.37922024228724155</x:v>
      </x:c>
      <x:c r="AF327" s="13" t="n">
        <x:v>388279.20272727276</x:v>
      </x:c>
      <x:c r="AG327" s="13" t="n">
        <x:v>0.5961385971324914</x:v>
      </x:c>
      <x:c r="AH327" s="13" t="n">
        <x:v>-0.0169075351670168</x:v>
      </x:c>
      <x:c r="AI327" s="13" t="n">
        <x:v>33</x:v>
      </x:c>
      <x:c r="AJ327" s="13" t="n">
        <x:v>2604484.4399999995</x:v>
      </x:c>
      <x:c r="AK327" s="13" t="n">
        <x:v>0.7967344880829814</x:v>
      </x:c>
      <x:c r="AL327" s="13" t="n">
        <x:v>0.06818181818181818</x:v>
      </x:c>
      <x:c r="AM327" s="13" t="n">
        <x:v>0</x:v>
      </x:c>
      <x:c r="AN327" s="13" t="n">
        <x:v>0.1387804102330372</x:v>
      </x:c>
      <x:c r="AO327" s="13" t="n">
        <x:v>0.5751340556506298</x:v>
      </x:c>
      <x:c r="AP327" s="13" t="n">
        <x:v>-0.020705386764309833</x:v>
      </x:c>
    </x:row>
    <x:row r="328" ht="15" hidden="0" customHeight="1">
      <x:c r="A328" s="2" t="str">
        <x:v>E327</x:v>
      </x:c>
      <x:c r="B328" s="2" t="str">
        <x:v>个体经营E327 </x:v>
      </x:c>
      <x:c r="C328" s="2" t="str">
        <x:v>无信贷记录</x:v>
      </x:c>
      <x:c r="D328" s="2" t="str"/>
      <x:c r="E328" s="2" t="str"/>
      <x:c r="F328" s="13" t="n">
        <x:v>480</x:v>
      </x:c>
      <x:c r="G328" s="13" t="n">
        <x:v>466</x:v>
      </x:c>
      <x:c r="H328" s="13" t="n">
        <x:v>14</x:v>
      </x:c>
      <x:c r="I328" s="13" t="n">
        <x:v>0</x:v>
      </x:c>
      <x:c r="J328" s="13" t="n">
        <x:v>12361512.569999998</x:v>
      </x:c>
      <x:c r="K328" s="13" t="n">
        <x:v>12361512.569999998</x:v>
      </x:c>
      <x:c r="L328" s="13" t="n">
        <x:v>61</x:v>
      </x:c>
      <x:c r="M328" s="13" t="n">
        <x:v>0.029166666666666667</x:v>
      </x:c>
      <x:c r="N328" s="13" t="n">
        <x:v>0</x:v>
      </x:c>
      <x:c r="O328" s="13" t="n">
        <x:v>0.1890646394563403</x:v>
      </x:c>
      <x:c r="P328" s="13" t="n">
        <x:v>0.35134641941313816</x:v>
      </x:c>
      <x:c r="Q328" s="13" t="n">
        <x:v>412050.419</x:v>
      </x:c>
      <x:c r="R328" s="13" t="n">
        <x:v>0.8887180344857719</x:v>
      </x:c>
      <x:c r="S328" s="13" t="n">
        <x:v>-0.037328550943008916</x:v>
      </x:c>
      <x:c r="T328" s="13" t="n">
        <x:v>30</x:v>
      </x:c>
      <x:c r="U328" s="13" t="n">
        <x:v>271</x:v>
      </x:c>
      <x:c r="V328" s="13" t="n">
        <x:v>251</x:v>
      </x:c>
      <x:c r="W328" s="13" t="n">
        <x:v>20</x:v>
      </x:c>
      <x:c r="X328" s="13" t="n">
        <x:v>1</x:v>
      </x:c>
      <x:c r="Y328" s="13" t="n">
        <x:v>20893631.68</x:v>
      </x:c>
      <x:c r="Z328" s="13" t="n">
        <x:v>20943719.36</x:v>
      </x:c>
      <x:c r="AA328" s="13" t="n">
        <x:v>7</x:v>
      </x:c>
      <x:c r="AB328" s="13" t="n">
        <x:v>0.07380073800738007</x:v>
      </x:c>
      <x:c r="AC328" s="13" t="n">
        <x:v>0.00398406374501992</x:v>
      </x:c>
      <x:c r="AD328" s="13" t="n">
        <x:v>0.8511248558850496</x:v>
      </x:c>
      <x:c r="AE328" s="13" t="n">
        <x:v>0.9214478869907852</x:v>
      </x:c>
      <x:c r="AF328" s="13" t="n">
        <x:v>580378.6577777778</x:v>
      </x:c>
      <x:c r="AG328" s="13" t="n">
        <x:v>0.6028721505996388</x:v>
      </x:c>
      <x:c r="AH328" s="13" t="n">
        <x:v>-0.03236902764561319</x:v>
      </x:c>
      <x:c r="AI328" s="13" t="n">
        <x:v>36</x:v>
      </x:c>
      <x:c r="AJ328" s="13" t="n">
        <x:v>8532119.110000001</x:v>
      </x:c>
      <x:c r="AK328" s="13" t="n">
        <x:v>0.590225277445658</x:v>
      </x:c>
      <x:c r="AL328" s="13" t="n">
        <x:v>0.045272969374167776</x:v>
      </x:c>
      <x:c r="AM328" s="13" t="n">
        <x:v>0.001394700139470014</x:v>
      </x:c>
      <x:c r="AN328" s="13" t="n">
        <x:v>0.520094747670695</x:v>
      </x:c>
      <x:c r="AO328" s="13" t="n">
        <x:v>0.7457950925427054</x:v>
      </x:c>
      <x:c r="AP328" s="13" t="n">
        <x:v>-0.03484878929431105</x:v>
      </x:c>
    </x:row>
    <x:row r="329" ht="15" hidden="0" customHeight="1">
      <x:c r="A329" s="2" t="str">
        <x:v>E328</x:v>
      </x:c>
      <x:c r="B329" s="2" t="str">
        <x:v>***科技有限公司</x:v>
      </x:c>
      <x:c r="C329" s="2" t="str">
        <x:v>无信贷记录</x:v>
      </x:c>
      <x:c r="D329" s="2" t="str"/>
      <x:c r="E329" s="2" t="str"/>
      <x:c r="F329" s="13" t="n">
        <x:v>465</x:v>
      </x:c>
      <x:c r="G329" s="13" t="n">
        <x:v>447</x:v>
      </x:c>
      <x:c r="H329" s="13" t="n">
        <x:v>18</x:v>
      </x:c>
      <x:c r="I329" s="13" t="n">
        <x:v>5</x:v>
      </x:c>
      <x:c r="J329" s="13" t="n">
        <x:v>2600801.2199999997</x:v>
      </x:c>
      <x:c r="K329" s="13" t="n">
        <x:v>2604973.42</x:v>
      </x:c>
      <x:c r="L329" s="13" t="n">
        <x:v>93</x:v>
      </x:c>
      <x:c r="M329" s="13" t="n">
        <x:v>0.03870967741935484</x:v>
      </x:c>
      <x:c r="N329" s="13" t="n">
        <x:v>0.011185682326621925</x:v>
      </x:c>
      <x:c r="O329" s="13" t="n">
        <x:v>0.1626828407240749</x:v>
      </x:c>
      <x:c r="P329" s="13" t="n">
        <x:v>0.34702849290492954</x:v>
      </x:c>
      <x:c r="Q329" s="13" t="n">
        <x:v>86693.37400000001</x:v>
      </x:c>
      <x:c r="R329" s="13" t="n">
        <x:v>1.9369414524195607</x:v>
      </x:c>
      <x:c r="S329" s="13" t="n">
        <x:v>0.07743338433413088</x:v>
      </x:c>
      <x:c r="T329" s="13" t="n">
        <x:v>29</x:v>
      </x:c>
      <x:c r="U329" s="13" t="n">
        <x:v>164</x:v>
      </x:c>
      <x:c r="V329" s="13" t="n">
        <x:v>144</x:v>
      </x:c>
      <x:c r="W329" s="13" t="n">
        <x:v>20</x:v>
      </x:c>
      <x:c r="X329" s="13" t="n">
        <x:v>4</x:v>
      </x:c>
      <x:c r="Y329" s="13" t="n">
        <x:v>9087803.58</x:v>
      </x:c>
      <x:c r="Z329" s="13" t="n">
        <x:v>10015290.78</x:v>
      </x:c>
      <x:c r="AA329" s="13" t="n">
        <x:v>44</x:v>
      </x:c>
      <x:c r="AB329" s="13" t="n">
        <x:v>0.12195121951219512</x:v>
      </x:c>
      <x:c r="AC329" s="13" t="n">
        <x:v>0.027777777777777776</x:v>
      </x:c>
      <x:c r="AD329" s="13" t="n">
        <x:v>0.08565141986957954</x:v>
      </x:c>
      <x:c r="AE329" s="13" t="n">
        <x:v>0.15771883559830102</x:v>
      </x:c>
      <x:c r="AF329" s="13" t="n">
        <x:v>313372.5372413793</x:v>
      </x:c>
      <x:c r="AG329" s="13" t="n">
        <x:v>1.3671065224576908</x:v>
      </x:c>
      <x:c r="AH329" s="13" t="n">
        <x:v>0.09958876483237387</x:v>
      </x:c>
      <x:c r="AI329" s="13" t="n">
        <x:v>26</x:v>
      </x:c>
      <x:c r="AJ329" s="13" t="n">
        <x:v>6487002.36</x:v>
      </x:c>
      <x:c r="AK329" s="13" t="n">
        <x:v>0.2600996293789085</x:v>
      </x:c>
      <x:c r="AL329" s="13" t="n">
        <x:v>0.06041335453100159</x:v>
      </x:c>
      <x:c r="AM329" s="13" t="n">
        <x:v>0.015228426395939087</x:v>
      </x:c>
      <x:c r="AN329" s="13" t="n">
        <x:v>0.12416713029682722</x:v>
      </x:c>
      <x:c r="AO329" s="13" t="n">
        <x:v>1.6520239874386258</x:v>
      </x:c>
      <x:c r="AP329" s="13" t="n">
        <x:v>0.08851107458325239</x:v>
      </x:c>
    </x:row>
    <x:row r="330" ht="15" hidden="0" customHeight="1">
      <x:c r="A330" s="2" t="str">
        <x:v>E329</x:v>
      </x:c>
      <x:c r="B330" s="2" t="str">
        <x:v>***园艺有限责任公司</x:v>
      </x:c>
      <x:c r="C330" s="2" t="str">
        <x:v>无信贷记录</x:v>
      </x:c>
      <x:c r="D330" s="2" t="str"/>
      <x:c r="E330" s="2" t="str"/>
      <x:c r="F330" s="13" t="n">
        <x:v>5</x:v>
      </x:c>
      <x:c r="G330" s="13" t="n">
        <x:v>5</x:v>
      </x:c>
      <x:c r="H330" s="13" t="n">
        <x:v>0</x:v>
      </x:c>
      <x:c r="I330" s="13" t="n">
        <x:v>0</x:v>
      </x:c>
      <x:c r="J330" s="13" t="n">
        <x:v>1327</x:v>
      </x:c>
      <x:c r="K330" s="13" t="n">
        <x:v>1327</x:v>
      </x:c>
      <x:c r="L330" s="13" t="n">
        <x:v>4</x:v>
      </x:c>
      <x:c r="M330" s="13" t="n">
        <x:v>0</x:v>
      </x:c>
      <x:c r="N330" s="13" t="n">
        <x:v>0</x:v>
      </x:c>
      <x:c r="O330" s="13" t="n">
        <x:v>0.2934502186062016</x:v>
      </x:c>
      <x:c r="P330" s="13" t="n">
        <x:v>0.42200452147701584</x:v>
      </x:c>
      <x:c r="Q330" s="13" t="n">
        <x:v>51.03846153846154</x:v>
      </x:c>
      <x:c r="R330" s="13" t="n">
        <x:v>2.6051496268839487</x:v>
      </x:c>
      <x:c r="S330" s="13" t="n">
        <x:v>-0.03161014820334954</x:v>
      </x:c>
      <x:c r="T330" s="13" t="n">
        <x:v>4</x:v>
      </x:c>
      <x:c r="U330" s="13" t="n">
        <x:v>129</x:v>
      </x:c>
      <x:c r="V330" s="13" t="n">
        <x:v>124</x:v>
      </x:c>
      <x:c r="W330" s="13" t="n">
        <x:v>5</x:v>
      </x:c>
      <x:c r="X330" s="13" t="n">
        <x:v>0</x:v>
      </x:c>
      <x:c r="Y330" s="13" t="n">
        <x:v>11070606.100000001</x:v>
      </x:c>
      <x:c r="Z330" s="13" t="n">
        <x:v>11070606.100000001</x:v>
      </x:c>
      <x:c r="AA330" s="13" t="n">
        <x:v>16</x:v>
      </x:c>
      <x:c r="AB330" s="13" t="n">
        <x:v>0.03875968992248062</x:v>
      </x:c>
      <x:c r="AC330" s="13" t="n">
        <x:v>0</x:v>
      </x:c>
      <x:c r="AD330" s="13" t="n">
        <x:v>0.2362761024962342</x:v>
      </x:c>
      <x:c r="AE330" s="13" t="n">
        <x:v>0.38957108229151066</x:v>
      </x:c>
      <x:c r="AF330" s="13" t="n">
        <x:v>369020.2033333333</x:v>
      </x:c>
      <x:c r="AG330" s="13" t="n">
        <x:v>1.1753146261191916</x:v>
      </x:c>
      <x:c r="AH330" s="13" t="n">
        <x:v>0.059175656615092456</x:v>
      </x:c>
      <x:c r="AI330" s="13" t="n">
        <x:v>18</x:v>
      </x:c>
      <x:c r="AJ330" s="13" t="n">
        <x:v>11069279.100000001</x:v>
      </x:c>
      <x:c r="AK330" s="13" t="n">
        <x:v>0.00011986696916260074</x:v>
      </x:c>
      <x:c r="AL330" s="13" t="n">
        <x:v>0.03731343283582089</x:v>
      </x:c>
      <x:c r="AM330" s="13" t="n">
        <x:v>0</x:v>
      </x:c>
      <x:c r="AN330" s="13" t="n">
        <x:v>0.2648631605512179</x:v>
      </x:c>
      <x:c r="AO330" s="13" t="n">
        <x:v>1.8902321265015702</x:v>
      </x:c>
      <x:c r="AP330" s="13" t="n">
        <x:v>0.013782754205871457</x:v>
      </x:c>
    </x:row>
    <x:row r="331" ht="15" hidden="0" customHeight="1">
      <x:c r="A331" s="2" t="str">
        <x:v>E330</x:v>
      </x:c>
      <x:c r="B331" s="2" t="str">
        <x:v>***酒店管理有限公司</x:v>
      </x:c>
      <x:c r="C331" s="2" t="str">
        <x:v>无信贷记录</x:v>
      </x:c>
      <x:c r="D331" s="2" t="str"/>
      <x:c r="E331" s="2" t="str"/>
      <x:c r="F331" s="13" t="n">
        <x:v>1374</x:v>
      </x:c>
      <x:c r="G331" s="13" t="n">
        <x:v>1344</x:v>
      </x:c>
      <x:c r="H331" s="13" t="n">
        <x:v>30</x:v>
      </x:c>
      <x:c r="I331" s="13" t="n">
        <x:v>6</x:v>
      </x:c>
      <x:c r="J331" s="13" t="n">
        <x:v>2871321.34</x:v>
      </x:c>
      <x:c r="K331" s="13" t="n">
        <x:v>2886815.88</x:v>
      </x:c>
      <x:c r="L331" s="13" t="n">
        <x:v>235</x:v>
      </x:c>
      <x:c r="M331" s="13" t="n">
        <x:v>0.021834061135371178</x:v>
      </x:c>
      <x:c r="N331" s="13" t="n">
        <x:v>0.004464285714285714</x:v>
      </x:c>
      <x:c r="O331" s="13" t="n">
        <x:v>0.07668298206933061</x:v>
      </x:c>
      <x:c r="P331" s="13" t="n">
        <x:v>0.18890476659010205</x:v>
      </x:c>
      <x:c r="Q331" s="13" t="n">
        <x:v>82037.75257142859</x:v>
      </x:c>
      <x:c r="R331" s="13" t="n">
        <x:v>0.7038607940545354</x:v>
      </x:c>
      <x:c r="S331" s="13" t="n">
        <x:v>0.032051838456052736</x:v>
      </x:c>
      <x:c r="T331" s="13" t="n">
        <x:v>34</x:v>
      </x:c>
      <x:c r="U331" s="13" t="n">
        <x:v>7833</x:v>
      </x:c>
      <x:c r="V331" s="13" t="n">
        <x:v>7773</x:v>
      </x:c>
      <x:c r="W331" s="13" t="n">
        <x:v>60</x:v>
      </x:c>
      <x:c r="X331" s="13" t="n">
        <x:v>34</x:v>
      </x:c>
      <x:c r="Y331" s="13" t="n">
        <x:v>8545933.74</x:v>
      </x:c>
      <x:c r="Z331" s="13" t="n">
        <x:v>8596053.74</x:v>
      </x:c>
      <x:c r="AA331" s="13" t="n">
        <x:v>1421</x:v>
      </x:c>
      <x:c r="AB331" s="13" t="n">
        <x:v>0.0076599004212945234</x:v>
      </x:c>
      <x:c r="AC331" s="13" t="n">
        <x:v>0.004374115528110125</x:v>
      </x:c>
      <x:c r="AD331" s="13" t="n">
        <x:v>0.24988278147900625</x:v>
      </x:c>
      <x:c r="AE331" s="13" t="n">
        <x:v>0.4455128034134416</x:v>
      </x:c>
      <x:c r="AF331" s="13" t="n">
        <x:v>224892.99315789473</x:v>
      </x:c>
      <x:c r="AG331" s="13" t="n">
        <x:v>0.4839217674220424</x:v>
      </x:c>
      <x:c r="AH331" s="13" t="n">
        <x:v>0.018631364011544704</x:v>
      </x:c>
      <x:c r="AI331" s="13" t="n">
        <x:v>38</x:v>
      </x:c>
      <x:c r="AJ331" s="13" t="n">
        <x:v>5674612.4</x:v>
      </x:c>
      <x:c r="AK331" s="13" t="n">
        <x:v>0.3358303667375629</x:v>
      </x:c>
      <x:c r="AL331" s="13" t="n">
        <x:v>0.009775171065493646</x:v>
      </x:c>
      <x:c r="AM331" s="13" t="n">
        <x:v>0.0043874081386420976</x:v>
      </x:c>
      <x:c r="AN331" s="13" t="n">
        <x:v>0.16328288177416844</x:v>
      </x:c>
      <x:c r="AO331" s="13" t="n">
        <x:v>0.5938912807382889</x:v>
      </x:c>
      <x:c r="AP331" s="13" t="n">
        <x:v>0.025341601233798722</x:v>
      </x:c>
    </x:row>
    <x:row r="332" ht="15" hidden="0" customHeight="1">
      <x:c r="A332" s="2" t="str">
        <x:v>E331</x:v>
      </x:c>
      <x:c r="B332" s="2" t="str">
        <x:v>***广告有限公司</x:v>
      </x:c>
      <x:c r="C332" s="2" t="str">
        <x:v>无信贷记录</x:v>
      </x:c>
      <x:c r="D332" s="2" t="str"/>
      <x:c r="E332" s="2" t="str"/>
      <x:c r="F332" s="13" t="n">
        <x:v>144</x:v>
      </x:c>
      <x:c r="G332" s="13" t="n">
        <x:v>139</x:v>
      </x:c>
      <x:c r="H332" s="13" t="n">
        <x:v>5</x:v>
      </x:c>
      <x:c r="I332" s="13" t="n">
        <x:v>1</x:v>
      </x:c>
      <x:c r="J332" s="13" t="n">
        <x:v>1272092.2200000002</x:v>
      </x:c>
      <x:c r="K332" s="13" t="n">
        <x:v>1275490.2200000002</x:v>
      </x:c>
      <x:c r="L332" s="13" t="n">
        <x:v>77</x:v>
      </x:c>
      <x:c r="M332" s="13" t="n">
        <x:v>0.034722222222222224</x:v>
      </x:c>
      <x:c r="N332" s="13" t="n">
        <x:v>0.007194244604316547</x:v>
      </x:c>
      <x:c r="O332" s="13" t="n">
        <x:v>0.10766192807023583</x:v>
      </x:c>
      <x:c r="P332" s="13" t="n">
        <x:v>0.20611275247567165</x:v>
      </x:c>
      <x:c r="Q332" s="13" t="n">
        <x:v>34380.87081081081</x:v>
      </x:c>
      <x:c r="R332" s="13" t="n">
        <x:v>1.8029599340828895</x:v>
      </x:c>
      <x:c r="S332" s="13" t="n">
        <x:v>0.021389305641885643</x:v>
      </x:c>
      <x:c r="T332" s="13" t="n">
        <x:v>32</x:v>
      </x:c>
      <x:c r="U332" s="13" t="n">
        <x:v>95</x:v>
      </x:c>
      <x:c r="V332" s="13" t="n">
        <x:v>88</x:v>
      </x:c>
      <x:c r="W332" s="13" t="n">
        <x:v>7</x:v>
      </x:c>
      <x:c r="X332" s="13" t="n">
        <x:v>3</x:v>
      </x:c>
      <x:c r="Y332" s="13" t="n">
        <x:v>6402341.75</x:v>
      </x:c>
      <x:c r="Z332" s="13" t="n">
        <x:v>6636541.75</x:v>
      </x:c>
      <x:c r="AA332" s="13" t="n">
        <x:v>13</x:v>
      </x:c>
      <x:c r="AB332" s="13" t="n">
        <x:v>0.07368421052631578</x:v>
      </x:c>
      <x:c r="AC332" s="13" t="n">
        <x:v>0.03409090909090909</x:v>
      </x:c>
      <x:c r="AD332" s="13" t="n">
        <x:v>0.2885254247154554</x:v>
      </x:c>
      <x:c r="AE332" s="13" t="n">
        <x:v>0.4484263208319303</x:v>
      </x:c>
      <x:c r="AF332" s="13" t="n">
        <x:v>188304.16911764705</x:v>
      </x:c>
      <x:c r="AG332" s="13" t="n">
        <x:v>1.9440885451511378</x:v>
      </x:c>
      <x:c r="AH332" s="13" t="n">
        <x:v>0.010216627214727898</x:v>
      </x:c>
      <x:c r="AI332" s="13" t="n">
        <x:v>24</x:v>
      </x:c>
      <x:c r="AJ332" s="13" t="n">
        <x:v>5130249.529999999</x:v>
      </x:c>
      <x:c r="AK332" s="13" t="n">
        <x:v>0.19219199818941846</x:v>
      </x:c>
      <x:c r="AL332" s="13" t="n">
        <x:v>0.0502092050209205</x:v>
      </x:c>
      <x:c r="AM332" s="13" t="n">
        <x:v>0.01762114537444934</x:v>
      </x:c>
      <x:c r="AN332" s="13" t="n">
        <x:v>0.1980936763928456</x:v>
      </x:c>
      <x:c r="AO332" s="13" t="n">
        <x:v>1.8735242396170135</x:v>
      </x:c>
      <x:c r="AP332" s="13" t="n">
        <x:v>0.01580296642830677</x:v>
      </x:c>
    </x:row>
    <x:row r="333" ht="15" hidden="0" customHeight="1">
      <x:c r="A333" s="2" t="str">
        <x:v>E332</x:v>
      </x:c>
      <x:c r="B333" s="2" t="str">
        <x:v>***商贸有限公司</x:v>
      </x:c>
      <x:c r="C333" s="2" t="str">
        <x:v>无信贷记录</x:v>
      </x:c>
      <x:c r="D333" s="2" t="str"/>
      <x:c r="E333" s="2" t="str"/>
      <x:c r="F333" s="13" t="n">
        <x:v>837</x:v>
      </x:c>
      <x:c r="G333" s="13" t="n">
        <x:v>817</x:v>
      </x:c>
      <x:c r="H333" s="13" t="n">
        <x:v>20</x:v>
      </x:c>
      <x:c r="I333" s="13" t="n">
        <x:v>5</x:v>
      </x:c>
      <x:c r="J333" s="13" t="n">
        <x:v>18434357.43</x:v>
      </x:c>
      <x:c r="K333" s="13" t="n">
        <x:v>20491149.75</x:v>
      </x:c>
      <x:c r="L333" s="13" t="n">
        <x:v>208</x:v>
      </x:c>
      <x:c r="M333" s="13" t="n">
        <x:v>0.023894862604540025</x:v>
      </x:c>
      <x:c r="N333" s="13" t="n">
        <x:v>0.006119951040391677</x:v>
      </x:c>
      <x:c r="O333" s="13" t="n">
        <x:v>0.20201435463850925</x:v>
      </x:c>
      <x:c r="P333" s="13" t="n">
        <x:v>0.3541518811066226</x:v>
      </x:c>
      <x:c r="Q333" s="13" t="n">
        <x:v>498225.8764864866</x:v>
      </x:c>
      <x:c r="R333" s="13" t="n">
        <x:v>1.369692152726653</x:v>
      </x:c>
      <x:c r="S333" s="13" t="n">
        <x:v>-0.03085556761893495</x:v>
      </x:c>
      <x:c r="T333" s="13" t="n">
        <x:v>37</x:v>
      </x:c>
      <x:c r="U333" s="13" t="n">
        <x:v>388</x:v>
      </x:c>
      <x:c r="V333" s="13" t="n">
        <x:v>378</x:v>
      </x:c>
      <x:c r="W333" s="13" t="n">
        <x:v>10</x:v>
      </x:c>
      <x:c r="X333" s="13" t="n">
        <x:v>3</x:v>
      </x:c>
      <x:c r="Y333" s="13" t="n">
        <x:v>35648264.20999999</x:v>
      </x:c>
      <x:c r="Z333" s="13" t="n">
        <x:v>35932114.589999996</x:v>
      </x:c>
      <x:c r="AA333" s="13" t="n">
        <x:v>6</x:v>
      </x:c>
      <x:c r="AB333" s="13" t="n">
        <x:v>0.02577319587628866</x:v>
      </x:c>
      <x:c r="AC333" s="13" t="n">
        <x:v>0.007936507936507936</x:v>
      </x:c>
      <x:c r="AD333" s="13" t="n">
        <x:v>0.7822201801451009</x:v>
      </x:c>
      <x:c r="AE333" s="13" t="n">
        <x:v>0.8799855822790862</x:v>
      </x:c>
      <x:c r="AF333" s="13" t="n">
        <x:v>1320306.0818518517</x:v>
      </x:c>
      <x:c r="AG333" s="13" t="n">
        <x:v>1.2717656502125132</x:v>
      </x:c>
      <x:c r="AH333" s="13" t="n">
        <x:v>-0.056948575176802796</x:v>
      </x:c>
      <x:c r="AI333" s="13" t="n">
        <x:v>26</x:v>
      </x:c>
      <x:c r="AJ333" s="13" t="n">
        <x:v>17213906.779999994</x:v>
      </x:c>
      <x:c r="AK333" s="13" t="n">
        <x:v>0.5702739731243855</x:v>
      </x:c>
      <x:c r="AL333" s="13" t="n">
        <x:v>0.024489795918367346</x:v>
      </x:c>
      <x:c r="AM333" s="13" t="n">
        <x:v>0.0066945606694560665</x:v>
      </x:c>
      <x:c r="AN333" s="13" t="n">
        <x:v>0.49211726739180506</x:v>
      </x:c>
      <x:c r="AO333" s="13" t="n">
        <x:v>1.320728901469583</x:v>
      </x:c>
      <x:c r="AP333" s="13" t="n">
        <x:v>-0.04390207139786887</x:v>
      </x:c>
    </x:row>
    <x:row r="334" ht="15" hidden="0" customHeight="1">
      <x:c r="A334" s="2" t="str">
        <x:v>E333</x:v>
      </x:c>
      <x:c r="B334" s="2" t="str">
        <x:v>***房地产营销策划有限公司</x:v>
      </x:c>
      <x:c r="C334" s="2" t="str">
        <x:v>无信贷记录</x:v>
      </x:c>
      <x:c r="D334" s="2" t="str"/>
      <x:c r="E334" s="2" t="str"/>
      <x:c r="F334" s="13" t="n">
        <x:v>849</x:v>
      </x:c>
      <x:c r="G334" s="13" t="n">
        <x:v>844</x:v>
      </x:c>
      <x:c r="H334" s="13" t="n">
        <x:v>5</x:v>
      </x:c>
      <x:c r="I334" s="13" t="n">
        <x:v>5</x:v>
      </x:c>
      <x:c r="J334" s="13" t="n">
        <x:v>1426080.5999999999</x:v>
      </x:c>
      <x:c r="K334" s="13" t="n">
        <x:v>1429381.6599999997</x:v>
      </x:c>
      <x:c r="L334" s="13" t="n">
        <x:v>185</x:v>
      </x:c>
      <x:c r="M334" s="13" t="n">
        <x:v>0.005889281507656066</x:v>
      </x:c>
      <x:c r="N334" s="13" t="n">
        <x:v>0.005924170616113744</x:v>
      </x:c>
      <x:c r="O334" s="13" t="n">
        <x:v>0.1185660315754002</x:v>
      </x:c>
      <x:c r="P334" s="13" t="n">
        <x:v>0.26081207730061406</x:v>
      </x:c>
      <x:c r="Q334" s="13" t="n">
        <x:v>40745.16</x:v>
      </x:c>
      <x:c r="R334" s="13" t="n">
        <x:v>1.7711377914372948</x:v>
      </x:c>
      <x:c r="S334" s="13" t="n">
        <x:v>0.06667705514254889</x:v>
      </x:c>
      <x:c r="T334" s="13" t="n">
        <x:v>31</x:v>
      </x:c>
      <x:c r="U334" s="13" t="n">
        <x:v>137</x:v>
      </x:c>
      <x:c r="V334" s="13" t="n">
        <x:v>127</x:v>
      </x:c>
      <x:c r="W334" s="13" t="n">
        <x:v>10</x:v>
      </x:c>
      <x:c r="X334" s="13" t="n">
        <x:v>1</x:v>
      </x:c>
      <x:c r="Y334" s="13" t="n">
        <x:v>7334016.649999999</x:v>
      </x:c>
      <x:c r="Z334" s="13" t="n">
        <x:v>7361516.649999999</x:v>
      </x:c>
      <x:c r="AA334" s="13" t="n">
        <x:v>6</x:v>
      </x:c>
      <x:c r="AB334" s="13" t="n">
        <x:v>0.072992700729927</x:v>
      </x:c>
      <x:c r="AC334" s="13" t="n">
        <x:v>0.007874015748031496</x:v>
      </x:c>
      <x:c r="AD334" s="13" t="n">
        <x:v>0.6079531727448251</x:v>
      </x:c>
      <x:c r="AE334" s="13" t="n">
        <x:v>0.7633746545964818</x:v>
      </x:c>
      <x:c r="AF334" s="13" t="n">
        <x:v>222242.92878787877</x:v>
      </x:c>
      <x:c r="AG334" s="13" t="n">
        <x:v>0.8514496940702789</x:v>
      </x:c>
      <x:c r="AH334" s="13" t="n">
        <x:v>0.020402605837977886</x:v>
      </x:c>
      <x:c r="AI334" s="13" t="n">
        <x:v>29</x:v>
      </x:c>
      <x:c r="AJ334" s="13" t="n">
        <x:v>5907936.05</x:v>
      </x:c>
      <x:c r="AK334" s="13" t="n">
        <x:v>0.19416945283958567</x:v>
      </x:c>
      <x:c r="AL334" s="13" t="n">
        <x:v>0.015212981744421906</x:v>
      </x:c>
      <x:c r="AM334" s="13" t="n">
        <x:v>0.006179196704428424</x:v>
      </x:c>
      <x:c r="AN334" s="13" t="n">
        <x:v>0.36325960216011266</x:v>
      </x:c>
      <x:c r="AO334" s="13" t="n">
        <x:v>1.311293742753787</x:v>
      </x:c>
      <x:c r="AP334" s="13" t="n">
        <x:v>0.04353983049026339</x:v>
      </x:c>
    </x:row>
    <x:row r="335" ht="15" hidden="0" customHeight="1">
      <x:c r="A335" s="2" t="str">
        <x:v>E334</x:v>
      </x:c>
      <x:c r="B335" s="2" t="str">
        <x:v>***机械科技有限公司</x:v>
      </x:c>
      <x:c r="C335" s="2" t="str">
        <x:v>无信贷记录</x:v>
      </x:c>
      <x:c r="D335" s="2" t="str"/>
      <x:c r="E335" s="2" t="str"/>
      <x:c r="F335" s="13" t="n">
        <x:v>150</x:v>
      </x:c>
      <x:c r="G335" s="13" t="n">
        <x:v>147</x:v>
      </x:c>
      <x:c r="H335" s="13" t="n">
        <x:v>3</x:v>
      </x:c>
      <x:c r="I335" s="13" t="n">
        <x:v>0</x:v>
      </x:c>
      <x:c r="J335" s="13" t="n">
        <x:v>6299718.03</x:v>
      </x:c>
      <x:c r="K335" s="13" t="n">
        <x:v>6299718.03</x:v>
      </x:c>
      <x:c r="L335" s="13" t="n">
        <x:v>25</x:v>
      </x:c>
      <x:c r="M335" s="13" t="n">
        <x:v>0.02</x:v>
      </x:c>
      <x:c r="N335" s="13" t="n">
        <x:v>0</x:v>
      </x:c>
      <x:c r="O335" s="13" t="n">
        <x:v>0.4149290062887436</x:v>
      </x:c>
      <x:c r="P335" s="13" t="n">
        <x:v>0.5016205463405479</x:v>
      </x:c>
      <x:c r="Q335" s="13" t="n">
        <x:v>203216.7106451613</x:v>
      </x:c>
      <x:c r="R335" s="13" t="n">
        <x:v>1.0574046678781823</x:v>
      </x:c>
      <x:c r="S335" s="13" t="n">
        <x:v>-0.017097788343393455</x:v>
      </x:c>
      <x:c r="T335" s="13" t="n">
        <x:v>31</x:v>
      </x:c>
      <x:c r="U335" s="13" t="n">
        <x:v>197</x:v>
      </x:c>
      <x:c r="V335" s="13" t="n">
        <x:v>185</x:v>
      </x:c>
      <x:c r="W335" s="13" t="n">
        <x:v>12</x:v>
      </x:c>
      <x:c r="X335" s="13" t="n">
        <x:v>6</x:v>
      </x:c>
      <x:c r="Y335" s="13" t="n">
        <x:v>8710773.97</x:v>
      </x:c>
      <x:c r="Z335" s="13" t="n">
        <x:v>9021369.97</x:v>
      </x:c>
      <x:c r="AA335" s="13" t="n">
        <x:v>20</x:v>
      </x:c>
      <x:c r="AB335" s="13" t="n">
        <x:v>0.06091370558375635</x:v>
      </x:c>
      <x:c r="AC335" s="13" t="n">
        <x:v>0.032432432432432434</x:v>
      </x:c>
      <x:c r="AD335" s="13" t="n">
        <x:v>0.6004256639543111</x:v>
      </x:c>
      <x:c r="AE335" s="13" t="n">
        <x:v>0.7664003053851033</x:v>
      </x:c>
      <x:c r="AF335" s="13" t="n">
        <x:v>290359.1323333334</x:v>
      </x:c>
      <x:c r="AG335" s="13" t="n">
        <x:v>0.6969544890466471</x:v>
      </x:c>
      <x:c r="AH335" s="13" t="n">
        <x:v>-0.010654154013975023</x:v>
      </x:c>
      <x:c r="AI335" s="13" t="n">
        <x:v>29</x:v>
      </x:c>
      <x:c r="AJ335" s="13" t="n">
        <x:v>2411055.9400000004</x:v>
      </x:c>
      <x:c r="AK335" s="13" t="n">
        <x:v>0.6983105726679335</x:v>
      </x:c>
      <x:c r="AL335" s="13" t="n">
        <x:v>0.043227665706051875</x:v>
      </x:c>
      <x:c r="AM335" s="13" t="n">
        <x:v>0.018072289156626505</x:v>
      </x:c>
      <x:c r="AN335" s="13" t="n">
        <x:v>0.5076773351215274</x:v>
      </x:c>
      <x:c r="AO335" s="13" t="n">
        <x:v>0.8771795784624148</x:v>
      </x:c>
      <x:c r="AP335" s="13" t="n">
        <x:v>-0.013875971178684238</x:v>
      </x:c>
    </x:row>
    <x:row r="336" ht="15" hidden="0" customHeight="1">
      <x:c r="A336" s="2" t="str">
        <x:v>E335</x:v>
      </x:c>
      <x:c r="B336" s="2" t="str">
        <x:v>***挖掘机租赁经营部</x:v>
      </x:c>
      <x:c r="C336" s="2" t="str">
        <x:v>无信贷记录</x:v>
      </x:c>
      <x:c r="D336" s="2" t="str"/>
      <x:c r="E336" s="2" t="str"/>
      <x:c r="F336" s="13" t="n">
        <x:v>439</x:v>
      </x:c>
      <x:c r="G336" s="13" t="n">
        <x:v>431</x:v>
      </x:c>
      <x:c r="H336" s="13" t="n">
        <x:v>8</x:v>
      </x:c>
      <x:c r="I336" s="13" t="n">
        <x:v>0</x:v>
      </x:c>
      <x:c r="J336" s="13" t="n">
        <x:v>3600455.009999999</x:v>
      </x:c>
      <x:c r="K336" s="13" t="n">
        <x:v>3600455.009999999</x:v>
      </x:c>
      <x:c r="L336" s="13" t="n">
        <x:v>59</x:v>
      </x:c>
      <x:c r="M336" s="13" t="n">
        <x:v>0.018223234624145785</x:v>
      </x:c>
      <x:c r="N336" s="13" t="n">
        <x:v>0</x:v>
      </x:c>
      <x:c r="O336" s="13" t="n">
        <x:v>0.3769655885335688</x:v>
      </x:c>
      <x:c r="P336" s="13" t="n">
        <x:v>0.5818153522768224</x:v>
      </x:c>
      <x:c r="Q336" s="13" t="n">
        <x:v>138479.03884615385</x:v>
      </x:c>
      <x:c r="R336" s="13" t="n">
        <x:v>2.877114929702506</x:v>
      </x:c>
      <x:c r="S336" s="13" t="n">
        <x:v>0.1285953234869356</x:v>
      </x:c>
      <x:c r="T336" s="13" t="n">
        <x:v>19</x:v>
      </x:c>
      <x:c r="U336" s="13" t="n">
        <x:v>340</x:v>
      </x:c>
      <x:c r="V336" s="13" t="n">
        <x:v>272</x:v>
      </x:c>
      <x:c r="W336" s="13" t="n">
        <x:v>68</x:v>
      </x:c>
      <x:c r="X336" s="13" t="n">
        <x:v>0</x:v>
      </x:c>
      <x:c r="Y336" s="13" t="n">
        <x:v>6017598.1899999995</x:v>
      </x:c>
      <x:c r="Z336" s="13" t="n">
        <x:v>6017598.1899999995</x:v>
      </x:c>
      <x:c r="AA336" s="13" t="n">
        <x:v>11</x:v>
      </x:c>
      <x:c r="AB336" s="13" t="n">
        <x:v>0.2</x:v>
      </x:c>
      <x:c r="AC336" s="13" t="n">
        <x:v>0</x:v>
      </x:c>
      <x:c r="AD336" s="13" t="n">
        <x:v>0.3519164134930235</x:v>
      </x:c>
      <x:c r="AE336" s="13" t="n">
        <x:v>0.41529072249338733</x:v>
      </x:c>
      <x:c r="AF336" s="13" t="n">
        <x:v>240703.92760000002</x:v>
      </x:c>
      <x:c r="AG336" s="13" t="n">
        <x:v>1.3589982784998689</x:v>
      </x:c>
      <x:c r="AH336" s="13" t="n">
        <x:v>0.09526789157769845</x:v>
      </x:c>
      <x:c r="AI336" s="13" t="n">
        <x:v>18</x:v>
      </x:c>
      <x:c r="AJ336" s="13" t="n">
        <x:v>2417143.1800000006</x:v>
      </x:c>
      <x:c r="AK336" s="13" t="n">
        <x:v>0.5983209407339971</x:v>
      </x:c>
      <x:c r="AL336" s="13" t="n">
        <x:v>0.0975609756097561</x:v>
      </x:c>
      <x:c r="AM336" s="13" t="n">
        <x:v>0</x:v>
      </x:c>
      <x:c r="AN336" s="13" t="n">
        <x:v>0.36444100101329613</x:v>
      </x:c>
      <x:c r="AO336" s="13" t="n">
        <x:v>2.1180566041011875</x:v>
      </x:c>
      <x:c r="AP336" s="13" t="n">
        <x:v>0.11193160753231701</x:v>
      </x:c>
    </x:row>
    <x:row r="337" ht="15" hidden="0" customHeight="1">
      <x:c r="A337" s="2" t="str">
        <x:v>E336</x:v>
      </x:c>
      <x:c r="B337" s="2" t="str">
        <x:v>***猕猴桃专业合作社</x:v>
      </x:c>
      <x:c r="C337" s="2" t="str">
        <x:v>无信贷记录</x:v>
      </x:c>
      <x:c r="D337" s="2" t="str"/>
      <x:c r="E337" s="2" t="str"/>
      <x:c r="F337" s="13" t="n">
        <x:v>7</x:v>
      </x:c>
      <x:c r="G337" s="13" t="n">
        <x:v>7</x:v>
      </x:c>
      <x:c r="H337" s="13" t="n">
        <x:v>0</x:v>
      </x:c>
      <x:c r="I337" s="13" t="n">
        <x:v>0</x:v>
      </x:c>
      <x:c r="J337" s="13" t="n">
        <x:v>262138</x:v>
      </x:c>
      <x:c r="K337" s="13" t="n">
        <x:v>262138</x:v>
      </x:c>
      <x:c r="L337" s="13" t="n">
        <x:v>4</x:v>
      </x:c>
      <x:c r="M337" s="13" t="n">
        <x:v>0</x:v>
      </x:c>
      <x:c r="N337" s="13" t="n">
        <x:v>0</x:v>
      </x:c>
      <x:c r="O337" s="13" t="n">
        <x:v>0.9918594966945804</x:v>
      </x:c>
      <x:c r="P337" s="13" t="n">
        <x:v>0.9959181805003472</x:v>
      </x:c>
      <x:c r="Q337" s="13" t="n">
        <x:v>10485.52</x:v>
      </x:c>
      <x:c r="R337" s="13" t="n">
        <x:v>3.413406793240201</x:v>
      </x:c>
      <x:c r="S337" s="13" t="n">
        <x:v>0.00800547216175548</x:v>
      </x:c>
      <x:c r="T337" s="13" t="n">
        <x:v>5</x:v>
      </x:c>
      <x:c r="U337" s="13" t="n">
        <x:v>53</x:v>
      </x:c>
      <x:c r="V337" s="13" t="n">
        <x:v>48</x:v>
      </x:c>
      <x:c r="W337" s="13" t="n">
        <x:v>5</x:v>
      </x:c>
      <x:c r="X337" s="13" t="n">
        <x:v>0</x:v>
      </x:c>
      <x:c r="Y337" s="13" t="n">
        <x:v>2879237.11</x:v>
      </x:c>
      <x:c r="Z337" s="13" t="n">
        <x:v>2879237.11</x:v>
      </x:c>
      <x:c r="AA337" s="13" t="n">
        <x:v>19</x:v>
      </x:c>
      <x:c r="AB337" s="13" t="n">
        <x:v>0.09433962264150944</x:v>
      </x:c>
      <x:c r="AC337" s="13" t="n">
        <x:v>0</x:v>
      </x:c>
      <x:c r="AD337" s="13" t="n">
        <x:v>0.3787585508133191</x:v>
      </x:c>
      <x:c r="AE337" s="13" t="n">
        <x:v>0.5551303831312455</x:v>
      </x:c>
      <x:c r="AF337" s="13" t="n">
        <x:v>99284.03827586207</x:v>
      </x:c>
      <x:c r="AG337" s="13" t="n">
        <x:v>3.9376947538578477</x:v>
      </x:c>
      <x:c r="AH337" s="13" t="n">
        <x:v>0.011677607644378413</x:v>
      </x:c>
      <x:c r="AI337" s="13" t="n">
        <x:v>11</x:v>
      </x:c>
      <x:c r="AJ337" s="13" t="n">
        <x:v>2617099.11</x:v>
      </x:c>
      <x:c r="AK337" s="13" t="n">
        <x:v>0.09104425581677777</x:v>
      </x:c>
      <x:c r="AL337" s="13" t="n">
        <x:v>0.08333333333333333</x:v>
      </x:c>
      <x:c r="AM337" s="13" t="n">
        <x:v>0</x:v>
      </x:c>
      <x:c r="AN337" s="13" t="n">
        <x:v>0.6853090237539498</x:v>
      </x:c>
      <x:c r="AO337" s="13" t="n">
        <x:v>3.6755507735490243</x:v>
      </x:c>
      <x:c r="AP337" s="13" t="n">
        <x:v>0.009841539903066947</x:v>
      </x:c>
    </x:row>
    <x:row r="338" ht="15" hidden="0" customHeight="1">
      <x:c r="A338" s="2" t="str">
        <x:v>E337</x:v>
      </x:c>
      <x:c r="B338" s="2" t="str">
        <x:v>个体经营E337 </x:v>
      </x:c>
      <x:c r="C338" s="2" t="str">
        <x:v>无信贷记录</x:v>
      </x:c>
      <x:c r="D338" s="2" t="str"/>
      <x:c r="E338" s="2" t="str"/>
      <x:c r="F338" s="13" t="n">
        <x:v>69</x:v>
      </x:c>
      <x:c r="G338" s="13" t="n">
        <x:v>66</x:v>
      </x:c>
      <x:c r="H338" s="13" t="n">
        <x:v>3</x:v>
      </x:c>
      <x:c r="I338" s="13" t="n">
        <x:v>0</x:v>
      </x:c>
      <x:c r="J338" s="13" t="n">
        <x:v>318168.78</x:v>
      </x:c>
      <x:c r="K338" s="13" t="n">
        <x:v>318168.78</x:v>
      </x:c>
      <x:c r="L338" s="13" t="n">
        <x:v>35</x:v>
      </x:c>
      <x:c r="M338" s="13" t="n">
        <x:v>0.043478260869565216</x:v>
      </x:c>
      <x:c r="N338" s="13" t="n">
        <x:v>0</x:v>
      </x:c>
      <x:c r="O338" s="13" t="n">
        <x:v>0.2587295893676967</x:v>
      </x:c>
      <x:c r="P338" s="13" t="n">
        <x:v>0.46615510170419616</x:v>
      </x:c>
      <x:c r="Q338" s="13" t="n">
        <x:v>8838.021666666666</x:v>
      </x:c>
      <x:c r="R338" s="13" t="n">
        <x:v>2.2578986619149406</x:v>
      </x:c>
      <x:c r="S338" s="13" t="n">
        <x:v>-0.02028368061460079</x:v>
      </x:c>
      <x:c r="T338" s="13" t="n">
        <x:v>24</x:v>
      </x:c>
      <x:c r="U338" s="13" t="n">
        <x:v>754</x:v>
      </x:c>
      <x:c r="V338" s="13" t="n">
        <x:v>678</x:v>
      </x:c>
      <x:c r="W338" s="13" t="n">
        <x:v>76</x:v>
      </x:c>
      <x:c r="X338" s="13" t="n">
        <x:v>7</x:v>
      </x:c>
      <x:c r="Y338" s="13" t="n">
        <x:v>12667568.92</x:v>
      </x:c>
      <x:c r="Z338" s="13" t="n">
        <x:v>12897738.38</x:v>
      </x:c>
      <x:c r="AA338" s="13" t="n">
        <x:v>99</x:v>
      </x:c>
      <x:c r="AB338" s="13" t="n">
        <x:v>0.10079575596816977</x:v>
      </x:c>
      <x:c r="AC338" s="13" t="n">
        <x:v>0.01032448377581121</x:v>
      </x:c>
      <x:c r="AD338" s="13" t="n">
        <x:v>0.0632188746718279</x:v>
      </x:c>
      <x:c r="AE338" s="13" t="n">
        <x:v>0.16366454705526443</x:v>
      </x:c>
      <x:c r="AF338" s="13" t="n">
        <x:v>351876.91444444447</x:v>
      </x:c>
      <x:c r="AG338" s="13" t="n">
        <x:v>0.5724669330187533</x:v>
      </x:c>
      <x:c r="AH338" s="13" t="n">
        <x:v>-0.034968925184883565</x:v>
      </x:c>
      <x:c r="AI338" s="13" t="n">
        <x:v>36</x:v>
      </x:c>
      <x:c r="AJ338" s="13" t="n">
        <x:v>12349400.14</x:v>
      </x:c>
      <x:c r="AK338" s="13" t="n">
        <x:v>0.024668571390265705</x:v>
      </x:c>
      <x:c r="AL338" s="13" t="n">
        <x:v>0.0959902794653706</x:v>
      </x:c>
      <x:c r="AM338" s="13" t="n">
        <x:v>0.009408602150537635</x:v>
      </x:c>
      <x:c r="AN338" s="13" t="n">
        <x:v>0.1609742320197623</x:v>
      </x:c>
      <x:c r="AO338" s="13" t="n">
        <x:v>1.415182797466847</x:v>
      </x:c>
      <x:c r="AP338" s="13" t="n">
        <x:v>-0.027626302899742175</x:v>
      </x:c>
    </x:row>
    <x:row r="339" ht="15" hidden="0" customHeight="1">
      <x:c r="A339" s="2" t="str">
        <x:v>E338</x:v>
      </x:c>
      <x:c r="B339" s="2" t="str">
        <x:v>***商贸有限公司</x:v>
      </x:c>
      <x:c r="C339" s="2" t="str">
        <x:v>无信贷记录</x:v>
      </x:c>
      <x:c r="D339" s="2" t="str"/>
      <x:c r="E339" s="2" t="str"/>
      <x:c r="F339" s="13" t="n">
        <x:v>252</x:v>
      </x:c>
      <x:c r="G339" s="13" t="n">
        <x:v>251</x:v>
      </x:c>
      <x:c r="H339" s="13" t="n">
        <x:v>1</x:v>
      </x:c>
      <x:c r="I339" s="13" t="n">
        <x:v>2</x:v>
      </x:c>
      <x:c r="J339" s="13" t="n">
        <x:v>602748.61</x:v>
      </x:c>
      <x:c r="K339" s="13" t="n">
        <x:v>612282.99</x:v>
      </x:c>
      <x:c r="L339" s="13" t="n">
        <x:v>89</x:v>
      </x:c>
      <x:c r="M339" s="13" t="n">
        <x:v>0.003968253968253968</x:v>
      </x:c>
      <x:c r="N339" s="13" t="n">
        <x:v>0.00796812749003984</x:v>
      </x:c>
      <x:c r="O339" s="13" t="n">
        <x:v>0.08846567113945264</x:v>
      </x:c>
      <x:c r="P339" s="13" t="n">
        <x:v>0.20292577456708377</x:v>
      </x:c>
      <x:c r="Q339" s="13" t="n">
        <x:v>18835.894062500003</x:v>
      </x:c>
      <x:c r="R339" s="13" t="n">
        <x:v>1.29345320627642</x:v>
      </x:c>
      <x:c r="S339" s="13" t="n">
        <x:v>0.014428061700377692</x:v>
      </x:c>
      <x:c r="T339" s="13" t="n">
        <x:v>31</x:v>
      </x:c>
      <x:c r="U339" s="13" t="n">
        <x:v>89</x:v>
      </x:c>
      <x:c r="V339" s="13" t="n">
        <x:v>82</x:v>
      </x:c>
      <x:c r="W339" s="13" t="n">
        <x:v>7</x:v>
      </x:c>
      <x:c r="X339" s="13" t="n">
        <x:v>0</x:v>
      </x:c>
      <x:c r="Y339" s="13" t="n">
        <x:v>7678256.58</x:v>
      </x:c>
      <x:c r="Z339" s="13" t="n">
        <x:v>7678256.58</x:v>
      </x:c>
      <x:c r="AA339" s="13" t="n">
        <x:v>4</x:v>
      </x:c>
      <x:c r="AB339" s="13" t="n">
        <x:v>0.07865168539325842</x:v>
      </x:c>
      <x:c r="AC339" s="13" t="n">
        <x:v>0</x:v>
      </x:c>
      <x:c r="AD339" s="13" t="n">
        <x:v>0.3101288682874843</x:v>
      </x:c>
      <x:c r="AE339" s="13" t="n">
        <x:v>0.45092811029766344</x:v>
      </x:c>
      <x:c r="AF339" s="13" t="n">
        <x:v>207520.44810810813</x:v>
      </x:c>
      <x:c r="AG339" s="13" t="n">
        <x:v>1.2945988475614292</x:v>
      </x:c>
      <x:c r="AH339" s="13" t="n">
        <x:v>0.02028986672900393</x:v>
      </x:c>
      <x:c r="AI339" s="13" t="n">
        <x:v>30</x:v>
      </x:c>
      <x:c r="AJ339" s="13" t="n">
        <x:v>7075507.97</x:v>
      </x:c>
      <x:c r="AK339" s="13" t="n">
        <x:v>0.07974244981534596</x:v>
      </x:c>
      <x:c r="AL339" s="13" t="n">
        <x:v>0.02346041055718475</x:v>
      </x:c>
      <x:c r="AM339" s="13" t="n">
        <x:v>0.006006006006006006</x:v>
      </x:c>
      <x:c r="AN339" s="13" t="n">
        <x:v>0.19929726971346848</x:v>
      </x:c>
      <x:c r="AO339" s="13" t="n">
        <x:v>1.2940260269189245</x:v>
      </x:c>
      <x:c r="AP339" s="13" t="n">
        <x:v>0.01735896421469081</x:v>
      </x:c>
    </x:row>
    <x:row r="340" ht="15" hidden="0" customHeight="1">
      <x:c r="A340" s="2" t="str">
        <x:v>E339</x:v>
      </x:c>
      <x:c r="B340" s="2" t="str">
        <x:v>***居益卫浴家俬厂</x:v>
      </x:c>
      <x:c r="C340" s="2" t="str">
        <x:v>无信贷记录</x:v>
      </x:c>
      <x:c r="D340" s="2" t="str"/>
      <x:c r="E340" s="2" t="str"/>
      <x:c r="F340" s="13" t="n">
        <x:v>126</x:v>
      </x:c>
      <x:c r="G340" s="13" t="n">
        <x:v>126</x:v>
      </x:c>
      <x:c r="H340" s="13" t="n">
        <x:v>0</x:v>
      </x:c>
      <x:c r="I340" s="13" t="n">
        <x:v>0</x:v>
      </x:c>
      <x:c r="J340" s="13" t="n">
        <x:v>3332779.6</x:v>
      </x:c>
      <x:c r="K340" s="13" t="n">
        <x:v>3332779.6</x:v>
      </x:c>
      <x:c r="L340" s="13" t="n">
        <x:v>32</x:v>
      </x:c>
      <x:c r="M340" s="13" t="n">
        <x:v>0</x:v>
      </x:c>
      <x:c r="N340" s="13" t="n">
        <x:v>0</x:v>
      </x:c>
      <x:c r="O340" s="13" t="n">
        <x:v>0.18098123522306314</x:v>
      </x:c>
      <x:c r="P340" s="13" t="n">
        <x:v>0.3182471172111111</x:v>
      </x:c>
      <x:c r="Q340" s="13" t="n">
        <x:v>144903.4608695652</x:v>
      </x:c>
      <x:c r="R340" s="13" t="n">
        <x:v>1.0943830738237978</x:v>
      </x:c>
      <x:c r="S340" s="13" t="n">
        <x:v>-0.09333937367311758</x:v>
      </x:c>
      <x:c r="T340" s="13" t="n">
        <x:v>23</x:v>
      </x:c>
      <x:c r="U340" s="13" t="n">
        <x:v>176</x:v>
      </x:c>
      <x:c r="V340" s="13" t="n">
        <x:v>168</x:v>
      </x:c>
      <x:c r="W340" s="13" t="n">
        <x:v>8</x:v>
      </x:c>
      <x:c r="X340" s="13" t="n">
        <x:v>4</x:v>
      </x:c>
      <x:c r="Y340" s="13" t="n">
        <x:v>4492531.92</x:v>
      </x:c>
      <x:c r="Z340" s="13" t="n">
        <x:v>4809671.92</x:v>
      </x:c>
      <x:c r="AA340" s="13" t="n">
        <x:v>36</x:v>
      </x:c>
      <x:c r="AB340" s="13" t="n">
        <x:v>0.045454545454545456</x:v>
      </x:c>
      <x:c r="AC340" s="13" t="n">
        <x:v>0.023809523809523808</x:v>
      </x:c>
      <x:c r="AD340" s="13" t="n">
        <x:v>0.12345784210178247</x:v>
      </x:c>
      <x:c r="AE340" s="13" t="n">
        <x:v>0.2551059657308185</x:v>
      </x:c>
      <x:c r="AF340" s="13" t="n">
        <x:v>204205.99636363637</x:v>
      </x:c>
      <x:c r="AG340" s="13" t="n">
        <x:v>0.7772988622398734</x:v>
      </x:c>
      <x:c r="AH340" s="13" t="n">
        <x:v>-0.08124801036472062</x:v>
      </x:c>
      <x:c r="AI340" s="13" t="n">
        <x:v>20</x:v>
      </x:c>
      <x:c r="AJ340" s="13" t="n">
        <x:v>1159752.3199999998</x:v>
      </x:c>
      <x:c r="AK340" s="13" t="n">
        <x:v>0.692932835219247</x:v>
      </x:c>
      <x:c r="AL340" s="13" t="n">
        <x:v>0.026490066225165563</x:v>
      </x:c>
      <x:c r="AM340" s="13" t="n">
        <x:v>0.013605442176870748</x:v>
      </x:c>
      <x:c r="AN340" s="13" t="n">
        <x:v>0.1522195386624228</x:v>
      </x:c>
      <x:c r="AO340" s="13" t="n">
        <x:v>0.9358409680318356</x:v>
      </x:c>
      <x:c r="AP340" s="13" t="n">
        <x:v>-0.0872936920189191</x:v>
      </x:c>
    </x:row>
    <x:row r="341" ht="15" hidden="0" customHeight="1">
      <x:c r="A341" s="2" t="str">
        <x:v>E340</x:v>
      </x:c>
      <x:c r="B341" s="2" t="str">
        <x:v>***物流有限公司</x:v>
      </x:c>
      <x:c r="C341" s="2" t="str">
        <x:v>无信贷记录</x:v>
      </x:c>
      <x:c r="D341" s="2" t="str"/>
      <x:c r="E341" s="2" t="str"/>
      <x:c r="F341" s="13" t="n">
        <x:v>11</x:v>
      </x:c>
      <x:c r="G341" s="13" t="n">
        <x:v>10</x:v>
      </x:c>
      <x:c r="H341" s="13" t="n">
        <x:v>1</x:v>
      </x:c>
      <x:c r="I341" s="13" t="n">
        <x:v>0</x:v>
      </x:c>
      <x:c r="J341" s="13" t="n">
        <x:v>32170</x:v>
      </x:c>
      <x:c r="K341" s="13" t="n">
        <x:v>32170</x:v>
      </x:c>
      <x:c r="L341" s="13" t="n">
        <x:v>4</x:v>
      </x:c>
      <x:c r="M341" s="13" t="n">
        <x:v>0.09090909090909091</x:v>
      </x:c>
      <x:c r="N341" s="13" t="n">
        <x:v>0</x:v>
      </x:c>
      <x:c r="O341" s="13" t="n">
        <x:v>0.9115860342876557</x:v>
      </x:c>
      <x:c r="P341" s="13" t="n">
        <x:v>0.9543052533416226</x:v>
      </x:c>
      <x:c r="Q341" s="13" t="n">
        <x:v>1340.4166666666667</x:v>
      </x:c>
      <x:c r="R341" s="13" t="n">
        <x:v>2.9404860737791667</x:v>
      </x:c>
      <x:c r="S341" s="13" t="n">
        <x:v>-0.08920328148011351</x:v>
      </x:c>
      <x:c r="T341" s="13" t="n">
        <x:v>8</x:v>
      </x:c>
      <x:c r="U341" s="13" t="n">
        <x:v>164</x:v>
      </x:c>
      <x:c r="V341" s="13" t="n">
        <x:v>137</x:v>
      </x:c>
      <x:c r="W341" s="13" t="n">
        <x:v>27</x:v>
      </x:c>
      <x:c r="X341" s="13" t="n">
        <x:v>11</x:v>
      </x:c>
      <x:c r="Y341" s="13" t="n">
        <x:v>7032555.9</x:v>
      </x:c>
      <x:c r="Z341" s="13" t="n">
        <x:v>8912555.92</x:v>
      </x:c>
      <x:c r="AA341" s="13" t="n">
        <x:v>47</x:v>
      </x:c>
      <x:c r="AB341" s="13" t="n">
        <x:v>0.16463414634146342</x:v>
      </x:c>
      <x:c r="AC341" s="13" t="n">
        <x:v>0.08029197080291971</x:v>
      </x:c>
      <x:c r="AD341" s="13" t="n">
        <x:v>0.07942889751853682</x:v>
      </x:c>
      <x:c r="AE341" s="13" t="n">
        <x:v>0.16953621088752732</x:v>
      </x:c>
      <x:c r="AF341" s="13" t="n">
        <x:v>195348.77500000002</x:v>
      </x:c>
      <x:c r="AG341" s="13" t="n">
        <x:v>1.3434923310499036</x:v>
      </x:c>
      <x:c r="AH341" s="13" t="n">
        <x:v>-0.017356260127891834</x:v>
      </x:c>
      <x:c r="AI341" s="13" t="n">
        <x:v>32</x:v>
      </x:c>
      <x:c r="AJ341" s="13" t="n">
        <x:v>7000385.9</x:v>
      </x:c>
      <x:c r="AK341" s="13" t="n">
        <x:v>0.003609514519601465</x:v>
      </x:c>
      <x:c r="AL341" s="13" t="n">
        <x:v>0.16</x:v>
      </x:c>
      <x:c r="AM341" s="13" t="n">
        <x:v>0.07482993197278912</x:v>
      </x:c>
      <x:c r="AN341" s="13" t="n">
        <x:v>0.49550746590309624</x:v>
      </x:c>
      <x:c r="AO341" s="13" t="n">
        <x:v>2.141989202414535</x:v>
      </x:c>
      <x:c r="AP341" s="13" t="n">
        <x:v>-0.053279770804002674</x:v>
      </x:c>
    </x:row>
    <x:row r="342" ht="15" hidden="0" customHeight="1">
      <x:c r="A342" s="2" t="str">
        <x:v>E341</x:v>
      </x:c>
      <x:c r="B342" s="2" t="str">
        <x:v>***纺织品有限公司</x:v>
      </x:c>
      <x:c r="C342" s="2" t="str">
        <x:v>无信贷记录</x:v>
      </x:c>
      <x:c r="D342" s="2" t="str"/>
      <x:c r="E342" s="2" t="str"/>
      <x:c r="F342" s="13" t="n">
        <x:v>53</x:v>
      </x:c>
      <x:c r="G342" s="13" t="n">
        <x:v>53</x:v>
      </x:c>
      <x:c r="H342" s="13" t="n">
        <x:v>0</x:v>
      </x:c>
      <x:c r="I342" s="13" t="n">
        <x:v>0</x:v>
      </x:c>
      <x:c r="J342" s="13" t="n">
        <x:v>1645069.24</x:v>
      </x:c>
      <x:c r="K342" s="13" t="n">
        <x:v>1645069.24</x:v>
      </x:c>
      <x:c r="L342" s="13" t="n">
        <x:v>15</x:v>
      </x:c>
      <x:c r="M342" s="13" t="n">
        <x:v>0</x:v>
      </x:c>
      <x:c r="N342" s="13" t="n">
        <x:v>0</x:v>
      </x:c>
      <x:c r="O342" s="13" t="n">
        <x:v>0.8938746344327084</x:v>
      </x:c>
      <x:c r="P342" s="13" t="n">
        <x:v>0.9446935133259193</x:v>
      </x:c>
      <x:c r="Q342" s="13" t="n">
        <x:v>91392.73555555556</x:v>
      </x:c>
      <x:c r="R342" s="13" t="n">
        <x:v>1.4930412598561464</x:v>
      </x:c>
      <x:c r="S342" s="13" t="n">
        <x:v>-0.016576418712021757</x:v>
      </x:c>
      <x:c r="T342" s="13" t="n">
        <x:v>15</x:v>
      </x:c>
      <x:c r="U342" s="13" t="n">
        <x:v>75</x:v>
      </x:c>
      <x:c r="V342" s="13" t="n">
        <x:v>69</x:v>
      </x:c>
      <x:c r="W342" s="13" t="n">
        <x:v>6</x:v>
      </x:c>
      <x:c r="X342" s="13" t="n">
        <x:v>0</x:v>
      </x:c>
      <x:c r="Y342" s="13" t="n">
        <x:v>3886660</x:v>
      </x:c>
      <x:c r="Z342" s="13" t="n">
        <x:v>3886660</x:v>
      </x:c>
      <x:c r="AA342" s="13" t="n">
        <x:v>26</x:v>
      </x:c>
      <x:c r="AB342" s="13" t="n">
        <x:v>0.08</x:v>
      </x:c>
      <x:c r="AC342" s="13" t="n">
        <x:v>0</x:v>
      </x:c>
      <x:c r="AD342" s="13" t="n">
        <x:v>0.07826691619473128</x:v>
      </x:c>
      <x:c r="AE342" s="13" t="n">
        <x:v>0.16376528947734045</x:v>
      </x:c>
      <x:c r="AF342" s="13" t="n">
        <x:v>215925.55555555556</x:v>
      </x:c>
      <x:c r="AG342" s="13" t="n">
        <x:v>0.8453612615897418</x:v>
      </x:c>
      <x:c r="AH342" s="13" t="n">
        <x:v>-0.05941328343568549</x:v>
      </x:c>
      <x:c r="AI342" s="13" t="n">
        <x:v>15</x:v>
      </x:c>
      <x:c r="AJ342" s="13" t="n">
        <x:v>2241590.76</x:v>
      </x:c>
      <x:c r="AK342" s="13" t="n">
        <x:v>0.4232603932425269</x:v>
      </x:c>
      <x:c r="AL342" s="13" t="n">
        <x:v>0.046875</x:v>
      </x:c>
      <x:c r="AM342" s="13" t="n">
        <x:v>0</x:v>
      </x:c>
      <x:c r="AN342" s="13" t="n">
        <x:v>0.48607077531371984</x:v>
      </x:c>
      <x:c r="AO342" s="13" t="n">
        <x:v>1.169201260722944</x:v>
      </x:c>
      <x:c r="AP342" s="13" t="n">
        <x:v>-0.03799485107385363</x:v>
      </x:c>
    </x:row>
    <x:row r="343" ht="15" hidden="0" customHeight="1">
      <x:c r="A343" s="2" t="str">
        <x:v>E342</x:v>
      </x:c>
      <x:c r="B343" s="2" t="str">
        <x:v>***裕华机械厂</x:v>
      </x:c>
      <x:c r="C343" s="2" t="str">
        <x:v>无信贷记录</x:v>
      </x:c>
      <x:c r="D343" s="2" t="str"/>
      <x:c r="E343" s="2" t="str"/>
      <x:c r="F343" s="13" t="n">
        <x:v>263</x:v>
      </x:c>
      <x:c r="G343" s="13" t="n">
        <x:v>245</x:v>
      </x:c>
      <x:c r="H343" s="13" t="n">
        <x:v>18</x:v>
      </x:c>
      <x:c r="I343" s="13" t="n">
        <x:v>1</x:v>
      </x:c>
      <x:c r="J343" s="13" t="n">
        <x:v>2570590.7800000003</x:v>
      </x:c>
      <x:c r="K343" s="13" t="n">
        <x:v>2571396.2</x:v>
      </x:c>
      <x:c r="L343" s="13" t="n">
        <x:v>55</x:v>
      </x:c>
      <x:c r="M343" s="13" t="n">
        <x:v>0.06844106463878327</x:v>
      </x:c>
      <x:c r="N343" s="13" t="n">
        <x:v>0.004081632653061225</x:v>
      </x:c>
      <x:c r="O343" s="13" t="n">
        <x:v>0.10020769328540631</x:v>
      </x:c>
      <x:c r="P343" s="13" t="n">
        <x:v>0.18445232204978756</x:v>
      </x:c>
      <x:c r="Q343" s="13" t="n">
        <x:v>67647.12578947368</x:v>
      </x:c>
      <x:c r="R343" s="13" t="n">
        <x:v>1.206510693477434</x:v>
      </x:c>
      <x:c r="S343" s="13" t="n">
        <x:v>0.021246330078216254</x:v>
      </x:c>
      <x:c r="T343" s="13" t="n">
        <x:v>38</x:v>
      </x:c>
      <x:c r="U343" s="13" t="n">
        <x:v>159</x:v>
      </x:c>
      <x:c r="V343" s="13" t="n">
        <x:v>132</x:v>
      </x:c>
      <x:c r="W343" s="13" t="n">
        <x:v>27</x:v>
      </x:c>
      <x:c r="X343" s="13" t="n">
        <x:v>1</x:v>
      </x:c>
      <x:c r="Y343" s="13" t="n">
        <x:v>5683950.46</x:v>
      </x:c>
      <x:c r="Z343" s="13" t="n">
        <x:v>5705750.46</x:v>
      </x:c>
      <x:c r="AA343" s="13" t="n">
        <x:v>23</x:v>
      </x:c>
      <x:c r="AB343" s="13" t="n">
        <x:v>0.16981132075471697</x:v>
      </x:c>
      <x:c r="AC343" s="13" t="n">
        <x:v>0.007575757575757576</x:v>
      </x:c>
      <x:c r="AD343" s="13" t="n">
        <x:v>0.2687008244259743</x:v>
      </x:c>
      <x:c r="AE343" s="13" t="n">
        <x:v>0.48887938923287577</x:v>
      </x:c>
      <x:c r="AF343" s="13" t="n">
        <x:v>157887.51277777777</x:v>
      </x:c>
      <x:c r="AG343" s="13" t="n">
        <x:v>0.6370787425463367</x:v>
      </x:c>
      <x:c r="AH343" s="13" t="n">
        <x:v>0.02185900274549965</x:v>
      </x:c>
      <x:c r="AI343" s="13" t="n">
        <x:v>34</x:v>
      </x:c>
      <x:c r="AJ343" s="13" t="n">
        <x:v>3113359.6799999997</x:v>
      </x:c>
      <x:c r="AK343" s="13" t="n">
        <x:v>0.4506674832744087</x:v>
      </x:c>
      <x:c r="AL343" s="13" t="n">
        <x:v>0.1066350710900474</x:v>
      </x:c>
      <x:c r="AM343" s="13" t="n">
        <x:v>0.005305039787798408</x:v>
      </x:c>
      <x:c r="AN343" s="13" t="n">
        <x:v>0.1844542588556903</x:v>
      </x:c>
      <x:c r="AO343" s="13" t="n">
        <x:v>0.9217947180118853</x:v>
      </x:c>
      <x:c r="AP343" s="13" t="n">
        <x:v>0.021552666411857952</x:v>
      </x:c>
    </x:row>
    <x:row r="344" ht="15" hidden="0" customHeight="1">
      <x:c r="A344" s="2" t="str">
        <x:v>E343</x:v>
      </x:c>
      <x:c r="B344" s="2" t="str">
        <x:v>***五金工具经营部</x:v>
      </x:c>
      <x:c r="C344" s="2" t="str">
        <x:v>无信贷记录</x:v>
      </x:c>
      <x:c r="D344" s="2" t="str"/>
      <x:c r="E344" s="2" t="str"/>
      <x:c r="F344" s="13" t="n">
        <x:v>3</x:v>
      </x:c>
      <x:c r="G344" s="13" t="n">
        <x:v>3</x:v>
      </x:c>
      <x:c r="H344" s="13" t="n">
        <x:v>0</x:v>
      </x:c>
      <x:c r="I344" s="13" t="n">
        <x:v>0</x:v>
      </x:c>
      <x:c r="J344" s="13" t="n">
        <x:v>840</x:v>
      </x:c>
      <x:c r="K344" s="13" t="n">
        <x:v>840</x:v>
      </x:c>
      <x:c r="L344" s="13" t="n">
        <x:v>1</x:v>
      </x:c>
      <x:c r="M344" s="13" t="n">
        <x:v>0</x:v>
      </x:c>
      <x:c r="N344" s="13" t="n">
        <x:v>0</x:v>
      </x:c>
      <x:c r="O344" s="13" t="n">
        <x:v>1</x:v>
      </x:c>
      <x:c r="P344" s="13" t="n">
        <x:v>1</x:v>
      </x:c>
      <x:c r="Q344" s="13" t="n">
        <x:v>33.6</x:v>
      </x:c>
      <x:c r="R344" s="13" t="n">
        <x:v>2.708012801464725</x:v>
      </x:c>
      <x:c r="S344" s="13" t="n">
        <x:v>-0.006410256410065612</x:v>
      </x:c>
      <x:c r="T344" s="13" t="n">
        <x:v>3</x:v>
      </x:c>
      <x:c r="U344" s="13" t="n">
        <x:v>433</x:v>
      </x:c>
      <x:c r="V344" s="13" t="n">
        <x:v>401</x:v>
      </x:c>
      <x:c r="W344" s="13" t="n">
        <x:v>32</x:v>
      </x:c>
      <x:c r="X344" s="13" t="n">
        <x:v>10</x:v>
      </x:c>
      <x:c r="Y344" s="13" t="n">
        <x:v>2628603.4</x:v>
      </x:c>
      <x:c r="Z344" s="13" t="n">
        <x:v>2761503.94</x:v>
      </x:c>
      <x:c r="AA344" s="13" t="n">
        <x:v>29</x:v>
      </x:c>
      <x:c r="AB344" s="13" t="n">
        <x:v>0.07390300230946882</x:v>
      </x:c>
      <x:c r="AC344" s="13" t="n">
        <x:v>0.02493765586034913</x:v>
      </x:c>
      <x:c r="AD344" s="13" t="n">
        <x:v>0.4313435581180113</x:v>
      </x:c>
      <x:c r="AE344" s="13" t="n">
        <x:v>0.6018544952718772</x:v>
      </x:c>
      <x:c r="AF344" s="13" t="n">
        <x:v>71043.33513513513</x:v>
      </x:c>
      <x:c r="AG344" s="13" t="n">
        <x:v>0.6589411954832248</x:v>
      </x:c>
      <x:c r="AH344" s="13" t="n">
        <x:v>0.0404320752709649</x:v>
      </x:c>
      <x:c r="AI344" s="13" t="n">
        <x:v>37</x:v>
      </x:c>
      <x:c r="AJ344" s="13" t="n">
        <x:v>2627763.4</x:v>
      </x:c>
      <x:c r="AK344" s="13" t="n">
        <x:v>0.00030418207551063633</x:v>
      </x:c>
      <x:c r="AL344" s="13" t="n">
        <x:v>0.07339449541284404</x:v>
      </x:c>
      <x:c r="AM344" s="13" t="n">
        <x:v>0.024752475247524754</x:v>
      </x:c>
      <x:c r="AN344" s="13" t="n">
        <x:v>0.7156717790590057</x:v>
      </x:c>
      <x:c r="AO344" s="13" t="n">
        <x:v>1.6834769984739748</x:v>
      </x:c>
      <x:c r="AP344" s="13" t="n">
        <x:v>0.017010909430449646</x:v>
      </x:c>
    </x:row>
    <x:row r="345" ht="15" hidden="0" customHeight="1">
      <x:c r="A345" s="2" t="str">
        <x:v>E344</x:v>
      </x:c>
      <x:c r="B345" s="2" t="str">
        <x:v>***机械有限公司</x:v>
      </x:c>
      <x:c r="C345" s="2" t="str">
        <x:v>无信贷记录</x:v>
      </x:c>
      <x:c r="D345" s="2" t="str"/>
      <x:c r="E345" s="2" t="str"/>
      <x:c r="F345" s="13" t="n">
        <x:v>121</x:v>
      </x:c>
      <x:c r="G345" s="13" t="n">
        <x:v>118</x:v>
      </x:c>
      <x:c r="H345" s="13" t="n">
        <x:v>3</x:v>
      </x:c>
      <x:c r="I345" s="13" t="n">
        <x:v>2</x:v>
      </x:c>
      <x:c r="J345" s="13" t="n">
        <x:v>1591937.8900000001</x:v>
      </x:c>
      <x:c r="K345" s="13" t="n">
        <x:v>1833247.8900000001</x:v>
      </x:c>
      <x:c r="L345" s="13" t="n">
        <x:v>51</x:v>
      </x:c>
      <x:c r="M345" s="13" t="n">
        <x:v>0.024793388429752067</x:v>
      </x:c>
      <x:c r="N345" s="13" t="n">
        <x:v>0.01694915254237288</x:v>
      </x:c>
      <x:c r="O345" s="13" t="n">
        <x:v>0.26954108394841947</x:v>
      </x:c>
      <x:c r="P345" s="13" t="n">
        <x:v>0.4388813015352768</x:v>
      </x:c>
      <x:c r="Q345" s="13" t="n">
        <x:v>41893.10236842105</x:v>
      </x:c>
      <x:c r="R345" s="13" t="n">
        <x:v>1.9051021207269072</x:v>
      </x:c>
      <x:c r="S345" s="13" t="n">
        <x:v>0.011036130006375409</x:v>
      </x:c>
      <x:c r="T345" s="13" t="n">
        <x:v>31</x:v>
      </x:c>
      <x:c r="U345" s="13" t="n">
        <x:v>93</x:v>
      </x:c>
      <x:c r="V345" s="13" t="n">
        <x:v>88</x:v>
      </x:c>
      <x:c r="W345" s="13" t="n">
        <x:v>5</x:v>
      </x:c>
      <x:c r="X345" s="13" t="n">
        <x:v>5</x:v>
      </x:c>
      <x:c r="Y345" s="13" t="n">
        <x:v>2658540</x:v>
      </x:c>
      <x:c r="Z345" s="13" t="n">
        <x:v>3206740</x:v>
      </x:c>
      <x:c r="AA345" s="13" t="n">
        <x:v>54</x:v>
      </x:c>
      <x:c r="AB345" s="13" t="n">
        <x:v>0.053763440860215055</x:v>
      </x:c>
      <x:c r="AC345" s="13" t="n">
        <x:v>0.056818181818181816</x:v>
      </x:c>
      <x:c r="AD345" s="13" t="n">
        <x:v>0.10432900129297726</x:v>
      </x:c>
      <x:c r="AE345" s="13" t="n">
        <x:v>0.26773732825236846</x:v>
      </x:c>
      <x:c r="AF345" s="13" t="n">
        <x:v>71852.43243243243</x:v>
      </x:c>
      <x:c r="AG345" s="13" t="n">
        <x:v>1.1927362115193174</x:v>
      </x:c>
      <x:c r="AH345" s="13" t="n">
        <x:v>0.0026370693636224526</x:v>
      </x:c>
      <x:c r="AI345" s="13" t="n">
        <x:v>37</x:v>
      </x:c>
      <x:c r="AJ345" s="13" t="n">
        <x:v>1066602.1099999999</x:v>
      </x:c>
      <x:c r="AK345" s="13" t="n">
        <x:v>0.5716858522985959</x:v>
      </x:c>
      <x:c r="AL345" s="13" t="n">
        <x:v>0.037383177570093455</x:v>
      </x:c>
      <x:c r="AM345" s="13" t="n">
        <x:v>0.03398058252427184</x:v>
      </x:c>
      <x:c r="AN345" s="13" t="n">
        <x:v>0.18693504262069838</x:v>
      </x:c>
      <x:c r="AO345" s="13" t="n">
        <x:v>1.5489191661231123</x:v>
      </x:c>
      <x:c r="AP345" s="13" t="n">
        <x:v>0.0068365996849989305</x:v>
      </x:c>
    </x:row>
    <x:row r="346" ht="15" hidden="0" customHeight="1">
      <x:c r="A346" s="2" t="str">
        <x:v>E345</x:v>
      </x:c>
      <x:c r="B346" s="2" t="str">
        <x:v>***科技有限公司</x:v>
      </x:c>
      <x:c r="C346" s="2" t="str">
        <x:v>无信贷记录</x:v>
      </x:c>
      <x:c r="D346" s="2" t="str"/>
      <x:c r="E346" s="2" t="str"/>
      <x:c r="F346" s="13" t="n">
        <x:v>253</x:v>
      </x:c>
      <x:c r="G346" s="13" t="n">
        <x:v>249</x:v>
      </x:c>
      <x:c r="H346" s="13" t="n">
        <x:v>4</x:v>
      </x:c>
      <x:c r="I346" s="13" t="n">
        <x:v>0</x:v>
      </x:c>
      <x:c r="J346" s="13" t="n">
        <x:v>660828.14</x:v>
      </x:c>
      <x:c r="K346" s="13" t="n">
        <x:v>660828.14</x:v>
      </x:c>
      <x:c r="L346" s="13" t="n">
        <x:v>105</x:v>
      </x:c>
      <x:c r="M346" s="13" t="n">
        <x:v>0.015810276679841896</x:v>
      </x:c>
      <x:c r="N346" s="13" t="n">
        <x:v>0</x:v>
      </x:c>
      <x:c r="O346" s="13" t="n">
        <x:v>0.09282017529606315</x:v>
      </x:c>
      <x:c r="P346" s="13" t="n">
        <x:v>0.24096582811984973</x:v>
      </x:c>
      <x:c r="Q346" s="13" t="n">
        <x:v>17860.22</x:v>
      </x:c>
      <x:c r="R346" s="13" t="n">
        <x:v>1.1251854621281676</x:v>
      </x:c>
      <x:c r="S346" s="13" t="n">
        <x:v>0.001463197136407077</x:v>
      </x:c>
      <x:c r="T346" s="13" t="n">
        <x:v>34</x:v>
      </x:c>
      <x:c r="U346" s="13" t="n">
        <x:v>87</x:v>
      </x:c>
      <x:c r="V346" s="13" t="n">
        <x:v>75</x:v>
      </x:c>
      <x:c r="W346" s="13" t="n">
        <x:v>12</x:v>
      </x:c>
      <x:c r="X346" s="13" t="n">
        <x:v>0</x:v>
      </x:c>
      <x:c r="Y346" s="13" t="n">
        <x:v>2513970</x:v>
      </x:c>
      <x:c r="Z346" s="13" t="n">
        <x:v>2513970</x:v>
      </x:c>
      <x:c r="AA346" s="13" t="n">
        <x:v>23</x:v>
      </x:c>
      <x:c r="AB346" s="13" t="n">
        <x:v>0.13793103448275862</x:v>
      </x:c>
      <x:c r="AC346" s="13" t="n">
        <x:v>0</x:v>
      </x:c>
      <x:c r="AD346" s="13" t="n">
        <x:v>0.20706894570918508</x:v>
      </x:c>
      <x:c r="AE346" s="13" t="n">
        <x:v>0.3524863065191709</x:v>
      </x:c>
      <x:c r="AF346" s="13" t="n">
        <x:v>67945.13513513513</x:v>
      </x:c>
      <x:c r="AG346" s="13" t="n">
        <x:v>1.2355678763935556</x:v>
      </x:c>
      <x:c r="AH346" s="13" t="n">
        <x:v>0.038103892989831904</x:v>
      </x:c>
      <x:c r="AI346" s="13" t="n">
        <x:v>27</x:v>
      </x:c>
      <x:c r="AJ346" s="13" t="n">
        <x:v>1853141.8599999999</x:v>
      </x:c>
      <x:c r="AK346" s="13" t="n">
        <x:v>0.26286238101488874</x:v>
      </x:c>
      <x:c r="AL346" s="13" t="n">
        <x:v>0.047058823529411764</x:v>
      </x:c>
      <x:c r="AM346" s="13" t="n">
        <x:v>0</x:v>
      </x:c>
      <x:c r="AN346" s="13" t="n">
        <x:v>0.1499445605026241</x:v>
      </x:c>
      <x:c r="AO346" s="13" t="n">
        <x:v>1.1803766692608617</x:v>
      </x:c>
      <x:c r="AP346" s="13" t="n">
        <x:v>0.019783545063119492</x:v>
      </x:c>
    </x:row>
    <x:row r="347" ht="15" hidden="0" customHeight="1">
      <x:c r="A347" s="2" t="str">
        <x:v>E346</x:v>
      </x:c>
      <x:c r="B347" s="2" t="str">
        <x:v>个体经营E346 </x:v>
      </x:c>
      <x:c r="C347" s="2" t="str">
        <x:v>无信贷记录</x:v>
      </x:c>
      <x:c r="D347" s="2" t="str"/>
      <x:c r="E347" s="2" t="str"/>
      <x:c r="F347" s="13" t="n">
        <x:v>496</x:v>
      </x:c>
      <x:c r="G347" s="13" t="n">
        <x:v>487</x:v>
      </x:c>
      <x:c r="H347" s="13" t="n">
        <x:v>9</x:v>
      </x:c>
      <x:c r="I347" s="13" t="n">
        <x:v>7</x:v>
      </x:c>
      <x:c r="J347" s="13" t="n">
        <x:v>2659993.92</x:v>
      </x:c>
      <x:c r="K347" s="13" t="n">
        <x:v>2796189.34</x:v>
      </x:c>
      <x:c r="L347" s="13" t="n">
        <x:v>92</x:v>
      </x:c>
      <x:c r="M347" s="13" t="n">
        <x:v>0.018145161290322582</x:v>
      </x:c>
      <x:c r="N347" s="13" t="n">
        <x:v>0.014373716632443531</x:v>
      </x:c>
      <x:c r="O347" s="13" t="n">
        <x:v>0.10770359151396267</x:v>
      </x:c>
      <x:c r="P347" s="13" t="n">
        <x:v>0.2273584270226851</x:v>
      </x:c>
      <x:c r="Q347" s="13" t="n">
        <x:v>73888.72</x:v>
      </x:c>
      <x:c r="R347" s="13" t="n">
        <x:v>0.6479865075732618</x:v>
      </x:c>
      <x:c r="S347" s="13" t="n">
        <x:v>0.004248354901688686</x:v>
      </x:c>
      <x:c r="T347" s="13" t="n">
        <x:v>36</x:v>
      </x:c>
      <x:c r="U347" s="13" t="n">
        <x:v>645</x:v>
      </x:c>
      <x:c r="V347" s="13" t="n">
        <x:v>605</x:v>
      </x:c>
      <x:c r="W347" s="13" t="n">
        <x:v>40</x:v>
      </x:c>
      <x:c r="X347" s="13" t="n">
        <x:v>2</x:v>
      </x:c>
      <x:c r="Y347" s="13" t="n">
        <x:v>2785895.84</x:v>
      </x:c>
      <x:c r="Z347" s="13" t="n">
        <x:v>2794822.4400000004</x:v>
      </x:c>
      <x:c r="AA347" s="13" t="n">
        <x:v>108</x:v>
      </x:c>
      <x:c r="AB347" s="13" t="n">
        <x:v>0.06201550387596899</x:v>
      </x:c>
      <x:c r="AC347" s="13" t="n">
        <x:v>0.003305785123966942</x:v>
      </x:c>
      <x:c r="AD347" s="13" t="n">
        <x:v>0.0442702304119953</x:v>
      </x:c>
      <x:c r="AE347" s="13" t="n">
        <x:v>0.12158901228802214</x:v>
      </x:c>
      <x:c r="AF347" s="13" t="n">
        <x:v>77385.99555555554</x:v>
      </x:c>
      <x:c r="AG347" s="13" t="n">
        <x:v>0.7027706839473032</x:v>
      </x:c>
      <x:c r="AH347" s="13" t="n">
        <x:v>0.010997326677125973</x:v>
      </x:c>
      <x:c r="AI347" s="13" t="n">
        <x:v>36</x:v>
      </x:c>
      <x:c r="AJ347" s="13" t="n">
        <x:v>125901.91999999993</x:v>
      </x:c>
      <x:c r="AK347" s="13" t="n">
        <x:v>1.0004890829486823</x:v>
      </x:c>
      <x:c r="AL347" s="13" t="n">
        <x:v>0.04294478527607362</x:v>
      </x:c>
      <x:c r="AM347" s="13" t="n">
        <x:v>0.008241758241758242</x:v>
      </x:c>
      <x:c r="AN347" s="13" t="n">
        <x:v>0.07598691096297898</x:v>
      </x:c>
      <x:c r="AO347" s="13" t="n">
        <x:v>0.6753785957602825</x:v>
      </x:c>
      <x:c r="AP347" s="13" t="n">
        <x:v>0.00762284078940733</x:v>
      </x:c>
    </x:row>
    <x:row r="348" ht="15" hidden="0" customHeight="1">
      <x:c r="A348" s="2" t="str">
        <x:v>E347</x:v>
      </x:c>
      <x:c r="B348" s="2" t="str">
        <x:v>***不锈钢材料有限公司</x:v>
      </x:c>
      <x:c r="C348" s="2" t="str">
        <x:v>无信贷记录</x:v>
      </x:c>
      <x:c r="D348" s="2" t="str"/>
      <x:c r="E348" s="2" t="str"/>
      <x:c r="F348" s="13" t="n">
        <x:v>87</x:v>
      </x:c>
      <x:c r="G348" s="13" t="n">
        <x:v>85</x:v>
      </x:c>
      <x:c r="H348" s="13" t="n">
        <x:v>2</x:v>
      </x:c>
      <x:c r="I348" s="13" t="n">
        <x:v>0</x:v>
      </x:c>
      <x:c r="J348" s="13" t="n">
        <x:v>1122899.5799999998</x:v>
      </x:c>
      <x:c r="K348" s="13" t="n">
        <x:v>1122899.5799999998</x:v>
      </x:c>
      <x:c r="L348" s="13" t="n">
        <x:v>34</x:v>
      </x:c>
      <x:c r="M348" s="13" t="n">
        <x:v>0.022988505747126436</x:v>
      </x:c>
      <x:c r="N348" s="13" t="n">
        <x:v>0</x:v>
      </x:c>
      <x:c r="O348" s="13" t="n">
        <x:v>0.08797539692538085</x:v>
      </x:c>
      <x:c r="P348" s="13" t="n">
        <x:v>0.17885322390092975</x:v>
      </x:c>
      <x:c r="Q348" s="13" t="n">
        <x:v>31191.654999999995</x:v>
      </x:c>
      <x:c r="R348" s="13" t="n">
        <x:v>0.7589028362104983</x:v>
      </x:c>
      <x:c r="S348" s="13" t="n">
        <x:v>-0.016357491957936468</x:v>
      </x:c>
      <x:c r="T348" s="13" t="n">
        <x:v>36</x:v>
      </x:c>
      <x:c r="U348" s="13" t="n">
        <x:v>210</x:v>
      </x:c>
      <x:c r="V348" s="13" t="n">
        <x:v>170</x:v>
      </x:c>
      <x:c r="W348" s="13" t="n">
        <x:v>40</x:v>
      </x:c>
      <x:c r="X348" s="13" t="n">
        <x:v>0</x:v>
      </x:c>
      <x:c r="Y348" s="13" t="n">
        <x:v>2456674.2199999997</x:v>
      </x:c>
      <x:c r="Z348" s="13" t="n">
        <x:v>2456674.2199999997</x:v>
      </x:c>
      <x:c r="AA348" s="13" t="n">
        <x:v>40</x:v>
      </x:c>
      <x:c r="AB348" s="13" t="n">
        <x:v>0.19047619047619047</x:v>
      </x:c>
      <x:c r="AC348" s="13" t="n">
        <x:v>0</x:v>
      </x:c>
      <x:c r="AD348" s="13" t="n">
        <x:v>0.06259475046150213</x:v>
      </x:c>
      <x:c r="AE348" s="13" t="n">
        <x:v>0.1347702342071225</x:v>
      </x:c>
      <x:c r="AF348" s="13" t="n">
        <x:v>68240.95055555555</x:v>
      </x:c>
      <x:c r="AG348" s="13" t="n">
        <x:v>0.9315474466158342</x:v>
      </x:c>
      <x:c r="AH348" s="13" t="n">
        <x:v>-0.01749045615877878</x:v>
      </x:c>
      <x:c r="AI348" s="13" t="n">
        <x:v>36</x:v>
      </x:c>
      <x:c r="AJ348" s="13" t="n">
        <x:v>1333774.64</x:v>
      </x:c>
      <x:c r="AK348" s="13" t="n">
        <x:v>0.4570811916608135</x:v>
      </x:c>
      <x:c r="AL348" s="13" t="n">
        <x:v>0.1414141414141414</x:v>
      </x:c>
      <x:c r="AM348" s="13" t="n">
        <x:v>0</x:v>
      </x:c>
      <x:c r="AN348" s="13" t="n">
        <x:v>0.07528507369344149</x:v>
      </x:c>
      <x:c r="AO348" s="13" t="n">
        <x:v>0.8452251414131662</x:v>
      </x:c>
      <x:c r="AP348" s="13" t="n">
        <x:v>-0.016923974058357626</x:v>
      </x:c>
    </x:row>
    <x:row r="349" ht="15" hidden="0" customHeight="1">
      <x:c r="A349" s="2" t="str">
        <x:v>E348</x:v>
      </x:c>
      <x:c r="B349" s="2" t="str">
        <x:v>***酒店管理有限公司</x:v>
      </x:c>
      <x:c r="C349" s="2" t="str">
        <x:v>无信贷记录</x:v>
      </x:c>
      <x:c r="D349" s="2" t="str"/>
      <x:c r="E349" s="2" t="str"/>
      <x:c r="F349" s="13" t="n">
        <x:v>200</x:v>
      </x:c>
      <x:c r="G349" s="13" t="n">
        <x:v>192</x:v>
      </x:c>
      <x:c r="H349" s="13" t="n">
        <x:v>8</x:v>
      </x:c>
      <x:c r="I349" s="13" t="n">
        <x:v>4</x:v>
      </x:c>
      <x:c r="J349" s="13" t="n">
        <x:v>792315.4099999999</x:v>
      </x:c>
      <x:c r="K349" s="13" t="n">
        <x:v>818688.2699999999</x:v>
      </x:c>
      <x:c r="L349" s="13" t="n">
        <x:v>33</x:v>
      </x:c>
      <x:c r="M349" s="13" t="n">
        <x:v>0.04</x:v>
      </x:c>
      <x:c r="N349" s="13" t="n">
        <x:v>0.020833333333333332</x:v>
      </x:c>
      <x:c r="O349" s="13" t="n">
        <x:v>0.1504159069930165</x:v>
      </x:c>
      <x:c r="P349" s="13" t="n">
        <x:v>0.3005057101893007</x:v>
      </x:c>
      <x:c r="Q349" s="13" t="n">
        <x:v>24759.856562499997</x:v>
      </x:c>
      <x:c r="R349" s="13" t="n">
        <x:v>0.9648210249551658</x:v>
      </x:c>
      <x:c r="S349" s="13" t="n">
        <x:v>0.00837179371914559</x:v>
      </x:c>
      <x:c r="T349" s="13" t="n">
        <x:v>32</x:v>
      </x:c>
      <x:c r="U349" s="13" t="n">
        <x:v>4269</x:v>
      </x:c>
      <x:c r="V349" s="13" t="n">
        <x:v>4050</x:v>
      </x:c>
      <x:c r="W349" s="13" t="n">
        <x:v>219</x:v>
      </x:c>
      <x:c r="X349" s="13" t="n">
        <x:v>32</x:v>
      </x:c>
      <x:c r="Y349" s="13" t="n">
        <x:v>2328692.42</x:v>
      </x:c>
      <x:c r="Z349" s="13" t="n">
        <x:v>2383250.42</x:v>
      </x:c>
      <x:c r="AA349" s="13" t="n">
        <x:v>1010</x:v>
      </x:c>
      <x:c r="AB349" s="13" t="n">
        <x:v>0.05130007027406887</x:v>
      </x:c>
      <x:c r="AC349" s="13" t="n">
        <x:v>0.007901234567901235</x:v>
      </x:c>
      <x:c r="AD349" s="13" t="n">
        <x:v>0.05320550279203095</x:v>
      </x:c>
      <x:c r="AE349" s="13" t="n">
        <x:v>0.1945614972345206</x:v>
      </x:c>
      <x:c r="AF349" s="13" t="n">
        <x:v>68490.95352941177</x:v>
      </x:c>
      <x:c r="AG349" s="13" t="n">
        <x:v>0.35473569770004193</x:v>
      </x:c>
      <x:c r="AH349" s="13" t="n">
        <x:v>-0.0018424063999752094</x:v>
      </x:c>
      <x:c r="AI349" s="13" t="n">
        <x:v>34</x:v>
      </x:c>
      <x:c r="AJ349" s="13" t="n">
        <x:v>1536377.01</x:v>
      </x:c>
      <x:c r="AK349" s="13" t="n">
        <x:v>0.3435175183982553</x:v>
      </x:c>
      <x:c r="AL349" s="13" t="n">
        <x:v>0.05079436115462072</x:v>
      </x:c>
      <x:c r="AM349" s="13" t="n">
        <x:v>0.008486562942008486</x:v>
      </x:c>
      <x:c r="AN349" s="13" t="n">
        <x:v>0.10181070489252372</x:v>
      </x:c>
      <x:c r="AO349" s="13" t="n">
        <x:v>0.6597783613276038</x:v>
      </x:c>
      <x:c r="AP349" s="13" t="n">
        <x:v>0.00326469365958519</x:v>
      </x:c>
    </x:row>
    <x:row r="350" ht="15" hidden="0" customHeight="1">
      <x:c r="A350" s="2" t="str">
        <x:v>E349</x:v>
      </x:c>
      <x:c r="B350" s="2" t="str">
        <x:v>***营销策划广告有限公司</x:v>
      </x:c>
      <x:c r="C350" s="2" t="str">
        <x:v>无信贷记录</x:v>
      </x:c>
      <x:c r="D350" s="2" t="str"/>
      <x:c r="E350" s="2" t="str"/>
      <x:c r="F350" s="13" t="n">
        <x:v>9</x:v>
      </x:c>
      <x:c r="G350" s="13" t="n">
        <x:v>9</x:v>
      </x:c>
      <x:c r="H350" s="13" t="n">
        <x:v>0</x:v>
      </x:c>
      <x:c r="I350" s="13" t="n">
        <x:v>0</x:v>
      </x:c>
      <x:c r="J350" s="13" t="n">
        <x:v>7446.05</x:v>
      </x:c>
      <x:c r="K350" s="13" t="n">
        <x:v>7446.05</x:v>
      </x:c>
      <x:c r="L350" s="13" t="n">
        <x:v>7</x:v>
      </x:c>
      <x:c r="M350" s="13" t="n">
        <x:v>0</x:v>
      </x:c>
      <x:c r="N350" s="13" t="n">
        <x:v>0</x:v>
      </x:c>
      <x:c r="O350" s="13" t="n">
        <x:v>0.251463960910823</x:v>
      </x:c>
      <x:c r="P350" s="13" t="n">
        <x:v>0.3357484840955943</x:v>
      </x:c>
      <x:c r="Q350" s="13" t="n">
        <x:v>256.7603448275862</x:v>
      </x:c>
      <x:c r="R350" s="13" t="n">
        <x:v>2.6551421478882173</x:v>
      </x:c>
      <x:c r="S350" s="13" t="n">
        <x:v>0.06877711768533144</x:v>
      </x:c>
      <x:c r="T350" s="13" t="n">
        <x:v>6</x:v>
      </x:c>
      <x:c r="U350" s="13" t="n">
        <x:v>39</x:v>
      </x:c>
      <x:c r="V350" s="13" t="n">
        <x:v>39</x:v>
      </x:c>
      <x:c r="W350" s="13" t="n">
        <x:v>0</x:v>
      </x:c>
      <x:c r="X350" s="13" t="n">
        <x:v>0</x:v>
      </x:c>
      <x:c r="Y350" s="13" t="n">
        <x:v>3428946</x:v>
      </x:c>
      <x:c r="Z350" s="13" t="n">
        <x:v>3428946</x:v>
      </x:c>
      <x:c r="AA350" s="13" t="n">
        <x:v>2</x:v>
      </x:c>
      <x:c r="AB350" s="13" t="n">
        <x:v>0</x:v>
      </x:c>
      <x:c r="AC350" s="13" t="n">
        <x:v>0</x:v>
      </x:c>
      <x:c r="AD350" s="13" t="n">
        <x:v>0.5118979293920896</x:v>
      </x:c>
      <x:c r="AE350" s="13" t="n">
        <x:v>0.5771295319319698</x:v>
      </x:c>
      <x:c r="AF350" s="13" t="n">
        <x:v>149084.60869565216</x:v>
      </x:c>
      <x:c r="AG350" s="13" t="n">
        <x:v>1.7777920016793538</x:v>
      </x:c>
      <x:c r="AH350" s="13" t="n">
        <x:v>-0.0267344410047443</x:v>
      </x:c>
      <x:c r="AI350" s="13" t="n">
        <x:v>6</x:v>
      </x:c>
      <x:c r="AJ350" s="13" t="n">
        <x:v>3421499.95</x:v>
      </x:c>
      <x:c r="AK350" s="13" t="n">
        <x:v>0.002171527343971004</x:v>
      </x:c>
      <x:c r="AL350" s="13" t="n">
        <x:v>0</x:v>
      </x:c>
      <x:c r="AM350" s="13" t="n">
        <x:v>0</x:v>
      </x:c>
      <x:c r="AN350" s="13" t="n">
        <x:v>0.3816809451514563</x:v>
      </x:c>
      <x:c r="AO350" s="13" t="n">
        <x:v>2.2164670747837856</x:v>
      </x:c>
      <x:c r="AP350" s="13" t="n">
        <x:v>0.02102133834029357</x:v>
      </x:c>
    </x:row>
    <x:row r="351" ht="15" hidden="0" customHeight="1">
      <x:c r="A351" s="2" t="str">
        <x:v>E350</x:v>
      </x:c>
      <x:c r="B351" s="2" t="str">
        <x:v>***演艺设备有限公司</x:v>
      </x:c>
      <x:c r="C351" s="2" t="str">
        <x:v>无信贷记录</x:v>
      </x:c>
      <x:c r="D351" s="2" t="str"/>
      <x:c r="E351" s="2" t="str"/>
      <x:c r="F351" s="13" t="n">
        <x:v>629</x:v>
      </x:c>
      <x:c r="G351" s="13" t="n">
        <x:v>623</x:v>
      </x:c>
      <x:c r="H351" s="13" t="n">
        <x:v>6</x:v>
      </x:c>
      <x:c r="I351" s="13" t="n">
        <x:v>1</x:v>
      </x:c>
      <x:c r="J351" s="13" t="n">
        <x:v>442711.27</x:v>
      </x:c>
      <x:c r="K351" s="13" t="n">
        <x:v>445177.27</x:v>
      </x:c>
      <x:c r="L351" s="13" t="n">
        <x:v>140</x:v>
      </x:c>
      <x:c r="M351" s="13" t="n">
        <x:v>0.009538950715421303</x:v>
      </x:c>
      <x:c r="N351" s="13" t="n">
        <x:v>0.0016051364365971107</x:v>
      </x:c>
      <x:c r="O351" s="13" t="n">
        <x:v>0.08284063183671825</x:v>
      </x:c>
      <x:c r="P351" s="13" t="n">
        <x:v>0.17970369421601423</x:v>
      </x:c>
      <x:c r="Q351" s="13" t="n">
        <x:v>13834.7271875</x:v>
      </x:c>
      <x:c r="R351" s="13" t="n">
        <x:v>1.4441609431371991</x:v>
      </x:c>
      <x:c r="S351" s="13" t="n">
        <x:v>0.023567975815022898</x:v>
      </x:c>
      <x:c r="T351" s="13" t="n">
        <x:v>31</x:v>
      </x:c>
      <x:c r="U351" s="13" t="n">
        <x:v>60</x:v>
      </x:c>
      <x:c r="V351" s="13" t="n">
        <x:v>52</x:v>
      </x:c>
      <x:c r="W351" s="13" t="n">
        <x:v>8</x:v>
      </x:c>
      <x:c r="X351" s="13" t="n">
        <x:v>1</x:v>
      </x:c>
      <x:c r="Y351" s="13" t="n">
        <x:v>1516645</x:v>
      </x:c>
      <x:c r="Z351" s="13" t="n">
        <x:v>1550645</x:v>
      </x:c>
      <x:c r="AA351" s="13" t="n">
        <x:v>33</x:v>
      </x:c>
      <x:c r="AB351" s="13" t="n">
        <x:v>0.13333333333333333</x:v>
      </x:c>
      <x:c r="AC351" s="13" t="n">
        <x:v>0.019230769230769232</x:v>
      </x:c>
      <x:c r="AD351" s="13" t="n">
        <x:v>0.13971321323826869</x:v>
      </x:c>
      <x:c r="AE351" s="13" t="n">
        <x:v>0.30874958485017523</x:v>
      </x:c>
      <x:c r="AF351" s="13" t="n">
        <x:v>44607.205882352944</x:v>
      </x:c>
      <x:c r="AG351" s="13" t="n">
        <x:v>1.5815353252730673</x:v>
      </x:c>
      <x:c r="AH351" s="13" t="n">
        <x:v>0.08133631936143217</x:v>
      </x:c>
      <x:c r="AI351" s="13" t="n">
        <x:v>26</x:v>
      </x:c>
      <x:c r="AJ351" s="13" t="n">
        <x:v>1073933.73</x:v>
      </x:c>
      <x:c r="AK351" s="13" t="n">
        <x:v>0.2870916747546987</x:v>
      </x:c>
      <x:c r="AL351" s="13" t="n">
        <x:v>0.020319303338171262</x:v>
      </x:c>
      <x:c r="AM351" s="13" t="n">
        <x:v>0.002962962962962963</x:v>
      </x:c>
      <x:c r="AN351" s="13" t="n">
        <x:v>0.11127692253749347</x:v>
      </x:c>
      <x:c r="AO351" s="13" t="n">
        <x:v>1.5128481342051332</x:v>
      </x:c>
      <x:c r="AP351" s="13" t="n">
        <x:v>0.052452147588227534</x:v>
      </x:c>
    </x:row>
    <x:row r="352" ht="15" hidden="0" customHeight="1">
      <x:c r="A352" s="2" t="str">
        <x:v>E351</x:v>
      </x:c>
      <x:c r="B352" s="2" t="str">
        <x:v>***文化传播有限公司</x:v>
      </x:c>
      <x:c r="C352" s="2" t="str">
        <x:v>无信贷记录</x:v>
      </x:c>
      <x:c r="D352" s="2" t="str"/>
      <x:c r="E352" s="2" t="str"/>
      <x:c r="F352" s="13" t="n">
        <x:v>101</x:v>
      </x:c>
      <x:c r="G352" s="13" t="n">
        <x:v>100</x:v>
      </x:c>
      <x:c r="H352" s="13" t="n">
        <x:v>1</x:v>
      </x:c>
      <x:c r="I352" s="13" t="n">
        <x:v>1</x:v>
      </x:c>
      <x:c r="J352" s="13" t="n">
        <x:v>308336.05</x:v>
      </x:c>
      <x:c r="K352" s="13" t="n">
        <x:v>311934.05</x:v>
      </x:c>
      <x:c r="L352" s="13" t="n">
        <x:v>46</x:v>
      </x:c>
      <x:c r="M352" s="13" t="n">
        <x:v>0.009900990099009901</x:v>
      </x:c>
      <x:c r="N352" s="13" t="n">
        <x:v>0.01</x:v>
      </x:c>
      <x:c r="O352" s="13" t="n">
        <x:v>0.4841738801071323</x:v>
      </x:c>
      <x:c r="P352" s="13" t="n">
        <x:v>0.6900497076224926</x:v>
      </x:c>
      <x:c r="Q352" s="13" t="n">
        <x:v>10632.277586206896</x:v>
      </x:c>
      <x:c r="R352" s="13" t="n">
        <x:v>3.7029323063335413</x:v>
      </x:c>
      <x:c r="S352" s="13" t="n">
        <x:v>0.05799341335532555</x:v>
      </x:c>
      <x:c r="T352" s="13" t="n">
        <x:v>24</x:v>
      </x:c>
      <x:c r="U352" s="13" t="n">
        <x:v>60</x:v>
      </x:c>
      <x:c r="V352" s="13" t="n">
        <x:v>52</x:v>
      </x:c>
      <x:c r="W352" s="13" t="n">
        <x:v>8</x:v>
      </x:c>
      <x:c r="X352" s="13" t="n">
        <x:v>0</x:v>
      </x:c>
      <x:c r="Y352" s="13" t="n">
        <x:v>1089240.3</x:v>
      </x:c>
      <x:c r="Z352" s="13" t="n">
        <x:v>1089240.3</x:v>
      </x:c>
      <x:c r="AA352" s="13" t="n">
        <x:v>15</x:v>
      </x:c>
      <x:c r="AB352" s="13" t="n">
        <x:v>0.13333333333333333</x:v>
      </x:c>
      <x:c r="AC352" s="13" t="n">
        <x:v>0</x:v>
      </x:c>
      <x:c r="AD352" s="13" t="n">
        <x:v>0.18939827474583137</x:v>
      </x:c>
      <x:c r="AE352" s="13" t="n">
        <x:v>0.3449852158426382</x:v>
      </x:c>
      <x:c r="AF352" s="13" t="n">
        <x:v>33007.28181818182</x:v>
      </x:c>
      <x:c r="AG352" s="13" t="n">
        <x:v>1.561243414605168</x:v>
      </x:c>
      <x:c r="AH352" s="13" t="n">
        <x:v>0.0913391415072099</x:v>
      </x:c>
      <x:c r="AI352" s="13" t="n">
        <x:v>21</x:v>
      </x:c>
      <x:c r="AJ352" s="13" t="n">
        <x:v>780904.25</x:v>
      </x:c>
      <x:c r="AK352" s="13" t="n">
        <x:v>0.28637762484549983</x:v>
      </x:c>
      <x:c r="AL352" s="13" t="n">
        <x:v>0.055900621118012424</x:v>
      </x:c>
      <x:c r="AM352" s="13" t="n">
        <x:v>0.006578947368421052</x:v>
      </x:c>
      <x:c r="AN352" s="13" t="n">
        <x:v>0.3367860774264818</x:v>
      </x:c>
      <x:c r="AO352" s="13" t="n">
        <x:v>2.6320878604693547</x:v>
      </x:c>
      <x:c r="AP352" s="13" t="n">
        <x:v>0.07466627743126772</x:v>
      </x:c>
    </x:row>
    <x:row r="353" ht="15" hidden="0" customHeight="1">
      <x:c r="A353" s="2" t="str">
        <x:v>E352</x:v>
      </x:c>
      <x:c r="B353" s="2" t="str">
        <x:v>***居装饰工程有限公司</x:v>
      </x:c>
      <x:c r="C353" s="2" t="str">
        <x:v>无信贷记录</x:v>
      </x:c>
      <x:c r="D353" s="2" t="str"/>
      <x:c r="E353" s="2" t="str"/>
      <x:c r="F353" s="13" t="n">
        <x:v>743</x:v>
      </x:c>
      <x:c r="G353" s="13" t="n">
        <x:v>735</x:v>
      </x:c>
      <x:c r="H353" s="13" t="n">
        <x:v>8</x:v>
      </x:c>
      <x:c r="I353" s="13" t="n">
        <x:v>12</x:v>
      </x:c>
      <x:c r="J353" s="13" t="n">
        <x:v>14736161.72</x:v>
      </x:c>
      <x:c r="K353" s="13" t="n">
        <x:v>15618022.04</x:v>
      </x:c>
      <x:c r="L353" s="13" t="n">
        <x:v>53</x:v>
      </x:c>
      <x:c r="M353" s="13" t="n">
        <x:v>0.010767160161507403</x:v>
      </x:c>
      <x:c r="N353" s="13" t="n">
        <x:v>0.0163265306122449</x:v>
      </x:c>
      <x:c r="O353" s="13" t="n">
        <x:v>0.12173223955018274</x:v>
      </x:c>
      <x:c r="P353" s="13" t="n">
        <x:v>0.2166420300428773</x:v>
      </x:c>
      <x:c r="Q353" s="13" t="n">
        <x:v>409337.8255555555</x:v>
      </x:c>
      <x:c r="R353" s="13" t="n">
        <x:v>0.7599035894854343</x:v>
      </x:c>
      <x:c r="S353" s="13" t="n">
        <x:v>0.015782585845620787</x:v>
      </x:c>
      <x:c r="T353" s="13" t="n">
        <x:v>36</x:v>
      </x:c>
      <x:c r="U353" s="13" t="n">
        <x:v>52</x:v>
      </x:c>
      <x:c r="V353" s="13" t="n">
        <x:v>47</x:v>
      </x:c>
      <x:c r="W353" s="13" t="n">
        <x:v>5</x:v>
      </x:c>
      <x:c r="X353" s="13" t="n">
        <x:v>0</x:v>
      </x:c>
      <x:c r="Y353" s="13" t="n">
        <x:v>2729461</x:v>
      </x:c>
      <x:c r="Z353" s="13" t="n">
        <x:v>2729461</x:v>
      </x:c>
      <x:c r="AA353" s="13" t="n">
        <x:v>41</x:v>
      </x:c>
      <x:c r="AB353" s="13" t="n">
        <x:v>0.09615384615384616</x:v>
      </x:c>
      <x:c r="AC353" s="13" t="n">
        <x:v>0</x:v>
      </x:c>
      <x:c r="AD353" s="13" t="n">
        <x:v>0.03436054837134043</x:v>
      </x:c>
      <x:c r="AE353" s="13" t="n">
        <x:v>0.08236058327999557</x:v>
      </x:c>
      <x:c r="AF353" s="13" t="n">
        <x:v>77984.6</x:v>
      </x:c>
      <x:c r="AG353" s="13" t="n">
        <x:v>0.9841840770346423</x:v>
      </x:c>
      <x:c r="AH353" s="13" t="n">
        <x:v>-0.018080216239777215</x:v>
      </x:c>
      <x:c r="AI353" s="13" t="n">
        <x:v>24</x:v>
      </x:c>
      <x:c r="AJ353" s="13" t="n">
        <x:v>-12006700.72</x:v>
      </x:c>
      <x:c r="AK353" s="13" t="n">
        <x:v>5.7220169256860585</x:v>
      </x:c>
      <x:c r="AL353" s="13" t="n">
        <x:v>0.016352201257861635</x:v>
      </x:c>
      <x:c r="AM353" s="13" t="n">
        <x:v>0.015345268542199489</x:v>
      </x:c>
      <x:c r="AN353" s="13" t="n">
        <x:v>0.07804639396076159</x:v>
      </x:c>
      <x:c r="AO353" s="13" t="n">
        <x:v>0.8720438332600383</x:v>
      </x:c>
      <x:c r="AP353" s="13" t="n">
        <x:v>-0.001148815197078214</x:v>
      </x:c>
    </x:row>
    <x:row r="354" ht="15" hidden="0" customHeight="1">
      <x:c r="A354" s="2" t="str">
        <x:v>E353</x:v>
      </x:c>
      <x:c r="B354" s="2" t="str">
        <x:v>***税务师事务所有限公司</x:v>
      </x:c>
      <x:c r="C354" s="2" t="str">
        <x:v>无信贷记录</x:v>
      </x:c>
      <x:c r="D354" s="2" t="str"/>
      <x:c r="E354" s="2" t="str"/>
      <x:c r="F354" s="13" t="n">
        <x:v>234</x:v>
      </x:c>
      <x:c r="G354" s="13" t="n">
        <x:v>224</x:v>
      </x:c>
      <x:c r="H354" s="13" t="n">
        <x:v>10</x:v>
      </x:c>
      <x:c r="I354" s="13" t="n">
        <x:v>1</x:v>
      </x:c>
      <x:c r="J354" s="13" t="n">
        <x:v>333444.78</x:v>
      </x:c>
      <x:c r="K354" s="13" t="n">
        <x:v>346780.78</x:v>
      </x:c>
      <x:c r="L354" s="13" t="n">
        <x:v>105</x:v>
      </x:c>
      <x:c r="M354" s="13" t="n">
        <x:v>0.042735042735042736</x:v>
      </x:c>
      <x:c r="N354" s="13" t="n">
        <x:v>0.004464285714285714</x:v>
      </x:c>
      <x:c r="O354" s="13" t="n">
        <x:v>0.0657335256183411</x:v>
      </x:c>
      <x:c r="P354" s="13" t="n">
        <x:v>0.21108147919847228</x:v>
      </x:c>
      <x:c r="Q354" s="13" t="n">
        <x:v>10420.149375</x:v>
      </x:c>
      <x:c r="R354" s="13" t="n">
        <x:v>0.8876651776658154</x:v>
      </x:c>
      <x:c r="S354" s="13" t="n">
        <x:v>-0.03962385890387831</x:v>
      </x:c>
      <x:c r="T354" s="13" t="n">
        <x:v>31</x:v>
      </x:c>
      <x:c r="U354" s="13" t="n">
        <x:v>80</x:v>
      </x:c>
      <x:c r="V354" s="13" t="n">
        <x:v>68</x:v>
      </x:c>
      <x:c r="W354" s="13" t="n">
        <x:v>12</x:v>
      </x:c>
      <x:c r="X354" s="13" t="n">
        <x:v>4</x:v>
      </x:c>
      <x:c r="Y354" s="13" t="n">
        <x:v>2816166.6399999997</x:v>
      </x:c>
      <x:c r="Z354" s="13" t="n">
        <x:v>3122166.5999999996</x:v>
      </x:c>
      <x:c r="AA354" s="13" t="n">
        <x:v>25</x:v>
      </x:c>
      <x:c r="AB354" s="13" t="n">
        <x:v>0.15</x:v>
      </x:c>
      <x:c r="AC354" s="13" t="n">
        <x:v>0.058823529411764705</x:v>
      </x:c>
      <x:c r="AD354" s="13" t="n">
        <x:v>0.06410526068979665</x:v>
      </x:c>
      <x:c r="AE354" s="13" t="n">
        <x:v>0.11498425484405604</x:v>
      </x:c>
      <x:c r="AF354" s="13" t="n">
        <x:v>88005.20749999999</x:v>
      </x:c>
      <x:c r="AG354" s="13" t="n">
        <x:v>1.178712368974488</x:v>
      </x:c>
      <x:c r="AH354" s="13" t="n">
        <x:v>-0.033195763749346664</x:v>
      </x:c>
      <x:c r="AI354" s="13" t="n">
        <x:v>19</x:v>
      </x:c>
      <x:c r="AJ354" s="13" t="n">
        <x:v>2482721.8599999994</x:v>
      </x:c>
      <x:c r="AK354" s="13" t="n">
        <x:v>0.11107055594022432</x:v>
      </x:c>
      <x:c r="AL354" s="13" t="n">
        <x:v>0.07006369426751592</x:v>
      </x:c>
      <x:c r="AM354" s="13" t="n">
        <x:v>0.017123287671232876</x:v>
      </x:c>
      <x:c r="AN354" s="13" t="n">
        <x:v>0.06491939315406887</x:v>
      </x:c>
      <x:c r="AO354" s="13" t="n">
        <x:v>1.0331887733201517</x:v>
      </x:c>
      <x:c r="AP354" s="13" t="n">
        <x:v>-0.03640981132661249</x:v>
      </x:c>
    </x:row>
    <x:row r="355" ht="15" hidden="0" customHeight="1">
      <x:c r="A355" s="2" t="str">
        <x:v>E354</x:v>
      </x:c>
      <x:c r="B355" s="2" t="str">
        <x:v>***广告有限公司</x:v>
      </x:c>
      <x:c r="C355" s="2" t="str">
        <x:v>无信贷记录</x:v>
      </x:c>
      <x:c r="D355" s="2" t="str"/>
      <x:c r="E355" s="2" t="str"/>
      <x:c r="F355" s="13" t="n">
        <x:v>67</x:v>
      </x:c>
      <x:c r="G355" s="13" t="n">
        <x:v>65</x:v>
      </x:c>
      <x:c r="H355" s="13" t="n">
        <x:v>2</x:v>
      </x:c>
      <x:c r="I355" s="13" t="n">
        <x:v>0</x:v>
      </x:c>
      <x:c r="J355" s="13" t="n">
        <x:v>663680</x:v>
      </x:c>
      <x:c r="K355" s="13" t="n">
        <x:v>663680</x:v>
      </x:c>
      <x:c r="L355" s="13" t="n">
        <x:v>11</x:v>
      </x:c>
      <x:c r="M355" s="13" t="n">
        <x:v>0.029850746268656716</x:v>
      </x:c>
      <x:c r="N355" s="13" t="n">
        <x:v>0</x:v>
      </x:c>
      <x:c r="O355" s="13" t="n">
        <x:v>0.39197192411123094</x:v>
      </x:c>
      <x:c r="P355" s="13" t="n">
        <x:v>0.587632594021215</x:v>
      </x:c>
      <x:c r="Q355" s="13" t="n">
        <x:v>18962.285714285714</x:v>
      </x:c>
      <x:c r="R355" s="13" t="n">
        <x:v>1.6755376640648398</x:v>
      </x:c>
      <x:c r="S355" s="13" t="n">
        <x:v>0.029842193024749296</x:v>
      </x:c>
      <x:c r="T355" s="13" t="n">
        <x:v>21</x:v>
      </x:c>
      <x:c r="U355" s="13" t="n">
        <x:v>323</x:v>
      </x:c>
      <x:c r="V355" s="13" t="n">
        <x:v>293</x:v>
      </x:c>
      <x:c r="W355" s="13" t="n">
        <x:v>30</x:v>
      </x:c>
      <x:c r="X355" s="13" t="n">
        <x:v>7</x:v>
      </x:c>
      <x:c r="Y355" s="13" t="n">
        <x:v>2283560.4</x:v>
      </x:c>
      <x:c r="Z355" s="13" t="n">
        <x:v>2416100.4</x:v>
      </x:c>
      <x:c r="AA355" s="13" t="n">
        <x:v>66</x:v>
      </x:c>
      <x:c r="AB355" s="13" t="n">
        <x:v>0.09287925696594428</x:v>
      </x:c>
      <x:c r="AC355" s="13" t="n">
        <x:v>0.023890784982935155</x:v>
      </x:c>
      <x:c r="AD355" s="13" t="n">
        <x:v>0.11749891380392855</x:v>
      </x:c>
      <x:c r="AE355" s="13" t="n">
        <x:v>0.31124534394348846</x:v>
      </x:c>
      <x:c r="AF355" s="13" t="n">
        <x:v>67163.54117647058</x:v>
      </x:c>
      <x:c r="AG355" s="13" t="n">
        <x:v>1.1649029470065047</x:v>
      </x:c>
      <x:c r="AH355" s="13" t="n">
        <x:v>-0.0061463978134103404</x:v>
      </x:c>
      <x:c r="AI355" s="13" t="n">
        <x:v>31</x:v>
      </x:c>
      <x:c r="AJ355" s="13" t="n">
        <x:v>1619880.4</x:v>
      </x:c>
      <x:c r="AK355" s="13" t="n">
        <x:v>0.2746905716335297</x:v>
      </x:c>
      <x:c r="AL355" s="13" t="n">
        <x:v>0.08205128205128205</x:v>
      </x:c>
      <x:c r="AM355" s="13" t="n">
        <x:v>0.019553072625698324</x:v>
      </x:c>
      <x:c r="AN355" s="13" t="n">
        <x:v>0.25473541895757973</x:v>
      </x:c>
      <x:c r="AO355" s="13" t="n">
        <x:v>1.4202203055356724</x:v>
      </x:c>
      <x:c r="AP355" s="13" t="n">
        <x:v>0.011847897605669478</x:v>
      </x:c>
    </x:row>
    <x:row r="356" ht="15" hidden="0" customHeight="1">
      <x:c r="A356" s="2" t="str">
        <x:v>E355</x:v>
      </x:c>
      <x:c r="B356" s="2" t="str">
        <x:v>***地毯经营部</x:v>
      </x:c>
      <x:c r="C356" s="2" t="str">
        <x:v>无信贷记录</x:v>
      </x:c>
      <x:c r="D356" s="2" t="str"/>
      <x:c r="E356" s="2" t="str"/>
      <x:c r="F356" s="13" t="n">
        <x:v>4</x:v>
      </x:c>
      <x:c r="G356" s="13" t="n">
        <x:v>3</x:v>
      </x:c>
      <x:c r="H356" s="13" t="n">
        <x:v>1</x:v>
      </x:c>
      <x:c r="I356" s="13" t="n">
        <x:v>0</x:v>
      </x:c>
      <x:c r="J356" s="13" t="n">
        <x:v>530560</x:v>
      </x:c>
      <x:c r="K356" s="13" t="n">
        <x:v>530560</x:v>
      </x:c>
      <x:c r="L356" s="13" t="n">
        <x:v>2</x:v>
      </x:c>
      <x:c r="M356" s="13" t="n">
        <x:v>0.25</x:v>
      </x:c>
      <x:c r="N356" s="13" t="n">
        <x:v>0</x:v>
      </x:c>
      <x:c r="O356" s="13" t="n">
        <x:v>0.9978912510312976</x:v>
      </x:c>
      <x:c r="P356" s="13" t="n">
        <x:v>0.9989445114595898</x:v>
      </x:c>
      <x:c r="Q356" s="13" t="n">
        <x:v>40812.307692307695</x:v>
      </x:c>
      <x:c r="R356" s="13" t="n">
        <x:v>3.462121588035068</x:v>
      </x:c>
      <x:c r="S356" s="13" t="n">
        <x:v>0.42811907633981366</x:v>
      </x:c>
      <x:c r="T356" s="13" t="n">
        <x:v>2</x:v>
      </x:c>
      <x:c r="U356" s="13" t="n">
        <x:v>279</x:v>
      </x:c>
      <x:c r="V356" s="13" t="n">
        <x:v>263</x:v>
      </x:c>
      <x:c r="W356" s="13" t="n">
        <x:v>16</x:v>
      </x:c>
      <x:c r="X356" s="13" t="n">
        <x:v>0</x:v>
      </x:c>
      <x:c r="Y356" s="13" t="n">
        <x:v>1230185.81</x:v>
      </x:c>
      <x:c r="Z356" s="13" t="n">
        <x:v>1230185.81</x:v>
      </x:c>
      <x:c r="AA356" s="13" t="n">
        <x:v>107</x:v>
      </x:c>
      <x:c r="AB356" s="13" t="n">
        <x:v>0.05734767025089606</x:v>
      </x:c>
      <x:c r="AC356" s="13" t="n">
        <x:v>0</x:v>
      </x:c>
      <x:c r="AD356" s="13" t="n">
        <x:v>0.0397923153461091</x:v>
      </x:c>
      <x:c r="AE356" s="13" t="n">
        <x:v>0.09027010318059188</x:v>
      </x:c>
      <x:c r="AF356" s="13" t="n">
        <x:v>47314.83884615385</x:v>
      </x:c>
      <x:c r="AG356" s="13" t="n">
        <x:v>0.49929680567306567</x:v>
      </x:c>
      <x:c r="AH356" s="13" t="n">
        <x:v>0.03639180740238398</x:v>
      </x:c>
      <x:c r="AI356" s="13" t="n">
        <x:v>26</x:v>
      </x:c>
      <x:c r="AJ356" s="13" t="n">
        <x:v>699625.81</x:v>
      </x:c>
      <x:c r="AK356" s="13" t="n">
        <x:v>0.4312844414942484</x:v>
      </x:c>
      <x:c r="AL356" s="13" t="n">
        <x:v>0.06007067137809187</x:v>
      </x:c>
      <x:c r="AM356" s="13" t="n">
        <x:v>0</x:v>
      </x:c>
      <x:c r="AN356" s="13" t="n">
        <x:v>0.5188417831887033</x:v>
      </x:c>
      <x:c r="AO356" s="13" t="n">
        <x:v>1.9807091968540669</x:v>
      </x:c>
      <x:c r="AP356" s="13" t="n">
        <x:v>0.2322554418710988</x:v>
      </x:c>
    </x:row>
    <x:row r="357" ht="15" hidden="0" customHeight="1">
      <x:c r="A357" s="2" t="str">
        <x:v>E356</x:v>
      </x:c>
      <x:c r="B357" s="2" t="str">
        <x:v>***建材装饰部</x:v>
      </x:c>
      <x:c r="C357" s="2" t="str">
        <x:v>无信贷记录</x:v>
      </x:c>
      <x:c r="D357" s="2" t="str"/>
      <x:c r="E357" s="2" t="str"/>
      <x:c r="F357" s="13" t="n">
        <x:v>3</x:v>
      </x:c>
      <x:c r="G357" s="13" t="n">
        <x:v>3</x:v>
      </x:c>
      <x:c r="H357" s="13" t="n">
        <x:v>0</x:v>
      </x:c>
      <x:c r="I357" s="13" t="n">
        <x:v>0</x:v>
      </x:c>
      <x:c r="J357" s="13" t="n">
        <x:v>16160</x:v>
      </x:c>
      <x:c r="K357" s="13" t="n">
        <x:v>16160</x:v>
      </x:c>
      <x:c r="L357" s="13" t="n">
        <x:v>2</x:v>
      </x:c>
      <x:c r="M357" s="13" t="n">
        <x:v>0</x:v>
      </x:c>
      <x:c r="N357" s="13" t="n">
        <x:v>0</x:v>
      </x:c>
      <x:c r="O357" s="13" t="n">
        <x:v>0.9330947946279775</x:v>
      </x:c>
      <x:c r="P357" s="13" t="n">
        <x:v>0.9653465346534653</x:v>
      </x:c>
      <x:c r="Q357" s="13" t="n">
        <x:v>1010</x:v>
      </x:c>
      <x:c r="R357" s="13" t="n">
        <x:v>3.730939534853907</x:v>
      </x:c>
      <x:c r="S357" s="13" t="n">
        <x:v>-0.33744903902121487</x:v>
      </x:c>
      <x:c r="T357" s="13" t="n">
        <x:v>3</x:v>
      </x:c>
      <x:c r="U357" s="13" t="n">
        <x:v>191</x:v>
      </x:c>
      <x:c r="V357" s="13" t="n">
        <x:v>189</x:v>
      </x:c>
      <x:c r="W357" s="13" t="n">
        <x:v>2</x:v>
      </x:c>
      <x:c r="X357" s="13" t="n">
        <x:v>0</x:v>
      </x:c>
      <x:c r="Y357" s="13" t="n">
        <x:v>1553531.96</x:v>
      </x:c>
      <x:c r="Z357" s="13" t="n">
        <x:v>1553531.96</x:v>
      </x:c>
      <x:c r="AA357" s="13" t="n">
        <x:v>4</x:v>
      </x:c>
      <x:c r="AB357" s="13" t="n">
        <x:v>0.010471204188481676</x:v>
      </x:c>
      <x:c r="AC357" s="13" t="n">
        <x:v>0</x:v>
      </x:c>
      <x:c r="AD357" s="13" t="n">
        <x:v>0.8432375814011996</x:v>
      </x:c>
      <x:c r="AE357" s="13" t="n">
        <x:v>0.9169267171046807</x:v>
      </x:c>
      <x:c r="AF357" s="13" t="n">
        <x:v>57538.22074074074</x:v>
      </x:c>
      <x:c r="AG357" s="13" t="n">
        <x:v>0.651970186578159</x:v>
      </x:c>
      <x:c r="AH357" s="13" t="n">
        <x:v>0.02076055755578345</x:v>
      </x:c>
      <x:c r="AI357" s="13" t="n">
        <x:v>27</x:v>
      </x:c>
      <x:c r="AJ357" s="13" t="n">
        <x:v>1537371.96</x:v>
      </x:c>
      <x:c r="AK357" s="13" t="n">
        <x:v>0.010402103346493104</x:v>
      </x:c>
      <x:c r="AL357" s="13" t="n">
        <x:v>0.010309278350515464</x:v>
      </x:c>
      <x:c r="AM357" s="13" t="n">
        <x:v>0</x:v>
      </x:c>
      <x:c r="AN357" s="13" t="n">
        <x:v>0.8881661880145886</x:v>
      </x:c>
      <x:c r="AO357" s="13" t="n">
        <x:v>2.191454860716033</x:v>
      </x:c>
      <x:c r="AP357" s="13" t="n">
        <x:v>-0.15834424073271572</x:v>
      </x:c>
    </x:row>
    <x:row r="358" ht="15" hidden="0" customHeight="1">
      <x:c r="A358" s="2" t="str">
        <x:v>E357</x:v>
      </x:c>
      <x:c r="B358" s="2" t="str">
        <x:v>***家居经营部</x:v>
      </x:c>
      <x:c r="C358" s="2" t="str">
        <x:v>无信贷记录</x:v>
      </x:c>
      <x:c r="D358" s="2" t="str"/>
      <x:c r="E358" s="2" t="str"/>
      <x:c r="F358" s="13" t="n">
        <x:v>10</x:v>
      </x:c>
      <x:c r="G358" s="13" t="n">
        <x:v>10</x:v>
      </x:c>
      <x:c r="H358" s="13" t="n">
        <x:v>0</x:v>
      </x:c>
      <x:c r="I358" s="13" t="n">
        <x:v>1</x:v>
      </x:c>
      <x:c r="J358" s="13" t="n">
        <x:v>66515.2</x:v>
      </x:c>
      <x:c r="K358" s="13" t="n">
        <x:v>67075.2</x:v>
      </x:c>
      <x:c r="L358" s="13" t="n">
        <x:v>5</x:v>
      </x:c>
      <x:c r="M358" s="13" t="n">
        <x:v>0</x:v>
      </x:c>
      <x:c r="N358" s="13" t="n">
        <x:v>0.1</x:v>
      </x:c>
      <x:c r="O358" s="13" t="n">
        <x:v>0.5841356533699348</x:v>
      </x:c>
      <x:c r="P358" s="13" t="n">
        <x:v>0.7454319927484376</x:v>
      </x:c>
      <x:c r="Q358" s="13" t="n">
        <x:v>2217.173333333333</x:v>
      </x:c>
      <x:c r="R358" s="13" t="n">
        <x:v>2.3220804960506327</x:v>
      </x:c>
      <x:c r="S358" s="13" t="n">
        <x:v>0.0332581738881515</x:v>
      </x:c>
      <x:c r="T358" s="13" t="n">
        <x:v>8</x:v>
      </x:c>
      <x:c r="U358" s="13" t="n">
        <x:v>154</x:v>
      </x:c>
      <x:c r="V358" s="13" t="n">
        <x:v>144</x:v>
      </x:c>
      <x:c r="W358" s="13" t="n">
        <x:v>10</x:v>
      </x:c>
      <x:c r="X358" s="13" t="n">
        <x:v>0</x:v>
      </x:c>
      <x:c r="Y358" s="13" t="n">
        <x:v>1369999.74</x:v>
      </x:c>
      <x:c r="Z358" s="13" t="n">
        <x:v>1369999.74</x:v>
      </x:c>
      <x:c r="AA358" s="13" t="n">
        <x:v>15</x:v>
      </x:c>
      <x:c r="AB358" s="13" t="n">
        <x:v>0.06493506493506493</x:v>
      </x:c>
      <x:c r="AC358" s="13" t="n">
        <x:v>0</x:v>
      </x:c>
      <x:c r="AD358" s="13" t="n">
        <x:v>0.24097911521582233</x:v>
      </x:c>
      <x:c r="AE358" s="13" t="n">
        <x:v>0.4212295835910159</x:v>
      </x:c>
      <x:c r="AF358" s="13" t="n">
        <x:v>42812.491875</x:v>
      </x:c>
      <x:c r="AG358" s="13" t="n">
        <x:v>0.8154735881006813</x:v>
      </x:c>
      <x:c r="AH358" s="13" t="n">
        <x:v>0.06388953097254772</x:v>
      </x:c>
      <x:c r="AI358" s="13" t="n">
        <x:v>24</x:v>
      </x:c>
      <x:c r="AJ358" s="13" t="n">
        <x:v>1303484.54</x:v>
      </x:c>
      <x:c r="AK358" s="13" t="n">
        <x:v>0.04896000929168056</x:v>
      </x:c>
      <x:c r="AL358" s="13" t="n">
        <x:v>0.06097560975609756</x:v>
      </x:c>
      <x:c r="AM358" s="13" t="n">
        <x:v>0.006493506493506494</x:v>
      </x:c>
      <x:c r="AN358" s="13" t="n">
        <x:v>0.4125573842928786</x:v>
      </x:c>
      <x:c r="AO358" s="13" t="n">
        <x:v>1.568777042075657</x:v>
      </x:c>
      <x:c r="AP358" s="13" t="n">
        <x:v>0.04857385243034961</x:v>
      </x:c>
    </x:row>
    <x:row r="359" ht="15" hidden="0" customHeight="1">
      <x:c r="A359" s="2" t="str">
        <x:v>E358</x:v>
      </x:c>
      <x:c r="B359" s="2" t="str">
        <x:v>***五金经营部</x:v>
      </x:c>
      <x:c r="C359" s="2" t="str">
        <x:v>无信贷记录</x:v>
      </x:c>
      <x:c r="D359" s="2" t="str"/>
      <x:c r="E359" s="2" t="str"/>
      <x:c r="F359" s="13" t="n">
        <x:v>2</x:v>
      </x:c>
      <x:c r="G359" s="13" t="n">
        <x:v>2</x:v>
      </x:c>
      <x:c r="H359" s="13" t="n">
        <x:v>0</x:v>
      </x:c>
      <x:c r="I359" s="13" t="n">
        <x:v>0</x:v>
      </x:c>
      <x:c r="J359" s="13" t="n">
        <x:v>560</x:v>
      </x:c>
      <x:c r="K359" s="13" t="n">
        <x:v>560</x:v>
      </x:c>
      <x:c r="L359" s="13" t="n">
        <x:v>1</x:v>
      </x:c>
      <x:c r="M359" s="13" t="n">
        <x:v>0</x:v>
      </x:c>
      <x:c r="N359" s="13" t="n">
        <x:v>0</x:v>
      </x:c>
      <x:c r="O359" s="13" t="n">
        <x:v>1</x:v>
      </x:c>
      <x:c r="P359" s="13" t="n">
        <x:v>1</x:v>
      </x:c>
      <x:c r="Q359" s="13" t="n">
        <x:v>46.666666666666664</x:v>
      </x:c>
      <x:c r="R359" s="13" t="n">
        <x:v>2.2360679774518744</x:v>
      </x:c>
      <x:c r="S359" s="13" t="n">
        <x:v>-1.713254499626627e-16</x:v>
      </x:c>
      <x:c r="T359" s="13" t="n">
        <x:v>2</x:v>
      </x:c>
      <x:c r="U359" s="13" t="n">
        <x:v>301</x:v>
      </x:c>
      <x:c r="V359" s="13" t="n">
        <x:v>259</x:v>
      </x:c>
      <x:c r="W359" s="13" t="n">
        <x:v>42</x:v>
      </x:c>
      <x:c r="X359" s="13" t="n">
        <x:v>34</x:v>
      </x:c>
      <x:c r="Y359" s="13" t="n">
        <x:v>1652384.6699999997</x:v>
      </x:c>
      <x:c r="Z359" s="13" t="n">
        <x:v>2277995.43</x:v>
      </x:c>
      <x:c r="AA359" s="13" t="n">
        <x:v>26</x:v>
      </x:c>
      <x:c r="AB359" s="13" t="n">
        <x:v>0.13953488372093023</x:v>
      </x:c>
      <x:c r="AC359" s="13" t="n">
        <x:v>0.13127413127413126</x:v>
      </x:c>
      <x:c r="AD359" s="13" t="n">
        <x:v>0.16297259262624803</x:v>
      </x:c>
      <x:c r="AE359" s="13" t="n">
        <x:v>0.3241676696427788</x:v>
      </x:c>
      <x:c r="AF359" s="13" t="n">
        <x:v>56978.78172413794</x:v>
      </x:c>
      <x:c r="AG359" s="13" t="n">
        <x:v>0.67624760986446</x:v>
      </x:c>
      <x:c r="AH359" s="13" t="n">
        <x:v>0.00892002474390962</x:v>
      </x:c>
      <x:c r="AI359" s="13" t="n">
        <x:v>26</x:v>
      </x:c>
      <x:c r="AJ359" s="13" t="n">
        <x:v>1651824.6699999997</x:v>
      </x:c>
      <x:c r="AK359" s="13" t="n">
        <x:v>0.00024583016832478884</x:v>
      </x:c>
      <x:c r="AL359" s="13" t="n">
        <x:v>0.13861386138613863</x:v>
      </x:c>
      <x:c r="AM359" s="13" t="n">
        <x:v>0.13026819923371646</x:v>
      </x:c>
      <x:c r="AN359" s="13" t="n">
        <x:v>0.581486296313124</x:v>
      </x:c>
      <x:c r="AO359" s="13" t="n">
        <x:v>1.456157793658167</x:v>
      </x:c>
      <x:c r="AP359" s="13" t="n">
        <x:v>0.004460012371954724</x:v>
      </x:c>
    </x:row>
    <x:row r="360" ht="15" hidden="0" customHeight="1">
      <x:c r="A360" s="2" t="str">
        <x:v>E359</x:v>
      </x:c>
      <x:c r="B360" s="2" t="str">
        <x:v>***厨房用品经营部</x:v>
      </x:c>
      <x:c r="C360" s="2" t="str">
        <x:v>无信贷记录</x:v>
      </x:c>
      <x:c r="D360" s="2" t="str"/>
      <x:c r="E360" s="2" t="str"/>
      <x:c r="F360" s="13" t="n">
        <x:v>2</x:v>
      </x:c>
      <x:c r="G360" s="13" t="n">
        <x:v>2</x:v>
      </x:c>
      <x:c r="H360" s="13" t="n">
        <x:v>0</x:v>
      </x:c>
      <x:c r="I360" s="13" t="n">
        <x:v>0</x:v>
      </x:c>
      <x:c r="J360" s="13" t="n">
        <x:v>560</x:v>
      </x:c>
      <x:c r="K360" s="13" t="n">
        <x:v>560</x:v>
      </x:c>
      <x:c r="L360" s="13" t="n">
        <x:v>1</x:v>
      </x:c>
      <x:c r="M360" s="13" t="n">
        <x:v>0</x:v>
      </x:c>
      <x:c r="N360" s="13" t="n">
        <x:v>0</x:v>
      </x:c>
      <x:c r="O360" s="13" t="n">
        <x:v>1</x:v>
      </x:c>
      <x:c r="P360" s="13" t="n">
        <x:v>1</x:v>
      </x:c>
      <x:c r="Q360" s="13" t="n">
        <x:v>43.07692307692308</x:v>
      </x:c>
      <x:c r="R360" s="13" t="n">
        <x:v>2.345207879857272</x:v>
      </x:c>
      <x:c r="S360" s="13" t="n">
        <x:v>-1.301117167022538e-16</x:v>
      </x:c>
      <x:c r="T360" s="13" t="n">
        <x:v>2</x:v>
      </x:c>
      <x:c r="U360" s="13" t="n">
        <x:v>243</x:v>
      </x:c>
      <x:c r="V360" s="13" t="n">
        <x:v>224</x:v>
      </x:c>
      <x:c r="W360" s="13" t="n">
        <x:v>19</x:v>
      </x:c>
      <x:c r="X360" s="13" t="n">
        <x:v>3</x:v>
      </x:c>
      <x:c r="Y360" s="13" t="n">
        <x:v>1226488.02</x:v>
      </x:c>
      <x:c r="Z360" s="13" t="n">
        <x:v>1259414.02</x:v>
      </x:c>
      <x:c r="AA360" s="13" t="n">
        <x:v>36</x:v>
      </x:c>
      <x:c r="AB360" s="13" t="n">
        <x:v>0.07818930041152264</x:v>
      </x:c>
      <x:c r="AC360" s="13" t="n">
        <x:v>0.013392857142857142</x:v>
      </x:c>
      <x:c r="AD360" s="13" t="n">
        <x:v>0.09606512576143127</x:v>
      </x:c>
      <x:c r="AE360" s="13" t="n">
        <x:v>0.213699780791705</x:v>
      </x:c>
      <x:c r="AF360" s="13" t="n">
        <x:v>51103.6675</x:v>
      </x:c>
      <x:c r="AG360" s="13" t="n">
        <x:v>0.6226194860127987</x:v>
      </x:c>
      <x:c r="AH360" s="13" t="n">
        <x:v>0.011787558146857061</x:v>
      </x:c>
      <x:c r="AI360" s="13" t="n">
        <x:v>24</x:v>
      </x:c>
      <x:c r="AJ360" s="13" t="n">
        <x:v>1225928.02</x:v>
      </x:c>
      <x:c r="AK360" s="13" t="n">
        <x:v>0.00044465123550077644</x:v>
      </x:c>
      <x:c r="AL360" s="13" t="n">
        <x:v>0.07755102040816327</x:v>
      </x:c>
      <x:c r="AM360" s="13" t="n">
        <x:v>0.01327433628318584</x:v>
      </x:c>
      <x:c r="AN360" s="13" t="n">
        <x:v>0.5480325628807157</x:v>
      </x:c>
      <x:c r="AO360" s="13" t="n">
        <x:v>1.4839136829350354</x:v>
      </x:c>
      <x:c r="AP360" s="13" t="n">
        <x:v>0.005893779073428466</x:v>
      </x:c>
    </x:row>
    <x:row r="361" ht="15" hidden="0" customHeight="1">
      <x:c r="A361" s="2" t="str">
        <x:v>E360</x:v>
      </x:c>
      <x:c r="B361" s="2" t="str">
        <x:v>***建筑劳务有限公司</x:v>
      </x:c>
      <x:c r="C361" s="2" t="str">
        <x:v>无信贷记录</x:v>
      </x:c>
      <x:c r="D361" s="2" t="str"/>
      <x:c r="E361" s="2" t="str"/>
      <x:c r="F361" s="13" t="n">
        <x:v>3</x:v>
      </x:c>
      <x:c r="G361" s="13" t="n">
        <x:v>3</x:v>
      </x:c>
      <x:c r="H361" s="13" t="n">
        <x:v>0</x:v>
      </x:c>
      <x:c r="I361" s="13" t="n">
        <x:v>0</x:v>
      </x:c>
      <x:c r="J361" s="13" t="n">
        <x:v>840</x:v>
      </x:c>
      <x:c r="K361" s="13" t="n">
        <x:v>840</x:v>
      </x:c>
      <x:c r="L361" s="13" t="n">
        <x:v>1</x:v>
      </x:c>
      <x:c r="M361" s="13" t="n">
        <x:v>0</x:v>
      </x:c>
      <x:c r="N361" s="13" t="n">
        <x:v>0</x:v>
      </x:c>
      <x:c r="O361" s="13" t="n">
        <x:v>1</x:v>
      </x:c>
      <x:c r="P361" s="13" t="n">
        <x:v>1</x:v>
      </x:c>
      <x:c r="Q361" s="13" t="n">
        <x:v>168</x:v>
      </x:c>
      <x:c r="R361" s="13" t="n">
        <x:v>1.333333333325397</x:v>
      </x:c>
      <x:c r="S361" s="13" t="n">
        <x:v>-0.33333333333134935</x:v>
      </x:c>
      <x:c r="T361" s="13" t="n">
        <x:v>2</x:v>
      </x:c>
      <x:c r="U361" s="13" t="n">
        <x:v>35</x:v>
      </x:c>
      <x:c r="V361" s="13" t="n">
        <x:v>29</x:v>
      </x:c>
      <x:c r="W361" s="13" t="n">
        <x:v>6</x:v>
      </x:c>
      <x:c r="X361" s="13" t="n">
        <x:v>0</x:v>
      </x:c>
      <x:c r="Y361" s="13" t="n">
        <x:v>2688686.11</x:v>
      </x:c>
      <x:c r="Z361" s="13" t="n">
        <x:v>2688686.11</x:v>
      </x:c>
      <x:c r="AA361" s="13" t="n">
        <x:v>2</x:v>
      </x:c>
      <x:c r="AB361" s="13" t="n">
        <x:v>0.17142857142857143</x:v>
      </x:c>
      <x:c r="AC361" s="13" t="n">
        <x:v>0</x:v>
      </x:c>
      <x:c r="AD361" s="13" t="n">
        <x:v>0.6949790852660067</x:v>
      </x:c>
      <x:c r="AE361" s="13" t="n">
        <x:v>0.8122331542821859</x:v>
      </x:c>
      <x:c r="AF361" s="13" t="n">
        <x:v>122213.00499999999</x:v>
      </x:c>
      <x:c r="AG361" s="13" t="n">
        <x:v>2.501630239609679</x:v>
      </x:c>
      <x:c r="AH361" s="13" t="n">
        <x:v>-0.14759541029696996</x:v>
      </x:c>
      <x:c r="AI361" s="13" t="n">
        <x:v>5</x:v>
      </x:c>
      <x:c r="AJ361" s="13" t="n">
        <x:v>2687846.11</x:v>
      </x:c>
      <x:c r="AK361" s="13" t="n">
        <x:v>0.0003124202549623763</x:v>
      </x:c>
      <x:c r="AL361" s="13" t="n">
        <x:v>0.15789473684210525</x:v>
      </x:c>
      <x:c r="AM361" s="13" t="n">
        <x:v>0</x:v>
      </x:c>
      <x:c r="AN361" s="13" t="n">
        <x:v>0.8474895426330034</x:v>
      </x:c>
      <x:c r="AO361" s="13" t="n">
        <x:v>1.9174817864675378</x:v>
      </x:c>
      <x:c r="AP361" s="13" t="n">
        <x:v>-0.24046437181415964</x:v>
      </x:c>
    </x:row>
    <x:row r="362" ht="15" hidden="0" customHeight="1">
      <x:c r="A362" s="2" t="str">
        <x:v>E361</x:v>
      </x:c>
      <x:c r="B362" s="2" t="str">
        <x:v>***勘察设计工程有限公司</x:v>
      </x:c>
      <x:c r="C362" s="2" t="str">
        <x:v>无信贷记录</x:v>
      </x:c>
      <x:c r="D362" s="2" t="str"/>
      <x:c r="E362" s="2" t="str"/>
      <x:c r="F362" s="13" t="n">
        <x:v>174</x:v>
      </x:c>
      <x:c r="G362" s="13" t="n">
        <x:v>171</x:v>
      </x:c>
      <x:c r="H362" s="13" t="n">
        <x:v>3</x:v>
      </x:c>
      <x:c r="I362" s="13" t="n">
        <x:v>0</x:v>
      </x:c>
      <x:c r="J362" s="13" t="n">
        <x:v>3337627.6</x:v>
      </x:c>
      <x:c r="K362" s="13" t="n">
        <x:v>3337627.6</x:v>
      </x:c>
      <x:c r="L362" s="13" t="n">
        <x:v>12</x:v>
      </x:c>
      <x:c r="M362" s="13" t="n">
        <x:v>0.017241379310344827</x:v>
      </x:c>
      <x:c r="N362" s="13" t="n">
        <x:v>0</x:v>
      </x:c>
      <x:c r="O362" s="13" t="n">
        <x:v>0.2203694548561958</x:v>
      </x:c>
      <x:c r="P362" s="13" t="n">
        <x:v>0.3849264070083792</x:v>
      </x:c>
      <x:c r="Q362" s="13" t="n">
        <x:v>104300.8625</x:v>
      </x:c>
      <x:c r="R362" s="13" t="n">
        <x:v>1.329550294200954</x:v>
      </x:c>
      <x:c r="S362" s="13" t="n">
        <x:v>-0.03558447629246519</x:v>
      </x:c>
      <x:c r="T362" s="13" t="n">
        <x:v>20</x:v>
      </x:c>
      <x:c r="U362" s="13" t="n">
        <x:v>118</x:v>
      </x:c>
      <x:c r="V362" s="13" t="n">
        <x:v>90</x:v>
      </x:c>
      <x:c r="W362" s="13" t="n">
        <x:v>28</x:v>
      </x:c>
      <x:c r="X362" s="13" t="n">
        <x:v>0</x:v>
      </x:c>
      <x:c r="Y362" s="13" t="n">
        <x:v>5182337.8</x:v>
      </x:c>
      <x:c r="Z362" s="13" t="n">
        <x:v>5182337.8</x:v>
      </x:c>
      <x:c r="AA362" s="13" t="n">
        <x:v>30</x:v>
      </x:c>
      <x:c r="AB362" s="13" t="n">
        <x:v>0.23728813559322035</x:v>
      </x:c>
      <x:c r="AC362" s="13" t="n">
        <x:v>0</x:v>
      </x:c>
      <x:c r="AD362" s="13" t="n">
        <x:v>0.12023784083672255</x:v>
      </x:c>
      <x:c r="AE362" s="13" t="n">
        <x:v>0.24162840176107395</x:v>
      </x:c>
      <x:c r="AF362" s="13" t="n">
        <x:v>161948.05625</x:v>
      </x:c>
      <x:c r="AG362" s="13" t="n">
        <x:v>1.613404879221125</x:v>
      </x:c>
      <x:c r="AH362" s="13" t="n">
        <x:v>-0.011727095912971407</x:v>
      </x:c>
      <x:c r="AI362" s="13" t="n">
        <x:v>23</x:v>
      </x:c>
      <x:c r="AJ362" s="13" t="n">
        <x:v>1844710.1999999997</x:v>
      </x:c>
      <x:c r="AK362" s="13" t="n">
        <x:v>0.6440389895077854</x:v>
      </x:c>
      <x:c r="AL362" s="13" t="n">
        <x:v>0.10616438356164383</x:v>
      </x:c>
      <x:c r="AM362" s="13" t="n">
        <x:v>0</x:v>
      </x:c>
      <x:c r="AN362" s="13" t="n">
        <x:v>0.17030364784645918</x:v>
      </x:c>
      <x:c r="AO362" s="13" t="n">
        <x:v>1.4714775867110395</x:v>
      </x:c>
      <x:c r="AP362" s="13" t="n">
        <x:v>-0.023655786102718297</x:v>
      </x:c>
    </x:row>
    <x:row r="363" ht="15" hidden="0" customHeight="1">
      <x:c r="A363" s="2" t="str">
        <x:v>E362</x:v>
      </x:c>
      <x:c r="B363" s="2" t="str">
        <x:v>***建材有限公司</x:v>
      </x:c>
      <x:c r="C363" s="2" t="str">
        <x:v>无信贷记录</x:v>
      </x:c>
      <x:c r="D363" s="2" t="str"/>
      <x:c r="E363" s="2" t="str"/>
      <x:c r="F363" s="13" t="n">
        <x:v>126</x:v>
      </x:c>
      <x:c r="G363" s="13" t="n">
        <x:v>122</x:v>
      </x:c>
      <x:c r="H363" s="13" t="n">
        <x:v>4</x:v>
      </x:c>
      <x:c r="I363" s="13" t="n">
        <x:v>4</x:v>
      </x:c>
      <x:c r="J363" s="13" t="n">
        <x:v>454098.8</x:v>
      </x:c>
      <x:c r="K363" s="13" t="n">
        <x:v>497298.8</x:v>
      </x:c>
      <x:c r="L363" s="13" t="n">
        <x:v>61</x:v>
      </x:c>
      <x:c r="M363" s="13" t="n">
        <x:v>0.031746031746031744</x:v>
      </x:c>
      <x:c r="N363" s="13" t="n">
        <x:v>0.03278688524590164</x:v>
      </x:c>
      <x:c r="O363" s="13" t="n">
        <x:v>0.12876333658774097</x:v>
      </x:c>
      <x:c r="P363" s="13" t="n">
        <x:v>0.2038412318710602</x:v>
      </x:c>
      <x:c r="Q363" s="13" t="n">
        <x:v>12974.251428571428</x:v>
      </x:c>
      <x:c r="R363" s="13" t="n">
        <x:v>2.521752623718359</x:v>
      </x:c>
      <x:c r="S363" s="13" t="n">
        <x:v>-0.07387585964922982</x:v>
      </x:c>
      <x:c r="T363" s="13" t="n">
        <x:v>31</x:v>
      </x:c>
      <x:c r="U363" s="13" t="n">
        <x:v>105</x:v>
      </x:c>
      <x:c r="V363" s="13" t="n">
        <x:v>95</x:v>
      </x:c>
      <x:c r="W363" s="13" t="n">
        <x:v>10</x:v>
      </x:c>
      <x:c r="X363" s="13" t="n">
        <x:v>4</x:v>
      </x:c>
      <x:c r="Y363" s="13" t="n">
        <x:v>4333867</x:v>
      </x:c>
      <x:c r="Z363" s="13" t="n">
        <x:v>4783633</x:v>
      </x:c>
      <x:c r="AA363" s="13" t="n">
        <x:v>14</x:v>
      </x:c>
      <x:c r="AB363" s="13" t="n">
        <x:v>0.09523809523809523</x:v>
      </x:c>
      <x:c r="AC363" s="13" t="n">
        <x:v>0.042105263157894736</x:v>
      </x:c>
      <x:c r="AD363" s="13" t="n">
        <x:v>0.18429351839104874</x:v>
      </x:c>
      <x:c r="AE363" s="13" t="n">
        <x:v>0.33472530187830046</x:v>
      </x:c>
      <x:c r="AF363" s="13" t="n">
        <x:v>117131.54054054055</x:v>
      </x:c>
      <x:c r="AG363" s="13" t="n">
        <x:v>2.794619587425908</x:v>
      </x:c>
      <x:c r="AH363" s="13" t="n">
        <x:v>-0.06982878132476365</x:v>
      </x:c>
      <x:c r="AI363" s="13" t="n">
        <x:v>17</x:v>
      </x:c>
      <x:c r="AJ363" s="13" t="n">
        <x:v>3879768.2</x:v>
      </x:c>
      <x:c r="AK363" s="13" t="n">
        <x:v>0.10395839312923878</x:v>
      </x:c>
      <x:c r="AL363" s="13" t="n">
        <x:v>0.06060606060606061</x:v>
      </x:c>
      <x:c r="AM363" s="13" t="n">
        <x:v>0.03686635944700461</x:v>
      </x:c>
      <x:c r="AN363" s="13" t="n">
        <x:v>0.15652842748939486</x:v>
      </x:c>
      <x:c r="AO363" s="13" t="n">
        <x:v>2.6581861055721334</x:v>
      </x:c>
      <x:c r="AP363" s="13" t="n">
        <x:v>-0.07185232048699675</x:v>
      </x:c>
    </x:row>
    <x:row r="364" ht="15" hidden="0" customHeight="1">
      <x:c r="A364" s="2" t="str">
        <x:v>E363</x:v>
      </x:c>
      <x:c r="B364" s="2" t="str">
        <x:v>***建筑工程设计有限公司</x:v>
      </x:c>
      <x:c r="C364" s="2" t="str">
        <x:v>无信贷记录</x:v>
      </x:c>
      <x:c r="D364" s="2" t="str"/>
      <x:c r="E364" s="2" t="str"/>
      <x:c r="F364" s="13" t="n">
        <x:v>99</x:v>
      </x:c>
      <x:c r="G364" s="13" t="n">
        <x:v>93</x:v>
      </x:c>
      <x:c r="H364" s="13" t="n">
        <x:v>6</x:v>
      </x:c>
      <x:c r="I364" s="13" t="n">
        <x:v>4</x:v>
      </x:c>
      <x:c r="J364" s="13" t="n">
        <x:v>209465.44</x:v>
      </x:c>
      <x:c r="K364" s="13" t="n">
        <x:v>210990.32</x:v>
      </x:c>
      <x:c r="L364" s="13" t="n">
        <x:v>38</x:v>
      </x:c>
      <x:c r="M364" s="13" t="n">
        <x:v>0.06060606060606061</x:v>
      </x:c>
      <x:c r="N364" s="13" t="n">
        <x:v>0.043010752688172046</x:v>
      </x:c>
      <x:c r="O364" s="13" t="n">
        <x:v>0.10132464278722485</x:v>
      </x:c>
      <x:c r="P364" s="13" t="n">
        <x:v>0.158775056599753</x:v>
      </x:c>
      <x:c r="Q364" s="13" t="n">
        <x:v>6982.181333333332</x:v>
      </x:c>
      <x:c r="R364" s="13" t="n">
        <x:v>1.8007236725263964</x:v>
      </x:c>
      <x:c r="S364" s="13" t="n">
        <x:v>0.014987361554897558</x:v>
      </x:c>
      <x:c r="T364" s="13" t="n">
        <x:v>25</x:v>
      </x:c>
      <x:c r="U364" s="13" t="n">
        <x:v>39</x:v>
      </x:c>
      <x:c r="V364" s="13" t="n">
        <x:v>30</x:v>
      </x:c>
      <x:c r="W364" s="13" t="n">
        <x:v>9</x:v>
      </x:c>
      <x:c r="X364" s="13" t="n">
        <x:v>0</x:v>
      </x:c>
      <x:c r="Y364" s="13" t="n">
        <x:v>1104932.12</x:v>
      </x:c>
      <x:c r="Z364" s="13" t="n">
        <x:v>1104932.12</x:v>
      </x:c>
      <x:c r="AA364" s="13" t="n">
        <x:v>11</x:v>
      </x:c>
      <x:c r="AB364" s="13" t="n">
        <x:v>0.23076923076923078</x:v>
      </x:c>
      <x:c r="AC364" s="13" t="n">
        <x:v>0</x:v>
      </x:c>
      <x:c r="AD364" s="13" t="n">
        <x:v>0.3160769656416974</x:v>
      </x:c>
      <x:c r="AE364" s="13" t="n">
        <x:v>0.5212682205310494</x:v>
      </x:c>
      <x:c r="AF364" s="13" t="n">
        <x:v>40923.41185185186</x:v>
      </x:c>
      <x:c r="AG364" s="13" t="n">
        <x:v>1.4793317994986384</x:v>
      </x:c>
      <x:c r="AH364" s="13" t="n">
        <x:v>0.11091896569364364</x:v>
      </x:c>
      <x:c r="AI364" s="13" t="n">
        <x:v>11</x:v>
      </x:c>
      <x:c r="AJ364" s="13" t="n">
        <x:v>895466.6800000002</x:v>
      </x:c>
      <x:c r="AK364" s="13" t="n">
        <x:v>0.19095319629227522</x:v>
      </x:c>
      <x:c r="AL364" s="13" t="n">
        <x:v>0.10869565217391304</x:v>
      </x:c>
      <x:c r="AM364" s="13" t="n">
        <x:v>0.032520325203252036</x:v>
      </x:c>
      <x:c r="AN364" s="13" t="n">
        <x:v>0.20870080421446113</x:v>
      </x:c>
      <x:c r="AO364" s="13" t="n">
        <x:v>1.6400277360125175</x:v>
      </x:c>
      <x:c r="AP364" s="13" t="n">
        <x:v>0.0629531636242706</x:v>
      </x:c>
    </x:row>
    <x:row r="365" ht="15" hidden="0" customHeight="1">
      <x:c r="A365" s="2" t="str">
        <x:v>E364</x:v>
      </x:c>
      <x:c r="B365" s="2" t="str">
        <x:v>***电子有限公司</x:v>
      </x:c>
      <x:c r="C365" s="2" t="str">
        <x:v>无信贷记录</x:v>
      </x:c>
      <x:c r="D365" s="2" t="str"/>
      <x:c r="E365" s="2" t="str"/>
      <x:c r="F365" s="13" t="n">
        <x:v>140</x:v>
      </x:c>
      <x:c r="G365" s="13" t="n">
        <x:v>140</x:v>
      </x:c>
      <x:c r="H365" s="13" t="n">
        <x:v>0</x:v>
      </x:c>
      <x:c r="I365" s="13" t="n">
        <x:v>5</x:v>
      </x:c>
      <x:c r="J365" s="13" t="n">
        <x:v>474093.94999999995</x:v>
      </x:c>
      <x:c r="K365" s="13" t="n">
        <x:v>510883.94999999995</x:v>
      </x:c>
      <x:c r="L365" s="13" t="n">
        <x:v>23</x:v>
      </x:c>
      <x:c r="M365" s="13" t="n">
        <x:v>0</x:v>
      </x:c>
      <x:c r="N365" s="13" t="n">
        <x:v>0.03571428571428571</x:v>
      </x:c>
      <x:c r="O365" s="13" t="n">
        <x:v>0.1821810047068803</x:v>
      </x:c>
      <x:c r="P365" s="13" t="n">
        <x:v>0.3082250479781172</x:v>
      </x:c>
      <x:c r="Q365" s="13" t="n">
        <x:v>12476.156578947368</x:v>
      </x:c>
      <x:c r="R365" s="13" t="n">
        <x:v>1.672662101038193</x:v>
      </x:c>
      <x:c r="S365" s="13" t="n">
        <x:v>0.005634684723628565</x:v>
      </x:c>
      <x:c r="T365" s="13" t="n">
        <x:v>38</x:v>
      </x:c>
      <x:c r="U365" s="13" t="n">
        <x:v>335</x:v>
      </x:c>
      <x:c r="V365" s="13" t="n">
        <x:v>308</x:v>
      </x:c>
      <x:c r="W365" s="13" t="n">
        <x:v>27</x:v>
      </x:c>
      <x:c r="X365" s="13" t="n">
        <x:v>6</x:v>
      </x:c>
      <x:c r="Y365" s="13" t="n">
        <x:v>2349717.77</x:v>
      </x:c>
      <x:c r="Z365" s="13" t="n">
        <x:v>2439689.57</x:v>
      </x:c>
      <x:c r="AA365" s="13" t="n">
        <x:v>57</x:v>
      </x:c>
      <x:c r="AB365" s="13" t="n">
        <x:v>0.08059701492537313</x:v>
      </x:c>
      <x:c r="AC365" s="13" t="n">
        <x:v>0.01948051948051948</x:v>
      </x:c>
      <x:c r="AD365" s="13" t="n">
        <x:v>0.042983497142857235</x:v>
      </x:c>
      <x:c r="AE365" s="13" t="n">
        <x:v>0.12719651049703018</x:v>
      </x:c>
      <x:c r="AF365" s="13" t="n">
        <x:v>63505.88567567568</x:v>
      </x:c>
      <x:c r="AG365" s="13" t="n">
        <x:v>0.922071209305396</x:v>
      </x:c>
      <x:c r="AH365" s="13" t="n">
        <x:v>-0.003425863921237303</x:v>
      </x:c>
      <x:c r="AI365" s="13" t="n">
        <x:v>32</x:v>
      </x:c>
      <x:c r="AJ365" s="13" t="n">
        <x:v>1875623.82</x:v>
      </x:c>
      <x:c r="AK365" s="13" t="n">
        <x:v>0.2094053097091364</x:v>
      </x:c>
      <x:c r="AL365" s="13" t="n">
        <x:v>0.056842105263157895</x:v>
      </x:c>
      <x:c r="AM365" s="13" t="n">
        <x:v>0.024553571428571428</x:v>
      </x:c>
      <x:c r="AN365" s="13" t="n">
        <x:v>0.11258225092486877</x:v>
      </x:c>
      <x:c r="AO365" s="13" t="n">
        <x:v>1.2973666551717944</x:v>
      </x:c>
      <x:c r="AP365" s="13" t="n">
        <x:v>0.001104410401195631</x:v>
      </x:c>
    </x:row>
    <x:row r="366" ht="15" hidden="0" customHeight="1">
      <x:c r="A366" s="2" t="str">
        <x:v>E365</x:v>
      </x:c>
      <x:c r="B366" s="2" t="str">
        <x:v>***信息技术有限公司</x:v>
      </x:c>
      <x:c r="C366" s="2" t="str">
        <x:v>无信贷记录</x:v>
      </x:c>
      <x:c r="D366" s="2" t="str"/>
      <x:c r="E366" s="2" t="str"/>
      <x:c r="F366" s="13" t="n">
        <x:v>130</x:v>
      </x:c>
      <x:c r="G366" s="13" t="n">
        <x:v>126</x:v>
      </x:c>
      <x:c r="H366" s="13" t="n">
        <x:v>4</x:v>
      </x:c>
      <x:c r="I366" s="13" t="n">
        <x:v>1</x:v>
      </x:c>
      <x:c r="J366" s="13" t="n">
        <x:v>2073478.8299999998</x:v>
      </x:c>
      <x:c r="K366" s="13" t="n">
        <x:v>2093478.8299999998</x:v>
      </x:c>
      <x:c r="L366" s="13" t="n">
        <x:v>34</x:v>
      </x:c>
      <x:c r="M366" s="13" t="n">
        <x:v>0.03076923076923077</x:v>
      </x:c>
      <x:c r="N366" s="13" t="n">
        <x:v>0.007936507936507936</x:v>
      </x:c>
      <x:c r="O366" s="13" t="n">
        <x:v>0.5836530599750638</x:v>
      </x:c>
      <x:c r="P366" s="13" t="n">
        <x:v>0.7590685786872753</x:v>
      </x:c>
      <x:c r="Q366" s="13" t="n">
        <x:v>54565.23236842106</x:v>
      </x:c>
      <x:c r="R366" s="13" t="n">
        <x:v>4.690418172952906</x:v>
      </x:c>
      <x:c r="S366" s="13" t="n">
        <x:v>0.09115798434635923</x:v>
      </x:c>
      <x:c r="T366" s="13" t="n">
        <x:v>30</x:v>
      </x:c>
      <x:c r="U366" s="13" t="n">
        <x:v>88</x:v>
      </x:c>
      <x:c r="V366" s="13" t="n">
        <x:v>76</x:v>
      </x:c>
      <x:c r="W366" s="13" t="n">
        <x:v>12</x:v>
      </x:c>
      <x:c r="X366" s="13" t="n">
        <x:v>0</x:v>
      </x:c>
      <x:c r="Y366" s="13" t="n">
        <x:v>3797139.03</x:v>
      </x:c>
      <x:c r="Z366" s="13" t="n">
        <x:v>3797139.03</x:v>
      </x:c>
      <x:c r="AA366" s="13" t="n">
        <x:v>17</x:v>
      </x:c>
      <x:c r="AB366" s="13" t="n">
        <x:v>0.13636363636363635</x:v>
      </x:c>
      <x:c r="AC366" s="13" t="n">
        <x:v>0</x:v>
      </x:c>
      <x:c r="AD366" s="13" t="n">
        <x:v>0.2500469419503676</x:v>
      </x:c>
      <x:c r="AE366" s="13" t="n">
        <x:v>0.4595565203731821</x:v>
      </x:c>
      <x:c r="AF366" s="13" t="n">
        <x:v>105476.08416666667</x:v>
      </x:c>
      <x:c r="AG366" s="13" t="n">
        <x:v>2.919817149922657</x:v>
      </x:c>
      <x:c r="AH366" s="13" t="n">
        <x:v>0.0824331035102235</x:v>
      </x:c>
      <x:c r="AI366" s="13" t="n">
        <x:v>24</x:v>
      </x:c>
      <x:c r="AJ366" s="13" t="n">
        <x:v>1723660.2</x:v>
      </x:c>
      <x:c r="AK366" s="13" t="n">
        <x:v>0.5513305711115876</x:v>
      </x:c>
      <x:c r="AL366" s="13" t="n">
        <x:v>0.07339449541284404</x:v>
      </x:c>
      <x:c r="AM366" s="13" t="n">
        <x:v>0.0049504950495049506</x:v>
      </x:c>
      <x:c r="AN366" s="13" t="n">
        <x:v>0.4168500009627157</x:v>
      </x:c>
      <x:c r="AO366" s="13" t="n">
        <x:v>3.805117661437782</x:v>
      </x:c>
      <x:c r="AP366" s="13" t="n">
        <x:v>0.08679554392829136</x:v>
      </x:c>
    </x:row>
    <x:row r="367" ht="15" hidden="0" customHeight="1">
      <x:c r="A367" s="2" t="str">
        <x:v>E366</x:v>
      </x:c>
      <x:c r="B367" s="2" t="str">
        <x:v>***房地产经纪有限公司</x:v>
      </x:c>
      <x:c r="C367" s="2" t="str">
        <x:v>无信贷记录</x:v>
      </x:c>
      <x:c r="D367" s="2" t="str"/>
      <x:c r="E367" s="2" t="str"/>
      <x:c r="F367" s="13" t="n">
        <x:v>21</x:v>
      </x:c>
      <x:c r="G367" s="13" t="n">
        <x:v>21</x:v>
      </x:c>
      <x:c r="H367" s="13" t="n">
        <x:v>0</x:v>
      </x:c>
      <x:c r="I367" s="13" t="n">
        <x:v>0</x:v>
      </x:c>
      <x:c r="J367" s="13" t="n">
        <x:v>380061.31</x:v>
      </x:c>
      <x:c r="K367" s="13" t="n">
        <x:v>380061.31</x:v>
      </x:c>
      <x:c r="L367" s="13" t="n">
        <x:v>6</x:v>
      </x:c>
      <x:c r="M367" s="13" t="n">
        <x:v>0</x:v>
      </x:c>
      <x:c r="N367" s="13" t="n">
        <x:v>0</x:v>
      </x:c>
      <x:c r="O367" s="13" t="n">
        <x:v>0.9785255303394642</x:v>
      </x:c>
      <x:c r="P367" s="13" t="n">
        <x:v>0.9891772461658883</x:v>
      </x:c>
      <x:c r="Q367" s="13" t="n">
        <x:v>14076.344814814815</x:v>
      </x:c>
      <x:c r="R367" s="13" t="n">
        <x:v>2.7986373576034143</x:v>
      </x:c>
      <x:c r="S367" s="13" t="n">
        <x:v>0.16789304871091063</x:v>
      </x:c>
      <x:c r="T367" s="13" t="n">
        <x:v>11</x:v>
      </x:c>
      <x:c r="U367" s="13" t="n">
        <x:v>20</x:v>
      </x:c>
      <x:c r="V367" s="13" t="n">
        <x:v>19</x:v>
      </x:c>
      <x:c r="W367" s="13" t="n">
        <x:v>1</x:v>
      </x:c>
      <x:c r="X367" s="13" t="n">
        <x:v>0</x:v>
      </x:c>
      <x:c r="Y367" s="13" t="n">
        <x:v>1501732</x:v>
      </x:c>
      <x:c r="Z367" s="13" t="n">
        <x:v>1501732</x:v>
      </x:c>
      <x:c r="AA367" s="13" t="n">
        <x:v>5</x:v>
      </x:c>
      <x:c r="AB367" s="13" t="n">
        <x:v>0.05</x:v>
      </x:c>
      <x:c r="AC367" s="13" t="n">
        <x:v>0</x:v>
      </x:c>
      <x:c r="AD367" s="13" t="n">
        <x:v>0.3135743623330753</x:v>
      </x:c>
      <x:c r="AE367" s="13" t="n">
        <x:v>0.4641307503602507</x:v>
      </x:c>
      <x:c r="AF367" s="13" t="n">
        <x:v>42906.62857142857</x:v>
      </x:c>
      <x:c r="AG367" s="13" t="n">
        <x:v>1.2870079042457137</x:v>
      </x:c>
      <x:c r="AH367" s="13" t="n">
        <x:v>0.015156264272735096</x:v>
      </x:c>
      <x:c r="AI367" s="13" t="n">
        <x:v>15</x:v>
      </x:c>
      <x:c r="AJ367" s="13" t="n">
        <x:v>1121670.69</x:v>
      </x:c>
      <x:c r="AK367" s="13" t="n">
        <x:v>0.25308198133888055</x:v>
      </x:c>
      <x:c r="AL367" s="13" t="n">
        <x:v>0.024390243902439025</x:v>
      </x:c>
      <x:c r="AM367" s="13" t="n">
        <x:v>0</x:v>
      </x:c>
      <x:c r="AN367" s="13" t="n">
        <x:v>0.6460499463362698</x:v>
      </x:c>
      <x:c r="AO367" s="13" t="n">
        <x:v>2.042822630924564</x:v>
      </x:c>
      <x:c r="AP367" s="13" t="n">
        <x:v>0.09152465649182286</x:v>
      </x:c>
    </x:row>
    <x:row r="368" ht="15" hidden="0" customHeight="1">
      <x:c r="A368" s="2" t="str">
        <x:v>E367</x:v>
      </x:c>
      <x:c r="B368" s="2" t="str">
        <x:v>***电子商务有限公司</x:v>
      </x:c>
      <x:c r="C368" s="2" t="str">
        <x:v>无信贷记录</x:v>
      </x:c>
      <x:c r="D368" s="2" t="str"/>
      <x:c r="E368" s="2" t="str"/>
      <x:c r="F368" s="13" t="n">
        <x:v>25</x:v>
      </x:c>
      <x:c r="G368" s="13" t="n">
        <x:v>23</x:v>
      </x:c>
      <x:c r="H368" s="13" t="n">
        <x:v>2</x:v>
      </x:c>
      <x:c r="I368" s="13" t="n">
        <x:v>0</x:v>
      </x:c>
      <x:c r="J368" s="13" t="n">
        <x:v>239857.65</x:v>
      </x:c>
      <x:c r="K368" s="13" t="n">
        <x:v>239857.65</x:v>
      </x:c>
      <x:c r="L368" s="13" t="n">
        <x:v>16</x:v>
      </x:c>
      <x:c r="M368" s="13" t="n">
        <x:v>0.08</x:v>
      </x:c>
      <x:c r="N368" s="13" t="n">
        <x:v>0</x:v>
      </x:c>
      <x:c r="O368" s="13" t="n">
        <x:v>0.8656199643675032</x:v>
      </x:c>
      <x:c r="P368" s="13" t="n">
        <x:v>0.9297181057181207</x:v>
      </x:c>
      <x:c r="Q368" s="13" t="n">
        <x:v>7268.413636363636</x:v>
      </x:c>
      <x:c r="R368" s="13" t="n">
        <x:v>5.2810227720180665</x:v>
      </x:c>
      <x:c r="S368" s="13" t="n">
        <x:v>0.06559136711490515</x:v>
      </x:c>
      <x:c r="T368" s="13" t="n">
        <x:v>11</x:v>
      </x:c>
      <x:c r="U368" s="13" t="n">
        <x:v>215</x:v>
      </x:c>
      <x:c r="V368" s="13" t="n">
        <x:v>198</x:v>
      </x:c>
      <x:c r="W368" s="13" t="n">
        <x:v>17</x:v>
      </x:c>
      <x:c r="X368" s="13" t="n">
        <x:v>10</x:v>
      </x:c>
      <x:c r="Y368" s="13" t="n">
        <x:v>2070000</x:v>
      </x:c>
      <x:c r="Z368" s="13" t="n">
        <x:v>2270000</x:v>
      </x:c>
      <x:c r="AA368" s="13" t="n">
        <x:v>19</x:v>
      </x:c>
      <x:c r="AB368" s="13" t="n">
        <x:v>0.07906976744186046</x:v>
      </x:c>
      <x:c r="AC368" s="13" t="n">
        <x:v>0.050505050505050504</x:v>
      </x:c>
      <x:c r="AD368" s="13" t="n">
        <x:v>0.2089114867356246</x:v>
      </x:c>
      <x:c r="AE368" s="13" t="n">
        <x:v>0.32599118942731276</x:v>
      </x:c>
      <x:c r="AF368" s="13" t="n">
        <x:v>62727.27272727273</x:v>
      </x:c>
      <x:c r="AG368" s="13" t="n">
        <x:v>1.2053696752657348</x:v>
      </x:c>
      <x:c r="AH368" s="13" t="n">
        <x:v>-0.03117007672634223</x:v>
      </x:c>
      <x:c r="AI368" s="13" t="n">
        <x:v>21</x:v>
      </x:c>
      <x:c r="AJ368" s="13" t="n">
        <x:v>1830142.35</x:v>
      </x:c>
      <x:c r="AK368" s="13" t="n">
        <x:v>0.10566416299559467</x:v>
      </x:c>
      <x:c r="AL368" s="13" t="n">
        <x:v>0.07916666666666666</x:v>
      </x:c>
      <x:c r="AM368" s="13" t="n">
        <x:v>0.04524886877828054</x:v>
      </x:c>
      <x:c r="AN368" s="13" t="n">
        <x:v>0.5372657255515639</x:v>
      </x:c>
      <x:c r="AO368" s="13" t="n">
        <x:v>3.2431962236419007</x:v>
      </x:c>
      <x:c r="AP368" s="13" t="n">
        <x:v>0.017210645194281463</x:v>
      </x:c>
    </x:row>
    <x:row r="369" ht="15" hidden="0" customHeight="1">
      <x:c r="A369" s="2" t="str">
        <x:v>E368</x:v>
      </x:c>
      <x:c r="B369" s="2" t="str">
        <x:v>***通信科技有限责任公司</x:v>
      </x:c>
      <x:c r="C369" s="2" t="str">
        <x:v>无信贷记录</x:v>
      </x:c>
      <x:c r="D369" s="2" t="str"/>
      <x:c r="E369" s="2" t="str"/>
      <x:c r="F369" s="13" t="n">
        <x:v>87</x:v>
      </x:c>
      <x:c r="G369" s="13" t="n">
        <x:v>83</x:v>
      </x:c>
      <x:c r="H369" s="13" t="n">
        <x:v>4</x:v>
      </x:c>
      <x:c r="I369" s="13" t="n">
        <x:v>0</x:v>
      </x:c>
      <x:c r="J369" s="13" t="n">
        <x:v>328134.16000000003</x:v>
      </x:c>
      <x:c r="K369" s="13" t="n">
        <x:v>328134.16000000003</x:v>
      </x:c>
      <x:c r="L369" s="13" t="n">
        <x:v>38</x:v>
      </x:c>
      <x:c r="M369" s="13" t="n">
        <x:v>0.04597701149425287</x:v>
      </x:c>
      <x:c r="N369" s="13" t="n">
        <x:v>0</x:v>
      </x:c>
      <x:c r="O369" s="13" t="n">
        <x:v>0.25544802564701685</x:v>
      </x:c>
      <x:c r="P369" s="13" t="n">
        <x:v>0.4266547560912281</x:v>
      </x:c>
      <x:c r="Q369" s="13" t="n">
        <x:v>9114.837777777777</x:v>
      </x:c>
      <x:c r="R369" s="13" t="n">
        <x:v>2.931639266932351</x:v>
      </x:c>
      <x:c r="S369" s="13" t="n">
        <x:v>-0.009104577164177141</x:v>
      </x:c>
      <x:c r="T369" s="13" t="n">
        <x:v>19</x:v>
      </x:c>
      <x:c r="U369" s="13" t="n">
        <x:v>32</x:v>
      </x:c>
      <x:c r="V369" s="13" t="n">
        <x:v>22</x:v>
      </x:c>
      <x:c r="W369" s="13" t="n">
        <x:v>10</x:v>
      </x:c>
      <x:c r="X369" s="13" t="n">
        <x:v>1</x:v>
      </x:c>
      <x:c r="Y369" s="13" t="n">
        <x:v>895939.0000000002</x:v>
      </x:c>
      <x:c r="Z369" s="13" t="n">
        <x:v>1111659.0000000002</x:v>
      </x:c>
      <x:c r="AA369" s="13" t="n">
        <x:v>5</x:v>
      </x:c>
      <x:c r="AB369" s="13" t="n">
        <x:v>0.3125</x:v>
      </x:c>
      <x:c r="AC369" s="13" t="n">
        <x:v>0.045454545454545456</x:v>
      </x:c>
      <x:c r="AD369" s="13" t="n">
        <x:v>0.31996739103886107</x:v>
      </x:c>
      <x:c r="AE369" s="13" t="n">
        <x:v>0.3985745628830424</x:v>
      </x:c>
      <x:c r="AF369" s="13" t="n">
        <x:v>27998.09375</x:v>
      </x:c>
      <x:c r="AG369" s="13" t="n">
        <x:v>2.926857879313357</x:v>
      </x:c>
      <x:c r="AH369" s="13" t="n">
        <x:v>0.03226025425988591</x:v>
      </x:c>
      <x:c r="AI369" s="13" t="n">
        <x:v>15</x:v>
      </x:c>
      <x:c r="AJ369" s="13" t="n">
        <x:v>567804.8400000002</x:v>
      </x:c>
      <x:c r="AK369" s="13" t="n">
        <x:v>0.2951751931122761</x:v>
      </x:c>
      <x:c r="AL369" s="13" t="n">
        <x:v>0.11764705882352941</x:v>
      </x:c>
      <x:c r="AM369" s="13" t="n">
        <x:v>0.009523809523809525</x:v>
      </x:c>
      <x:c r="AN369" s="13" t="n">
        <x:v>0.28770770834293896</x:v>
      </x:c>
      <x:c r="AO369" s="13" t="n">
        <x:v>2.929248573122854</x:v>
      </x:c>
      <x:c r="AP369" s="13" t="n">
        <x:v>0.011577838547854383</x:v>
      </x:c>
    </x:row>
    <x:row r="370" ht="15" hidden="0" customHeight="1">
      <x:c r="A370" s="2" t="str">
        <x:v>E369</x:v>
      </x:c>
      <x:c r="B370" s="2" t="str">
        <x:v>***网络技术有限公司</x:v>
      </x:c>
      <x:c r="C370" s="2" t="str">
        <x:v>无信贷记录</x:v>
      </x:c>
      <x:c r="D370" s="2" t="str"/>
      <x:c r="E370" s="2" t="str"/>
      <x:c r="F370" s="13" t="n">
        <x:v>161</x:v>
      </x:c>
      <x:c r="G370" s="13" t="n">
        <x:v>152</x:v>
      </x:c>
      <x:c r="H370" s="13" t="n">
        <x:v>9</x:v>
      </x:c>
      <x:c r="I370" s="13" t="n">
        <x:v>0</x:v>
      </x:c>
      <x:c r="J370" s="13" t="n">
        <x:v>739394.1799999999</x:v>
      </x:c>
      <x:c r="K370" s="13" t="n">
        <x:v>739394.1799999999</x:v>
      </x:c>
      <x:c r="L370" s="13" t="n">
        <x:v>31</x:v>
      </x:c>
      <x:c r="M370" s="13" t="n">
        <x:v>0.055900621118012424</x:v>
      </x:c>
      <x:c r="N370" s="13" t="n">
        <x:v>0</x:v>
      </x:c>
      <x:c r="O370" s="13" t="n">
        <x:v>0.11584922126474266</x:v>
      </x:c>
      <x:c r="P370" s="13" t="n">
        <x:v>0.16880576474107492</x:v>
      </x:c>
      <x:c r="Q370" s="13" t="n">
        <x:v>19983.626486486486</x:v>
      </x:c>
      <x:c r="R370" s="13" t="n">
        <x:v>1.291215937549858</x:v>
      </x:c>
      <x:c r="S370" s="13" t="n">
        <x:v>-0.02729704349000729</x:v>
      </x:c>
      <x:c r="T370" s="13" t="n">
        <x:v>36</x:v>
      </x:c>
      <x:c r="U370" s="13" t="n">
        <x:v>214</x:v>
      </x:c>
      <x:c r="V370" s="13" t="n">
        <x:v>200</x:v>
      </x:c>
      <x:c r="W370" s="13" t="n">
        <x:v>14</x:v>
      </x:c>
      <x:c r="X370" s="13" t="n">
        <x:v>2</x:v>
      </x:c>
      <x:c r="Y370" s="13" t="n">
        <x:v>1642219.9</x:v>
      </x:c>
      <x:c r="Z370" s="13" t="n">
        <x:v>1662779.9</x:v>
      </x:c>
      <x:c r="AA370" s="13" t="n">
        <x:v>19</x:v>
      </x:c>
      <x:c r="AB370" s="13" t="n">
        <x:v>0.06542056074766354</x:v>
      </x:c>
      <x:c r="AC370" s="13" t="n">
        <x:v>0.01</x:v>
      </x:c>
      <x:c r="AD370" s="13" t="n">
        <x:v>0.24077435434595454</x:v>
      </x:c>
      <x:c r="AE370" s="13" t="n">
        <x:v>0.3527926335890878</x:v>
      </x:c>
      <x:c r="AF370" s="13" t="n">
        <x:v>44384.32162162162</x:v>
      </x:c>
      <x:c r="AG370" s="13" t="n">
        <x:v>0.9267927614752487</x:v>
      </x:c>
      <x:c r="AH370" s="13" t="n">
        <x:v>-0.012726519669898413</x:v>
      </x:c>
      <x:c r="AI370" s="13" t="n">
        <x:v>32</x:v>
      </x:c>
      <x:c r="AJ370" s="13" t="n">
        <x:v>902825.72</x:v>
      </x:c>
      <x:c r="AK370" s="13" t="n">
        <x:v>0.4446735133134575</x:v>
      </x:c>
      <x:c r="AL370" s="13" t="n">
        <x:v>0.06133333333333333</x:v>
      </x:c>
      <x:c r="AM370" s="13" t="n">
        <x:v>0.005681818181818182</x:v>
      </x:c>
      <x:c r="AN370" s="13" t="n">
        <x:v>0.1783117878053486</x:v>
      </x:c>
      <x:c r="AO370" s="13" t="n">
        <x:v>1.1090043495125532</x:v>
      </x:c>
      <x:c r="AP370" s="13" t="n">
        <x:v>-0.020011781579952852</x:v>
      </x:c>
    </x:row>
    <x:row r="371" ht="15" hidden="0" customHeight="1">
      <x:c r="A371" s="2" t="str">
        <x:v>E370</x:v>
      </x:c>
      <x:c r="B371" s="2" t="str">
        <x:v>***设计服务部</x:v>
      </x:c>
      <x:c r="C371" s="2" t="str">
        <x:v>无信贷记录</x:v>
      </x:c>
      <x:c r="D371" s="2" t="str"/>
      <x:c r="E371" s="2" t="str"/>
      <x:c r="F371" s="13" t="n">
        <x:v>4</x:v>
      </x:c>
      <x:c r="G371" s="13" t="n">
        <x:v>3</x:v>
      </x:c>
      <x:c r="H371" s="13" t="n">
        <x:v>1</x:v>
      </x:c>
      <x:c r="I371" s="13" t="n">
        <x:v>0</x:v>
      </x:c>
      <x:c r="J371" s="13" t="n">
        <x:v>840</x:v>
      </x:c>
      <x:c r="K371" s="13" t="n">
        <x:v>840</x:v>
      </x:c>
      <x:c r="L371" s="13" t="n">
        <x:v>3</x:v>
      </x:c>
      <x:c r="M371" s="13" t="n">
        <x:v>0.25</x:v>
      </x:c>
      <x:c r="N371" s="13" t="n">
        <x:v>0</x:v>
      </x:c>
      <x:c r="O371" s="13" t="n">
        <x:v>0.5555555555555556</x:v>
      </x:c>
      <x:c r="P371" s="13" t="n">
        <x:v>0.6666666666666666</x:v>
      </x:c>
      <x:c r="Q371" s="13" t="n">
        <x:v>56</x:v>
      </x:c>
      <x:c r="R371" s="13" t="n">
        <x:v>1.999999999964286</x:v>
      </x:c>
      <x:c r="S371" s="13" t="n">
        <x:v>0.017857142856823997</x:v>
      </x:c>
      <x:c r="T371" s="13" t="n">
        <x:v>3</x:v>
      </x:c>
      <x:c r="U371" s="13" t="n">
        <x:v>498</x:v>
      </x:c>
      <x:c r="V371" s="13" t="n">
        <x:v>470</x:v>
      </x:c>
      <x:c r="W371" s="13" t="n">
        <x:v>28</x:v>
      </x:c>
      <x:c r="X371" s="13" t="n">
        <x:v>9</x:v>
      </x:c>
      <x:c r="Y371" s="13" t="n">
        <x:v>2081759.05</x:v>
      </x:c>
      <x:c r="Z371" s="13" t="n">
        <x:v>2186979.05</x:v>
      </x:c>
      <x:c r="AA371" s="13" t="n">
        <x:v>89</x:v>
      </x:c>
      <x:c r="AB371" s="13" t="n">
        <x:v>0.05622489959839357</x:v>
      </x:c>
      <x:c r="AC371" s="13" t="n">
        <x:v>0.019148936170212766</x:v>
      </x:c>
      <x:c r="AD371" s="13" t="n">
        <x:v>0.0828623896754026</x:v>
      </x:c>
      <x:c r="AE371" s="13" t="n">
        <x:v>0.22862587549706984</x:v>
      </x:c>
      <x:c r="AF371" s="13" t="n">
        <x:v>71784.79482758621</x:v>
      </x:c>
      <x:c r="AG371" s="13" t="n">
        <x:v>0.8163466466624983</x:v>
      </x:c>
      <x:c r="AH371" s="13" t="n">
        <x:v>-0.01867427178266075</x:v>
      </x:c>
      <x:c r="AI371" s="13" t="n">
        <x:v>28</x:v>
      </x:c>
      <x:c r="AJ371" s="13" t="n">
        <x:v>2080919.05</x:v>
      </x:c>
      <x:c r="AK371" s="13" t="n">
        <x:v>0.0003840914708350771</x:v>
      </x:c>
      <x:c r="AL371" s="13" t="n">
        <x:v>0.05776892430278884</x:v>
      </x:c>
      <x:c r="AM371" s="13" t="n">
        <x:v>0.019027484143763214</x:v>
      </x:c>
      <x:c r="AN371" s="13" t="n">
        <x:v>0.3192089726154791</x:v>
      </x:c>
      <x:c r="AO371" s="13" t="n">
        <x:v>1.4081733233133922</x:v>
      </x:c>
      <x:c r="AP371" s="13" t="n">
        <x:v>-0.0004085644629183774</x:v>
      </x:c>
    </x:row>
    <x:row r="372" ht="15" hidden="0" customHeight="1">
      <x:c r="A372" s="2" t="str">
        <x:v>E371</x:v>
      </x:c>
      <x:c r="B372" s="2" t="str">
        <x:v>***自动化科技有限公司</x:v>
      </x:c>
      <x:c r="C372" s="2" t="str">
        <x:v>无信贷记录</x:v>
      </x:c>
      <x:c r="D372" s="2" t="str"/>
      <x:c r="E372" s="2" t="str"/>
      <x:c r="F372" s="13" t="n">
        <x:v>81</x:v>
      </x:c>
      <x:c r="G372" s="13" t="n">
        <x:v>80</x:v>
      </x:c>
      <x:c r="H372" s="13" t="n">
        <x:v>1</x:v>
      </x:c>
      <x:c r="I372" s="13" t="n">
        <x:v>0</x:v>
      </x:c>
      <x:c r="J372" s="13" t="n">
        <x:v>204867.54</x:v>
      </x:c>
      <x:c r="K372" s="13" t="n">
        <x:v>204867.54</x:v>
      </x:c>
      <x:c r="L372" s="13" t="n">
        <x:v>31</x:v>
      </x:c>
      <x:c r="M372" s="13" t="n">
        <x:v>0.012345679012345678</x:v>
      </x:c>
      <x:c r="N372" s="13" t="n">
        <x:v>0</x:v>
      </x:c>
      <x:c r="O372" s="13" t="n">
        <x:v>0.12694512932318738</x:v>
      </x:c>
      <x:c r="P372" s="13" t="n">
        <x:v>0.23185713070992114</x:v>
      </x:c>
      <x:c r="Q372" s="13" t="n">
        <x:v>6608.630322580645</x:v>
      </x:c>
      <x:c r="R372" s="13" t="n">
        <x:v>3.1162932291760965</x:v>
      </x:c>
      <x:c r="S372" s="13" t="n">
        <x:v>-0.08152752261289167</x:v>
      </x:c>
      <x:c r="T372" s="13" t="n">
        <x:v>16</x:v>
      </x:c>
      <x:c r="U372" s="13" t="n">
        <x:v>32</x:v>
      </x:c>
      <x:c r="V372" s="13" t="n">
        <x:v>26</x:v>
      </x:c>
      <x:c r="W372" s="13" t="n">
        <x:v>6</x:v>
      </x:c>
      <x:c r="X372" s="13" t="n">
        <x:v>0</x:v>
      </x:c>
      <x:c r="Y372" s="13" t="n">
        <x:v>1345916.45</x:v>
      </x:c>
      <x:c r="Z372" s="13" t="n">
        <x:v>1345916.45</x:v>
      </x:c>
      <x:c r="AA372" s="13" t="n">
        <x:v>9</x:v>
      </x:c>
      <x:c r="AB372" s="13" t="n">
        <x:v>0.1875</x:v>
      </x:c>
      <x:c r="AC372" s="13" t="n">
        <x:v>0</x:v>
      </x:c>
      <x:c r="AD372" s="13" t="n">
        <x:v>0.21793577342655085</x:v>
      </x:c>
      <x:c r="AE372" s="13" t="n">
        <x:v>0.33941441907482445</x:v>
      </x:c>
      <x:c r="AF372" s="13" t="n">
        <x:v>44863.88166666667</x:v>
      </x:c>
      <x:c r="AG372" s="13" t="n">
        <x:v>1.9669672380293175</x:v>
      </x:c>
      <x:c r="AH372" s="13" t="n">
        <x:v>-0.043965172288045855</x:v>
      </x:c>
      <x:c r="AI372" s="13" t="n">
        <x:v>18</x:v>
      </x:c>
      <x:c r="AJ372" s="13" t="n">
        <x:v>1141048.91</x:v>
      </x:c>
      <x:c r="AK372" s="13" t="n">
        <x:v>0.1522141586128915</x:v>
      </x:c>
      <x:c r="AL372" s="13" t="n">
        <x:v>0.061946902654867256</x:v>
      </x:c>
      <x:c r="AM372" s="13" t="n">
        <x:v>0</x:v>
      </x:c>
      <x:c r="AN372" s="13" t="n">
        <x:v>0.17244045137486913</x:v>
      </x:c>
      <x:c r="AO372" s="13" t="n">
        <x:v>2.541630233602707</x:v>
      </x:c>
      <x:c r="AP372" s="13" t="n">
        <x:v>-0.06274634745046877</x:v>
      </x:c>
    </x:row>
    <x:row r="373" ht="15" hidden="0" customHeight="1">
      <x:c r="A373" s="2" t="str">
        <x:v>E372</x:v>
      </x:c>
      <x:c r="B373" s="2" t="str">
        <x:v>***汽车维修有限责任公司</x:v>
      </x:c>
      <x:c r="C373" s="2" t="str">
        <x:v>无信贷记录</x:v>
      </x:c>
      <x:c r="D373" s="2" t="str"/>
      <x:c r="E373" s="2" t="str"/>
      <x:c r="F373" s="13" t="n">
        <x:v>324</x:v>
      </x:c>
      <x:c r="G373" s="13" t="n">
        <x:v>323</x:v>
      </x:c>
      <x:c r="H373" s="13" t="n">
        <x:v>1</x:v>
      </x:c>
      <x:c r="I373" s="13" t="n">
        <x:v>0</x:v>
      </x:c>
      <x:c r="J373" s="13" t="n">
        <x:v>627323.7</x:v>
      </x:c>
      <x:c r="K373" s="13" t="n">
        <x:v>627323.7</x:v>
      </x:c>
      <x:c r="L373" s="13" t="n">
        <x:v>54</x:v>
      </x:c>
      <x:c r="M373" s="13" t="n">
        <x:v>0.0030864197530864196</x:v>
      </x:c>
      <x:c r="N373" s="13" t="n">
        <x:v>0</x:v>
      </x:c>
      <x:c r="O373" s="13" t="n">
        <x:v>0.0940449178436022</x:v>
      </x:c>
      <x:c r="P373" s="13" t="n">
        <x:v>0.1915495142300538</x:v>
      </x:c>
      <x:c r="Q373" s="13" t="n">
        <x:v>16508.51842105263</x:v>
      </x:c>
      <x:c r="R373" s="13" t="n">
        <x:v>1.22867465378377</x:v>
      </x:c>
      <x:c r="S373" s="13" t="n">
        <x:v>-0.051347882733876984</x:v>
      </x:c>
      <x:c r="T373" s="13" t="n">
        <x:v>36</x:v>
      </x:c>
      <x:c r="U373" s="13" t="n">
        <x:v>586</x:v>
      </x:c>
      <x:c r="V373" s="13" t="n">
        <x:v>536</x:v>
      </x:c>
      <x:c r="W373" s="13" t="n">
        <x:v>50</x:v>
      </x:c>
      <x:c r="X373" s="13" t="n">
        <x:v>21</x:v>
      </x:c>
      <x:c r="Y373" s="13" t="n">
        <x:v>2214175.03</x:v>
      </x:c>
      <x:c r="Z373" s="13" t="n">
        <x:v>2417752.87</x:v>
      </x:c>
      <x:c r="AA373" s="13" t="n">
        <x:v>150</x:v>
      </x:c>
      <x:c r="AB373" s="13" t="n">
        <x:v>0.08532423208191127</x:v>
      </x:c>
      <x:c r="AC373" s="13" t="n">
        <x:v>0.03917910447761194</x:v>
      </x:c>
      <x:c r="AD373" s="13" t="n">
        <x:v>0.1344211942432081</x:v>
      </x:c>
      <x:c r="AE373" s="13" t="n">
        <x:v>0.30255302313011</x:v>
      </x:c>
      <x:c r="AF373" s="13" t="n">
        <x:v>59842.56837837836</x:v>
      </x:c>
      <x:c r="AG373" s="13" t="n">
        <x:v>0.49884944142622667</x:v>
      </x:c>
      <x:c r="AH373" s="13" t="n">
        <x:v>-0.01897813765372073</x:v>
      </x:c>
      <x:c r="AI373" s="13" t="n">
        <x:v>37</x:v>
      </x:c>
      <x:c r="AJ373" s="13" t="n">
        <x:v>1586851.3299999998</x:v>
      </x:c>
      <x:c r="AK373" s="13" t="n">
        <x:v>0.2594656003861965</x:v>
      </x:c>
      <x:c r="AL373" s="13" t="n">
        <x:v>0.056043956043956046</x:v>
      </x:c>
      <x:c r="AM373" s="13" t="n">
        <x:v>0.024447031431897557</x:v>
      </x:c>
      <x:c r="AN373" s="13" t="n">
        <x:v>0.11423305604340514</x:v>
      </x:c>
      <x:c r="AO373" s="13" t="n">
        <x:v>0.8637620476049983</x:v>
      </x:c>
      <x:c r="AP373" s="13" t="n">
        <x:v>-0.03516301019379886</x:v>
      </x:c>
    </x:row>
    <x:row r="374" ht="15" hidden="0" customHeight="1">
      <x:c r="A374" s="2" t="str">
        <x:v>E373</x:v>
      </x:c>
      <x:c r="B374" s="2" t="str">
        <x:v>个体经营E373 </x:v>
      </x:c>
      <x:c r="C374" s="2" t="str">
        <x:v>无信贷记录</x:v>
      </x:c>
      <x:c r="D374" s="2" t="str"/>
      <x:c r="E374" s="2" t="str"/>
      <x:c r="F374" s="13" t="n">
        <x:v>881</x:v>
      </x:c>
      <x:c r="G374" s="13" t="n">
        <x:v>868</x:v>
      </x:c>
      <x:c r="H374" s="13" t="n">
        <x:v>13</x:v>
      </x:c>
      <x:c r="I374" s="13" t="n">
        <x:v>2</x:v>
      </x:c>
      <x:c r="J374" s="13" t="n">
        <x:v>22741199.409999996</x:v>
      </x:c>
      <x:c r="K374" s="13" t="n">
        <x:v>23141199.409999996</x:v>
      </x:c>
      <x:c r="L374" s="13" t="n">
        <x:v>105</x:v>
      </x:c>
      <x:c r="M374" s="13" t="n">
        <x:v>0.014755959137343927</x:v>
      </x:c>
      <x:c r="N374" s="13" t="n">
        <x:v>0.002304147465437788</x:v>
      </x:c>
      <x:c r="O374" s="13" t="n">
        <x:v>0.12710997553524334</x:v>
      </x:c>
      <x:c r="P374" s="13" t="n">
        <x:v>0.25290012960482067</x:v>
      </x:c>
      <x:c r="Q374" s="13" t="n">
        <x:v>631699.9836111111</x:v>
      </x:c>
      <x:c r="R374" s="13" t="n">
        <x:v>0.810011638082685</x:v>
      </x:c>
      <x:c r="S374" s="13" t="n">
        <x:v>0.03225465618757121</x:v>
      </x:c>
      <x:c r="T374" s="13" t="n">
        <x:v>36</x:v>
      </x:c>
      <x:c r="U374" s="13" t="n">
        <x:v>112</x:v>
      </x:c>
      <x:c r="V374" s="13" t="n">
        <x:v>109</x:v>
      </x:c>
      <x:c r="W374" s="13" t="n">
        <x:v>3</x:v>
      </x:c>
      <x:c r="X374" s="13" t="n">
        <x:v>0</x:v>
      </x:c>
      <x:c r="Y374" s="13" t="n">
        <x:v>1505224</x:v>
      </x:c>
      <x:c r="Z374" s="13" t="n">
        <x:v>1505224</x:v>
      </x:c>
      <x:c r="AA374" s="13" t="n">
        <x:v>18</x:v>
      </x:c>
      <x:c r="AB374" s="13" t="n">
        <x:v>0.026785714285714284</x:v>
      </x:c>
      <x:c r="AC374" s="13" t="n">
        <x:v>0</x:v>
      </x:c>
      <x:c r="AD374" s="13" t="n">
        <x:v>0.2963421657969933</x:v>
      </x:c>
      <x:c r="AE374" s="13" t="n">
        <x:v>0.47974254994605453</x:v>
      </x:c>
      <x:c r="AF374" s="13" t="n">
        <x:v>41811.77777777778</x:v>
      </x:c>
      <x:c r="AG374" s="13" t="n">
        <x:v>2.8798753808080444</x:v>
      </x:c>
      <x:c r="AH374" s="13" t="n">
        <x:v>0.10050496042333824</x:v>
      </x:c>
      <x:c r="AI374" s="13" t="n">
        <x:v>35</x:v>
      </x:c>
      <x:c r="AJ374" s="13" t="n">
        <x:v>-21235975.409999996</x:v>
      </x:c>
      <x:c r="AK374" s="13" t="n">
        <x:v>15.373924020610874</x:v>
      </x:c>
      <x:c r="AL374" s="13" t="n">
        <x:v>0.016112789526686808</x:v>
      </x:c>
      <x:c r="AM374" s="13" t="n">
        <x:v>0.0020470829068577278</x:v>
      </x:c>
      <x:c r="AN374" s="13" t="n">
        <x:v>0.21172607066611832</x:v>
      </x:c>
      <x:c r="AO374" s="13" t="n">
        <x:v>1.8449435094453648</x:v>
      </x:c>
      <x:c r="AP374" s="13" t="n">
        <x:v>0.06637980830545473</x:v>
      </x:c>
    </x:row>
    <x:row r="375" ht="15" hidden="0" customHeight="1">
      <x:c r="A375" s="2" t="str">
        <x:v>E374</x:v>
      </x:c>
      <x:c r="B375" s="2" t="str">
        <x:v>***建材经营部</x:v>
      </x:c>
      <x:c r="C375" s="2" t="str">
        <x:v>无信贷记录</x:v>
      </x:c>
      <x:c r="D375" s="2" t="str"/>
      <x:c r="E375" s="2" t="str"/>
      <x:c r="F375" s="13" t="n">
        <x:v>3</x:v>
      </x:c>
      <x:c r="G375" s="13" t="n">
        <x:v>3</x:v>
      </x:c>
      <x:c r="H375" s="13" t="n">
        <x:v>0</x:v>
      </x:c>
      <x:c r="I375" s="13" t="n">
        <x:v>0</x:v>
      </x:c>
      <x:c r="J375" s="13" t="n">
        <x:v>48560</x:v>
      </x:c>
      <x:c r="K375" s="13" t="n">
        <x:v>48560</x:v>
      </x:c>
      <x:c r="L375" s="13" t="n">
        <x:v>2</x:v>
      </x:c>
      <x:c r="M375" s="13" t="n">
        <x:v>0</x:v>
      </x:c>
      <x:c r="N375" s="13" t="n">
        <x:v>0</x:v>
      </x:c>
      <x:c r="O375" s="13" t="n">
        <x:v>0.9772017294116688</x:v>
      </x:c>
      <x:c r="P375" s="13" t="n">
        <x:v>0.9884678747940692</x:v>
      </x:c>
      <x:c r="Q375" s="13" t="n">
        <x:v>3468.5714285714284</x:v>
      </x:c>
      <x:c r="R375" s="13" t="n">
        <x:v>3.560883778273829</x:v>
      </x:c>
      <x:c r="S375" s="13" t="n">
        <x:v>0.39503231529579297</x:v>
      </x:c>
      <x:c r="T375" s="13" t="n">
        <x:v>3</x:v>
      </x:c>
      <x:c r="U375" s="13" t="n">
        <x:v>249</x:v>
      </x:c>
      <x:c r="V375" s="13" t="n">
        <x:v>204</x:v>
      </x:c>
      <x:c r="W375" s="13" t="n">
        <x:v>45</x:v>
      </x:c>
      <x:c r="X375" s="13" t="n">
        <x:v>0</x:v>
      </x:c>
      <x:c r="Y375" s="13" t="n">
        <x:v>1306397.58</x:v>
      </x:c>
      <x:c r="Z375" s="13" t="n">
        <x:v>1306397.58</x:v>
      </x:c>
      <x:c r="AA375" s="13" t="n">
        <x:v>55</x:v>
      </x:c>
      <x:c r="AB375" s="13" t="n">
        <x:v>0.18072289156626506</x:v>
      </x:c>
      <x:c r="AC375" s="13" t="n">
        <x:v>0</x:v>
      </x:c>
      <x:c r="AD375" s="13" t="n">
        <x:v>0.072504117499717</x:v>
      </x:c>
      <x:c r="AE375" s="13" t="n">
        <x:v>0.15129391161303282</x:v>
      </x:c>
      <x:c r="AF375" s="13" t="n">
        <x:v>54433.232500000006</x:v>
      </x:c>
      <x:c r="AG375" s="13" t="n">
        <x:v>1.0735166005461074</x:v>
      </x:c>
      <x:c r="AH375" s="13" t="n">
        <x:v>-0.04753189507259427</x:v>
      </x:c>
      <x:c r="AI375" s="13" t="n">
        <x:v>23</x:v>
      </x:c>
      <x:c r="AJ375" s="13" t="n">
        <x:v>1257837.58</x:v>
      </x:c>
      <x:c r="AK375" s="13" t="n">
        <x:v>0.037170920050234604</x:v>
      </x:c>
      <x:c r="AL375" s="13" t="n">
        <x:v>0.17857142857142858</x:v>
      </x:c>
      <x:c r="AM375" s="13" t="n">
        <x:v>0</x:v>
      </x:c>
      <x:c r="AN375" s="13" t="n">
        <x:v>0.5248529234556929</x:v>
      </x:c>
      <x:c r="AO375" s="13" t="n">
        <x:v>2.3172001894099683</x:v>
      </x:c>
      <x:c r="AP375" s="13" t="n">
        <x:v>0.17375021011159936</x:v>
      </x:c>
    </x:row>
    <x:row r="376" ht="15" hidden="0" customHeight="1">
      <x:c r="A376" s="2" t="str">
        <x:v>E375</x:v>
      </x:c>
      <x:c r="B376" s="2" t="str">
        <x:v>***电器经营部</x:v>
      </x:c>
      <x:c r="C376" s="2" t="str">
        <x:v>无信贷记录</x:v>
      </x:c>
      <x:c r="D376" s="2" t="str"/>
      <x:c r="E376" s="2" t="str"/>
      <x:c r="F376" s="13" t="n">
        <x:v>2</x:v>
      </x:c>
      <x:c r="G376" s="13" t="n">
        <x:v>2</x:v>
      </x:c>
      <x:c r="H376" s="13" t="n">
        <x:v>0</x:v>
      </x:c>
      <x:c r="I376" s="13" t="n">
        <x:v>0</x:v>
      </x:c>
      <x:c r="J376" s="13" t="n">
        <x:v>560</x:v>
      </x:c>
      <x:c r="K376" s="13" t="n">
        <x:v>560</x:v>
      </x:c>
      <x:c r="L376" s="13" t="n">
        <x:v>1</x:v>
      </x:c>
      <x:c r="M376" s="13" t="n">
        <x:v>0</x:v>
      </x:c>
      <x:c r="N376" s="13" t="n">
        <x:v>0</x:v>
      </x:c>
      <x:c r="O376" s="13" t="n">
        <x:v>1</x:v>
      </x:c>
      <x:c r="P376" s="13" t="n">
        <x:v>1</x:v>
      </x:c>
      <x:c r="Q376" s="13" t="n">
        <x:v>46.666666666666664</x:v>
      </x:c>
      <x:c r="R376" s="13" t="n">
        <x:v>2.2360679774518744</x:v>
      </x:c>
      <x:c r="S376" s="13" t="n">
        <x:v>-1.713254499626627e-16</x:v>
      </x:c>
      <x:c r="T376" s="13" t="n">
        <x:v>2</x:v>
      </x:c>
      <x:c r="U376" s="13" t="n">
        <x:v>377</x:v>
      </x:c>
      <x:c r="V376" s="13" t="n">
        <x:v>357</x:v>
      </x:c>
      <x:c r="W376" s="13" t="n">
        <x:v>20</x:v>
      </x:c>
      <x:c r="X376" s="13" t="n">
        <x:v>0</x:v>
      </x:c>
      <x:c r="Y376" s="13" t="n">
        <x:v>1015565.5</x:v>
      </x:c>
      <x:c r="Z376" s="13" t="n">
        <x:v>1015565.5</x:v>
      </x:c>
      <x:c r="AA376" s="13" t="n">
        <x:v>229</x:v>
      </x:c>
      <x:c r="AB376" s="13" t="n">
        <x:v>0.05305039787798409</x:v>
      </x:c>
      <x:c r="AC376" s="13" t="n">
        <x:v>0</x:v>
      </x:c>
      <x:c r="AD376" s="13" t="n">
        <x:v>0.02796267280484696</x:v>
      </x:c>
      <x:c r="AE376" s="13" t="n">
        <x:v>0.08862057641776921</x:v>
      </x:c>
      <x:c r="AF376" s="13" t="n">
        <x:v>32760.177419354837</x:v>
      </x:c>
      <x:c r="AG376" s="13" t="n">
        <x:v>0.6824643615812203</x:v>
      </x:c>
      <x:c r="AH376" s="13" t="n">
        <x:v>-0.0020957043144927234</x:v>
      </x:c>
      <x:c r="AI376" s="13" t="n">
        <x:v>31</x:v>
      </x:c>
      <x:c r="AJ376" s="13" t="n">
        <x:v>1015005.5</x:v>
      </x:c>
      <x:c r="AK376" s="13" t="n">
        <x:v>0.0005514169199327856</x:v>
      </x:c>
      <x:c r="AL376" s="13" t="n">
        <x:v>0.052770448548812667</x:v>
      </x:c>
      <x:c r="AM376" s="13" t="n">
        <x:v>0</x:v>
      </x:c>
      <x:c r="AN376" s="13" t="n">
        <x:v>0.5139813364024235</x:v>
      </x:c>
      <x:c r="AO376" s="13" t="n">
        <x:v>1.4592661695165474</x:v>
      </x:c>
      <x:c r="AP376" s="13" t="n">
        <x:v>-0.0010478521572464474</x:v>
      </x:c>
    </x:row>
    <x:row r="377" ht="15" hidden="0" customHeight="1">
      <x:c r="A377" s="2" t="str">
        <x:v>E376</x:v>
      </x:c>
      <x:c r="B377" s="2" t="str">
        <x:v>***建筑装饰设计有限责任公司</x:v>
      </x:c>
      <x:c r="C377" s="2" t="str">
        <x:v>无信贷记录</x:v>
      </x:c>
      <x:c r="D377" s="2" t="str"/>
      <x:c r="E377" s="2" t="str"/>
      <x:c r="F377" s="13" t="n">
        <x:v>3</x:v>
      </x:c>
      <x:c r="G377" s="13" t="n">
        <x:v>3</x:v>
      </x:c>
      <x:c r="H377" s="13" t="n">
        <x:v>0</x:v>
      </x:c>
      <x:c r="I377" s="13" t="n">
        <x:v>0</x:v>
      </x:c>
      <x:c r="J377" s="13" t="n">
        <x:v>6560</x:v>
      </x:c>
      <x:c r="K377" s="13" t="n">
        <x:v>6560</x:v>
      </x:c>
      <x:c r="L377" s="13" t="n">
        <x:v>2</x:v>
      </x:c>
      <x:c r="M377" s="13" t="n">
        <x:v>0</x:v>
      </x:c>
      <x:c r="N377" s="13" t="n">
        <x:v>0</x:v>
      </x:c>
      <x:c r="O377" s="13" t="n">
        <x:v>0.8438429506246283</x:v>
      </x:c>
      <x:c r="P377" s="13" t="n">
        <x:v>0.9146341463414634</x:v>
      </x:c>
      <x:c r="Q377" s="13" t="n">
        <x:v>345.2631578947368</x:v>
      </x:c>
      <x:c r="R377" s="13" t="n">
        <x:v>3.868305370127619</x:v>
      </x:c>
      <x:c r="S377" s="13" t="n">
        <x:v>-0.2686991869910917</x:v>
      </x:c>
      <x:c r="T377" s="13" t="n">
        <x:v>3</x:v>
      </x:c>
      <x:c r="U377" s="13" t="n">
        <x:v>53</x:v>
      </x:c>
      <x:c r="V377" s="13" t="n">
        <x:v>45</x:v>
      </x:c>
      <x:c r="W377" s="13" t="n">
        <x:v>8</x:v>
      </x:c>
      <x:c r="X377" s="13" t="n">
        <x:v>0</x:v>
      </x:c>
      <x:c r="Y377" s="13" t="n">
        <x:v>583543.28</x:v>
      </x:c>
      <x:c r="Z377" s="13" t="n">
        <x:v>583543.28</x:v>
      </x:c>
      <x:c r="AA377" s="13" t="n">
        <x:v>13</x:v>
      </x:c>
      <x:c r="AB377" s="13" t="n">
        <x:v>0.1509433962264151</x:v>
      </x:c>
      <x:c r="AC377" s="13" t="n">
        <x:v>0</x:v>
      </x:c>
      <x:c r="AD377" s="13" t="n">
        <x:v>0.23268859811230902</x:v>
      </x:c>
      <x:c r="AE377" s="13" t="n">
        <x:v>0.3547294726793872</x:v>
      </x:c>
      <x:c r="AF377" s="13" t="n">
        <x:v>24314.303333333333</x:v>
      </x:c>
      <x:c r="AG377" s="13" t="n">
        <x:v>2.1413247509005204</x:v>
      </x:c>
      <x:c r="AH377" s="13" t="n">
        <x:v>0.05629282407296104</x:v>
      </x:c>
      <x:c r="AI377" s="13" t="n">
        <x:v>12</x:v>
      </x:c>
      <x:c r="AJ377" s="13" t="n">
        <x:v>576983.28</x:v>
      </x:c>
      <x:c r="AK377" s="13" t="n">
        <x:v>0.011241668312931285</x:v>
      </x:c>
      <x:c r="AL377" s="13" t="n">
        <x:v>0.14285714285714285</x:v>
      </x:c>
      <x:c r="AM377" s="13" t="n">
        <x:v>0</x:v>
      </x:c>
      <x:c r="AN377" s="13" t="n">
        <x:v>0.5382657743684687</x:v>
      </x:c>
      <x:c r="AO377" s="13" t="n">
        <x:v>3.00481506051407</x:v>
      </x:c>
      <x:c r="AP377" s="13" t="n">
        <x:v>-0.10620318145906532</x:v>
      </x:c>
    </x:row>
    <x:row r="378" ht="15" hidden="0" customHeight="1">
      <x:c r="A378" s="2" t="str">
        <x:v>E377</x:v>
      </x:c>
      <x:c r="B378" s="2" t="str">
        <x:v>***文化传播有限公司</x:v>
      </x:c>
      <x:c r="C378" s="2" t="str">
        <x:v>无信贷记录</x:v>
      </x:c>
      <x:c r="D378" s="2" t="str"/>
      <x:c r="E378" s="2" t="str"/>
      <x:c r="F378" s="13" t="n">
        <x:v>110</x:v>
      </x:c>
      <x:c r="G378" s="13" t="n">
        <x:v>108</x:v>
      </x:c>
      <x:c r="H378" s="13" t="n">
        <x:v>2</x:v>
      </x:c>
      <x:c r="I378" s="13" t="n">
        <x:v>0</x:v>
      </x:c>
      <x:c r="J378" s="13" t="n">
        <x:v>254772</x:v>
      </x:c>
      <x:c r="K378" s="13" t="n">
        <x:v>254772</x:v>
      </x:c>
      <x:c r="L378" s="13" t="n">
        <x:v>29</x:v>
      </x:c>
      <x:c r="M378" s="13" t="n">
        <x:v>0.01818181818181818</x:v>
      </x:c>
      <x:c r="N378" s="13" t="n">
        <x:v>0</x:v>
      </x:c>
      <x:c r="O378" s="13" t="n">
        <x:v>0.23310999471272942</x:v>
      </x:c>
      <x:c r="P378" s="13" t="n">
        <x:v>0.3775925140910304</x:v>
      </x:c>
      <x:c r="Q378" s="13" t="n">
        <x:v>9798.923076923076</x:v>
      </x:c>
      <x:c r="R378" s="13" t="n">
        <x:v>2.285265104087037</x:v>
      </x:c>
      <x:c r="S378" s="13" t="n">
        <x:v>-0.016093448259618733</x:v>
      </x:c>
      <x:c r="T378" s="13" t="n">
        <x:v>26</x:v>
      </x:c>
      <x:c r="U378" s="13" t="n">
        <x:v>87</x:v>
      </x:c>
      <x:c r="V378" s="13" t="n">
        <x:v>58</x:v>
      </x:c>
      <x:c r="W378" s="13" t="n">
        <x:v>29</x:v>
      </x:c>
      <x:c r="X378" s="13" t="n">
        <x:v>2</x:v>
      </x:c>
      <x:c r="Y378" s="13" t="n">
        <x:v>803803.3</x:v>
      </x:c>
      <x:c r="Z378" s="13" t="n">
        <x:v>847253.3</x:v>
      </x:c>
      <x:c r="AA378" s="13" t="n">
        <x:v>28</x:v>
      </x:c>
      <x:c r="AB378" s="13" t="n">
        <x:v>0.3333333333333333</x:v>
      </x:c>
      <x:c r="AC378" s="13" t="n">
        <x:v>0.034482758620689655</x:v>
      </x:c>
      <x:c r="AD378" s="13" t="n">
        <x:v>0.10137052408767112</x:v>
      </x:c>
      <x:c r="AE378" s="13" t="n">
        <x:v>0.1911588895552251</x:v>
      </x:c>
      <x:c r="AF378" s="13" t="n">
        <x:v>27717.355172413794</x:v>
      </x:c>
      <x:c r="AG378" s="13" t="n">
        <x:v>1.5308423978335133</x:v>
      </x:c>
      <x:c r="AH378" s="13" t="n">
        <x:v>0.03904834272345651</x:v>
      </x:c>
      <x:c r="AI378" s="13" t="n">
        <x:v>23</x:v>
      </x:c>
      <x:c r="AJ378" s="13" t="n">
        <x:v>549031.3</x:v>
      </x:c>
      <x:c r="AK378" s="13" t="n">
        <x:v>0.300703461408766</x:v>
      </x:c>
      <x:c r="AL378" s="13" t="n">
        <x:v>0.15736040609137056</x:v>
      </x:c>
      <x:c r="AM378" s="13" t="n">
        <x:v>0.012048192771084338</x:v>
      </x:c>
      <x:c r="AN378" s="13" t="n">
        <x:v>0.16724025940020026</x:v>
      </x:c>
      <x:c r="AO378" s="13" t="n">
        <x:v>1.908053750960275</x:v>
      </x:c>
      <x:c r="AP378" s="13" t="n">
        <x:v>0.011477447231918889</x:v>
      </x:c>
    </x:row>
    <x:row r="379" ht="15" hidden="0" customHeight="1">
      <x:c r="A379" s="2" t="str">
        <x:v>E378</x:v>
      </x:c>
      <x:c r="B379" s="2" t="str">
        <x:v>***商贸有限公司</x:v>
      </x:c>
      <x:c r="C379" s="2" t="str">
        <x:v>无信贷记录</x:v>
      </x:c>
      <x:c r="D379" s="2" t="str"/>
      <x:c r="E379" s="2" t="str"/>
      <x:c r="F379" s="13" t="n">
        <x:v>692</x:v>
      </x:c>
      <x:c r="G379" s="13" t="n">
        <x:v>685</x:v>
      </x:c>
      <x:c r="H379" s="13" t="n">
        <x:v>7</x:v>
      </x:c>
      <x:c r="I379" s="13" t="n">
        <x:v>4</x:v>
      </x:c>
      <x:c r="J379" s="13" t="n">
        <x:v>1318410.81</x:v>
      </x:c>
      <x:c r="K379" s="13" t="n">
        <x:v>1318736.57</x:v>
      </x:c>
      <x:c r="L379" s="13" t="n">
        <x:v>61</x:v>
      </x:c>
      <x:c r="M379" s="13" t="n">
        <x:v>0.010115606936416185</x:v>
      </x:c>
      <x:c r="N379" s="13" t="n">
        <x:v>0.00583941605839416</x:v>
      </x:c>
      <x:c r="O379" s="13" t="n">
        <x:v>0.2537212613544583</x:v>
      </x:c>
      <x:c r="P379" s="13" t="n">
        <x:v>0.4592677520120641</x:v>
      </x:c>
      <x:c r="Q379" s="13" t="n">
        <x:v>41200.337812499994</x:v>
      </x:c>
      <x:c r="R379" s="13" t="n">
        <x:v>1.3047924298534395</x:v>
      </x:c>
      <x:c r="S379" s="13" t="n">
        <x:v>0.09034284967578918</x:v>
      </x:c>
      <x:c r="T379" s="13" t="n">
        <x:v>31</x:v>
      </x:c>
      <x:c r="U379" s="13" t="n">
        <x:v>362</x:v>
      </x:c>
      <x:c r="V379" s="13" t="n">
        <x:v>298</x:v>
      </x:c>
      <x:c r="W379" s="13" t="n">
        <x:v>64</x:v>
      </x:c>
      <x:c r="X379" s="13" t="n">
        <x:v>9</x:v>
      </x:c>
      <x:c r="Y379" s="13" t="n">
        <x:v>986294.31</x:v>
      </x:c>
      <x:c r="Z379" s="13" t="n">
        <x:v>1183785.1099999999</x:v>
      </x:c>
      <x:c r="AA379" s="13" t="n">
        <x:v>76</x:v>
      </x:c>
      <x:c r="AB379" s="13" t="n">
        <x:v>0.17679558011049723</x:v>
      </x:c>
      <x:c r="AC379" s="13" t="n">
        <x:v>0.030201342281879196</x:v>
      </x:c>
      <x:c r="AD379" s="13" t="n">
        <x:v>0.12593729702050757</x:v>
      </x:c>
      <x:c r="AE379" s="13" t="n">
        <x:v>0.24806390747726167</x:v>
      </x:c>
      <x:c r="AF379" s="13" t="n">
        <x:v>26656.602972972974</x:v>
      </x:c>
      <x:c r="AG379" s="13" t="n">
        <x:v>2.0381976258677987</x:v>
      </x:c>
      <x:c r="AH379" s="13" t="n">
        <x:v>0.10605458660094816</x:v>
      </x:c>
      <x:c r="AI379" s="13" t="n">
        <x:v>32</x:v>
      </x:c>
      <x:c r="AJ379" s="13" t="n">
        <x:v>-332116.5</x:v>
      </x:c>
      <x:c r="AK379" s="13" t="n">
        <x:v>1.1139999640644231</x:v>
      </x:c>
      <x:c r="AL379" s="13" t="n">
        <x:v>0.06736242884250475</x:v>
      </x:c>
      <x:c r="AM379" s="13" t="n">
        <x:v>0.013224821973550356</x:v>
      </x:c>
      <x:c r="AN379" s="13" t="n">
        <x:v>0.18982927918748294</x:v>
      </x:c>
      <x:c r="AO379" s="13" t="n">
        <x:v>1.671495027860619</x:v>
      </x:c>
      <x:c r="AP379" s="13" t="n">
        <x:v>0.09819871813836867</x:v>
      </x:c>
    </x:row>
    <x:row r="380" ht="15" hidden="0" customHeight="1">
      <x:c r="A380" s="2" t="str">
        <x:v>E379</x:v>
      </x:c>
      <x:c r="B380" s="2" t="str">
        <x:v>***药业有限公司</x:v>
      </x:c>
      <x:c r="C380" s="2" t="str">
        <x:v>无信贷记录</x:v>
      </x:c>
      <x:c r="D380" s="2" t="str"/>
      <x:c r="E380" s="2" t="str"/>
      <x:c r="F380" s="13" t="n">
        <x:v>385</x:v>
      </x:c>
      <x:c r="G380" s="13" t="n">
        <x:v>369</x:v>
      </x:c>
      <x:c r="H380" s="13" t="n">
        <x:v>16</x:v>
      </x:c>
      <x:c r="I380" s="13" t="n">
        <x:v>3</x:v>
      </x:c>
      <x:c r="J380" s="13" t="n">
        <x:v>1428018.69</x:v>
      </x:c>
      <x:c r="K380" s="13" t="n">
        <x:v>1431332.69</x:v>
      </x:c>
      <x:c r="L380" s="13" t="n">
        <x:v>95</x:v>
      </x:c>
      <x:c r="M380" s="13" t="n">
        <x:v>0.04155844155844156</x:v>
      </x:c>
      <x:c r="N380" s="13" t="n">
        <x:v>0.008130081300813009</x:v>
      </x:c>
      <x:c r="O380" s="13" t="n">
        <x:v>0.22576752607734515</x:v>
      </x:c>
      <x:c r="P380" s="13" t="n">
        <x:v>0.39366284577766475</x:v>
      </x:c>
      <x:c r="Q380" s="13" t="n">
        <x:v>37579.43921052631</x:v>
      </x:c>
      <x:c r="R380" s="13" t="n">
        <x:v>1.2120643460036822</x:v>
      </x:c>
      <x:c r="S380" s="13" t="n">
        <x:v>-0.06100969978148483</x:v>
      </x:c>
      <x:c r="T380" s="13" t="n">
        <x:v>38</x:v>
      </x:c>
      <x:c r="U380" s="13" t="n">
        <x:v>239</x:v>
      </x:c>
      <x:c r="V380" s="13" t="n">
        <x:v>155</x:v>
      </x:c>
      <x:c r="W380" s="13" t="n">
        <x:v>84</x:v>
      </x:c>
      <x:c r="X380" s="13" t="n">
        <x:v>0</x:v>
      </x:c>
      <x:c r="Y380" s="13" t="n">
        <x:v>2484292</x:v>
      </x:c>
      <x:c r="Z380" s="13" t="n">
        <x:v>2484292</x:v>
      </x:c>
      <x:c r="AA380" s="13" t="n">
        <x:v>51</x:v>
      </x:c>
      <x:c r="AB380" s="13" t="n">
        <x:v>0.3514644351464435</x:v>
      </x:c>
      <x:c r="AC380" s="13" t="n">
        <x:v>0</x:v>
      </x:c>
      <x:c r="AD380" s="13" t="n">
        <x:v>0.3135439668638047</x:v>
      </x:c>
      <x:c r="AE380" s="13" t="n">
        <x:v>0.5449967234125457</x:v>
      </x:c>
      <x:c r="AF380" s="13" t="n">
        <x:v>67143.02702702703</x:v>
      </x:c>
      <x:c r="AG380" s="13" t="n">
        <x:v>0.9520159227062353</x:v>
      </x:c>
      <x:c r="AH380" s="13" t="n">
        <x:v>-0.05168559655430428</x:v>
      </x:c>
      <x:c r="AI380" s="13" t="n">
        <x:v>31</x:v>
      </x:c>
      <x:c r="AJ380" s="13" t="n">
        <x:v>1056273.31</x:v>
      </x:c>
      <x:c r="AK380" s="13" t="n">
        <x:v>0.5761531615446169</x:v>
      </x:c>
      <x:c r="AL380" s="13" t="n">
        <x:v>0.16025641025641027</x:v>
      </x:c>
      <x:c r="AM380" s="13" t="n">
        <x:v>0.0057251908396946565</x:v>
      </x:c>
      <x:c r="AN380" s="13" t="n">
        <x:v>0.26965574647057494</x:v>
      </x:c>
      <x:c r="AO380" s="13" t="n">
        <x:v>1.0820401343549588</x:v>
      </x:c>
      <x:c r="AP380" s="13" t="n">
        <x:v>-0.05634764816789456</x:v>
      </x:c>
    </x:row>
    <x:row r="381" ht="15" hidden="0" customHeight="1">
      <x:c r="A381" s="2" t="str">
        <x:v>E380</x:v>
      </x:c>
      <x:c r="B381" s="2" t="str">
        <x:v>***建材有限公司</x:v>
      </x:c>
      <x:c r="C381" s="2" t="str">
        <x:v>无信贷记录</x:v>
      </x:c>
      <x:c r="D381" s="2" t="str"/>
      <x:c r="E381" s="2" t="str"/>
      <x:c r="F381" s="13" t="n">
        <x:v>2</x:v>
      </x:c>
      <x:c r="G381" s="13" t="n">
        <x:v>2</x:v>
      </x:c>
      <x:c r="H381" s="13" t="n">
        <x:v>0</x:v>
      </x:c>
      <x:c r="I381" s="13" t="n">
        <x:v>0</x:v>
      </x:c>
      <x:c r="J381" s="13" t="n">
        <x:v>560</x:v>
      </x:c>
      <x:c r="K381" s="13" t="n">
        <x:v>560</x:v>
      </x:c>
      <x:c r="L381" s="13" t="n">
        <x:v>2</x:v>
      </x:c>
      <x:c r="M381" s="13" t="n">
        <x:v>0</x:v>
      </x:c>
      <x:c r="N381" s="13" t="n">
        <x:v>0</x:v>
      </x:c>
      <x:c r="O381" s="13" t="n">
        <x:v>0.5</x:v>
      </x:c>
      <x:c r="P381" s="13" t="n">
        <x:v>0.5</x:v>
      </x:c>
      <x:c r="Q381" s="13" t="n">
        <x:v>31.11111111111111</x:v>
      </x:c>
      <x:c r="R381" s="13" t="n">
        <x:v>2.828427124655276</x:v>
      </x:c>
      <x:c r="S381" s="13" t="n">
        <x:v>2.698458822288429e-17</x:v>
      </x:c>
      <x:c r="T381" s="13" t="n">
        <x:v>2</x:v>
      </x:c>
      <x:c r="U381" s="13" t="n">
        <x:v>188</x:v>
      </x:c>
      <x:c r="V381" s="13" t="n">
        <x:v>166</x:v>
      </x:c>
      <x:c r="W381" s="13" t="n">
        <x:v>22</x:v>
      </x:c>
      <x:c r="X381" s="13" t="n">
        <x:v>16</x:v>
      </x:c>
      <x:c r="Y381" s="13" t="n">
        <x:v>1263388.9100000001</x:v>
      </x:c>
      <x:c r="Z381" s="13" t="n">
        <x:v>1537589.37</x:v>
      </x:c>
      <x:c r="AA381" s="13" t="n">
        <x:v>6</x:v>
      </x:c>
      <x:c r="AB381" s="13" t="n">
        <x:v>0.11702127659574468</x:v>
      </x:c>
      <x:c r="AC381" s="13" t="n">
        <x:v>0.0963855421686747</x:v>
      </x:c>
      <x:c r="AD381" s="13" t="n">
        <x:v>0.8949476891024764</x:v>
      </x:c>
      <x:c r="AE381" s="13" t="n">
        <x:v>0.9455411817785915</x:v>
      </x:c>
      <x:c r="AF381" s="13" t="n">
        <x:v>34145.64621621622</x:v>
      </x:c>
      <x:c r="AG381" s="13" t="n">
        <x:v>2.1008390696403243</x:v>
      </x:c>
      <x:c r="AH381" s="13" t="n">
        <x:v>0.02777087134411522</x:v>
      </x:c>
      <x:c r="AI381" s="13" t="n">
        <x:v>15</x:v>
      </x:c>
      <x:c r="AJ381" s="13" t="n">
        <x:v>1262828.9100000001</x:v>
      </x:c>
      <x:c r="AK381" s="13" t="n">
        <x:v>0.00036420647210899985</x:v>
      </x:c>
      <x:c r="AL381" s="13" t="n">
        <x:v>0.11578947368421053</x:v>
      </x:c>
      <x:c r="AM381" s="13" t="n">
        <x:v>0.09523809523809523</x:v>
      </x:c>
      <x:c r="AN381" s="13" t="n">
        <x:v>0.6974738445512382</x:v>
      </x:c>
      <x:c r="AO381" s="13" t="n">
        <x:v>2.4646330971478</x:v>
      </x:c>
      <x:c r="AP381" s="13" t="n">
        <x:v>0.013885435672057625</x:v>
      </x:c>
    </x:row>
    <x:row r="382" ht="15" hidden="0" customHeight="1">
      <x:c r="A382" s="2" t="str">
        <x:v>E381</x:v>
      </x:c>
      <x:c r="B382" s="2" t="str">
        <x:v>***通信网络工程有限公司</x:v>
      </x:c>
      <x:c r="C382" s="2" t="str">
        <x:v>无信贷记录</x:v>
      </x:c>
      <x:c r="D382" s="2" t="str"/>
      <x:c r="E382" s="2" t="str"/>
      <x:c r="F382" s="13" t="n">
        <x:v>1823</x:v>
      </x:c>
      <x:c r="G382" s="13" t="n">
        <x:v>1766</x:v>
      </x:c>
      <x:c r="H382" s="13" t="n">
        <x:v>57</x:v>
      </x:c>
      <x:c r="I382" s="13" t="n">
        <x:v>4</x:v>
      </x:c>
      <x:c r="J382" s="13" t="n">
        <x:v>97393355.96000001</x:v>
      </x:c>
      <x:c r="K382" s="13" t="n">
        <x:v>97623142.75999999</x:v>
      </x:c>
      <x:c r="L382" s="13" t="n">
        <x:v>195</x:v>
      </x:c>
      <x:c r="M382" s="13" t="n">
        <x:v>0.031267142073505214</x:v>
      </x:c>
      <x:c r="N382" s="13" t="n">
        <x:v>0.0022650056625141564</x:v>
      </x:c>
      <x:c r="O382" s="13" t="n">
        <x:v>0.05541329767742804</x:v>
      </x:c>
      <x:c r="P382" s="13" t="n">
        <x:v>0.16577381819990897</x:v>
      </x:c>
      <x:c r="Q382" s="13" t="n">
        <x:v>2632252.863783784</x:v>
      </x:c>
      <x:c r="R382" s="13" t="n">
        <x:v>1.0048505361129982</x:v>
      </x:c>
      <x:c r="S382" s="13" t="n">
        <x:v>-0.05517661504941362</x:v>
      </x:c>
      <x:c r="T382" s="13" t="n">
        <x:v>37</x:v>
      </x:c>
      <x:c r="U382" s="13" t="n">
        <x:v>82</x:v>
      </x:c>
      <x:c r="V382" s="13" t="n">
        <x:v>80</x:v>
      </x:c>
      <x:c r="W382" s="13" t="n">
        <x:v>2</x:v>
      </x:c>
      <x:c r="X382" s="13" t="n">
        <x:v>17</x:v>
      </x:c>
      <x:c r="Y382" s="13" t="n">
        <x:v>1718689.7899999998</x:v>
      </x:c>
      <x:c r="Z382" s="13" t="n">
        <x:v>2142788.67</x:v>
      </x:c>
      <x:c r="AA382" s="13" t="n">
        <x:v>14</x:v>
      </x:c>
      <x:c r="AB382" s="13" t="n">
        <x:v>0.024390243902439025</x:v>
      </x:c>
      <x:c r="AC382" s="13" t="n">
        <x:v>0.2125</x:v>
      </x:c>
      <x:c r="AD382" s="13" t="n">
        <x:v>0.17597803190189884</x:v>
      </x:c>
      <x:c r="AE382" s="13" t="n">
        <x:v>0.2983951655857878</x:v>
      </x:c>
      <x:c r="AF382" s="13" t="n">
        <x:v>46451.075405405405</x:v>
      </x:c>
      <x:c r="AG382" s="13" t="n">
        <x:v>1.8287492622082142</x:v>
      </x:c>
      <x:c r="AH382" s="13" t="n">
        <x:v>-0.015761013247300056</x:v>
      </x:c>
      <x:c r="AI382" s="13" t="n">
        <x:v>14</x:v>
      </x:c>
      <x:c r="AJ382" s="13" t="n">
        <x:v>-95674666.17</x:v>
      </x:c>
      <x:c r="AK382" s="13" t="n">
        <x:v>45.55892241114004</x:v>
      </x:c>
      <x:c r="AL382" s="13" t="n">
        <x:v>0.030971128608923884</x:v>
      </x:c>
      <x:c r="AM382" s="13" t="n">
        <x:v>0.011375947995666305</x:v>
      </x:c>
      <x:c r="AN382" s="13" t="n">
        <x:v>0.11569566478966344</x:v>
      </x:c>
      <x:c r="AO382" s="13" t="n">
        <x:v>1.4167998991606061</x:v>
      </x:c>
      <x:c r="AP382" s="13" t="n">
        <x:v>-0.035468814148356835</x:v>
      </x:c>
    </x:row>
    <x:row r="383" ht="15" hidden="0" customHeight="1">
      <x:c r="A383" s="2" t="str">
        <x:v>E382</x:v>
      </x:c>
      <x:c r="B383" s="2" t="str">
        <x:v>***教育信息咨询有限公司***分公司</x:v>
      </x:c>
      <x:c r="C383" s="2" t="str">
        <x:v>无信贷记录</x:v>
      </x:c>
      <x:c r="D383" s="2" t="str"/>
      <x:c r="E383" s="2" t="str"/>
      <x:c r="F383" s="13" t="n">
        <x:v>2</x:v>
      </x:c>
      <x:c r="G383" s="13" t="n">
        <x:v>2</x:v>
      </x:c>
      <x:c r="H383" s="13" t="n">
        <x:v>0</x:v>
      </x:c>
      <x:c r="I383" s="13" t="n">
        <x:v>0</x:v>
      </x:c>
      <x:c r="J383" s="13" t="n">
        <x:v>760</x:v>
      </x:c>
      <x:c r="K383" s="13" t="n">
        <x:v>760</x:v>
      </x:c>
      <x:c r="L383" s="13" t="n">
        <x:v>2</x:v>
      </x:c>
      <x:c r="M383" s="13" t="n">
        <x:v>0</x:v>
      </x:c>
      <x:c r="N383" s="13" t="n">
        <x:v>0</x:v>
      </x:c>
      <x:c r="O383" s="13" t="n">
        <x:v>0.5346260387811634</x:v>
      </x:c>
      <x:c r="P383" s="13" t="n">
        <x:v>0.631578947368421</x:v>
      </x:c>
      <x:c r="Q383" s="13" t="n">
        <x:v>58.46153846153846</x:v>
      </x:c>
      <x:c r="R383" s="13" t="n">
        <x:v>2.4392905739070057</x:v>
      </x:c>
      <x:c r="S383" s="13" t="n">
        <x:v>-0.11278195488528908</x:v>
      </x:c>
      <x:c r="T383" s="13" t="n">
        <x:v>2</x:v>
      </x:c>
      <x:c r="U383" s="13" t="n">
        <x:v>88</x:v>
      </x:c>
      <x:c r="V383" s="13" t="n">
        <x:v>88</x:v>
      </x:c>
      <x:c r="W383" s="13" t="n">
        <x:v>0</x:v>
      </x:c>
      <x:c r="X383" s="13" t="n">
        <x:v>0</x:v>
      </x:c>
      <x:c r="Y383" s="13" t="n">
        <x:v>531947</x:v>
      </x:c>
      <x:c r="Z383" s="13" t="n">
        <x:v>531947</x:v>
      </x:c>
      <x:c r="AA383" s="13" t="n">
        <x:v>77</x:v>
      </x:c>
      <x:c r="AB383" s="13" t="n">
        <x:v>0</x:v>
      </x:c>
      <x:c r="AC383" s="13" t="n">
        <x:v>0</x:v>
      </x:c>
      <x:c r="AD383" s="13" t="n">
        <x:v>0.015446537207929031</x:v>
      </x:c>
      <x:c r="AE383" s="13" t="n">
        <x:v>0.024551318082440543</x:v>
      </x:c>
      <x:c r="AF383" s="13" t="n">
        <x:v>20459.5</x:v>
      </x:c>
      <x:c r="AG383" s="13" t="n">
        <x:v>0.8361625808282449</x:v>
      </x:c>
      <x:c r="AH383" s="13" t="n">
        <x:v>0.03585221000504678</x:v>
      </x:c>
      <x:c r="AI383" s="13" t="n">
        <x:v>20</x:v>
      </x:c>
      <x:c r="AJ383" s="13" t="n">
        <x:v>531187</x:v>
      </x:c>
      <x:c r="AK383" s="13" t="n">
        <x:v>0.0014287137628372724</x:v>
      </x:c>
      <x:c r="AL383" s="13" t="n">
        <x:v>0</x:v>
      </x:c>
      <x:c r="AM383" s="13" t="n">
        <x:v>0</x:v>
      </x:c>
      <x:c r="AN383" s="13" t="n">
        <x:v>0.2750362879945462</x:v>
      </x:c>
      <x:c r="AO383" s="13" t="n">
        <x:v>1.6377265773676253</x:v>
      </x:c>
      <x:c r="AP383" s="13" t="n">
        <x:v>-0.03846487244012115</x:v>
      </x:c>
    </x:row>
    <x:row r="384" ht="15" hidden="0" customHeight="1">
      <x:c r="A384" s="2" t="str">
        <x:v>E383</x:v>
      </x:c>
      <x:c r="B384" s="2" t="str">
        <x:v>***通讯器材经营部</x:v>
      </x:c>
      <x:c r="C384" s="2" t="str">
        <x:v>无信贷记录</x:v>
      </x:c>
      <x:c r="D384" s="2" t="str"/>
      <x:c r="E384" s="2" t="str"/>
      <x:c r="F384" s="13" t="n">
        <x:v>13</x:v>
      </x:c>
      <x:c r="G384" s="13" t="n">
        <x:v>13</x:v>
      </x:c>
      <x:c r="H384" s="13" t="n">
        <x:v>0</x:v>
      </x:c>
      <x:c r="I384" s="13" t="n">
        <x:v>0</x:v>
      </x:c>
      <x:c r="J384" s="13" t="n">
        <x:v>234550</x:v>
      </x:c>
      <x:c r="K384" s="13" t="n">
        <x:v>234550</x:v>
      </x:c>
      <x:c r="L384" s="13" t="n">
        <x:v>7</x:v>
      </x:c>
      <x:c r="M384" s="13" t="n">
        <x:v>0</x:v>
      </x:c>
      <x:c r="N384" s="13" t="n">
        <x:v>0</x:v>
      </x:c>
      <x:c r="O384" s="13" t="n">
        <x:v>0.8695658086274052</x:v>
      </x:c>
      <x:c r="P384" s="13" t="n">
        <x:v>0.9310168407589</x:v>
      </x:c>
      <x:c r="Q384" s="13" t="n">
        <x:v>8087.931034482759</x:v>
      </x:c>
      <x:c r="R384" s="13" t="n">
        <x:v>4.921146854050725</x:v>
      </x:c>
      <x:c r="S384" s="13" t="n">
        <x:v>0.09527666961048854</x:v>
      </x:c>
      <x:c r="T384" s="13" t="n">
        <x:v>7</x:v>
      </x:c>
      <x:c r="U384" s="13" t="n">
        <x:v>126</x:v>
      </x:c>
      <x:c r="V384" s="13" t="n">
        <x:v>111</x:v>
      </x:c>
      <x:c r="W384" s="13" t="n">
        <x:v>15</x:v>
      </x:c>
      <x:c r="X384" s="13" t="n">
        <x:v>7</x:v>
      </x:c>
      <x:c r="Y384" s="13" t="n">
        <x:v>836692</x:v>
      </x:c>
      <x:c r="Z384" s="13" t="n">
        <x:v>962692</x:v>
      </x:c>
      <x:c r="AA384" s="13" t="n">
        <x:v>10</x:v>
      </x:c>
      <x:c r="AB384" s="13" t="n">
        <x:v>0.11904761904761904</x:v>
      </x:c>
      <x:c r="AC384" s="13" t="n">
        <x:v>0.06306306306306306</x:v>
      </x:c>
      <x:c r="AD384" s="13" t="n">
        <x:v>0.7594890837867586</x:v>
      </x:c>
      <x:c r="AE384" s="13" t="n">
        <x:v>0.8670644401324619</x:v>
      </x:c>
      <x:c r="AF384" s="13" t="n">
        <x:v>39842.47619047619</x:v>
      </x:c>
      <x:c r="AG384" s="13" t="n">
        <x:v>1.3144322839165545</x:v>
      </x:c>
      <x:c r="AH384" s="13" t="n">
        <x:v>-0.08702051976984469</x:v>
      </x:c>
      <x:c r="AI384" s="13" t="n">
        <x:v>15</x:v>
      </x:c>
      <x:c r="AJ384" s="13" t="n">
        <x:v>602142</x:v>
      </x:c>
      <x:c r="AK384" s="13" t="n">
        <x:v>0.24363971031233222</x:v>
      </x:c>
      <x:c r="AL384" s="13" t="n">
        <x:v>0.1079136690647482</x:v>
      </x:c>
      <x:c r="AM384" s="13" t="n">
        <x:v>0.056451612903225805</x:v>
      </x:c>
      <x:c r="AN384" s="13" t="n">
        <x:v>0.814527446207082</x:v>
      </x:c>
      <x:c r="AO384" s="13" t="n">
        <x:v>3.1177895689836395</x:v>
      </x:c>
      <x:c r="AP384" s="13" t="n">
        <x:v>0.004128074920321925</x:v>
      </x:c>
    </x:row>
    <x:row r="385" ht="15" hidden="0" customHeight="1">
      <x:c r="A385" s="2" t="str">
        <x:v>E384</x:v>
      </x:c>
      <x:c r="B385" s="2" t="str">
        <x:v>个体经营E384 </x:v>
      </x:c>
      <x:c r="C385" s="2" t="str">
        <x:v>无信贷记录</x:v>
      </x:c>
      <x:c r="D385" s="2" t="str"/>
      <x:c r="E385" s="2" t="str"/>
      <x:c r="F385" s="13" t="n">
        <x:v>247</x:v>
      </x:c>
      <x:c r="G385" s="13" t="n">
        <x:v>236</x:v>
      </x:c>
      <x:c r="H385" s="13" t="n">
        <x:v>11</x:v>
      </x:c>
      <x:c r="I385" s="13" t="n">
        <x:v>3</x:v>
      </x:c>
      <x:c r="J385" s="13" t="n">
        <x:v>2918989.4</x:v>
      </x:c>
      <x:c r="K385" s="13" t="n">
        <x:v>2968189.4</x:v>
      </x:c>
      <x:c r="L385" s="13" t="n">
        <x:v>78</x:v>
      </x:c>
      <x:c r="M385" s="13" t="n">
        <x:v>0.044534412955465584</x:v>
      </x:c>
      <x:c r="N385" s="13" t="n">
        <x:v>0.012711864406779662</x:v>
      </x:c>
      <x:c r="O385" s="13" t="n">
        <x:v>0.07962989604361764</x:v>
      </x:c>
      <x:c r="P385" s="13" t="n">
        <x:v>0.18841486328332013</x:v>
      </x:c>
      <x:c r="Q385" s="13" t="n">
        <x:v>81083.03888888887</x:v>
      </x:c>
      <x:c r="R385" s="13" t="n">
        <x:v>0.9417005896190483</x:v>
      </x:c>
      <x:c r="S385" s="13" t="n">
        <x:v>-0.0005510298375273954</x:v>
      </x:c>
      <x:c r="T385" s="13" t="n">
        <x:v>35</x:v>
      </x:c>
      <x:c r="U385" s="13" t="n">
        <x:v>32</x:v>
      </x:c>
      <x:c r="V385" s="13" t="n">
        <x:v>27</x:v>
      </x:c>
      <x:c r="W385" s="13" t="n">
        <x:v>5</x:v>
      </x:c>
      <x:c r="X385" s="13" t="n">
        <x:v>0</x:v>
      </x:c>
      <x:c r="Y385" s="13" t="n">
        <x:v>2300821.07</x:v>
      </x:c>
      <x:c r="Z385" s="13" t="n">
        <x:v>2300821.07</x:v>
      </x:c>
      <x:c r="AA385" s="13" t="n">
        <x:v>4</x:v>
      </x:c>
      <x:c r="AB385" s="13" t="n">
        <x:v>0.15625</x:v>
      </x:c>
      <x:c r="AC385" s="13" t="n">
        <x:v>0</x:v>
      </x:c>
      <x:c r="AD385" s="13" t="n">
        <x:v>0.6391052618477966</x:v>
      </x:c>
      <x:c r="AE385" s="13" t="n">
        <x:v>0.7648643751336995</x:v>
      </x:c>
      <x:c r="AF385" s="13" t="n">
        <x:v>74220.03451612903</x:v>
      </x:c>
      <x:c r="AG385" s="13" t="n">
        <x:v>2.201340696287297</x:v>
      </x:c>
      <x:c r="AH385" s="13" t="n">
        <x:v>0.07569554316755177</x:v>
      </x:c>
      <x:c r="AI385" s="13" t="n">
        <x:v>8</x:v>
      </x:c>
      <x:c r="AJ385" s="13" t="n">
        <x:v>-618168.3300000001</x:v>
      </x:c>
      <x:c r="AK385" s="13" t="n">
        <x:v>1.2900565970564581</x:v>
      </x:c>
      <x:c r="AL385" s="13" t="n">
        <x:v>0.05734767025089606</x:v>
      </x:c>
      <x:c r="AM385" s="13" t="n">
        <x:v>0.011406844106463879</x:v>
      </x:c>
      <x:c r="AN385" s="13" t="n">
        <x:v>0.35936757894570714</x:v>
      </x:c>
      <x:c r="AO385" s="13" t="n">
        <x:v>1.5715206429531725</x:v>
      </x:c>
      <x:c r="AP385" s="13" t="n">
        <x:v>0.03757225666501219</x:v>
      </x:c>
    </x:row>
    <x:row r="386" ht="15" hidden="0" customHeight="1">
      <x:c r="A386" s="2" t="str">
        <x:v>E385</x:v>
      </x:c>
      <x:c r="B386" s="2" t="str">
        <x:v>***装饰工程有限公司</x:v>
      </x:c>
      <x:c r="C386" s="2" t="str">
        <x:v>无信贷记录</x:v>
      </x:c>
      <x:c r="D386" s="2" t="str"/>
      <x:c r="E386" s="2" t="str"/>
      <x:c r="F386" s="13" t="n">
        <x:v>31</x:v>
      </x:c>
      <x:c r="G386" s="13" t="n">
        <x:v>29</x:v>
      </x:c>
      <x:c r="H386" s="13" t="n">
        <x:v>2</x:v>
      </x:c>
      <x:c r="I386" s="13" t="n">
        <x:v>0</x:v>
      </x:c>
      <x:c r="J386" s="13" t="n">
        <x:v>14584</x:v>
      </x:c>
      <x:c r="K386" s="13" t="n">
        <x:v>14584</x:v>
      </x:c>
      <x:c r="L386" s="13" t="n">
        <x:v>7</x:v>
      </x:c>
      <x:c r="M386" s="13" t="n">
        <x:v>0.06451612903225806</x:v>
      </x:c>
      <x:c r="N386" s="13" t="n">
        <x:v>0</x:v>
      </x:c>
      <x:c r="O386" s="13" t="n">
        <x:v>0.27457152150750047</x:v>
      </x:c>
      <x:c r="P386" s="13" t="n">
        <x:v>0.3867251782775645</x:v>
      </x:c>
      <x:c r="Q386" s="13" t="n">
        <x:v>455.75</x:v>
      </x:c>
      <x:c r="R386" s="13" t="n">
        <x:v>1.7166780658618541</x:v>
      </x:c>
      <x:c r="S386" s="13" t="n">
        <x:v>0.020732960879430325</x:v>
      </x:c>
      <x:c r="T386" s="13" t="n">
        <x:v>15</x:v>
      </x:c>
      <x:c r="U386" s="13" t="n">
        <x:v>28</x:v>
      </x:c>
      <x:c r="V386" s="13" t="n">
        <x:v>12</x:v>
      </x:c>
      <x:c r="W386" s="13" t="n">
        <x:v>16</x:v>
      </x:c>
      <x:c r="X386" s="13" t="n">
        <x:v>1</x:v>
      </x:c>
      <x:c r="Y386" s="13" t="n">
        <x:v>485993.58999999997</x:v>
      </x:c>
      <x:c r="Z386" s="13" t="n">
        <x:v>603225.59</x:v>
      </x:c>
      <x:c r="AA386" s="13" t="n">
        <x:v>8</x:v>
      </x:c>
      <x:c r="AB386" s="13" t="n">
        <x:v>0.5714285714285714</x:v>
      </x:c>
      <x:c r="AC386" s="13" t="n">
        <x:v>0.08333333333333333</x:v>
      </x:c>
      <x:c r="AD386" s="13" t="n">
        <x:v>0.24933858315866925</x:v>
      </x:c>
      <x:c r="AE386" s="13" t="n">
        <x:v>0.2915128318743905</x:v>
      </x:c>
      <x:c r="AF386" s="13" t="n">
        <x:v>24299.6795</x:v>
      </x:c>
      <x:c r="AG386" s="13" t="n">
        <x:v>1.6097177794745994</x:v>
      </x:c>
      <x:c r="AH386" s="13" t="n">
        <x:v>0.06289886449408676</x:v>
      </x:c>
      <x:c r="AI386" s="13" t="n">
        <x:v>9</x:v>
      </x:c>
      <x:c r="AJ386" s="13" t="n">
        <x:v>471409.58999999997</x:v>
      </x:c>
      <x:c r="AK386" s="13" t="n">
        <x:v>0.02417669316714494</x:v>
      </x:c>
      <x:c r="AL386" s="13" t="n">
        <x:v>0.3050847457627119</x:v>
      </x:c>
      <x:c r="AM386" s="13" t="n">
        <x:v>0.024390243902439025</x:v>
      </x:c>
      <x:c r="AN386" s="13" t="n">
        <x:v>0.26195505233308486</x:v>
      </x:c>
      <x:c r="AO386" s="13" t="n">
        <x:v>1.6631979226682267</x:v>
      </x:c>
      <x:c r="AP386" s="13" t="n">
        <x:v>0.04181591268675854</x:v>
      </x:c>
    </x:row>
    <x:row r="387" ht="15" hidden="0" customHeight="1">
      <x:c r="A387" s="2" t="str">
        <x:v>E386</x:v>
      </x:c>
      <x:c r="B387" s="2" t="str">
        <x:v>个体经营E386 </x:v>
      </x:c>
      <x:c r="C387" s="2" t="str">
        <x:v>无信贷记录</x:v>
      </x:c>
      <x:c r="D387" s="2" t="str"/>
      <x:c r="E387" s="2" t="str"/>
      <x:c r="F387" s="13" t="n">
        <x:v>401</x:v>
      </x:c>
      <x:c r="G387" s="13" t="n">
        <x:v>398</x:v>
      </x:c>
      <x:c r="H387" s="13" t="n">
        <x:v>3</x:v>
      </x:c>
      <x:c r="I387" s="13" t="n">
        <x:v>0</x:v>
      </x:c>
      <x:c r="J387" s="13" t="n">
        <x:v>197247.36000000002</x:v>
      </x:c>
      <x:c r="K387" s="13" t="n">
        <x:v>197247.36000000002</x:v>
      </x:c>
      <x:c r="L387" s="13" t="n">
        <x:v>113</x:v>
      </x:c>
      <x:c r="M387" s="13" t="n">
        <x:v>0.007481296758104738</x:v>
      </x:c>
      <x:c r="N387" s="13" t="n">
        <x:v>0</x:v>
      </x:c>
      <x:c r="O387" s="13" t="n">
        <x:v>0.048447723337565564</x:v>
      </x:c>
      <x:c r="P387" s="13" t="n">
        <x:v>0.16592364024542586</x:v>
      </x:c>
      <x:c r="Q387" s="13" t="n">
        <x:v>7044.5485714285705</x:v>
      </x:c>
      <x:c r="R387" s="13" t="n">
        <x:v>1.1926462508084592</x:v>
      </x:c>
      <x:c r="S387" s="13" t="n">
        <x:v>-0.09176440092152419</x:v>
      </x:c>
      <x:c r="T387" s="13" t="n">
        <x:v>20</x:v>
      </x:c>
      <x:c r="U387" s="13" t="n">
        <x:v>66</x:v>
      </x:c>
      <x:c r="V387" s="13" t="n">
        <x:v>54</x:v>
      </x:c>
      <x:c r="W387" s="13" t="n">
        <x:v>12</x:v>
      </x:c>
      <x:c r="X387" s="13" t="n">
        <x:v>4</x:v>
      </x:c>
      <x:c r="Y387" s="13" t="n">
        <x:v>4270000</x:v>
      </x:c>
      <x:c r="Z387" s="13" t="n">
        <x:v>4870000</x:v>
      </x:c>
      <x:c r="AA387" s="13" t="n">
        <x:v>7</x:v>
      </x:c>
      <x:c r="AB387" s="13" t="n">
        <x:v>0.18181818181818182</x:v>
      </x:c>
      <x:c r="AC387" s="13" t="n">
        <x:v>0.07407407407407407</x:v>
      </x:c>
      <x:c r="AD387" s="13" t="n">
        <x:v>0.3878204993064017</x:v>
      </x:c>
      <x:c r="AE387" s="13" t="n">
        <x:v>0.4517453798767967</x:v>
      </x:c>
      <x:c r="AF387" s="13" t="n">
        <x:v>158148.14814814815</x:v>
      </x:c>
      <x:c r="AG387" s="13" t="n">
        <x:v>1.4076033051717491</x:v>
      </x:c>
      <x:c r="AH387" s="13" t="n">
        <x:v>-0.07126385391909983</x:v>
      </x:c>
      <x:c r="AI387" s="13" t="n">
        <x:v>13</x:v>
      </x:c>
      <x:c r="AJ387" s="13" t="n">
        <x:v>4072752.64</x:v>
      </x:c>
      <x:c r="AK387" s="13" t="n">
        <x:v>0.040502537987679665</x:v>
      </x:c>
      <x:c r="AL387" s="13" t="n">
        <x:v>0.032119914346895075</x:v>
      </x:c>
      <x:c r="AM387" s="13" t="n">
        <x:v>0.008849557522123894</x:v>
      </x:c>
      <x:c r="AN387" s="13" t="n">
        <x:v>0.21813411132198365</x:v>
      </x:c>
      <x:c r="AO387" s="13" t="n">
        <x:v>1.3001247779901042</x:v>
      </x:c>
      <x:c r="AP387" s="13" t="n">
        <x:v>-0.081514127420312</x:v>
      </x:c>
    </x:row>
    <x:row r="388" ht="15" hidden="0" customHeight="1">
      <x:c r="A388" s="2" t="str">
        <x:v>E387</x:v>
      </x:c>
      <x:c r="B388" s="2" t="str">
        <x:v>***农副产品经营部</x:v>
      </x:c>
      <x:c r="C388" s="2" t="str">
        <x:v>无信贷记录</x:v>
      </x:c>
      <x:c r="D388" s="2" t="str"/>
      <x:c r="E388" s="2" t="str"/>
      <x:c r="F388" s="13" t="n">
        <x:v>3</x:v>
      </x:c>
      <x:c r="G388" s="13" t="n">
        <x:v>3</x:v>
      </x:c>
      <x:c r="H388" s="13" t="n">
        <x:v>0</x:v>
      </x:c>
      <x:c r="I388" s="13" t="n">
        <x:v>0</x:v>
      </x:c>
      <x:c r="J388" s="13" t="n">
        <x:v>1380</x:v>
      </x:c>
      <x:c r="K388" s="13" t="n">
        <x:v>1380</x:v>
      </x:c>
      <x:c r="L388" s="13" t="n">
        <x:v>1</x:v>
      </x:c>
      <x:c r="M388" s="13" t="n">
        <x:v>0</x:v>
      </x:c>
      <x:c r="N388" s="13" t="n">
        <x:v>0</x:v>
      </x:c>
      <x:c r="O388" s="13" t="n">
        <x:v>1</x:v>
      </x:c>
      <x:c r="P388" s="13" t="n">
        <x:v>1</x:v>
      </x:c>
      <x:c r="Q388" s="13" t="n">
        <x:v>55.2</x:v>
      </x:c>
      <x:c r="R388" s="13" t="n">
        <x:v>3.144092589301693</x:v>
      </x:c>
      <x:c r="S388" s="13" t="n">
        <x:v>-0.09030100334284565</x:v>
      </x:c>
      <x:c r="T388" s="13" t="n">
        <x:v>3</x:v>
      </x:c>
      <x:c r="U388" s="13" t="n">
        <x:v>94</x:v>
      </x:c>
      <x:c r="V388" s="13" t="n">
        <x:v>86</x:v>
      </x:c>
      <x:c r="W388" s="13" t="n">
        <x:v>8</x:v>
      </x:c>
      <x:c r="X388" s="13" t="n">
        <x:v>0</x:v>
      </x:c>
      <x:c r="Y388" s="13" t="n">
        <x:v>849901</x:v>
      </x:c>
      <x:c r="Z388" s="13" t="n">
        <x:v>849901</x:v>
      </x:c>
      <x:c r="AA388" s="13" t="n">
        <x:v>8</x:v>
      </x:c>
      <x:c r="AB388" s="13" t="n">
        <x:v>0.0851063829787234</x:v>
      </x:c>
      <x:c r="AC388" s="13" t="n">
        <x:v>0</x:v>
      </x:c>
      <x:c r="AD388" s="13" t="n">
        <x:v>0.5619219044292302</x:v>
      </x:c>
      <x:c r="AE388" s="13" t="n">
        <x:v>0.7412628059032758</x:v>
      </x:c>
      <x:c r="AF388" s="13" t="n">
        <x:v>29306.931034482757</x:v>
      </x:c>
      <x:c r="AG388" s="13" t="n">
        <x:v>0.19896960402318845</x:v>
      </x:c>
      <x:c r="AH388" s="13" t="n">
        <x:v>-0.004386863881793113</x:v>
      </x:c>
      <x:c r="AI388" s="13" t="n">
        <x:v>28</x:v>
      </x:c>
      <x:c r="AJ388" s="13" t="n">
        <x:v>848521</x:v>
      </x:c>
      <x:c r="AK388" s="13" t="n">
        <x:v>0.0016237185272166973</x:v>
      </x:c>
      <x:c r="AL388" s="13" t="n">
        <x:v>0.08247422680412371</x:v>
      </x:c>
      <x:c r="AM388" s="13" t="n">
        <x:v>0</x:v>
      </x:c>
      <x:c r="AN388" s="13" t="n">
        <x:v>0.780960952214615</x:v>
      </x:c>
      <x:c r="AO388" s="13" t="n">
        <x:v>1.6715310966624406</x:v>
      </x:c>
      <x:c r="AP388" s="13" t="n">
        <x:v>-0.04734393361231938</x:v>
      </x:c>
    </x:row>
    <x:row r="389" ht="15" hidden="0" customHeight="1">
      <x:c r="A389" s="2" t="str">
        <x:v>E388</x:v>
      </x:c>
      <x:c r="B389" s="2" t="str">
        <x:v>***商贸有限公司</x:v>
      </x:c>
      <x:c r="C389" s="2" t="str">
        <x:v>无信贷记录</x:v>
      </x:c>
      <x:c r="D389" s="2" t="str"/>
      <x:c r="E389" s="2" t="str"/>
      <x:c r="F389" s="13" t="n">
        <x:v>292</x:v>
      </x:c>
      <x:c r="G389" s="13" t="n">
        <x:v>291</x:v>
      </x:c>
      <x:c r="H389" s="13" t="n">
        <x:v>1</x:v>
      </x:c>
      <x:c r="I389" s="13" t="n">
        <x:v>1</x:v>
      </x:c>
      <x:c r="J389" s="13" t="n">
        <x:v>105457.8</x:v>
      </x:c>
      <x:c r="K389" s="13" t="n">
        <x:v>106207.8</x:v>
      </x:c>
      <x:c r="L389" s="13" t="n">
        <x:v>56</x:v>
      </x:c>
      <x:c r="M389" s="13" t="n">
        <x:v>0.003424657534246575</x:v>
      </x:c>
      <x:c r="N389" s="13" t="n">
        <x:v>0.003436426116838488</x:v>
      </x:c>
      <x:c r="O389" s="13" t="n">
        <x:v>0.3101530706895115</x:v>
      </x:c>
      <x:c r="P389" s="13" t="n">
        <x:v>0.5486336220126958</x:v>
      </x:c>
      <x:c r="Q389" s="13" t="n">
        <x:v>3905.8444444444444</x:v>
      </x:c>
      <x:c r="R389" s="13" t="n">
        <x:v>0.7459061049231189</x:v>
      </x:c>
      <x:c r="S389" s="13" t="n">
        <x:v>-0.002233705314842424</x:v>
      </x:c>
      <x:c r="T389" s="13" t="n">
        <x:v>26</x:v>
      </x:c>
      <x:c r="U389" s="13" t="n">
        <x:v>354</x:v>
      </x:c>
      <x:c r="V389" s="13" t="n">
        <x:v>319</x:v>
      </x:c>
      <x:c r="W389" s="13" t="n">
        <x:v>35</x:v>
      </x:c>
      <x:c r="X389" s="13" t="n">
        <x:v>0</x:v>
      </x:c>
      <x:c r="Y389" s="13" t="n">
        <x:v>1062450.5</x:v>
      </x:c>
      <x:c r="Z389" s="13" t="n">
        <x:v>1062450.5</x:v>
      </x:c>
      <x:c r="AA389" s="13" t="n">
        <x:v>94</x:v>
      </x:c>
      <x:c r="AB389" s="13" t="n">
        <x:v>0.09887005649717515</x:v>
      </x:c>
      <x:c r="AC389" s="13" t="n">
        <x:v>0</x:v>
      </x:c>
      <x:c r="AD389" s="13" t="n">
        <x:v>0.08409045205359857</x:v>
      </x:c>
      <x:c r="AE389" s="13" t="n">
        <x:v>0.22908784926921302</x:v>
      </x:c>
      <x:c r="AF389" s="13" t="n">
        <x:v>28714.87837837838</x:v>
      </x:c>
      <x:c r="AG389" s="13" t="n">
        <x:v>0.7075012748781665</x:v>
      </x:c>
      <x:c r="AH389" s="13" t="n">
        <x:v>-0.0003011616054071132</x:v>
      </x:c>
      <x:c r="AI389" s="13" t="n">
        <x:v>35</x:v>
      </x:c>
      <x:c r="AJ389" s="13" t="n">
        <x:v>956992.7</x:v>
      </x:c>
      <x:c r="AK389" s="13" t="n">
        <x:v>0.09996493954306569</x:v>
      </x:c>
      <x:c r="AL389" s="13" t="n">
        <x:v>0.05572755417956656</x:v>
      </x:c>
      <x:c r="AM389" s="13" t="n">
        <x:v>0.001639344262295082</x:v>
      </x:c>
      <x:c r="AN389" s="13" t="n">
        <x:v>0.19712176137155502</x:v>
      </x:c>
      <x:c r="AO389" s="13" t="n">
        <x:v>0.7267036899006427</x:v>
      </x:c>
      <x:c r="AP389" s="13" t="n">
        <x:v>-0.0012674334601247687</x:v>
      </x:c>
    </x:row>
    <x:row r="390" ht="15" hidden="0" customHeight="1">
      <x:c r="A390" s="2" t="str">
        <x:v>E389</x:v>
      </x:c>
      <x:c r="B390" s="2" t="str">
        <x:v>***清洁服务有限公司</x:v>
      </x:c>
      <x:c r="C390" s="2" t="str">
        <x:v>无信贷记录</x:v>
      </x:c>
      <x:c r="D390" s="2" t="str"/>
      <x:c r="E390" s="2" t="str"/>
      <x:c r="F390" s="13" t="n">
        <x:v>2</x:v>
      </x:c>
      <x:c r="G390" s="13" t="n">
        <x:v>2</x:v>
      </x:c>
      <x:c r="H390" s="13" t="n">
        <x:v>0</x:v>
      </x:c>
      <x:c r="I390" s="13" t="n">
        <x:v>0</x:v>
      </x:c>
      <x:c r="J390" s="13" t="n">
        <x:v>2880</x:v>
      </x:c>
      <x:c r="K390" s="13" t="n">
        <x:v>2880</x:v>
      </x:c>
      <x:c r="L390" s="13" t="n">
        <x:v>2</x:v>
      </x:c>
      <x:c r="M390" s="13" t="n">
        <x:v>0</x:v>
      </x:c>
      <x:c r="N390" s="13" t="n">
        <x:v>0</x:v>
      </x:c>
      <x:c r="O390" s="13" t="n">
        <x:v>0.7222222222222223</x:v>
      </x:c>
      <x:c r="P390" s="13" t="n">
        <x:v>0.8333333333333334</x:v>
      </x:c>
      <x:c r="Q390" s="13" t="n">
        <x:v>360</x:v>
      </x:c>
      <x:c r="R390" s="13" t="n">
        <x:v>2.1858128414279285</x:v>
      </x:c>
      <x:c r="S390" s="13" t="n">
        <x:v>0.44444444444320974</x:v>
      </x:c>
      <x:c r="T390" s="13" t="n">
        <x:v>2</x:v>
      </x:c>
      <x:c r="U390" s="13" t="n">
        <x:v>64</x:v>
      </x:c>
      <x:c r="V390" s="13" t="n">
        <x:v>63</x:v>
      </x:c>
      <x:c r="W390" s="13" t="n">
        <x:v>1</x:v>
      </x:c>
      <x:c r="X390" s="13" t="n">
        <x:v>0</x:v>
      </x:c>
      <x:c r="Y390" s="13" t="n">
        <x:v>475467</x:v>
      </x:c>
      <x:c r="Z390" s="13" t="n">
        <x:v>475467</x:v>
      </x:c>
      <x:c r="AA390" s="13" t="n">
        <x:v>2</x:v>
      </x:c>
      <x:c r="AB390" s="13" t="n">
        <x:v>0.015625</x:v>
      </x:c>
      <x:c r="AC390" s="13" t="n">
        <x:v>0</x:v>
      </x:c>
      <x:c r="AD390" s="13" t="n">
        <x:v>0.985386006362011</x:v>
      </x:c>
      <x:c r="AE390" s="13" t="n">
        <x:v>0.9926388161533818</x:v>
      </x:c>
      <x:c r="AF390" s="13" t="n">
        <x:v>27968.647058823528</x:v>
      </x:c>
      <x:c r="AG390" s="13" t="n">
        <x:v>1.0608259986480062</x:v>
      </x:c>
      <x:c r="AH390" s="13" t="n">
        <x:v>-0.04895257364513729</x:v>
      </x:c>
      <x:c r="AI390" s="13" t="n">
        <x:v>11</x:v>
      </x:c>
      <x:c r="AJ390" s="13" t="n">
        <x:v>472587</x:v>
      </x:c>
      <x:c r="AK390" s="13" t="n">
        <x:v>0.006057202708074365</x:v>
      </x:c>
      <x:c r="AL390" s="13" t="n">
        <x:v>0.015151515151515152</x:v>
      </x:c>
      <x:c r="AM390" s="13" t="n">
        <x:v>0</x:v>
      </x:c>
      <x:c r="AN390" s="13" t="n">
        <x:v>0.8538041142921167</x:v>
      </x:c>
      <x:c r="AO390" s="13" t="n">
        <x:v>1.6233194200379675</x:v>
      </x:c>
      <x:c r="AP390" s="13" t="n">
        <x:v>0.19774593539903623</x:v>
      </x:c>
    </x:row>
    <x:row r="391" ht="15" hidden="0" customHeight="1">
      <x:c r="A391" s="2" t="str">
        <x:v>E390</x:v>
      </x:c>
      <x:c r="B391" s="2" t="str">
        <x:v>***建筑工程有限公司</x:v>
      </x:c>
      <x:c r="C391" s="2" t="str">
        <x:v>无信贷记录</x:v>
      </x:c>
      <x:c r="D391" s="2" t="str"/>
      <x:c r="E391" s="2" t="str"/>
      <x:c r="F391" s="13" t="n">
        <x:v>16</x:v>
      </x:c>
      <x:c r="G391" s="13" t="n">
        <x:v>16</x:v>
      </x:c>
      <x:c r="H391" s="13" t="n">
        <x:v>0</x:v>
      </x:c>
      <x:c r="I391" s="13" t="n">
        <x:v>0</x:v>
      </x:c>
      <x:c r="J391" s="13" t="n">
        <x:v>7278.8</x:v>
      </x:c>
      <x:c r="K391" s="13" t="n">
        <x:v>7278.8</x:v>
      </x:c>
      <x:c r="L391" s="13" t="n">
        <x:v>14</x:v>
      </x:c>
      <x:c r="M391" s="13" t="n">
        <x:v>0</x:v>
      </x:c>
      <x:c r="N391" s="13" t="n">
        <x:v>0</x:v>
      </x:c>
      <x:c r="O391" s="13" t="n">
        <x:v>0.15213388525258004</x:v>
      </x:c>
      <x:c r="P391" s="13" t="n">
        <x:v>0.3111776666483486</x:v>
      </x:c>
      <x:c r="Q391" s="13" t="n">
        <x:v>259.95714285714286</x:v>
      </x:c>
      <x:c r="R391" s="13" t="n">
        <x:v>2.372441727373445</x:v>
      </x:c>
      <x:c r="S391" s="13" t="n">
        <x:v>-0.046146295429345695</x:v>
      </x:c>
      <x:c r="T391" s="13" t="n">
        <x:v>9</x:v>
      </x:c>
      <x:c r="U391" s="13" t="n">
        <x:v>14</x:v>
      </x:c>
      <x:c r="V391" s="13" t="n">
        <x:v>14</x:v>
      </x:c>
      <x:c r="W391" s="13" t="n">
        <x:v>0</x:v>
      </x:c>
      <x:c r="X391" s="13" t="n">
        <x:v>0</x:v>
      </x:c>
      <x:c r="Y391" s="13" t="n">
        <x:v>817905.6199999999</x:v>
      </x:c>
      <x:c r="Z391" s="13" t="n">
        <x:v>817905.6199999999</x:v>
      </x:c>
      <x:c r="AA391" s="13" t="n">
        <x:v>1</x:v>
      </x:c>
      <x:c r="AB391" s="13" t="n">
        <x:v>0</x:v>
      </x:c>
      <x:c r="AC391" s="13" t="n">
        <x:v>0</x:v>
      </x:c>
      <x:c r="AD391" s="13" t="n">
        <x:v>1</x:v>
      </x:c>
      <x:c r="AE391" s="13" t="n">
        <x:v>1</x:v>
      </x:c>
      <x:c r="AF391" s="13" t="n">
        <x:v>45439.20111111111</x:v>
      </x:c>
      <x:c r="AG391" s="13" t="n">
        <x:v>1.7834870776724085</x:v>
      </x:c>
      <x:c r="AH391" s="13" t="n">
        <x:v>-0.015027629245120388</x:v>
      </x:c>
      <x:c r="AI391" s="13" t="n">
        <x:v>5</x:v>
      </x:c>
      <x:c r="AJ391" s="13" t="n">
        <x:v>810626.8199999998</x:v>
      </x:c>
      <x:c r="AK391" s="13" t="n">
        <x:v>0.00889931530241838</x:v>
      </x:c>
      <x:c r="AL391" s="13" t="n">
        <x:v>0</x:v>
      </x:c>
      <x:c r="AM391" s="13" t="n">
        <x:v>0</x:v>
      </x:c>
      <x:c r="AN391" s="13" t="n">
        <x:v>0.57606694262629</x:v>
      </x:c>
      <x:c r="AO391" s="13" t="n">
        <x:v>2.0779644025229267</x:v>
      </x:c>
      <x:c r="AP391" s="13" t="n">
        <x:v>-0.030586962337233042</x:v>
      </x:c>
    </x:row>
    <x:row r="392" ht="15" hidden="0" customHeight="1">
      <x:c r="A392" s="2" t="str">
        <x:v>E391</x:v>
      </x:c>
      <x:c r="B392" s="2" t="str">
        <x:v>***五金店</x:v>
      </x:c>
      <x:c r="C392" s="2" t="str">
        <x:v>无信贷记录</x:v>
      </x:c>
      <x:c r="D392" s="2" t="str"/>
      <x:c r="E392" s="2" t="str"/>
      <x:c r="F392" s="13" t="n">
        <x:v>3</x:v>
      </x:c>
      <x:c r="G392" s="13" t="n">
        <x:v>3</x:v>
      </x:c>
      <x:c r="H392" s="13" t="n">
        <x:v>0</x:v>
      </x:c>
      <x:c r="I392" s="13" t="n">
        <x:v>0</x:v>
      </x:c>
      <x:c r="J392" s="13" t="n">
        <x:v>890</x:v>
      </x:c>
      <x:c r="K392" s="13" t="n">
        <x:v>890</x:v>
      </x:c>
      <x:c r="L392" s="13" t="n">
        <x:v>2</x:v>
      </x:c>
      <x:c r="M392" s="13" t="n">
        <x:v>0</x:v>
      </x:c>
      <x:c r="N392" s="13" t="n">
        <x:v>0</x:v>
      </x:c>
      <x:c r="O392" s="13" t="n">
        <x:v>0.5333922484534781</x:v>
      </x:c>
      <x:c r="P392" s="13" t="n">
        <x:v>0.6292134831460674</x:v>
      </x:c>
      <x:c r="Q392" s="13" t="n">
        <x:v>35.6</x:v>
      </x:c>
      <x:c r="R392" s="13" t="n">
        <x:v>2.7177078795856504</x:v>
      </x:c>
      <x:c r="S392" s="13" t="n">
        <x:v>-0.012964563525997086</x:v>
      </x:c>
      <x:c r="T392" s="13" t="n">
        <x:v>3</x:v>
      </x:c>
      <x:c r="U392" s="13" t="n">
        <x:v>350</x:v>
      </x:c>
      <x:c r="V392" s="13" t="n">
        <x:v>318</x:v>
      </x:c>
      <x:c r="W392" s="13" t="n">
        <x:v>32</x:v>
      </x:c>
      <x:c r="X392" s="13" t="n">
        <x:v>3</x:v>
      </x:c>
      <x:c r="Y392" s="13" t="n">
        <x:v>1354392.2</x:v>
      </x:c>
      <x:c r="Z392" s="13" t="n">
        <x:v>1373678.92</x:v>
      </x:c>
      <x:c r="AA392" s="13" t="n">
        <x:v>102</x:v>
      </x:c>
      <x:c r="AB392" s="13" t="n">
        <x:v>0.09142857142857143</x:v>
      </x:c>
      <x:c r="AC392" s="13" t="n">
        <x:v>0.009433962264150943</x:v>
      </x:c>
      <x:c r="AD392" s="13" t="n">
        <x:v>0.05572264295538892</x:v>
      </x:c>
      <x:c r="AE392" s="13" t="n">
        <x:v>0.13550546440648592</x:v>
      </x:c>
      <x:c r="AF392" s="13" t="n">
        <x:v>35641.9</x:v>
      </x:c>
      <x:c r="AG392" s="13" t="n">
        <x:v>0.633373368358345</x:v>
      </x:c>
      <x:c r="AH392" s="13" t="n">
        <x:v>-0.011547943847258303</x:v>
      </x:c>
      <x:c r="AI392" s="13" t="n">
        <x:v>38</x:v>
      </x:c>
      <x:c r="AJ392" s="13" t="n">
        <x:v>1353502.2</x:v>
      </x:c>
      <x:c r="AK392" s="13" t="n">
        <x:v>0.000647895215571918</x:v>
      </x:c>
      <x:c r="AL392" s="13" t="n">
        <x:v>0.0906515580736544</x:v>
      </x:c>
      <x:c r="AM392" s="13" t="n">
        <x:v>0.009345794392523364</x:v>
      </x:c>
      <x:c r="AN392" s="13" t="n">
        <x:v>0.2945574457044335</x:v>
      </x:c>
      <x:c r="AO392" s="13" t="n">
        <x:v>1.6755406239719977</x:v>
      </x:c>
      <x:c r="AP392" s="13" t="n">
        <x:v>-0.012256253686627694</x:v>
      </x:c>
    </x:row>
    <x:row r="393" ht="15" hidden="0" customHeight="1">
      <x:c r="A393" s="2" t="str">
        <x:v>E392</x:v>
      </x:c>
      <x:c r="B393" s="2" t="str">
        <x:v>***科技有限公司</x:v>
      </x:c>
      <x:c r="C393" s="2" t="str">
        <x:v>无信贷记录</x:v>
      </x:c>
      <x:c r="D393" s="2" t="str"/>
      <x:c r="E393" s="2" t="str"/>
      <x:c r="F393" s="13" t="n">
        <x:v>179</x:v>
      </x:c>
      <x:c r="G393" s="13" t="n">
        <x:v>179</x:v>
      </x:c>
      <x:c r="H393" s="13" t="n">
        <x:v>0</x:v>
      </x:c>
      <x:c r="I393" s="13" t="n">
        <x:v>0</x:v>
      </x:c>
      <x:c r="J393" s="13" t="n">
        <x:v>93949.76000000001</x:v>
      </x:c>
      <x:c r="K393" s="13" t="n">
        <x:v>93949.76000000001</x:v>
      </x:c>
      <x:c r="L393" s="13" t="n">
        <x:v>31</x:v>
      </x:c>
      <x:c r="M393" s="13" t="n">
        <x:v>0</x:v>
      </x:c>
      <x:c r="N393" s="13" t="n">
        <x:v>0</x:v>
      </x:c>
      <x:c r="O393" s="13" t="n">
        <x:v>0.1743488800227552</x:v>
      </x:c>
      <x:c r="P393" s="13" t="n">
        <x:v>0.35699931537877266</x:v>
      </x:c>
      <x:c r="Q393" s="13" t="n">
        <x:v>3239.6468965517242</x:v>
      </x:c>
      <x:c r="R393" s="13" t="n">
        <x:v>1.2838443912178406</x:v>
      </x:c>
      <x:c r="S393" s="13" t="n">
        <x:v>0.018258285826680598</x:v>
      </x:c>
      <x:c r="T393" s="13" t="n">
        <x:v>29</x:v>
      </x:c>
      <x:c r="U393" s="13" t="n">
        <x:v>260</x:v>
      </x:c>
      <x:c r="V393" s="13" t="n">
        <x:v>227</x:v>
      </x:c>
      <x:c r="W393" s="13" t="n">
        <x:v>33</x:v>
      </x:c>
      <x:c r="X393" s="13" t="n">
        <x:v>2</x:v>
      </x:c>
      <x:c r="Y393" s="13" t="n">
        <x:v>1039838</x:v>
      </x:c>
      <x:c r="Z393" s="13" t="n">
        <x:v>1048438</x:v>
      </x:c>
      <x:c r="AA393" s="13" t="n">
        <x:v>166</x:v>
      </x:c>
      <x:c r="AB393" s="13" t="n">
        <x:v>0.12692307692307692</x:v>
      </x:c>
      <x:c r="AC393" s="13" t="n">
        <x:v>0.00881057268722467</x:v>
      </x:c>
      <x:c r="AD393" s="13" t="n">
        <x:v>0.03608565154361266</x:v>
      </x:c>
      <x:c r="AE393" s="13" t="n">
        <x:v>0.1291444987686444</x:v>
      </x:c>
      <x:c r="AF393" s="13" t="n">
        <x:v>29709.657142857144</x:v>
      </x:c>
      <x:c r="AG393" s="13" t="n">
        <x:v>1.1651221806631606</x:v>
      </x:c>
      <x:c r="AH393" s="13" t="n">
        <x:v>0.00736673951738084</x:v>
      </x:c>
      <x:c r="AI393" s="13" t="n">
        <x:v>32</x:v>
      </x:c>
      <x:c r="AJ393" s="13" t="n">
        <x:v>945888.24</x:v>
      </x:c>
      <x:c r="AK393" s="13" t="n">
        <x:v>0.08960926635623653</x:v>
      </x:c>
      <x:c r="AL393" s="13" t="n">
        <x:v>0.07517084282460136</x:v>
      </x:c>
      <x:c r="AM393" s="13" t="n">
        <x:v>0.0049261083743842365</x:v>
      </x:c>
      <x:c r="AN393" s="13" t="n">
        <x:v>0.10521726578318392</x:v>
      </x:c>
      <x:c r="AO393" s="13" t="n">
        <x:v>1.2244832859405006</x:v>
      </x:c>
      <x:c r="AP393" s="13" t="n">
        <x:v>0.012812512672030719</x:v>
      </x:c>
    </x:row>
    <x:row r="394" ht="15" hidden="0" customHeight="1">
      <x:c r="A394" s="2" t="str">
        <x:v>E393</x:v>
      </x:c>
      <x:c r="B394" s="2" t="str">
        <x:v>***商贸有限责任公司</x:v>
      </x:c>
      <x:c r="C394" s="2" t="str">
        <x:v>无信贷记录</x:v>
      </x:c>
      <x:c r="D394" s="2" t="str"/>
      <x:c r="E394" s="2" t="str"/>
      <x:c r="F394" s="13" t="n">
        <x:v>24</x:v>
      </x:c>
      <x:c r="G394" s="13" t="n">
        <x:v>23</x:v>
      </x:c>
      <x:c r="H394" s="13" t="n">
        <x:v>1</x:v>
      </x:c>
      <x:c r="I394" s="13" t="n">
        <x:v>0</x:v>
      </x:c>
      <x:c r="J394" s="13" t="n">
        <x:v>427228.24</x:v>
      </x:c>
      <x:c r="K394" s="13" t="n">
        <x:v>427228.24</x:v>
      </x:c>
      <x:c r="L394" s="13" t="n">
        <x:v>6</x:v>
      </x:c>
      <x:c r="M394" s="13" t="n">
        <x:v>0.041666666666666664</x:v>
      </x:c>
      <x:c r="N394" s="13" t="n">
        <x:v>0</x:v>
      </x:c>
      <x:c r="O394" s="13" t="n">
        <x:v>0.5302867149042575</x:v>
      </x:c>
      <x:c r="P394" s="13" t="n">
        <x:v>0.6374013103628168</x:v>
      </x:c>
      <x:c r="Q394" s="13" t="n">
        <x:v>14240.941333333332</x:v>
      </x:c>
      <x:c r="R394" s="13" t="n">
        <x:v>1.3006572539950776</x:v>
      </x:c>
      <x:c r="S394" s="13" t="n">
        <x:v>0.08184395042928172</x:v>
      </x:c>
      <x:c r="T394" s="13" t="n">
        <x:v>16</x:v>
      </x:c>
      <x:c r="U394" s="13" t="n">
        <x:v>607</x:v>
      </x:c>
      <x:c r="V394" s="13" t="n">
        <x:v>544</x:v>
      </x:c>
      <x:c r="W394" s="13" t="n">
        <x:v>63</x:v>
      </x:c>
      <x:c r="X394" s="13" t="n">
        <x:v>10</x:v>
      </x:c>
      <x:c r="Y394" s="13" t="n">
        <x:v>920606.5900000001</x:v>
      </x:c>
      <x:c r="Z394" s="13" t="n">
        <x:v>982824.59</x:v>
      </x:c>
      <x:c r="AA394" s="13" t="n">
        <x:v>167</x:v>
      </x:c>
      <x:c r="AB394" s="13" t="n">
        <x:v>0.10378912685337727</x:v>
      </x:c>
      <x:c r="AC394" s="13" t="n">
        <x:v>0.01838235294117647</x:v>
      </x:c>
      <x:c r="AD394" s="13" t="n">
        <x:v>0.06572765435605951</x:v>
      </x:c>
      <x:c r="AE394" s="13" t="n">
        <x:v>0.17133779691043344</x:v>
      </x:c>
      <x:c r="AF394" s="13" t="n">
        <x:v>25572.405277777776</x:v>
      </x:c>
      <x:c r="AG394" s="13" t="n">
        <x:v>0.26359510937775327</x:v>
      </x:c>
      <x:c r="AH394" s="13" t="n">
        <x:v>-0.002172829837315611</x:v>
      </x:c>
      <x:c r="AI394" s="13" t="n">
        <x:v>36</x:v>
      </x:c>
      <x:c r="AJ394" s="13" t="n">
        <x:v>493378.3500000001</x:v>
      </x:c>
      <x:c r="AK394" s="13" t="n">
        <x:v>0.4346942927018132</x:v>
      </x:c>
      <x:c r="AL394" s="13" t="n">
        <x:v>0.10142630744849446</x:v>
      </x:c>
      <x:c r="AM394" s="13" t="n">
        <x:v>0.01763668430335097</x:v>
      </x:c>
      <x:c r="AN394" s="13" t="n">
        <x:v>0.2980071846301585</x:v>
      </x:c>
      <x:c r="AO394" s="13" t="n">
        <x:v>0.7821261816864155</x:v>
      </x:c>
      <x:c r="AP394" s="13" t="n">
        <x:v>0.03983556029598306</x:v>
      </x:c>
    </x:row>
    <x:row r="395" ht="15" hidden="0" customHeight="1">
      <x:c r="A395" s="2" t="str">
        <x:v>E394</x:v>
      </x:c>
      <x:c r="B395" s="2" t="str">
        <x:v>***环保设计研究院（有限合伙）</x:v>
      </x:c>
      <x:c r="C395" s="2" t="str">
        <x:v>无信贷记录</x:v>
      </x:c>
      <x:c r="D395" s="2" t="str"/>
      <x:c r="E395" s="2" t="str"/>
      <x:c r="F395" s="13" t="n">
        <x:v>551</x:v>
      </x:c>
      <x:c r="G395" s="13" t="n">
        <x:v>533</x:v>
      </x:c>
      <x:c r="H395" s="13" t="n">
        <x:v>18</x:v>
      </x:c>
      <x:c r="I395" s="13" t="n">
        <x:v>4</x:v>
      </x:c>
      <x:c r="J395" s="13" t="n">
        <x:v>770078.85</x:v>
      </x:c>
      <x:c r="K395" s="13" t="n">
        <x:v>804253.0499999999</x:v>
      </x:c>
      <x:c r="L395" s="13" t="n">
        <x:v>131</x:v>
      </x:c>
      <x:c r="M395" s="13" t="n">
        <x:v>0.032667876588021776</x:v>
      </x:c>
      <x:c r="N395" s="13" t="n">
        <x:v>0.0075046904315197</x:v>
      </x:c>
      <x:c r="O395" s="13" t="n">
        <x:v>0.07517550785278729</x:v>
      </x:c>
      <x:c r="P395" s="13" t="n">
        <x:v>0.1367728726673775</x:v>
      </x:c>
      <x:c r="Q395" s="13" t="n">
        <x:v>20812.94189189189</x:v>
      </x:c>
      <x:c r="R395" s="13" t="n">
        <x:v>1.1186231008112353</x:v>
      </x:c>
      <x:c r="S395" s="13" t="n">
        <x:v>-0.023653607200844518</x:v>
      </x:c>
      <x:c r="T395" s="13" t="n">
        <x:v>35</x:v>
      </x:c>
      <x:c r="U395" s="13" t="n">
        <x:v>79</x:v>
      </x:c>
      <x:c r="V395" s="13" t="n">
        <x:v>21</x:v>
      </x:c>
      <x:c r="W395" s="13" t="n">
        <x:v>58</x:v>
      </x:c>
      <x:c r="X395" s="13" t="n">
        <x:v>0</x:v>
      </x:c>
      <x:c r="Y395" s="13" t="n">
        <x:v>1104149</x:v>
      </x:c>
      <x:c r="Z395" s="13" t="n">
        <x:v>1104149</x:v>
      </x:c>
      <x:c r="AA395" s="13" t="n">
        <x:v>12</x:v>
      </x:c>
      <x:c r="AB395" s="13" t="n">
        <x:v>0.7341772151898734</x:v>
      </x:c>
      <x:c r="AC395" s="13" t="n">
        <x:v>0</x:v>
      </x:c>
      <x:c r="AD395" s="13" t="n">
        <x:v>0.1869396923961214</x:v>
      </x:c>
      <x:c r="AE395" s="13" t="n">
        <x:v>0.2719107656665903</x:v>
      </x:c>
      <x:c r="AF395" s="13" t="n">
        <x:v>42467.269230769234</x:v>
      </x:c>
      <x:c r="AG395" s="13" t="n">
        <x:v>1.9709266025833845</x:v>
      </x:c>
      <x:c r="AH395" s="13" t="n">
        <x:v>0.12372174810142587</x:v>
      </x:c>
      <x:c r="AI395" s="13" t="n">
        <x:v>10</x:v>
      </x:c>
      <x:c r="AJ395" s="13" t="n">
        <x:v>334070.15</x:v>
      </x:c>
      <x:c r="AK395" s="13" t="n">
        <x:v>0.7283917750231167</x:v>
      </x:c>
      <x:c r="AL395" s="13" t="n">
        <x:v>0.12063492063492064</x:v>
      </x:c>
      <x:c r="AM395" s="13" t="n">
        <x:v>0.007220216606498195</x:v>
      </x:c>
      <x:c r="AN395" s="13" t="n">
        <x:v>0.13105760012445433</x:v>
      </x:c>
      <x:c r="AO395" s="13" t="n">
        <x:v>1.5447748516973099</x:v>
      </x:c>
      <x:c r="AP395" s="13" t="n">
        <x:v>0.05003407045029068</x:v>
      </x:c>
    </x:row>
    <x:row r="396" ht="15" hidden="0" customHeight="1">
      <x:c r="A396" s="2" t="str">
        <x:v>E395</x:v>
      </x:c>
      <x:c r="B396" s="2" t="str">
        <x:v>***网络科技有限公司</x:v>
      </x:c>
      <x:c r="C396" s="2" t="str">
        <x:v>无信贷记录</x:v>
      </x:c>
      <x:c r="D396" s="2" t="str"/>
      <x:c r="E396" s="2" t="str"/>
      <x:c r="F396" s="13" t="n">
        <x:v>137</x:v>
      </x:c>
      <x:c r="G396" s="13" t="n">
        <x:v>133</x:v>
      </x:c>
      <x:c r="H396" s="13" t="n">
        <x:v>4</x:v>
      </x:c>
      <x:c r="I396" s="13" t="n">
        <x:v>3</x:v>
      </x:c>
      <x:c r="J396" s="13" t="n">
        <x:v>264456.02</x:v>
      </x:c>
      <x:c r="K396" s="13" t="n">
        <x:v>270074.02</x:v>
      </x:c>
      <x:c r="L396" s="13" t="n">
        <x:v>37</x:v>
      </x:c>
      <x:c r="M396" s="13" t="n">
        <x:v>0.029197080291970802</x:v>
      </x:c>
      <x:c r="N396" s="13" t="n">
        <x:v>0.022556390977443608</x:v>
      </x:c>
      <x:c r="O396" s="13" t="n">
        <x:v>0.21287418372899833</x:v>
      </x:c>
      <x:c r="P396" s="13" t="n">
        <x:v>0.3319608454008275</x:v>
      </x:c>
      <x:c r="Q396" s="13" t="n">
        <x:v>8013.8187878787885</x:v>
      </x:c>
      <x:c r="R396" s="13" t="n">
        <x:v>1.1497417169249684</x:v>
      </x:c>
      <x:c r="S396" s="13" t="n">
        <x:v>-0.04948142052333589</x:v>
      </x:c>
      <x:c r="T396" s="13" t="n">
        <x:v>31</x:v>
      </x:c>
      <x:c r="U396" s="13" t="n">
        <x:v>139</x:v>
      </x:c>
      <x:c r="V396" s="13" t="n">
        <x:v>94</x:v>
      </x:c>
      <x:c r="W396" s="13" t="n">
        <x:v>45</x:v>
      </x:c>
      <x:c r="X396" s="13" t="n">
        <x:v>3</x:v>
      </x:c>
      <x:c r="Y396" s="13" t="n">
        <x:v>2216623.0999999996</x:v>
      </x:c>
      <x:c r="Z396" s="13" t="n">
        <x:v>2216923.0999999996</x:v>
      </x:c>
      <x:c r="AA396" s="13" t="n">
        <x:v>21</x:v>
      </x:c>
      <x:c r="AB396" s="13" t="n">
        <x:v>0.3237410071942446</x:v>
      </x:c>
      <x:c r="AC396" s="13" t="n">
        <x:v>0.031914893617021274</x:v>
      </x:c>
      <x:c r="AD396" s="13" t="n">
        <x:v>0.2067157019264864</x:v>
      </x:c>
      <x:c r="AE396" s="13" t="n">
        <x:v>0.31643587456867583</x:v>
      </x:c>
      <x:c r="AF396" s="13" t="n">
        <x:v>71503.97096774195</x:v>
      </x:c>
      <x:c r="AG396" s="13" t="n">
        <x:v>1.3706499410044566</x:v>
      </x:c>
      <x:c r="AH396" s="13" t="n">
        <x:v>-0.085348017103132</x:v>
      </x:c>
      <x:c r="AI396" s="13" t="n">
        <x:v>28</x:v>
      </x:c>
      <x:c r="AJ396" s="13" t="n">
        <x:v>1952167.0799999996</x:v>
      </x:c>
      <x:c r="AK396" s="13" t="n">
        <x:v>0.12182381066803803</x:v>
      </x:c>
      <x:c r="AL396" s="13" t="n">
        <x:v>0.17753623188405798</x:v>
      </x:c>
      <x:c r="AM396" s="13" t="n">
        <x:v>0.02643171806167401</x:v>
      </x:c>
      <x:c r="AN396" s="13" t="n">
        <x:v>0.20979494282774236</x:v>
      </x:c>
      <x:c r="AO396" s="13" t="n">
        <x:v>1.2601958289647124</x:v>
      </x:c>
      <x:c r="AP396" s="13" t="n">
        <x:v>-0.06741471881323394</x:v>
      </x:c>
    </x:row>
    <x:row r="397" ht="15" hidden="0" customHeight="1">
      <x:c r="A397" s="2" t="str">
        <x:v>E396</x:v>
      </x:c>
      <x:c r="B397" s="2" t="str">
        <x:v>***文化传播有限公司</x:v>
      </x:c>
      <x:c r="C397" s="2" t="str">
        <x:v>无信贷记录</x:v>
      </x:c>
      <x:c r="D397" s="2" t="str"/>
      <x:c r="E397" s="2" t="str"/>
      <x:c r="F397" s="13" t="n">
        <x:v>211</x:v>
      </x:c>
      <x:c r="G397" s="13" t="n">
        <x:v>198</x:v>
      </x:c>
      <x:c r="H397" s="13" t="n">
        <x:v>13</x:v>
      </x:c>
      <x:c r="I397" s="13" t="n">
        <x:v>0</x:v>
      </x:c>
      <x:c r="J397" s="13" t="n">
        <x:v>498716.18</x:v>
      </x:c>
      <x:c r="K397" s="13" t="n">
        <x:v>498716.18</x:v>
      </x:c>
      <x:c r="L397" s="13" t="n">
        <x:v>96</x:v>
      </x:c>
      <x:c r="M397" s="13" t="n">
        <x:v>0.061611374407582936</x:v>
      </x:c>
      <x:c r="N397" s="13" t="n">
        <x:v>0</x:v>
      </x:c>
      <x:c r="O397" s="13" t="n">
        <x:v>0.08412158129798351</x:v>
      </x:c>
      <x:c r="P397" s="13" t="n">
        <x:v>0.17679995864581735</x:v>
      </x:c>
      <x:c r="Q397" s="13" t="n">
        <x:v>13853.22722222222</x:v>
      </x:c>
      <x:c r="R397" s="13" t="n">
        <x:v>1.3837263782048315</x:v>
      </x:c>
      <x:c r="S397" s="13" t="n">
        <x:v>-0.013393714840288121</x:v>
      </x:c>
      <x:c r="T397" s="13" t="n">
        <x:v>31</x:v>
      </x:c>
      <x:c r="U397" s="13" t="n">
        <x:v>70</x:v>
      </x:c>
      <x:c r="V397" s="13" t="n">
        <x:v>65</x:v>
      </x:c>
      <x:c r="W397" s="13" t="n">
        <x:v>5</x:v>
      </x:c>
      <x:c r="X397" s="13" t="n">
        <x:v>3</x:v>
      </x:c>
      <x:c r="Y397" s="13" t="n">
        <x:v>655218.2</x:v>
      </x:c>
      <x:c r="Z397" s="13" t="n">
        <x:v>700832.2</x:v>
      </x:c>
      <x:c r="AA397" s="13" t="n">
        <x:v>14</x:v>
      </x:c>
      <x:c r="AB397" s="13" t="n">
        <x:v>0.07142857142857142</x:v>
      </x:c>
      <x:c r="AC397" s="13" t="n">
        <x:v>0.046153846153846156</x:v>
      </x:c>
      <x:c r="AD397" s="13" t="n">
        <x:v>0.2087524317671678</x:v>
      </x:c>
      <x:c r="AE397" s="13" t="n">
        <x:v>0.3869571061375319</x:v>
      </x:c>
      <x:c r="AF397" s="13" t="n">
        <x:v>20475.56875</x:v>
      </x:c>
      <x:c r="AG397" s="13" t="n">
        <x:v>2.0775910076584543</x:v>
      </x:c>
      <x:c r="AH397" s="13" t="n">
        <x:v>-0.05745123624644609</x:v>
      </x:c>
      <x:c r="AI397" s="13" t="n">
        <x:v>14</x:v>
      </x:c>
      <x:c r="AJ397" s="13" t="n">
        <x:v>156502.01999999996</x:v>
      </x:c>
      <x:c r="AK397" s="13" t="n">
        <x:v>0.7116056882089596</x:v>
      </x:c>
      <x:c r="AL397" s="13" t="n">
        <x:v>0.06405693950177936</x:v>
      </x:c>
      <x:c r="AM397" s="13" t="n">
        <x:v>0.011406844106463879</x:v>
      </x:c>
      <x:c r="AN397" s="13" t="n">
        <x:v>0.14643700653257566</x:v>
      </x:c>
      <x:c r="AO397" s="13" t="n">
        <x:v>1.7306586929316428</x:v>
      </x:c>
      <x:c r="AP397" s="13" t="n">
        <x:v>-0.0354224755433671</x:v>
      </x:c>
    </x:row>
    <x:row r="398" ht="15" hidden="0" customHeight="1">
      <x:c r="A398" s="2" t="str">
        <x:v>E397</x:v>
      </x:c>
      <x:c r="B398" s="2" t="str">
        <x:v>***大闸蟹经营部</x:v>
      </x:c>
      <x:c r="C398" s="2" t="str">
        <x:v>无信贷记录</x:v>
      </x:c>
      <x:c r="D398" s="2" t="str"/>
      <x:c r="E398" s="2" t="str"/>
      <x:c r="F398" s="13" t="n">
        <x:v>19</x:v>
      </x:c>
      <x:c r="G398" s="13" t="n">
        <x:v>19</x:v>
      </x:c>
      <x:c r="H398" s="13" t="n">
        <x:v>0</x:v>
      </x:c>
      <x:c r="I398" s="13" t="n">
        <x:v>0</x:v>
      </x:c>
      <x:c r="J398" s="13" t="n">
        <x:v>442640</x:v>
      </x:c>
      <x:c r="K398" s="13" t="n">
        <x:v>442640</x:v>
      </x:c>
      <x:c r="L398" s="13" t="n">
        <x:v>4</x:v>
      </x:c>
      <x:c r="M398" s="13" t="n">
        <x:v>0</x:v>
      </x:c>
      <x:c r="N398" s="13" t="n">
        <x:v>0</x:v>
      </x:c>
      <x:c r="O398" s="13" t="n">
        <x:v>0.882222201679756</x:v>
      </x:c>
      <x:c r="P398" s="13" t="n">
        <x:v>0.9375564793059823</x:v>
      </x:c>
      <x:c r="Q398" s="13" t="n">
        <x:v>15808.57142857143</x:v>
      </x:c>
      <x:c r="R398" s="13" t="n">
        <x:v>4.86143938080837</x:v>
      </x:c>
      <x:c r="S398" s="13" t="n">
        <x:v>0.024755680476526223</x:v>
      </x:c>
      <x:c r="T398" s="13" t="n">
        <x:v>9</x:v>
      </x:c>
      <x:c r="U398" s="13" t="n">
        <x:v>183</x:v>
      </x:c>
      <x:c r="V398" s="13" t="n">
        <x:v>132</x:v>
      </x:c>
      <x:c r="W398" s="13" t="n">
        <x:v>51</x:v>
      </x:c>
      <x:c r="X398" s="13" t="n">
        <x:v>0</x:v>
      </x:c>
      <x:c r="Y398" s="13" t="n">
        <x:v>669721.5</x:v>
      </x:c>
      <x:c r="Z398" s="13" t="n">
        <x:v>669721.5</x:v>
      </x:c>
      <x:c r="AA398" s="13" t="n">
        <x:v>95</x:v>
      </x:c>
      <x:c r="AB398" s="13" t="n">
        <x:v>0.2786885245901639</x:v>
      </x:c>
      <x:c r="AC398" s="13" t="n">
        <x:v>0</x:v>
      </x:c>
      <x:c r="AD398" s="13" t="n">
        <x:v>0.07159479226393807</x:v>
      </x:c>
      <x:c r="AE398" s="13" t="n">
        <x:v>0.171607601069997</x:v>
      </x:c>
      <x:c r="AF398" s="13" t="n">
        <x:v>23093.84482758621</x:v>
      </x:c>
      <x:c r="AG398" s="13" t="n">
        <x:v>1.410378283513843</x:v>
      </x:c>
      <x:c r="AH398" s="13" t="n">
        <x:v>-0.00868785649813253</x:v>
      </x:c>
      <x:c r="AI398" s="13" t="n">
        <x:v>14</x:v>
      </x:c>
      <x:c r="AJ398" s="13" t="n">
        <x:v>227081.5</x:v>
      </x:c>
      <x:c r="AK398" s="13" t="n">
        <x:v>0.6609314468775443</x:v>
      </x:c>
      <x:c r="AL398" s="13" t="n">
        <x:v>0.2524752475247525</x:v>
      </x:c>
      <x:c r="AM398" s="13" t="n">
        <x:v>0</x:v>
      </x:c>
      <x:c r="AN398" s="13" t="n">
        <x:v>0.476908496971847</x:v>
      </x:c>
      <x:c r="AO398" s="13" t="n">
        <x:v>3.1359088321611064</x:v>
      </x:c>
      <x:c r="AP398" s="13" t="n">
        <x:v>0.008033911989196847</x:v>
      </x:c>
    </x:row>
    <x:row r="399" ht="15" hidden="0" customHeight="1">
      <x:c r="A399" s="2" t="str">
        <x:v>E398</x:v>
      </x:c>
      <x:c r="B399" s="2" t="str">
        <x:v>***医疗管理咨询有限公司</x:v>
      </x:c>
      <x:c r="C399" s="2" t="str">
        <x:v>无信贷记录</x:v>
      </x:c>
      <x:c r="D399" s="2" t="str"/>
      <x:c r="E399" s="2" t="str"/>
      <x:c r="F399" s="13" t="n">
        <x:v>74</x:v>
      </x:c>
      <x:c r="G399" s="13" t="n">
        <x:v>73</x:v>
      </x:c>
      <x:c r="H399" s="13" t="n">
        <x:v>1</x:v>
      </x:c>
      <x:c r="I399" s="13" t="n">
        <x:v>0</x:v>
      </x:c>
      <x:c r="J399" s="13" t="n">
        <x:v>80810.79000000001</x:v>
      </x:c>
      <x:c r="K399" s="13" t="n">
        <x:v>80810.79000000001</x:v>
      </x:c>
      <x:c r="L399" s="13" t="n">
        <x:v>20</x:v>
      </x:c>
      <x:c r="M399" s="13" t="n">
        <x:v>0.013513513513513514</x:v>
      </x:c>
      <x:c r="N399" s="13" t="n">
        <x:v>0</x:v>
      </x:c>
      <x:c r="O399" s="13" t="n">
        <x:v>0.21957929913696075</x:v>
      </x:c>
      <x:c r="P399" s="13" t="n">
        <x:v>0.3813673891815685</x:v>
      </x:c>
      <x:c r="Q399" s="13" t="n">
        <x:v>2606.7996774193552</x:v>
      </x:c>
      <x:c r="R399" s="13" t="n">
        <x:v>1.2369202739131482</x:v>
      </x:c>
      <x:c r="S399" s="13" t="n">
        <x:v>-0.002346756540802634</x:v>
      </x:c>
      <x:c r="T399" s="13" t="n">
        <x:v>31</x:v>
      </x:c>
      <x:c r="U399" s="13" t="n">
        <x:v>89</x:v>
      </x:c>
      <x:c r="V399" s="13" t="n">
        <x:v>89</x:v>
      </x:c>
      <x:c r="W399" s="13" t="n">
        <x:v>0</x:v>
      </x:c>
      <x:c r="X399" s="13" t="n">
        <x:v>0</x:v>
      </x:c>
      <x:c r="Y399" s="13" t="n">
        <x:v>637433.35</x:v>
      </x:c>
      <x:c r="Z399" s="13" t="n">
        <x:v>637433.35</x:v>
      </x:c>
      <x:c r="AA399" s="13" t="n">
        <x:v>24</x:v>
      </x:c>
      <x:c r="AB399" s="13" t="n">
        <x:v>0</x:v>
      </x:c>
      <x:c r="AC399" s="13" t="n">
        <x:v>0</x:v>
      </x:c>
      <x:c r="AD399" s="13" t="n">
        <x:v>0.6506070378772504</x:v>
      </x:c>
      <x:c r="AE399" s="13" t="n">
        <x:v>0.803221230894179</x:v>
      </x:c>
      <x:c r="AF399" s="13" t="n">
        <x:v>19316.16212121212</x:v>
      </x:c>
      <x:c r="AG399" s="13" t="n">
        <x:v>2.3481761538448196</x:v>
      </x:c>
      <x:c r="AH399" s="13" t="n">
        <x:v>0.03753103975036382</x:v>
      </x:c>
      <x:c r="AI399" s="13" t="n">
        <x:v>20</x:v>
      </x:c>
      <x:c r="AJ399" s="13" t="n">
        <x:v>556622.5599999999</x:v>
      </x:c>
      <x:c r="AK399" s="13" t="n">
        <x:v>0.12677527776041195</x:v>
      </x:c>
      <x:c r="AL399" s="13" t="n">
        <x:v>0.006134969325153374</x:v>
      </x:c>
      <x:c r="AM399" s="13" t="n">
        <x:v>0</x:v>
      </x:c>
      <x:c r="AN399" s="13" t="n">
        <x:v>0.43509316850710555</x:v>
      </x:c>
      <x:c r="AO399" s="13" t="n">
        <x:v>1.7925482138789839</x:v>
      </x:c>
      <x:c r="AP399" s="13" t="n">
        <x:v>0.017592141604780592</x:v>
      </x:c>
    </x:row>
    <x:row r="400" ht="15" hidden="0" customHeight="1">
      <x:c r="A400" s="2" t="str">
        <x:v>E399</x:v>
      </x:c>
      <x:c r="B400" s="2" t="str">
        <x:v>***装饰工程有限公司</x:v>
      </x:c>
      <x:c r="C400" s="2" t="str">
        <x:v>无信贷记录</x:v>
      </x:c>
      <x:c r="D400" s="2" t="str"/>
      <x:c r="E400" s="2" t="str"/>
      <x:c r="F400" s="13" t="n">
        <x:v>52</x:v>
      </x:c>
      <x:c r="G400" s="13" t="n">
        <x:v>52</x:v>
      </x:c>
      <x:c r="H400" s="13" t="n">
        <x:v>0</x:v>
      </x:c>
      <x:c r="I400" s="13" t="n">
        <x:v>0</x:v>
      </x:c>
      <x:c r="J400" s="13" t="n">
        <x:v>20171.2</x:v>
      </x:c>
      <x:c r="K400" s="13" t="n">
        <x:v>20171.2</x:v>
      </x:c>
      <x:c r="L400" s="13" t="n">
        <x:v>13</x:v>
      </x:c>
      <x:c r="M400" s="13" t="n">
        <x:v>0</x:v>
      </x:c>
      <x:c r="N400" s="13" t="n">
        <x:v>0</x:v>
      </x:c>
      <x:c r="O400" s="13" t="n">
        <x:v>0.3193611263769961</x:v>
      </x:c>
      <x:c r="P400" s="13" t="n">
        <x:v>0.48713016578091534</x:v>
      </x:c>
      <x:c r="Q400" s="13" t="n">
        <x:v>806.8480000000001</x:v>
      </x:c>
      <x:c r="R400" s="13" t="n">
        <x:v>1.3747885582911392</x:v>
      </x:c>
      <x:c r="S400" s="13" t="n">
        <x:v>-0.04358079455242294</x:v>
      </x:c>
      <x:c r="T400" s="13" t="n">
        <x:v>24</x:v>
      </x:c>
      <x:c r="U400" s="13" t="n">
        <x:v>19</x:v>
      </x:c>
      <x:c r="V400" s="13" t="n">
        <x:v>15</x:v>
      </x:c>
      <x:c r="W400" s="13" t="n">
        <x:v>4</x:v>
      </x:c>
      <x:c r="X400" s="13" t="n">
        <x:v>0</x:v>
      </x:c>
      <x:c r="Y400" s="13" t="n">
        <x:v>455424.8</x:v>
      </x:c>
      <x:c r="Z400" s="13" t="n">
        <x:v>455424.8</x:v>
      </x:c>
      <x:c r="AA400" s="13" t="n">
        <x:v>9</x:v>
      </x:c>
      <x:c r="AB400" s="13" t="n">
        <x:v>0.21052631578947367</x:v>
      </x:c>
      <x:c r="AC400" s="13" t="n">
        <x:v>0</x:v>
      </x:c>
      <x:c r="AD400" s="13" t="n">
        <x:v>0.25024699580453663</x:v>
      </x:c>
      <x:c r="AE400" s="13" t="n">
        <x:v>0.34480730957119593</x:v>
      </x:c>
      <x:c r="AF400" s="13" t="n">
        <x:v>18216.992</x:v>
      </x:c>
      <x:c r="AG400" s="13" t="n">
        <x:v>2.271792867440036</x:v>
      </x:c>
      <x:c r="AH400" s="13" t="n">
        <x:v>-0.05897320817500512</x:v>
      </x:c>
      <x:c r="AI400" s="13" t="n">
        <x:v>7</x:v>
      </x:c>
      <x:c r="AJ400" s="13" t="n">
        <x:v>435253.6</x:v>
      </x:c>
      <x:c r="AK400" s="13" t="n">
        <x:v>0.044290956487217994</x:v>
      </x:c>
      <x:c r="AL400" s="13" t="n">
        <x:v>0.056338028169014086</x:v>
      </x:c>
      <x:c r="AM400" s="13" t="n">
        <x:v>0</x:v>
      </x:c>
      <x:c r="AN400" s="13" t="n">
        <x:v>0.2848040610907664</x:v>
      </x:c>
      <x:c r="AO400" s="13" t="n">
        <x:v>1.8232907128655875</x:v>
      </x:c>
      <x:c r="AP400" s="13" t="n">
        <x:v>-0.051277001363714034</x:v>
      </x:c>
    </x:row>
    <x:row r="401" ht="15" hidden="0" customHeight="1">
      <x:c r="A401" s="2" t="str">
        <x:v>E400</x:v>
      </x:c>
      <x:c r="B401" s="2" t="str">
        <x:v>***办公用品经营部</x:v>
      </x:c>
      <x:c r="C401" s="2" t="str">
        <x:v>无信贷记录</x:v>
      </x:c>
      <x:c r="D401" s="2" t="str"/>
      <x:c r="E401" s="2" t="str"/>
      <x:c r="F401" s="13" t="n">
        <x:v>16</x:v>
      </x:c>
      <x:c r="G401" s="13" t="n">
        <x:v>16</x:v>
      </x:c>
      <x:c r="H401" s="13" t="n">
        <x:v>0</x:v>
      </x:c>
      <x:c r="I401" s="13" t="n">
        <x:v>0</x:v>
      </x:c>
      <x:c r="J401" s="13" t="n">
        <x:v>71643.65</x:v>
      </x:c>
      <x:c r="K401" s="13" t="n">
        <x:v>71643.65</x:v>
      </x:c>
      <x:c r="L401" s="13" t="n">
        <x:v>4</x:v>
      </x:c>
      <x:c r="M401" s="13" t="n">
        <x:v>0</x:v>
      </x:c>
      <x:c r="N401" s="13" t="n">
        <x:v>0</x:v>
      </x:c>
      <x:c r="O401" s="13" t="n">
        <x:v>0.5745821569554146</x:v>
      </x:c>
      <x:c r="P401" s="13" t="n">
        <x:v>0.7021696968258876</x:v>
      </x:c>
      <x:c r="Q401" s="13" t="n">
        <x:v>2107.166176470588</x:v>
      </x:c>
      <x:c r="R401" s="13" t="n">
        <x:v>4.216621435287985</x:v>
      </x:c>
      <x:c r="S401" s="13" t="n">
        <x:v>0.08438517108403597</x:v>
      </x:c>
      <x:c r="T401" s="13" t="n">
        <x:v>11</x:v>
      </x:c>
      <x:c r="U401" s="13" t="n">
        <x:v>134</x:v>
      </x:c>
      <x:c r="V401" s="13" t="n">
        <x:v>122</x:v>
      </x:c>
      <x:c r="W401" s="13" t="n">
        <x:v>12</x:v>
      </x:c>
      <x:c r="X401" s="13" t="n">
        <x:v>0</x:v>
      </x:c>
      <x:c r="Y401" s="13" t="n">
        <x:v>840327.7</x:v>
      </x:c>
      <x:c r="Z401" s="13" t="n">
        <x:v>840327.7</x:v>
      </x:c>
      <x:c r="AA401" s="13" t="n">
        <x:v>22</x:v>
      </x:c>
      <x:c r="AB401" s="13" t="n">
        <x:v>0.08955223880597014</x:v>
      </x:c>
      <x:c r="AC401" s="13" t="n">
        <x:v>0</x:v>
      </x:c>
      <x:c r="AD401" s="13" t="n">
        <x:v>0.10628431697046144</x:v>
      </x:c>
      <x:c r="AE401" s="13" t="n">
        <x:v>0.17406150005527607</x:v>
      </x:c>
      <x:c r="AF401" s="13" t="n">
        <x:v>23342.43611111111</x:v>
      </x:c>
      <x:c r="AG401" s="13" t="n">
        <x:v>1.1623854970378282</x:v>
      </x:c>
      <x:c r="AH401" s="13" t="n">
        <x:v>-0.027397015708169797</x:v>
      </x:c>
      <x:c r="AI401" s="13" t="n">
        <x:v>21</x:v>
      </x:c>
      <x:c r="AJ401" s="13" t="n">
        <x:v>768684.0499999999</x:v>
      </x:c>
      <x:c r="AK401" s="13" t="n">
        <x:v>0.08525679922249368</x:v>
      </x:c>
      <x:c r="AL401" s="13" t="n">
        <x:v>0.08</x:v>
      </x:c>
      <x:c r="AM401" s="13" t="n">
        <x:v>0</x:v>
      </x:c>
      <x:c r="AN401" s="13" t="n">
        <x:v>0.34043323696293804</x:v>
      </x:c>
      <x:c r="AO401" s="13" t="n">
        <x:v>2.6895034661629067</x:v>
      </x:c>
      <x:c r="AP401" s="13" t="n">
        <x:v>0.028494077687933085</x:v>
      </x:c>
    </x:row>
    <x:row r="402" ht="15" hidden="0" customHeight="1">
      <x:c r="A402" s="2" t="str">
        <x:v>E401</x:v>
      </x:c>
      <x:c r="B402" s="2" t="str">
        <x:v>***遮阳技术发展中心</x:v>
      </x:c>
      <x:c r="C402" s="2" t="str">
        <x:v>无信贷记录</x:v>
      </x:c>
      <x:c r="D402" s="2" t="str"/>
      <x:c r="E402" s="2" t="str"/>
      <x:c r="F402" s="13" t="n">
        <x:v>28</x:v>
      </x:c>
      <x:c r="G402" s="13" t="n">
        <x:v>28</x:v>
      </x:c>
      <x:c r="H402" s="13" t="n">
        <x:v>0</x:v>
      </x:c>
      <x:c r="I402" s="13" t="n">
        <x:v>0</x:v>
      </x:c>
      <x:c r="J402" s="13" t="n">
        <x:v>187070.85</x:v>
      </x:c>
      <x:c r="K402" s="13" t="n">
        <x:v>187070.85</x:v>
      </x:c>
      <x:c r="L402" s="13" t="n">
        <x:v>10</x:v>
      </x:c>
      <x:c r="M402" s="13" t="n">
        <x:v>0</x:v>
      </x:c>
      <x:c r="N402" s="13" t="n">
        <x:v>0</x:v>
      </x:c>
      <x:c r="O402" s="13" t="n">
        <x:v>0.3086870541903605</x:v>
      </x:c>
      <x:c r="P402" s="13" t="n">
        <x:v>0.4647905860266311</x:v>
      </x:c>
      <x:c r="Q402" s="13" t="n">
        <x:v>6450.7189655172415</x:v>
      </x:c>
      <x:c r="R402" s="13" t="n">
        <x:v>2.1859186871194662</x:v>
      </x:c>
      <x:c r="S402" s="13" t="n">
        <x:v>0.06510301081877097</x:v>
      </x:c>
      <x:c r="T402" s="13" t="n">
        <x:v>18</x:v>
      </x:c>
      <x:c r="U402" s="13" t="n">
        <x:v>77</x:v>
      </x:c>
      <x:c r="V402" s="13" t="n">
        <x:v>39</x:v>
      </x:c>
      <x:c r="W402" s="13" t="n">
        <x:v>38</x:v>
      </x:c>
      <x:c r="X402" s="13" t="n">
        <x:v>0</x:v>
      </x:c>
      <x:c r="Y402" s="13" t="n">
        <x:v>360292.99</x:v>
      </x:c>
      <x:c r="Z402" s="13" t="n">
        <x:v>360292.99</x:v>
      </x:c>
      <x:c r="AA402" s="13" t="n">
        <x:v>15</x:v>
      </x:c>
      <x:c r="AB402" s="13" t="n">
        <x:v>0.4935064935064935</x:v>
      </x:c>
      <x:c r="AC402" s="13" t="n">
        <x:v>0</x:v>
      </x:c>
      <x:c r="AD402" s="13" t="n">
        <x:v>0.2421812826325879</x:v>
      </x:c>
      <x:c r="AE402" s="13" t="n">
        <x:v>0.4440830225422926</x:v>
      </x:c>
      <x:c r="AF402" s="13" t="n">
        <x:v>12009.766333333333</x:v>
      </x:c>
      <x:c r="AG402" s="13" t="n">
        <x:v>2.4771783859869565</x:v>
      </x:c>
      <x:c r="AH402" s="13" t="n">
        <x:v>0.06169137632628795</x:v>
      </x:c>
      <x:c r="AI402" s="13" t="n">
        <x:v>17</x:v>
      </x:c>
      <x:c r="AJ402" s="13" t="n">
        <x:v>173222.13999999998</x:v>
      </x:c>
      <x:c r="AK402" s="13" t="n">
        <x:v>0.5192186781097226</x:v>
      </x:c>
      <x:c r="AL402" s="13" t="n">
        <x:v>0.3619047619047619</x:v>
      </x:c>
      <x:c r="AM402" s="13" t="n">
        <x:v>0</x:v>
      </x:c>
      <x:c r="AN402" s="13" t="n">
        <x:v>0.2754341684114742</x:v>
      </x:c>
      <x:c r="AO402" s="13" t="n">
        <x:v>2.3315485365532114</x:v>
      </x:c>
      <x:c r="AP402" s="13" t="n">
        <x:v>0.06339719357252946</x:v>
      </x:c>
    </x:row>
    <x:row r="403" ht="15" hidden="0" customHeight="1">
      <x:c r="A403" s="2" t="str">
        <x:v>E402</x:v>
      </x:c>
      <x:c r="B403" s="2" t="str">
        <x:v>***商贸有限公司</x:v>
      </x:c>
      <x:c r="C403" s="2" t="str">
        <x:v>无信贷记录</x:v>
      </x:c>
      <x:c r="D403" s="2" t="str"/>
      <x:c r="E403" s="2" t="str"/>
      <x:c r="F403" s="13" t="n">
        <x:v>57</x:v>
      </x:c>
      <x:c r="G403" s="13" t="n">
        <x:v>57</x:v>
      </x:c>
      <x:c r="H403" s="13" t="n">
        <x:v>0</x:v>
      </x:c>
      <x:c r="I403" s="13" t="n">
        <x:v>0</x:v>
      </x:c>
      <x:c r="J403" s="13" t="n">
        <x:v>482208</x:v>
      </x:c>
      <x:c r="K403" s="13" t="n">
        <x:v>482208</x:v>
      </x:c>
      <x:c r="L403" s="13" t="n">
        <x:v>5</x:v>
      </x:c>
      <x:c r="M403" s="13" t="n">
        <x:v>0</x:v>
      </x:c>
      <x:c r="N403" s="13" t="n">
        <x:v>0</x:v>
      </x:c>
      <x:c r="O403" s="13" t="n">
        <x:v>0.9945029895077154</x:v>
      </x:c>
      <x:c r="P403" s="13" t="n">
        <x:v>0.9972460017253965</x:v>
      </x:c>
      <x:c r="Q403" s="13" t="n">
        <x:v>14182.588235294117</x:v>
      </x:c>
      <x:c r="R403" s="13" t="n">
        <x:v>1.8645607697759812</x:v>
      </x:c>
      <x:c r="S403" s="13" t="n">
        <x:v>-0.048886378072120186</x:v>
      </x:c>
      <x:c r="T403" s="13" t="n">
        <x:v>14</x:v>
      </x:c>
      <x:c r="U403" s="13" t="n">
        <x:v>25</x:v>
      </x:c>
      <x:c r="V403" s="13" t="n">
        <x:v>22</x:v>
      </x:c>
      <x:c r="W403" s="13" t="n">
        <x:v>3</x:v>
      </x:c>
      <x:c r="X403" s="13" t="n">
        <x:v>2</x:v>
      </x:c>
      <x:c r="Y403" s="13" t="n">
        <x:v>548634.32</x:v>
      </x:c>
      <x:c r="Z403" s="13" t="n">
        <x:v>648634.32</x:v>
      </x:c>
      <x:c r="AA403" s="13" t="n">
        <x:v>4</x:v>
      </x:c>
      <x:c r="AB403" s="13" t="n">
        <x:v>0.12</x:v>
      </x:c>
      <x:c r="AC403" s="13" t="n">
        <x:v>0.09090909090909091</x:v>
      </x:c>
      <x:c r="AD403" s="13" t="n">
        <x:v>0.3565952265208965</x:v>
      </x:c>
      <x:c r="AE403" s="13" t="n">
        <x:v>0.4143095604315233</x:v>
      </x:c>
      <x:c r="AF403" s="13" t="n">
        <x:v>21101.32</x:v>
      </x:c>
      <x:c r="AG403" s="13" t="n">
        <x:v>1.6732001139856054</x:v>
      </x:c>
      <x:c r="AH403" s="13" t="n">
        <x:v>-0.001550288562172093</x:v>
      </x:c>
      <x:c r="AI403" s="13" t="n">
        <x:v>11</x:v>
      </x:c>
      <x:c r="AJ403" s="13" t="n">
        <x:v>66426.31999999995</x:v>
      </x:c>
      <x:c r="AK403" s="13" t="n">
        <x:v>0.7434204221571243</x:v>
      </x:c>
      <x:c r="AL403" s="13" t="n">
        <x:v>0.036585365853658534</x:v>
      </x:c>
      <x:c r="AM403" s="13" t="n">
        <x:v>0.02531645569620253</x:v>
      </x:c>
      <x:c r="AN403" s="13" t="n">
        <x:v>0.6755491080143059</x:v>
      </x:c>
      <x:c r="AO403" s="13" t="n">
        <x:v>1.7688804418807933</x:v>
      </x:c>
      <x:c r="AP403" s="13" t="n">
        <x:v>-0.025218333317146138</x:v>
      </x:c>
    </x:row>
    <x:row r="404" ht="15" hidden="0" customHeight="1">
      <x:c r="A404" s="2" t="str">
        <x:v>E403</x:v>
      </x:c>
      <x:c r="B404" s="2" t="str">
        <x:v>***机械有限公司</x:v>
      </x:c>
      <x:c r="C404" s="2" t="str">
        <x:v>无信贷记录</x:v>
      </x:c>
      <x:c r="D404" s="2" t="str"/>
      <x:c r="E404" s="2" t="str"/>
      <x:c r="F404" s="13" t="n">
        <x:v>110</x:v>
      </x:c>
      <x:c r="G404" s="13" t="n">
        <x:v>108</x:v>
      </x:c>
      <x:c r="H404" s="13" t="n">
        <x:v>2</x:v>
      </x:c>
      <x:c r="I404" s="13" t="n">
        <x:v>0</x:v>
      </x:c>
      <x:c r="J404" s="13" t="n">
        <x:v>100051.52</x:v>
      </x:c>
      <x:c r="K404" s="13" t="n">
        <x:v>100051.52</x:v>
      </x:c>
      <x:c r="L404" s="13" t="n">
        <x:v>53</x:v>
      </x:c>
      <x:c r="M404" s="13" t="n">
        <x:v>0.01818181818181818</x:v>
      </x:c>
      <x:c r="N404" s="13" t="n">
        <x:v>0</x:v>
      </x:c>
      <x:c r="O404" s="13" t="n">
        <x:v>0.056206380574038456</x:v>
      </x:c>
      <x:c r="P404" s="13" t="n">
        <x:v>0.11295680465424213</x:v>
      </x:c>
      <x:c r="Q404" s="13" t="n">
        <x:v>2942.6917647058826</x:v>
      </x:c>
      <x:c r="R404" s="13" t="n">
        <x:v>1.1912711978028339</x:v>
      </x:c>
      <x:c r="S404" s="13" t="n">
        <x:v>-0.01683465042445923</x:v>
      </x:c>
      <x:c r="T404" s="13" t="n">
        <x:v>30</x:v>
      </x:c>
      <x:c r="U404" s="13" t="n">
        <x:v>70</x:v>
      </x:c>
      <x:c r="V404" s="13" t="n">
        <x:v>61</x:v>
      </x:c>
      <x:c r="W404" s="13" t="n">
        <x:v>9</x:v>
      </x:c>
      <x:c r="X404" s="13" t="n">
        <x:v>0</x:v>
      </x:c>
      <x:c r="Y404" s="13" t="n">
        <x:v>1242731.7099999995</x:v>
      </x:c>
      <x:c r="Z404" s="13" t="n">
        <x:v>1242731.7099999995</x:v>
      </x:c>
      <x:c r="AA404" s="13" t="n">
        <x:v>11</x:v>
      </x:c>
      <x:c r="AB404" s="13" t="n">
        <x:v>0.12857142857142856</x:v>
      </x:c>
      <x:c r="AC404" s="13" t="n">
        <x:v>0</x:v>
      </x:c>
      <x:c r="AD404" s="13" t="n">
        <x:v>0.3131556269503266</x:v>
      </x:c>
      <x:c r="AE404" s="13" t="n">
        <x:v>0.4771098662960809</x:v>
      </x:c>
      <x:c r="AF404" s="13" t="n">
        <x:v>32703.466052631567</x:v>
      </x:c>
      <x:c r="AG404" s="13" t="n">
        <x:v>1.227939681892448</x:v>
      </x:c>
      <x:c r="AH404" s="13" t="n">
        <x:v>-0.02978254190582141</x:v>
      </x:c>
      <x:c r="AI404" s="13" t="n">
        <x:v>37</x:v>
      </x:c>
      <x:c r="AJ404" s="13" t="n">
        <x:v>1142680.1899999995</x:v>
      </x:c>
      <x:c r="AK404" s="13" t="n">
        <x:v>0.080509348232532</x:v>
      </x:c>
      <x:c r="AL404" s="13" t="n">
        <x:v>0.06111111111111111</x:v>
      </x:c>
      <x:c r="AM404" s="13" t="n">
        <x:v>0</x:v>
      </x:c>
      <x:c r="AN404" s="13" t="n">
        <x:v>0.18468100376218255</x:v>
      </x:c>
      <x:c r="AO404" s="13" t="n">
        <x:v>1.2096054398476408</x:v>
      </x:c>
      <x:c r="AP404" s="13" t="n">
        <x:v>-0.02330859616514032</x:v>
      </x:c>
    </x:row>
    <x:row r="405" ht="15" hidden="0" customHeight="1">
      <x:c r="A405" s="2" t="str">
        <x:v>E404</x:v>
      </x:c>
      <x:c r="B405" s="2" t="str">
        <x:v>个体经营E404 </x:v>
      </x:c>
      <x:c r="C405" s="2" t="str">
        <x:v>无信贷记录</x:v>
      </x:c>
      <x:c r="D405" s="2" t="str"/>
      <x:c r="E405" s="2" t="str"/>
      <x:c r="F405" s="13" t="n">
        <x:v>29</x:v>
      </x:c>
      <x:c r="G405" s="13" t="n">
        <x:v>25</x:v>
      </x:c>
      <x:c r="H405" s="13" t="n">
        <x:v>4</x:v>
      </x:c>
      <x:c r="I405" s="13" t="n">
        <x:v>0</x:v>
      </x:c>
      <x:c r="J405" s="13" t="n">
        <x:v>936985</x:v>
      </x:c>
      <x:c r="K405" s="13" t="n">
        <x:v>936985</x:v>
      </x:c>
      <x:c r="L405" s="13" t="n">
        <x:v>12</x:v>
      </x:c>
      <x:c r="M405" s="13" t="n">
        <x:v>0.13793103448275862</x:v>
      </x:c>
      <x:c r="N405" s="13" t="n">
        <x:v>0</x:v>
      </x:c>
      <x:c r="O405" s="13" t="n">
        <x:v>0.23498621072784082</x:v>
      </x:c>
      <x:c r="P405" s="13" t="n">
        <x:v>0.3359178642134079</x:v>
      </x:c>
      <x:c r="Q405" s="13" t="n">
        <x:v>26771</x:v>
      </x:c>
      <x:c r="R405" s="13" t="n">
        <x:v>2.446096314142831</x:v>
      </x:c>
      <x:c r="S405" s="13" t="n">
        <x:v>0.060117542216914406</x:v>
      </x:c>
      <x:c r="T405" s="13" t="n">
        <x:v>14</x:v>
      </x:c>
      <x:c r="U405" s="13" t="n">
        <x:v>21</x:v>
      </x:c>
      <x:c r="V405" s="13" t="n">
        <x:v>15</x:v>
      </x:c>
      <x:c r="W405" s="13" t="n">
        <x:v>6</x:v>
      </x:c>
      <x:c r="X405" s="13" t="n">
        <x:v>0</x:v>
      </x:c>
      <x:c r="Y405" s="13" t="n">
        <x:v>916100</x:v>
      </x:c>
      <x:c r="Z405" s="13" t="n">
        <x:v>916100</x:v>
      </x:c>
      <x:c r="AA405" s="13" t="n">
        <x:v>5</x:v>
      </x:c>
      <x:c r="AB405" s="13" t="n">
        <x:v>0.2857142857142857</x:v>
      </x:c>
      <x:c r="AC405" s="13" t="n">
        <x:v>0</x:v>
      </x:c>
      <x:c r="AD405" s="13" t="n">
        <x:v>0.45938965363641676</x:v>
      </x:c>
      <x:c r="AE405" s="13" t="n">
        <x:v>0.5425171924462395</x:v>
      </x:c>
      <x:c r="AF405" s="13" t="n">
        <x:v>26174.285714285714</x:v>
      </x:c>
      <x:c r="AG405" s="13" t="n">
        <x:v>3.4930978023816626</x:v>
      </x:c>
      <x:c r="AH405" s="13" t="n">
        <x:v>-0.046876036737146944</x:v>
      </x:c>
      <x:c r="AI405" s="13" t="n">
        <x:v>6</x:v>
      </x:c>
      <x:c r="AJ405" s="13" t="n">
        <x:v>-20885</x:v>
      </x:c>
      <x:c r="AK405" s="13" t="n">
        <x:v>1.0227977295055113</x:v>
      </x:c>
      <x:c r="AL405" s="13" t="n">
        <x:v>0.2</x:v>
      </x:c>
      <x:c r="AM405" s="13" t="n">
        <x:v>0</x:v>
      </x:c>
      <x:c r="AN405" s="13" t="n">
        <x:v>0.3471879321821288</x:v>
      </x:c>
      <x:c r="AO405" s="13" t="n">
        <x:v>2.969597058262247</x:v>
      </x:c>
      <x:c r="AP405" s="13" t="n">
        <x:v>0.006620752739883731</x:v>
      </x:c>
    </x:row>
    <x:row r="406" ht="15" hidden="0" customHeight="1">
      <x:c r="A406" s="2" t="str">
        <x:v>E405</x:v>
      </x:c>
      <x:c r="B406" s="2" t="str">
        <x:v>***职业技能服务有限公司</x:v>
      </x:c>
      <x:c r="C406" s="2" t="str">
        <x:v>无信贷记录</x:v>
      </x:c>
      <x:c r="D406" s="2" t="str"/>
      <x:c r="E406" s="2" t="str"/>
      <x:c r="F406" s="13" t="n">
        <x:v>18</x:v>
      </x:c>
      <x:c r="G406" s="13" t="n">
        <x:v>17</x:v>
      </x:c>
      <x:c r="H406" s="13" t="n">
        <x:v>1</x:v>
      </x:c>
      <x:c r="I406" s="13" t="n">
        <x:v>0</x:v>
      </x:c>
      <x:c r="J406" s="13" t="n">
        <x:v>91339.12</x:v>
      </x:c>
      <x:c r="K406" s="13" t="n">
        <x:v>91339.12</x:v>
      </x:c>
      <x:c r="L406" s="13" t="n">
        <x:v>5</x:v>
      </x:c>
      <x:c r="M406" s="13" t="n">
        <x:v>0.05555555555555555</x:v>
      </x:c>
      <x:c r="N406" s="13" t="n">
        <x:v>0</x:v>
      </x:c>
      <x:c r="O406" s="13" t="n">
        <x:v>0.8907658709277967</x:v>
      </x:c>
      <x:c r="P406" s="13" t="n">
        <x:v>0.9431336759101686</x:v>
      </x:c>
      <x:c r="Q406" s="13" t="n">
        <x:v>4349.481904761905</x:v>
      </x:c>
      <x:c r="R406" s="13" t="n">
        <x:v>4.207832904789132</x:v>
      </x:c>
      <x:c r="S406" s="13" t="n">
        <x:v>-0.23912158637747166</x:v>
      </x:c>
      <x:c r="T406" s="13" t="n">
        <x:v>5</x:v>
      </x:c>
      <x:c r="U406" s="13" t="n">
        <x:v>45</x:v>
      </x:c>
      <x:c r="V406" s="13" t="n">
        <x:v>25</x:v>
      </x:c>
      <x:c r="W406" s="13" t="n">
        <x:v>20</x:v>
      </x:c>
      <x:c r="X406" s="13" t="n">
        <x:v>0</x:v>
      </x:c>
      <x:c r="Y406" s="13" t="n">
        <x:v>609176</x:v>
      </x:c>
      <x:c r="Z406" s="13" t="n">
        <x:v>609176</x:v>
      </x:c>
      <x:c r="AA406" s="13" t="n">
        <x:v>32</x:v>
      </x:c>
      <x:c r="AB406" s="13" t="n">
        <x:v>0.4444444444444444</x:v>
      </x:c>
      <x:c r="AC406" s="13" t="n">
        <x:v>0</x:v>
      </x:c>
      <x:c r="AD406" s="13" t="n">
        <x:v>0.2954892535142742</x:v>
      </x:c>
      <x:c r="AE406" s="13" t="n">
        <x:v>0.48417862817970503</x:v>
      </x:c>
      <x:c r="AF406" s="13" t="n">
        <x:v>21006.068965517243</x:v>
      </x:c>
      <x:c r="AG406" s="13" t="n">
        <x:v>2.653291885299824</x:v>
      </x:c>
      <x:c r="AH406" s="13" t="n">
        <x:v>-0.009194785837167858</x:v>
      </x:c>
      <x:c r="AI406" s="13" t="n">
        <x:v>15</x:v>
      </x:c>
      <x:c r="AJ406" s="13" t="n">
        <x:v>517836.88</x:v>
      </x:c>
      <x:c r="AK406" s="13" t="n">
        <x:v>0.14993880257922151</x:v>
      </x:c>
      <x:c r="AL406" s="13" t="n">
        <x:v>0.3333333333333333</x:v>
      </x:c>
      <x:c r="AM406" s="13" t="n">
        <x:v>0</x:v>
      </x:c>
      <x:c r="AN406" s="13" t="n">
        <x:v>0.5931275622210355</x:v>
      </x:c>
      <x:c r="AO406" s="13" t="n">
        <x:v>3.430562395044478</x:v>
      </x:c>
      <x:c r="AP406" s="13" t="n">
        <x:v>-0.12415818610731975</x:v>
      </x:c>
    </x:row>
    <x:row r="407" ht="15" hidden="0" customHeight="1">
      <x:c r="A407" s="2" t="str">
        <x:v>E406</x:v>
      </x:c>
      <x:c r="B407" s="2" t="str">
        <x:v>***招投标代理有限公司</x:v>
      </x:c>
      <x:c r="C407" s="2" t="str">
        <x:v>无信贷记录</x:v>
      </x:c>
      <x:c r="D407" s="2" t="str"/>
      <x:c r="E407" s="2" t="str"/>
      <x:c r="F407" s="13" t="n">
        <x:v>52</x:v>
      </x:c>
      <x:c r="G407" s="13" t="n">
        <x:v>52</x:v>
      </x:c>
      <x:c r="H407" s="13" t="n">
        <x:v>0</x:v>
      </x:c>
      <x:c r="I407" s="13" t="n">
        <x:v>0</x:v>
      </x:c>
      <x:c r="J407" s="13" t="n">
        <x:v>198023.79</x:v>
      </x:c>
      <x:c r="K407" s="13" t="n">
        <x:v>198023.79</x:v>
      </x:c>
      <x:c r="L407" s="13" t="n">
        <x:v>34</x:v>
      </x:c>
      <x:c r="M407" s="13" t="n">
        <x:v>0</x:v>
      </x:c>
      <x:c r="N407" s="13" t="n">
        <x:v>0</x:v>
      </x:c>
      <x:c r="O407" s="13" t="n">
        <x:v>0.15119018825570743</x:v>
      </x:c>
      <x:c r="P407" s="13" t="n">
        <x:v>0.20697513162433664</x:v>
      </x:c>
      <x:c r="Q407" s="13" t="n">
        <x:v>7616.299615384616</x:v>
      </x:c>
      <x:c r="R407" s="13" t="n">
        <x:v>1.7743715487030187</x:v>
      </x:c>
      <x:c r="S407" s="13" t="n">
        <x:v>0.06856772063149247</x:v>
      </x:c>
      <x:c r="T407" s="13" t="n">
        <x:v>20</x:v>
      </x:c>
      <x:c r="U407" s="13" t="n">
        <x:v>31</x:v>
      </x:c>
      <x:c r="V407" s="13" t="n">
        <x:v>24</x:v>
      </x:c>
      <x:c r="W407" s="13" t="n">
        <x:v>7</x:v>
      </x:c>
      <x:c r="X407" s="13" t="n">
        <x:v>1</x:v>
      </x:c>
      <x:c r="Y407" s="13" t="n">
        <x:v>856719.45</x:v>
      </x:c>
      <x:c r="Z407" s="13" t="n">
        <x:v>916999.45</x:v>
      </x:c>
      <x:c r="AA407" s="13" t="n">
        <x:v>5</x:v>
      </x:c>
      <x:c r="AB407" s="13" t="n">
        <x:v>0.22580645161290322</x:v>
      </x:c>
      <x:c r="AC407" s="13" t="n">
        <x:v>0.041666666666666664</x:v>
      </x:c>
      <x:c r="AD407" s="13" t="n">
        <x:v>0.32012071578587864</x:v>
      </x:c>
      <x:c r="AE407" s="13" t="n">
        <x:v>0.467028033659126</x:v>
      </x:c>
      <x:c r="AF407" s="13" t="n">
        <x:v>27636.11129032258</x:v>
      </x:c>
      <x:c r="AG407" s="13" t="n">
        <x:v>2.5099419800050895</x:v>
      </x:c>
      <x:c r="AH407" s="13" t="n">
        <x:v>0.06630907050817152</x:v>
      </x:c>
      <x:c r="AI407" s="13" t="n">
        <x:v>12</x:v>
      </x:c>
      <x:c r="AJ407" s="13" t="n">
        <x:v>658695.6599999999</x:v>
      </x:c>
      <x:c r="AK407" s="13" t="n">
        <x:v>0.21594755591183812</x:v>
      </x:c>
      <x:c r="AL407" s="13" t="n">
        <x:v>0.08433734939759036</x:v>
      </x:c>
      <x:c r="AM407" s="13" t="n">
        <x:v>0.013157894736842105</x:v>
      </x:c>
      <x:c r="AN407" s="13" t="n">
        <x:v>0.23565545202079302</x:v>
      </x:c>
      <x:c r="AO407" s="13" t="n">
        <x:v>2.142156764354054</x:v>
      </x:c>
      <x:c r="AP407" s="13" t="n">
        <x:v>0.067438395569832</x:v>
      </x:c>
    </x:row>
    <x:row r="408" ht="15" hidden="0" customHeight="1">
      <x:c r="A408" s="2" t="str">
        <x:v>E407</x:v>
      </x:c>
      <x:c r="B408" s="2" t="str">
        <x:v>***装饰工程有限公司</x:v>
      </x:c>
      <x:c r="C408" s="2" t="str">
        <x:v>无信贷记录</x:v>
      </x:c>
      <x:c r="D408" s="2" t="str"/>
      <x:c r="E408" s="2" t="str"/>
      <x:c r="F408" s="13" t="n">
        <x:v>149</x:v>
      </x:c>
      <x:c r="G408" s="13" t="n">
        <x:v>148</x:v>
      </x:c>
      <x:c r="H408" s="13" t="n">
        <x:v>1</x:v>
      </x:c>
      <x:c r="I408" s="13" t="n">
        <x:v>2</x:v>
      </x:c>
      <x:c r="J408" s="13" t="n">
        <x:v>411244.17999999993</x:v>
      </x:c>
      <x:c r="K408" s="13" t="n">
        <x:v>413992.17999999993</x:v>
      </x:c>
      <x:c r="L408" s="13" t="n">
        <x:v>54</x:v>
      </x:c>
      <x:c r="M408" s="13" t="n">
        <x:v>0.006711409395973154</x:v>
      </x:c>
      <x:c r="N408" s="13" t="n">
        <x:v>0.013513513513513514</x:v>
      </x:c>
      <x:c r="O408" s="13" t="n">
        <x:v>0.21180243079216002</x:v>
      </x:c>
      <x:c r="P408" s="13" t="n">
        <x:v>0.42899361045901885</x:v>
      </x:c>
      <x:c r="Q408" s="13" t="n">
        <x:v>13265.94129032258</x:v>
      </x:c>
      <x:c r="R408" s="13" t="n">
        <x:v>2.908751070427304</x:v>
      </x:c>
      <x:c r="S408" s="13" t="n">
        <x:v>0.11260881137414312</x:v>
      </x:c>
      <x:c r="T408" s="13" t="n">
        <x:v>27</x:v>
      </x:c>
      <x:c r="U408" s="13" t="n">
        <x:v>44</x:v>
      </x:c>
      <x:c r="V408" s="13" t="n">
        <x:v>31</x:v>
      </x:c>
      <x:c r="W408" s="13" t="n">
        <x:v>13</x:v>
      </x:c>
      <x:c r="X408" s="13" t="n">
        <x:v>2</x:v>
      </x:c>
      <x:c r="Y408" s="13" t="n">
        <x:v>1904413</x:v>
      </x:c>
      <x:c r="Z408" s="13" t="n">
        <x:v>2284413</x:v>
      </x:c>
      <x:c r="AA408" s="13" t="n">
        <x:v>5</x:v>
      </x:c>
      <x:c r="AB408" s="13" t="n">
        <x:v>0.29545454545454547</x:v>
      </x:c>
      <x:c r="AC408" s="13" t="n">
        <x:v>0.06451612903225806</x:v>
      </x:c>
      <x:c r="AD408" s="13" t="n">
        <x:v>0.35189602748031273</x:v>
      </x:c>
      <x:c r="AE408" s="13" t="n">
        <x:v>0.5056003445961829</x:v>
      </x:c>
      <x:c r="AF408" s="13" t="n">
        <x:v>70533.81481481482</x:v>
      </x:c>
      <x:c r="AG408" s="13" t="n">
        <x:v>1.6395694062085036</x:v>
      </x:c>
      <x:c r="AH408" s="13" t="n">
        <x:v>0.1139899656888865</x:v>
      </x:c>
      <x:c r="AI408" s="13" t="n">
        <x:v>13</x:v>
      </x:c>
      <x:c r="AJ408" s="13" t="n">
        <x:v>1493168.82</x:v>
      </x:c>
      <x:c r="AK408" s="13" t="n">
        <x:v>0.18122475226677479</x:v>
      </x:c>
      <x:c r="AL408" s="13" t="n">
        <x:v>0.07253886010362694</x:v>
      </x:c>
      <x:c r="AM408" s="13" t="n">
        <x:v>0.0223463687150838</x:v>
      </x:c>
      <x:c r="AN408" s="13" t="n">
        <x:v>0.2818492291362364</x:v>
      </x:c>
      <x:c r="AO408" s="13" t="n">
        <x:v>2.274160238317904</x:v>
      </x:c>
      <x:c r="AP408" s="13" t="n">
        <x:v>0.1132993885315148</x:v>
      </x:c>
    </x:row>
    <x:row r="409" ht="15" hidden="0" customHeight="1">
      <x:c r="A409" s="2" t="str">
        <x:v>E408</x:v>
      </x:c>
      <x:c r="B409" s="2" t="str">
        <x:v>***空调制冷有限责任公司</x:v>
      </x:c>
      <x:c r="C409" s="2" t="str">
        <x:v>无信贷记录</x:v>
      </x:c>
      <x:c r="D409" s="2" t="str"/>
      <x:c r="E409" s="2" t="str"/>
      <x:c r="F409" s="13" t="n">
        <x:v>40</x:v>
      </x:c>
      <x:c r="G409" s="13" t="n">
        <x:v>39</x:v>
      </x:c>
      <x:c r="H409" s="13" t="n">
        <x:v>1</x:v>
      </x:c>
      <x:c r="I409" s="13" t="n">
        <x:v>0</x:v>
      </x:c>
      <x:c r="J409" s="13" t="n">
        <x:v>67774.14</x:v>
      </x:c>
      <x:c r="K409" s="13" t="n">
        <x:v>67774.14</x:v>
      </x:c>
      <x:c r="L409" s="13" t="n">
        <x:v>12</x:v>
      </x:c>
      <x:c r="M409" s="13" t="n">
        <x:v>0.025</x:v>
      </x:c>
      <x:c r="N409" s="13" t="n">
        <x:v>0</x:v>
      </x:c>
      <x:c r="O409" s="13" t="n">
        <x:v>0.23213594654289088</x:v>
      </x:c>
      <x:c r="P409" s="13" t="n">
        <x:v>0.37625324349375733</x:v>
      </x:c>
      <x:c r="Q409" s="13" t="n">
        <x:v>2186.262580645161</x:v>
      </x:c>
      <x:c r="R409" s="13" t="n">
        <x:v>1.71262779541201</x:v>
      </x:c>
      <x:c r="S409" s="13" t="n">
        <x:v>-0.04269892247985263</x:v>
      </x:c>
      <x:c r="T409" s="13" t="n">
        <x:v>18</x:v>
      </x:c>
      <x:c r="U409" s="13" t="n">
        <x:v>32</x:v>
      </x:c>
      <x:c r="V409" s="13" t="n">
        <x:v>26</x:v>
      </x:c>
      <x:c r="W409" s="13" t="n">
        <x:v>6</x:v>
      </x:c>
      <x:c r="X409" s="13" t="n">
        <x:v>0</x:v>
      </x:c>
      <x:c r="Y409" s="13" t="n">
        <x:v>537826</x:v>
      </x:c>
      <x:c r="Z409" s="13" t="n">
        <x:v>537826</x:v>
      </x:c>
      <x:c r="AA409" s="13" t="n">
        <x:v>10</x:v>
      </x:c>
      <x:c r="AB409" s="13" t="n">
        <x:v>0.1875</x:v>
      </x:c>
      <x:c r="AC409" s="13" t="n">
        <x:v>0</x:v>
      </x:c>
      <x:c r="AD409" s="13" t="n">
        <x:v>0.2739269320438951</x:v>
      </x:c>
      <x:c r="AE409" s="13" t="n">
        <x:v>0.4476280432705001</x:v>
      </x:c>
      <x:c r="AF409" s="13" t="n">
        <x:v>15818.411764705883</x:v>
      </x:c>
      <x:c r="AG409" s="13" t="n">
        <x:v>1.4656893027865672</x:v>
      </x:c>
      <x:c r="AH409" s="13" t="n">
        <x:v>-0.015014193022692964</x:v>
      </x:c>
      <x:c r="AI409" s="13" t="n">
        <x:v>15</x:v>
      </x:c>
      <x:c r="AJ409" s="13" t="n">
        <x:v>470051.86</x:v>
      </x:c>
      <x:c r="AK409" s="13" t="n">
        <x:v>0.12601499369684593</x:v>
      </x:c>
      <x:c r="AL409" s="13" t="n">
        <x:v>0.09722222222222222</x:v>
      </x:c>
      <x:c r="AM409" s="13" t="n">
        <x:v>0</x:v>
      </x:c>
      <x:c r="AN409" s="13" t="n">
        <x:v>0.253031439293393</x:v>
      </x:c>
      <x:c r="AO409" s="13" t="n">
        <x:v>1.5891585490992886</x:v>
      </x:c>
      <x:c r="AP409" s="13" t="n">
        <x:v>-0.0288565577512728</x:v>
      </x:c>
    </x:row>
    <x:row r="410" ht="15" hidden="0" customHeight="1">
      <x:c r="A410" s="2" t="str">
        <x:v>E409</x:v>
      </x:c>
      <x:c r="B410" s="2" t="str">
        <x:v>***塑胶有限公司</x:v>
      </x:c>
      <x:c r="C410" s="2" t="str">
        <x:v>无信贷记录</x:v>
      </x:c>
      <x:c r="D410" s="2" t="str"/>
      <x:c r="E410" s="2" t="str"/>
      <x:c r="F410" s="13" t="n">
        <x:v>15</x:v>
      </x:c>
      <x:c r="G410" s="13" t="n">
        <x:v>15</x:v>
      </x:c>
      <x:c r="H410" s="13" t="n">
        <x:v>0</x:v>
      </x:c>
      <x:c r="I410" s="13" t="n">
        <x:v>0</x:v>
      </x:c>
      <x:c r="J410" s="13" t="n">
        <x:v>49699</x:v>
      </x:c>
      <x:c r="K410" s="13" t="n">
        <x:v>49699</x:v>
      </x:c>
      <x:c r="L410" s="13" t="n">
        <x:v>5</x:v>
      </x:c>
      <x:c r="M410" s="13" t="n">
        <x:v>0</x:v>
      </x:c>
      <x:c r="N410" s="13" t="n">
        <x:v>0</x:v>
      </x:c>
      <x:c r="O410" s="13" t="n">
        <x:v>0.43359742363651205</x:v>
      </x:c>
      <x:c r="P410" s="13" t="n">
        <x:v>0.5875369725749009</x:v>
      </x:c>
      <x:c r="Q410" s="13" t="n">
        <x:v>1987.96</x:v>
      </x:c>
      <x:c r="R410" s="13" t="n">
        <x:v>2.3989356204406334</x:v>
      </x:c>
      <x:c r="S410" s="13" t="n">
        <x:v>0.05534393974802467</x:v>
      </x:c>
      <x:c r="T410" s="13" t="n">
        <x:v>10</x:v>
      </x:c>
      <x:c r="U410" s="13" t="n">
        <x:v>101</x:v>
      </x:c>
      <x:c r="V410" s="13" t="n">
        <x:v>90</x:v>
      </x:c>
      <x:c r="W410" s="13" t="n">
        <x:v>11</x:v>
      </x:c>
      <x:c r="X410" s="13" t="n">
        <x:v>0</x:v>
      </x:c>
      <x:c r="Y410" s="13" t="n">
        <x:v>222923.36999999997</x:v>
      </x:c>
      <x:c r="Z410" s="13" t="n">
        <x:v>222923.36999999997</x:v>
      </x:c>
      <x:c r="AA410" s="13" t="n">
        <x:v>41</x:v>
      </x:c>
      <x:c r="AB410" s="13" t="n">
        <x:v>0.10891089108910891</x:v>
      </x:c>
      <x:c r="AC410" s="13" t="n">
        <x:v>0</x:v>
      </x:c>
      <x:c r="AD410" s="13" t="n">
        <x:v>0.08624810597048566</x:v>
      </x:c>
      <x:c r="AE410" s="13" t="n">
        <x:v>0.13873000394709625</x:v>
      </x:c>
      <x:c r="AF410" s="13" t="n">
        <x:v>7961.548928571428</x:v>
      </x:c>
      <x:c r="AG410" s="13" t="n">
        <x:v>1.236696128725723</x:v>
      </x:c>
      <x:c r="AH410" s="13" t="n">
        <x:v>0.023820688349564686</x:v>
      </x:c>
      <x:c r="AI410" s="13" t="n">
        <x:v>26</x:v>
      </x:c>
      <x:c r="AJ410" s="13" t="n">
        <x:v>173224.36999999997</x:v>
      </x:c>
      <x:c r="AK410" s="13" t="n">
        <x:v>0.22294208094916107</x:v>
      </x:c>
      <x:c r="AL410" s="13" t="n">
        <x:v>0.09482758620689655</x:v>
      </x:c>
      <x:c r="AM410" s="13" t="n">
        <x:v>0</x:v>
      </x:c>
      <x:c r="AN410" s="13" t="n">
        <x:v>0.25992276480349885</x:v>
      </x:c>
      <x:c r="AO410" s="13" t="n">
        <x:v>1.8178158745831783</x:v>
      </x:c>
      <x:c r="AP410" s="13" t="n">
        <x:v>0.03958231404879468</x:v>
      </x:c>
    </x:row>
    <x:row r="411" ht="15" hidden="0" customHeight="1">
      <x:c r="A411" s="2" t="str">
        <x:v>E410</x:v>
      </x:c>
      <x:c r="B411" s="2" t="str">
        <x:v>***网络科技有限公司</x:v>
      </x:c>
      <x:c r="C411" s="2" t="str">
        <x:v>无信贷记录</x:v>
      </x:c>
      <x:c r="D411" s="2" t="str"/>
      <x:c r="E411" s="2" t="str"/>
      <x:c r="F411" s="13" t="n">
        <x:v>105</x:v>
      </x:c>
      <x:c r="G411" s="13" t="n">
        <x:v>105</x:v>
      </x:c>
      <x:c r="H411" s="13" t="n">
        <x:v>0</x:v>
      </x:c>
      <x:c r="I411" s="13" t="n">
        <x:v>4</x:v>
      </x:c>
      <x:c r="J411" s="13" t="n">
        <x:v>18876.17</x:v>
      </x:c>
      <x:c r="K411" s="13" t="n">
        <x:v>19590.85</x:v>
      </x:c>
      <x:c r="L411" s="13" t="n">
        <x:v>10</x:v>
      </x:c>
      <x:c r="M411" s="13" t="n">
        <x:v>0</x:v>
      </x:c>
      <x:c r="N411" s="13" t="n">
        <x:v>0.0380952380952381</x:v>
      </x:c>
      <x:c r="O411" s="13" t="n">
        <x:v>0.38801985907424014</x:v>
      </x:c>
      <x:c r="P411" s="13" t="n">
        <x:v>0.593833345669024</x:v>
      </x:c>
      <x:c r="Q411" s="13" t="n">
        <x:v>650.9024137931034</x:v>
      </x:c>
      <x:c r="R411" s="13" t="n">
        <x:v>1.844448230280543</x:v>
      </x:c>
      <x:c r="S411" s="13" t="n">
        <x:v>0.11279386352495613</x:v>
      </x:c>
      <x:c r="T411" s="13" t="n">
        <x:v>18</x:v>
      </x:c>
      <x:c r="U411" s="13" t="n">
        <x:v>66</x:v>
      </x:c>
      <x:c r="V411" s="13" t="n">
        <x:v>65</x:v>
      </x:c>
      <x:c r="W411" s="13" t="n">
        <x:v>1</x:v>
      </x:c>
      <x:c r="X411" s="13" t="n">
        <x:v>1</x:v>
      </x:c>
      <x:c r="Y411" s="13" t="n">
        <x:v>412858</x:v>
      </x:c>
      <x:c r="Z411" s="13" t="n">
        <x:v>430798</x:v>
      </x:c>
      <x:c r="AA411" s="13" t="n">
        <x:v>41</x:v>
      </x:c>
      <x:c r="AB411" s="13" t="n">
        <x:v>0.015151515151515152</x:v>
      </x:c>
      <x:c r="AC411" s="13" t="n">
        <x:v>0.015384615384615385</x:v>
      </x:c>
      <x:c r="AD411" s="13" t="n">
        <x:v>0.07880065283613136</x:v>
      </x:c>
      <x:c r="AE411" s="13" t="n">
        <x:v>0.15088278032859948</x:v>
      </x:c>
      <x:c r="AF411" s="13" t="n">
        <x:v>12901.8125</x:v>
      </x:c>
      <x:c r="AG411" s="13" t="n">
        <x:v>1.3174906419984904</x:v>
      </x:c>
      <x:c r="AH411" s="13" t="n">
        <x:v>-0.015090468946885602</x:v>
      </x:c>
      <x:c r="AI411" s="13" t="n">
        <x:v>26</x:v>
      </x:c>
      <x:c r="AJ411" s="13" t="n">
        <x:v>393981.83</x:v>
      </x:c>
      <x:c r="AK411" s="13" t="n">
        <x:v>0.04547572180000825</x:v>
      </x:c>
      <x:c r="AL411" s="13" t="n">
        <x:v>0.005847953216374269</x:v>
      </x:c>
      <x:c r="AM411" s="13" t="n">
        <x:v>0.029411764705882353</x:v>
      </x:c>
      <x:c r="AN411" s="13" t="n">
        <x:v>0.23341025595518575</x:v>
      </x:c>
      <x:c r="AO411" s="13" t="n">
        <x:v>1.5809694361395166</x:v>
      </x:c>
      <x:c r="AP411" s="13" t="n">
        <x:v>0.04885169728903526</x:v>
      </x:c>
    </x:row>
    <x:row r="412" ht="15" hidden="0" customHeight="1">
      <x:c r="A412" s="2" t="str">
        <x:v>E411</x:v>
      </x:c>
      <x:c r="B412" s="2" t="str">
        <x:v>***机电设备有限公司</x:v>
      </x:c>
      <x:c r="C412" s="2" t="str">
        <x:v>无信贷记录</x:v>
      </x:c>
      <x:c r="D412" s="2" t="str"/>
      <x:c r="E412" s="2" t="str"/>
      <x:c r="F412" s="13" t="n">
        <x:v>109</x:v>
      </x:c>
      <x:c r="G412" s="13" t="n">
        <x:v>109</x:v>
      </x:c>
      <x:c r="H412" s="13" t="n">
        <x:v>0</x:v>
      </x:c>
      <x:c r="I412" s="13" t="n">
        <x:v>0</x:v>
      </x:c>
      <x:c r="J412" s="13" t="n">
        <x:v>251701.03000000003</x:v>
      </x:c>
      <x:c r="K412" s="13" t="n">
        <x:v>251701.03000000003</x:v>
      </x:c>
      <x:c r="L412" s="13" t="n">
        <x:v>33</x:v>
      </x:c>
      <x:c r="M412" s="13" t="n">
        <x:v>0</x:v>
      </x:c>
      <x:c r="N412" s="13" t="n">
        <x:v>0</x:v>
      </x:c>
      <x:c r="O412" s="13" t="n">
        <x:v>0.6413673590468892</x:v>
      </x:c>
      <x:c r="P412" s="13" t="n">
        <x:v>0.7985664579918486</x:v>
      </x:c>
      <x:c r="Q412" s="13" t="n">
        <x:v>7865.657187500001</x:v>
      </x:c>
      <x:c r="R412" s="13" t="n">
        <x:v>2.7265320462601617</x:v>
      </x:c>
      <x:c r="S412" s="13" t="n">
        <x:v>0.048230052303086246</x:v>
      </x:c>
      <x:c r="T412" s="13" t="n">
        <x:v>25</x:v>
      </x:c>
      <x:c r="U412" s="13" t="n">
        <x:v>97</x:v>
      </x:c>
      <x:c r="V412" s="13" t="n">
        <x:v>67</x:v>
      </x:c>
      <x:c r="W412" s="13" t="n">
        <x:v>30</x:v>
      </x:c>
      <x:c r="X412" s="13" t="n">
        <x:v>4</x:v>
      </x:c>
      <x:c r="Y412" s="13" t="n">
        <x:v>268303</x:v>
      </x:c>
      <x:c r="Z412" s="13" t="n">
        <x:v>309795</x:v>
      </x:c>
      <x:c r="AA412" s="13" t="n">
        <x:v>33</x:v>
      </x:c>
      <x:c r="AB412" s="13" t="n">
        <x:v>0.30927835051546393</x:v>
      </x:c>
      <x:c r="AC412" s="13" t="n">
        <x:v>0.05970149253731343</x:v>
      </x:c>
      <x:c r="AD412" s="13" t="n">
        <x:v>0.09817213612713567</x:v>
      </x:c>
      <x:c r="AE412" s="13" t="n">
        <x:v>0.18295324327377782</x:v>
      </x:c>
      <x:c r="AF412" s="13" t="n">
        <x:v>7665.8</x:v>
      </x:c>
      <x:c r="AG412" s="13" t="n">
        <x:v>1.536492625707114</x:v>
      </x:c>
      <x:c r="AH412" s="13" t="n">
        <x:v>0.018624664075355634</x:v>
      </x:c>
      <x:c r="AI412" s="13" t="n">
        <x:v>26</x:v>
      </x:c>
      <x:c r="AJ412" s="13" t="n">
        <x:v>16601.969999999972</x:v>
      </x:c>
      <x:c r="AK412" s="13" t="n">
        <x:v>0.8124760890266118</x:v>
      </x:c>
      <x:c r="AL412" s="13" t="n">
        <x:v>0.14563106796116504</x:v>
      </x:c>
      <x:c r="AM412" s="13" t="n">
        <x:v>0.022727272727272728</x:v>
      </x:c>
      <x:c r="AN412" s="13" t="n">
        <x:v>0.3697697475870125</x:v>
      </x:c>
      <x:c r="AO412" s="13" t="n">
        <x:v>2.131512335983638</x:v>
      </x:c>
      <x:c r="AP412" s="13" t="n">
        <x:v>0.03342735818922094</x:v>
      </x:c>
    </x:row>
    <x:row r="413" ht="15" hidden="0" customHeight="1">
      <x:c r="A413" s="2" t="str">
        <x:v>E412</x:v>
      </x:c>
      <x:c r="B413" s="2" t="str">
        <x:v>***汽车贸易有限公司</x:v>
      </x:c>
      <x:c r="C413" s="2" t="str">
        <x:v>无信贷记录</x:v>
      </x:c>
      <x:c r="D413" s="2" t="str"/>
      <x:c r="E413" s="2" t="str"/>
      <x:c r="F413" s="13" t="n">
        <x:v>86</x:v>
      </x:c>
      <x:c r="G413" s="13" t="n">
        <x:v>83</x:v>
      </x:c>
      <x:c r="H413" s="13" t="n">
        <x:v>3</x:v>
      </x:c>
      <x:c r="I413" s="13" t="n">
        <x:v>0</x:v>
      </x:c>
      <x:c r="J413" s="13" t="n">
        <x:v>69880.36</x:v>
      </x:c>
      <x:c r="K413" s="13" t="n">
        <x:v>69880.36</x:v>
      </x:c>
      <x:c r="L413" s="13" t="n">
        <x:v>19</x:v>
      </x:c>
      <x:c r="M413" s="13" t="n">
        <x:v>0.03488372093023256</x:v>
      </x:c>
      <x:c r="N413" s="13" t="n">
        <x:v>0</x:v>
      </x:c>
      <x:c r="O413" s="13" t="n">
        <x:v>0.164049374472096</x:v>
      </x:c>
      <x:c r="P413" s="13" t="n">
        <x:v>0.2630691942628801</x:v>
      </x:c>
      <x:c r="Q413" s="13" t="n">
        <x:v>1996.5817142857143</x:v>
      </x:c>
      <x:c r="R413" s="13" t="n">
        <x:v>1.4943247651066467</x:v>
      </x:c>
      <x:c r="S413" s="13" t="n">
        <x:v>0.0505453401875102</x:v>
      </x:c>
      <x:c r="T413" s="13" t="n">
        <x:v>20</x:v>
      </x:c>
      <x:c r="U413" s="13" t="n">
        <x:v>149</x:v>
      </x:c>
      <x:c r="V413" s="13" t="n">
        <x:v>137</x:v>
      </x:c>
      <x:c r="W413" s="13" t="n">
        <x:v>12</x:v>
      </x:c>
      <x:c r="X413" s="13" t="n">
        <x:v>0</x:v>
      </x:c>
      <x:c r="Y413" s="13" t="n">
        <x:v>331101</x:v>
      </x:c>
      <x:c r="Z413" s="13" t="n">
        <x:v>331101</x:v>
      </x:c>
      <x:c r="AA413" s="13" t="n">
        <x:v>88</x:v>
      </x:c>
      <x:c r="AB413" s="13" t="n">
        <x:v>0.08053691275167785</x:v>
      </x:c>
      <x:c r="AC413" s="13" t="n">
        <x:v>0</x:v>
      </x:c>
      <x:c r="AD413" s="13" t="n">
        <x:v>0.03230792682454063</x:v>
      </x:c>
      <x:c r="AE413" s="13" t="n">
        <x:v>0.084566340784232</x:v>
      </x:c>
      <x:c r="AF413" s="13" t="n">
        <x:v>9197.25</x:v>
      </x:c>
      <x:c r="AG413" s="13" t="n">
        <x:v>1.0746229593289751</x:v>
      </x:c>
      <x:c r="AH413" s="13" t="n">
        <x:v>-0.014241806723253416</x:v>
      </x:c>
      <x:c r="AI413" s="13" t="n">
        <x:v>33</x:v>
      </x:c>
      <x:c r="AJ413" s="13" t="n">
        <x:v>261220.64</x:v>
      </x:c>
      <x:c r="AK413" s="13" t="n">
        <x:v>0.21105451206731418</x:v>
      </x:c>
      <x:c r="AL413" s="13" t="n">
        <x:v>0.06382978723404255</x:v>
      </x:c>
      <x:c r="AM413" s="13" t="n">
        <x:v>0</x:v>
      </x:c>
      <x:c r="AN413" s="13" t="n">
        <x:v>0.09817865064831832</x:v>
      </x:c>
      <x:c r="AO413" s="13" t="n">
        <x:v>1.284473862217811</x:v>
      </x:c>
      <x:c r="AP413" s="13" t="n">
        <x:v>0.018151766732128392</x:v>
      </x:c>
    </x:row>
    <x:row r="414" ht="15" hidden="0" customHeight="1">
      <x:c r="A414" s="2" t="str">
        <x:v>E413</x:v>
      </x:c>
      <x:c r="B414" s="2" t="str">
        <x:v>***石材工艺品有限公司</x:v>
      </x:c>
      <x:c r="C414" s="2" t="str">
        <x:v>无信贷记录</x:v>
      </x:c>
      <x:c r="D414" s="2" t="str"/>
      <x:c r="E414" s="2" t="str"/>
      <x:c r="F414" s="13" t="n">
        <x:v>62</x:v>
      </x:c>
      <x:c r="G414" s="13" t="n">
        <x:v>62</x:v>
      </x:c>
      <x:c r="H414" s="13" t="n">
        <x:v>0</x:v>
      </x:c>
      <x:c r="I414" s="13" t="n">
        <x:v>0</x:v>
      </x:c>
      <x:c r="J414" s="13" t="n">
        <x:v>27243.899999999994</x:v>
      </x:c>
      <x:c r="K414" s="13" t="n">
        <x:v>27243.899999999994</x:v>
      </x:c>
      <x:c r="L414" s="13" t="n">
        <x:v>9</x:v>
      </x:c>
      <x:c r="M414" s="13" t="n">
        <x:v>0</x:v>
      </x:c>
      <x:c r="N414" s="13" t="n">
        <x:v>0</x:v>
      </x:c>
      <x:c r="O414" s="13" t="n">
        <x:v>0.25125699230518533</x:v>
      </x:c>
      <x:c r="P414" s="13" t="n">
        <x:v>0.34760735430683565</x:v>
      </x:c>
      <x:c r="Q414" s="13" t="n">
        <x:v>1362.1950000000002</x:v>
      </x:c>
      <x:c r="R414" s="13" t="n">
        <x:v>1.5157589321192444</x:v>
      </x:c>
      <x:c r="S414" s="13" t="n">
        <x:v>0.027051077199105895</x:v>
      </x:c>
      <x:c r="T414" s="13" t="n">
        <x:v>17</x:v>
      </x:c>
      <x:c r="U414" s="13" t="n">
        <x:v>40</x:v>
      </x:c>
      <x:c r="V414" s="13" t="n">
        <x:v>33</x:v>
      </x:c>
      <x:c r="W414" s="13" t="n">
        <x:v>7</x:v>
      </x:c>
      <x:c r="X414" s="13" t="n">
        <x:v>0</x:v>
      </x:c>
      <x:c r="Y414" s="13" t="n">
        <x:v>295588.31</x:v>
      </x:c>
      <x:c r="Z414" s="13" t="n">
        <x:v>295588.31</x:v>
      </x:c>
      <x:c r="AA414" s="13" t="n">
        <x:v>8</x:v>
      </x:c>
      <x:c r="AB414" s="13" t="n">
        <x:v>0.175</x:v>
      </x:c>
      <x:c r="AC414" s="13" t="n">
        <x:v>0</x:v>
      </x:c>
      <x:c r="AD414" s="13" t="n">
        <x:v>0.449248695490055</x:v>
      </x:c>
      <x:c r="AE414" s="13" t="n">
        <x:v>0.6393080971300928</x:v>
      </x:c>
      <x:c r="AF414" s="13" t="n">
        <x:v>9237.1346875</x:v>
      </x:c>
      <x:c r="AG414" s="13" t="n">
        <x:v>3.325920830282406</x:v>
      </x:c>
      <x:c r="AH414" s="13" t="n">
        <x:v>0.1330474627455745</x:v>
      </x:c>
      <x:c r="AI414" s="13" t="n">
        <x:v>7</x:v>
      </x:c>
      <x:c r="AJ414" s="13" t="n">
        <x:v>268344.41000000003</x:v>
      </x:c>
      <x:c r="AK414" s="13" t="n">
        <x:v>0.0921683946161467</x:v>
      </x:c>
      <x:c r="AL414" s="13" t="n">
        <x:v>0.06862745098039216</x:v>
      </x:c>
      <x:c r="AM414" s="13" t="n">
        <x:v>0</x:v>
      </x:c>
      <x:c r="AN414" s="13" t="n">
        <x:v>0.3502528438976201</x:v>
      </x:c>
      <x:c r="AO414" s="13" t="n">
        <x:v>2.420839881200825</x:v>
      </x:c>
      <x:c r="AP414" s="13" t="n">
        <x:v>0.0800492699723402</x:v>
      </x:c>
    </x:row>
    <x:row r="415" ht="15" hidden="0" customHeight="1">
      <x:c r="A415" s="2" t="str">
        <x:v>E414</x:v>
      </x:c>
      <x:c r="B415" s="2" t="str">
        <x:v>***物流有限责任公司***分公司</x:v>
      </x:c>
      <x:c r="C415" s="2" t="str">
        <x:v>无信贷记录</x:v>
      </x:c>
      <x:c r="D415" s="2" t="str"/>
      <x:c r="E415" s="2" t="str"/>
      <x:c r="F415" s="13" t="n">
        <x:v>6</x:v>
      </x:c>
      <x:c r="G415" s="13" t="n">
        <x:v>6</x:v>
      </x:c>
      <x:c r="H415" s="13" t="n">
        <x:v>0</x:v>
      </x:c>
      <x:c r="I415" s="13" t="n">
        <x:v>0</x:v>
      </x:c>
      <x:c r="J415" s="13" t="n">
        <x:v>10282.33</x:v>
      </x:c>
      <x:c r="K415" s="13" t="n">
        <x:v>10282.33</x:v>
      </x:c>
      <x:c r="L415" s="13" t="n">
        <x:v>4</x:v>
      </x:c>
      <x:c r="M415" s="13" t="n">
        <x:v>0</x:v>
      </x:c>
      <x:c r="N415" s="13" t="n">
        <x:v>0</x:v>
      </x:c>
      <x:c r="O415" s="13" t="n">
        <x:v>0.44652197477327193</x:v>
      </x:c>
      <x:c r="P415" s="13" t="n">
        <x:v>0.5536031230275629</x:v>
      </x:c>
      <x:c r="Q415" s="13" t="n">
        <x:v>380.82703703703703</x:v>
      </x:c>
      <x:c r="R415" s="13" t="n">
        <x:v>3.0822291037083978</x:v>
      </x:c>
      <x:c r="S415" s="13" t="n">
        <x:v>-0.044806409219804874</x:v>
      </x:c>
      <x:c r="T415" s="13" t="n">
        <x:v>5</x:v>
      </x:c>
      <x:c r="U415" s="13" t="n">
        <x:v>14</x:v>
      </x:c>
      <x:c r="V415" s="13" t="n">
        <x:v>11</x:v>
      </x:c>
      <x:c r="W415" s="13" t="n">
        <x:v>3</x:v>
      </x:c>
      <x:c r="X415" s="13" t="n">
        <x:v>0</x:v>
      </x:c>
      <x:c r="Y415" s="13" t="n">
        <x:v>388400</x:v>
      </x:c>
      <x:c r="Z415" s="13" t="n">
        <x:v>388400</x:v>
      </x:c>
      <x:c r="AA415" s="13" t="n">
        <x:v>6</x:v>
      </x:c>
      <x:c r="AB415" s="13" t="n">
        <x:v>0.21428571428571427</x:v>
      </x:c>
      <x:c r="AC415" s="13" t="n">
        <x:v>0</x:v>
      </x:c>
      <x:c r="AD415" s="13" t="n">
        <x:v>0.32957532075927964</x:v>
      </x:c>
      <x:c r="AE415" s="13" t="n">
        <x:v>0.46472708547888775</x:v>
      </x:c>
      <x:c r="AF415" s="13" t="n">
        <x:v>27742.85714285714</x:v>
      </x:c>
      <x:c r="AG415" s="13" t="n">
        <x:v>1.963103255149723</x:v>
      </x:c>
      <x:c r="AH415" s="13" t="n">
        <x:v>-0.26144339697376884</x:v>
      </x:c>
      <x:c r="AI415" s="13" t="n">
        <x:v>7</x:v>
      </x:c>
      <x:c r="AJ415" s="13" t="n">
        <x:v>378117.67</x:v>
      </x:c>
      <x:c r="AK415" s="13" t="n">
        <x:v>0.026473558187435565</x:v>
      </x:c>
      <x:c r="AL415" s="13" t="n">
        <x:v>0.15</x:v>
      </x:c>
      <x:c r="AM415" s="13" t="n">
        <x:v>0</x:v>
      </x:c>
      <x:c r="AN415" s="13" t="n">
        <x:v>0.3880486477662758</x:v>
      </x:c>
      <x:c r="AO415" s="13" t="n">
        <x:v>2.52266617942906</x:v>
      </x:c>
      <x:c r="AP415" s="13" t="n">
        <x:v>-0.15312490309678686</x:v>
      </x:c>
    </x:row>
    <x:row r="416" ht="15" hidden="0" customHeight="1">
      <x:c r="A416" s="2" t="str">
        <x:v>E415</x:v>
      </x:c>
      <x:c r="B416" s="2" t="str">
        <x:v>***广告设计服务部</x:v>
      </x:c>
      <x:c r="C416" s="2" t="str">
        <x:v>无信贷记录</x:v>
      </x:c>
      <x:c r="D416" s="2" t="str"/>
      <x:c r="E416" s="2" t="str"/>
      <x:c r="F416" s="13" t="n">
        <x:v>2</x:v>
      </x:c>
      <x:c r="G416" s="13" t="n">
        <x:v>2</x:v>
      </x:c>
      <x:c r="H416" s="13" t="n">
        <x:v>0</x:v>
      </x:c>
      <x:c r="I416" s="13" t="n">
        <x:v>0</x:v>
      </x:c>
      <x:c r="J416" s="13" t="n">
        <x:v>18000</x:v>
      </x:c>
      <x:c r="K416" s="13" t="n">
        <x:v>18000</x:v>
      </x:c>
      <x:c r="L416" s="13" t="n">
        <x:v>1</x:v>
      </x:c>
      <x:c r="M416" s="13" t="n">
        <x:v>0</x:v>
      </x:c>
      <x:c r="N416" s="13" t="n">
        <x:v>0</x:v>
      </x:c>
      <x:c r="O416" s="13" t="n">
        <x:v>1</x:v>
      </x:c>
      <x:c r="P416" s="13" t="n">
        <x:v>1</x:v>
      </x:c>
      <x:c r="Q416" s="13" t="n">
        <x:v>2571.4285714285716</x:v>
      </x:c>
      <x:c r="R416" s="13" t="n">
        <x:v>1.5811388300835747</x:v>
      </x:c>
      <x:c r="S416" s="13" t="n">
        <x:v>-1.3924420541266478e-16</x:v>
      </x:c>
      <x:c r="T416" s="13" t="n">
        <x:v>2</x:v>
      </x:c>
      <x:c r="U416" s="13" t="n">
        <x:v>208</x:v>
      </x:c>
      <x:c r="V416" s="13" t="n">
        <x:v>208</x:v>
      </x:c>
      <x:c r="W416" s="13" t="n">
        <x:v>0</x:v>
      </x:c>
      <x:c r="X416" s="13" t="n">
        <x:v>7</x:v>
      </x:c>
      <x:c r="Y416" s="13" t="n">
        <x:v>87893.2</x:v>
      </x:c>
      <x:c r="Z416" s="13" t="n">
        <x:v>94889.2</x:v>
      </x:c>
      <x:c r="AA416" s="13" t="n">
        <x:v>185</x:v>
      </x:c>
      <x:c r="AB416" s="13" t="n">
        <x:v>0</x:v>
      </x:c>
      <x:c r="AC416" s="13" t="n">
        <x:v>0.03365384615384615</x:v>
      </x:c>
      <x:c r="AD416" s="13" t="n">
        <x:v>0.011051356379054635</x:v>
      </x:c>
      <x:c r="AE416" s="13" t="n">
        <x:v>0.058520885411616916</x:v>
      </x:c>
      <x:c r="AF416" s="13" t="n">
        <x:v>3821.4434782608696</x:v>
      </x:c>
      <x:c r="AG416" s="13" t="n">
        <x:v>0.7595491713210369</x:v>
      </x:c>
      <x:c r="AH416" s="13" t="n">
        <x:v>0.007662915695617027</x:v>
      </x:c>
      <x:c r="AI416" s="13" t="n">
        <x:v>23</x:v>
      </x:c>
      <x:c r="AJ416" s="13" t="n">
        <x:v>69893.2</x:v>
      </x:c>
      <x:c r="AK416" s="13" t="n">
        <x:v>0.18969492840070112</x:v>
      </x:c>
      <x:c r="AL416" s="13" t="n">
        <x:v>0</x:v>
      </x:c>
      <x:c r="AM416" s="13" t="n">
        <x:v>0.03333333333333333</x:v>
      </x:c>
      <x:c r="AN416" s="13" t="n">
        <x:v>0.5055256781895273</x:v>
      </x:c>
      <x:c r="AO416" s="13" t="n">
        <x:v>1.1703440007023058</x:v>
      </x:c>
      <x:c r="AP416" s="13" t="n">
        <x:v>0.0038314578478084436</x:v>
      </x:c>
    </x:row>
    <x:row r="417" ht="15" hidden="0" customHeight="1">
      <x:c r="A417" s="2" t="str">
        <x:v>E416</x:v>
      </x:c>
      <x:c r="B417" s="2" t="str">
        <x:v>***科技有限公司</x:v>
      </x:c>
      <x:c r="C417" s="2" t="str">
        <x:v>无信贷记录</x:v>
      </x:c>
      <x:c r="D417" s="2" t="str"/>
      <x:c r="E417" s="2" t="str"/>
      <x:c r="F417" s="13" t="n">
        <x:v>8</x:v>
      </x:c>
      <x:c r="G417" s="13" t="n">
        <x:v>7</x:v>
      </x:c>
      <x:c r="H417" s="13" t="n">
        <x:v>1</x:v>
      </x:c>
      <x:c r="I417" s="13" t="n">
        <x:v>0</x:v>
      </x:c>
      <x:c r="J417" s="13" t="n">
        <x:v>111757.72</x:v>
      </x:c>
      <x:c r="K417" s="13" t="n">
        <x:v>111757.72</x:v>
      </x:c>
      <x:c r="L417" s="13" t="n">
        <x:v>5</x:v>
      </x:c>
      <x:c r="M417" s="13" t="n">
        <x:v>0.125</x:v>
      </x:c>
      <x:c r="N417" s="13" t="n">
        <x:v>0</x:v>
      </x:c>
      <x:c r="O417" s="13" t="n">
        <x:v>0.970262974590547</x:v>
      </x:c>
      <x:c r="P417" s="13" t="n">
        <x:v>0.9849880616748445</x:v>
      </x:c>
      <x:c r="Q417" s="13" t="n">
        <x:v>3605.087741935484</x:v>
      </x:c>
      <x:c r="R417" s="13" t="n">
        <x:v>3.951170251475676</x:v>
      </x:c>
      <x:c r="S417" s="13" t="n">
        <x:v>0.16049843581271195</x:v>
      </x:c>
      <x:c r="T417" s="13" t="n">
        <x:v>7</x:v>
      </x:c>
      <x:c r="U417" s="13" t="n">
        <x:v>25</x:v>
      </x:c>
      <x:c r="V417" s="13" t="n">
        <x:v>23</x:v>
      </x:c>
      <x:c r="W417" s="13" t="n">
        <x:v>2</x:v>
      </x:c>
      <x:c r="X417" s="13" t="n">
        <x:v>0</x:v>
      </x:c>
      <x:c r="Y417" s="13" t="n">
        <x:v>215696.8</x:v>
      </x:c>
      <x:c r="Z417" s="13" t="n">
        <x:v>215696.8</x:v>
      </x:c>
      <x:c r="AA417" s="13" t="n">
        <x:v>5</x:v>
      </x:c>
      <x:c r="AB417" s="13" t="n">
        <x:v>0.08</x:v>
      </x:c>
      <x:c r="AC417" s="13" t="n">
        <x:v>0</x:v>
      </x:c>
      <x:c r="AD417" s="13" t="n">
        <x:v>0.404406569274399</x:v>
      </x:c>
      <x:c r="AE417" s="13" t="n">
        <x:v>0.5563364871430638</x:v>
      </x:c>
      <x:c r="AF417" s="13" t="n">
        <x:v>6536.266666666666</x:v>
      </x:c>
      <x:c r="AG417" s="13" t="n">
        <x:v>2.0911594021739828</x:v>
      </x:c>
      <x:c r="AH417" s="13" t="n">
        <x:v>0.07270475200809086</x:v>
      </x:c>
      <x:c r="AI417" s="13" t="n">
        <x:v>8</x:v>
      </x:c>
      <x:c r="AJ417" s="13" t="n">
        <x:v>103939.07999999999</x:v>
      </x:c>
      <x:c r="AK417" s="13" t="n">
        <x:v>0.5181241446326487</x:v>
      </x:c>
      <x:c r="AL417" s="13" t="n">
        <x:v>0.09090909090909091</x:v>
      </x:c>
      <x:c r="AM417" s="13" t="n">
        <x:v>0</x:v>
      </x:c>
      <x:c r="AN417" s="13" t="n">
        <x:v>0.6873347719324729</x:v>
      </x:c>
      <x:c r="AO417" s="13" t="n">
        <x:v>3.0211648268248297</x:v>
      </x:c>
      <x:c r="AP417" s="13" t="n">
        <x:v>0.1166015939104014</x:v>
      </x:c>
    </x:row>
    <x:row r="418" ht="15" hidden="0" customHeight="1">
      <x:c r="A418" s="2" t="str">
        <x:v>E417</x:v>
      </x:c>
      <x:c r="B418" s="2" t="str">
        <x:v>***园林景观工程有限公司</x:v>
      </x:c>
      <x:c r="C418" s="2" t="str">
        <x:v>无信贷记录</x:v>
      </x:c>
      <x:c r="D418" s="2" t="str"/>
      <x:c r="E418" s="2" t="str"/>
      <x:c r="F418" s="13" t="n">
        <x:v>128</x:v>
      </x:c>
      <x:c r="G418" s="13" t="n">
        <x:v>127</x:v>
      </x:c>
      <x:c r="H418" s="13" t="n">
        <x:v>1</x:v>
      </x:c>
      <x:c r="I418" s="13" t="n">
        <x:v>0</x:v>
      </x:c>
      <x:c r="J418" s="13" t="n">
        <x:v>173818.46000000002</x:v>
      </x:c>
      <x:c r="K418" s="13" t="n">
        <x:v>173818.46000000002</x:v>
      </x:c>
      <x:c r="L418" s="13" t="n">
        <x:v>23</x:v>
      </x:c>
      <x:c r="M418" s="13" t="n">
        <x:v>0.0078125</x:v>
      </x:c>
      <x:c r="N418" s="13" t="n">
        <x:v>0</x:v>
      </x:c>
      <x:c r="O418" s="13" t="n">
        <x:v>0.32238592946678146</x:v>
      </x:c>
      <x:c r="P418" s="13" t="n">
        <x:v>0.5281372300732615</x:v>
      </x:c>
      <x:c r="Q418" s="13" t="n">
        <x:v>5112.307647058824</x:v>
      </x:c>
      <x:c r="R418" s="13" t="n">
        <x:v>3.115028826573907</x:v>
      </x:c>
      <x:c r="S418" s="13" t="n">
        <x:v>-0.10249819758579934</x:v>
      </x:c>
      <x:c r="T418" s="13" t="n">
        <x:v>31</x:v>
      </x:c>
      <x:c r="U418" s="13" t="n">
        <x:v>6</x:v>
      </x:c>
      <x:c r="V418" s="13" t="n">
        <x:v>6</x:v>
      </x:c>
      <x:c r="W418" s="13" t="n">
        <x:v>0</x:v>
      </x:c>
      <x:c r="X418" s="13" t="n">
        <x:v>0</x:v>
      </x:c>
      <x:c r="Y418" s="13" t="n">
        <x:v>166520</x:v>
      </x:c>
      <x:c r="Z418" s="13" t="n">
        <x:v>166520</x:v>
      </x:c>
      <x:c r="AA418" s="13" t="n">
        <x:v>2</x:v>
      </x:c>
      <x:c r="AB418" s="13" t="n">
        <x:v>0</x:v>
      </x:c>
      <x:c r="AC418" s="13" t="n">
        <x:v>0</x:v>
      </x:c>
      <x:c r="AD418" s="13" t="n">
        <x:v>0.5167960151798824</x:v>
      </x:c>
      <x:c r="AE418" s="13" t="n">
        <x:v>0.5916406437665145</x:v>
      </x:c>
      <x:c r="AF418" s="13" t="n">
        <x:v>9795.29411764706</x:v>
      </x:c>
      <x:c r="AG418" s="13" t="n">
        <x:v>2.4932009920536733</x:v>
      </x:c>
      <x:c r="AH418" s="13" t="n">
        <x:v>-0.12014572824083962</x:v>
      </x:c>
      <x:c r="AI418" s="13" t="n">
        <x:v>4</x:v>
      </x:c>
      <x:c r="AJ418" s="13" t="n">
        <x:v>-7298.460000000021</x:v>
      </x:c>
      <x:c r="AK418" s="13" t="n">
        <x:v>1.043829329810227</x:v>
      </x:c>
      <x:c r="AL418" s="13" t="n">
        <x:v>0.007462686567164179</x:v>
      </x:c>
      <x:c r="AM418" s="13" t="n">
        <x:v>0</x:v>
      </x:c>
      <x:c r="AN418" s="13" t="n">
        <x:v>0.4195909723233319</x:v>
      </x:c>
      <x:c r="AO418" s="13" t="n">
        <x:v>2.80411490931379</x:v>
      </x:c>
      <x:c r="AP418" s="13" t="n">
        <x:v>-0.11132196291331947</x:v>
      </x:c>
    </x:row>
    <x:row r="419" ht="15" hidden="0" customHeight="1">
      <x:c r="A419" s="2" t="str">
        <x:v>E418</x:v>
      </x:c>
      <x:c r="B419" s="2" t="str">
        <x:v>***营销策划有限公司</x:v>
      </x:c>
      <x:c r="C419" s="2" t="str">
        <x:v>无信贷记录</x:v>
      </x:c>
      <x:c r="D419" s="2" t="str"/>
      <x:c r="E419" s="2" t="str"/>
      <x:c r="F419" s="13" t="n">
        <x:v>71</x:v>
      </x:c>
      <x:c r="G419" s="13" t="n">
        <x:v>71</x:v>
      </x:c>
      <x:c r="H419" s="13" t="n">
        <x:v>0</x:v>
      </x:c>
      <x:c r="I419" s="13" t="n">
        <x:v>0</x:v>
      </x:c>
      <x:c r="J419" s="13" t="n">
        <x:v>48995.44</x:v>
      </x:c>
      <x:c r="K419" s="13" t="n">
        <x:v>48995.44</x:v>
      </x:c>
      <x:c r="L419" s="13" t="n">
        <x:v>31</x:v>
      </x:c>
      <x:c r="M419" s="13" t="n">
        <x:v>0</x:v>
      </x:c>
      <x:c r="N419" s="13" t="n">
        <x:v>0</x:v>
      </x:c>
      <x:c r="O419" s="13" t="n">
        <x:v>0.1589044575775954</x:v>
      </x:c>
      <x:c r="P419" s="13" t="n">
        <x:v>0.31788672578509347</x:v>
      </x:c>
      <x:c r="Q419" s="13" t="n">
        <x:v>1580.498064516129</x:v>
      </x:c>
      <x:c r="R419" s="13" t="n">
        <x:v>2.2129421301053607</x:v>
      </x:c>
      <x:c r="S419" s="13" t="n">
        <x:v>-0.04455310790144184</x:v>
      </x:c>
      <x:c r="T419" s="13" t="n">
        <x:v>19</x:v>
      </x:c>
      <x:c r="U419" s="13" t="n">
        <x:v>23</x:v>
      </x:c>
      <x:c r="V419" s="13" t="n">
        <x:v>20</x:v>
      </x:c>
      <x:c r="W419" s="13" t="n">
        <x:v>3</x:v>
      </x:c>
      <x:c r="X419" s="13" t="n">
        <x:v>0</x:v>
      </x:c>
      <x:c r="Y419" s="13" t="n">
        <x:v>438891.2</x:v>
      </x:c>
      <x:c r="Z419" s="13" t="n">
        <x:v>438891.2</x:v>
      </x:c>
      <x:c r="AA419" s="13" t="n">
        <x:v>13</x:v>
      </x:c>
      <x:c r="AB419" s="13" t="n">
        <x:v>0.13043478260869565</x:v>
      </x:c>
      <x:c r="AC419" s="13" t="n">
        <x:v>0</x:v>
      </x:c>
      <x:c r="AD419" s="13" t="n">
        <x:v>0.36475733011486283</x:v>
      </x:c>
      <x:c r="AE419" s="13" t="n">
        <x:v>0.579312139318355</x:v>
      </x:c>
      <x:c r="AF419" s="13" t="n">
        <x:v>18287.133333333335</x:v>
      </x:c>
      <x:c r="AG419" s="13" t="n">
        <x:v>2.9912135427407462</x:v>
      </x:c>
      <x:c r="AH419" s="13" t="n">
        <x:v>-0.14606918208588426</x:v>
      </x:c>
      <x:c r="AI419" s="13" t="n">
        <x:v>9</x:v>
      </x:c>
      <x:c r="AJ419" s="13" t="n">
        <x:v>389895.76</x:v>
      </x:c>
      <x:c r="AK419" s="13" t="n">
        <x:v>0.1116345918988576</x:v>
      </x:c>
      <x:c r="AL419" s="13" t="n">
        <x:v>0.031914893617021274</x:v>
      </x:c>
      <x:c r="AM419" s="13" t="n">
        <x:v>0</x:v>
      </x:c>
      <x:c r="AN419" s="13" t="n">
        <x:v>0.2618308938462291</x:v>
      </x:c>
      <x:c r="AO419" s="13" t="n">
        <x:v>2.6020778364230535</x:v>
      </x:c>
      <x:c r="AP419" s="13" t="n">
        <x:v>-0.09531114499366306</x:v>
      </x:c>
    </x:row>
    <x:row r="420" ht="15" hidden="0" customHeight="1">
      <x:c r="A420" s="2" t="str">
        <x:v>E419</x:v>
      </x:c>
      <x:c r="B420" s="2" t="str">
        <x:v>***科技有限公司</x:v>
      </x:c>
      <x:c r="C420" s="2" t="str">
        <x:v>无信贷记录</x:v>
      </x:c>
      <x:c r="D420" s="2" t="str"/>
      <x:c r="E420" s="2" t="str"/>
      <x:c r="F420" s="13" t="n">
        <x:v>1304</x:v>
      </x:c>
      <x:c r="G420" s="13" t="n">
        <x:v>1278</x:v>
      </x:c>
      <x:c r="H420" s="13" t="n">
        <x:v>26</x:v>
      </x:c>
      <x:c r="I420" s="13" t="n">
        <x:v>13</x:v>
      </x:c>
      <x:c r="J420" s="13" t="n">
        <x:v>11909599.52</x:v>
      </x:c>
      <x:c r="K420" s="13" t="n">
        <x:v>11998609.96</x:v>
      </x:c>
      <x:c r="L420" s="13" t="n">
        <x:v>194</x:v>
      </x:c>
      <x:c r="M420" s="13" t="n">
        <x:v>0.019938650306748466</x:v>
      </x:c>
      <x:c r="N420" s="13" t="n">
        <x:v>0.010172143974960876</x:v>
      </x:c>
      <x:c r="O420" s="13" t="n">
        <x:v>0.5557648124560594</x:v>
      </x:c>
      <x:c r="P420" s="13" t="n">
        <x:v>0.740217715186068</x:v>
      </x:c>
      <x:c r="Q420" s="13" t="n">
        <x:v>313410.51368421054</x:v>
      </x:c>
      <x:c r="R420" s="13" t="n">
        <x:v>0.8891747043513635</x:v>
      </x:c>
      <x:c r="S420" s="13" t="n">
        <x:v>0.06980526781250335</x:v>
      </x:c>
      <x:c r="T420" s="13" t="n">
        <x:v>38</x:v>
      </x:c>
      <x:c r="U420" s="13" t="n">
        <x:v>4</x:v>
      </x:c>
      <x:c r="V420" s="13" t="n">
        <x:v>4</x:v>
      </x:c>
      <x:c r="W420" s="13" t="n">
        <x:v>0</x:v>
      </x:c>
      <x:c r="X420" s="13" t="n">
        <x:v>0</x:v>
      </x:c>
      <x:c r="Y420" s="13" t="n">
        <x:v>55200</x:v>
      </x:c>
      <x:c r="Z420" s="13" t="n">
        <x:v>55200</x:v>
      </x:c>
      <x:c r="AA420" s="13" t="n">
        <x:v>2</x:v>
      </x:c>
      <x:c r="AB420" s="13" t="n">
        <x:v>0</x:v>
      </x:c>
      <x:c r="AC420" s="13" t="n">
        <x:v>0</x:v>
      </x:c>
      <x:c r="AD420" s="13" t="n">
        <x:v>0.6009241755933628</x:v>
      </x:c>
      <x:c r="AE420" s="13" t="n">
        <x:v>0.7246376811594203</x:v>
      </x:c>
      <x:c r="AF420" s="13" t="n">
        <x:v>2905.2631578947367</x:v>
      </x:c>
      <x:c r="AG420" s="13" t="n">
        <x:v>2.0080702541905553</x:v>
      </x:c>
      <x:c r="AH420" s="13" t="n">
        <x:v>0.06714975845408318</x:v>
      </x:c>
      <x:c r="AI420" s="13" t="n">
        <x:v>4</x:v>
      </x:c>
      <x:c r="AJ420" s="13" t="n">
        <x:v>-11854399.52</x:v>
      </x:c>
      <x:c r="AK420" s="13" t="n">
        <x:v>217.3661224637642</x:v>
      </x:c>
      <x:c r="AL420" s="13" t="n">
        <x:v>0.019877675840978593</x:v>
      </x:c>
      <x:c r="AM420" s="13" t="n">
        <x:v>0.01014040561622465</x:v>
      </x:c>
      <x:c r="AN420" s="13" t="n">
        <x:v>0.5783444940247111</x:v>
      </x:c>
      <x:c r="AO420" s="13" t="n">
        <x:v>1.4486224792709594</x:v>
      </x:c>
      <x:c r="AP420" s="13" t="n">
        <x:v>0.06847751313329326</x:v>
      </x:c>
    </x:row>
    <x:row r="421" ht="15" hidden="0" customHeight="1">
      <x:c r="A421" s="2" t="str">
        <x:v>E420</x:v>
      </x:c>
      <x:c r="B421" s="2" t="str">
        <x:v>***康药房</x:v>
      </x:c>
      <x:c r="C421" s="2" t="str">
        <x:v>无信贷记录</x:v>
      </x:c>
      <x:c r="D421" s="2" t="str"/>
      <x:c r="E421" s="2" t="str"/>
      <x:c r="F421" s="13" t="n">
        <x:v>153</x:v>
      </x:c>
      <x:c r="G421" s="13" t="n">
        <x:v>151</x:v>
      </x:c>
      <x:c r="H421" s="13" t="n">
        <x:v>2</x:v>
      </x:c>
      <x:c r="I421" s="13" t="n">
        <x:v>0</x:v>
      </x:c>
      <x:c r="J421" s="13" t="n">
        <x:v>2137589.3600000003</x:v>
      </x:c>
      <x:c r="K421" s="13" t="n">
        <x:v>2137589.3600000003</x:v>
      </x:c>
      <x:c r="L421" s="13" t="n">
        <x:v>20</x:v>
      </x:c>
      <x:c r="M421" s="13" t="n">
        <x:v>0.013071895424836602</x:v>
      </x:c>
      <x:c r="N421" s="13" t="n">
        <x:v>0</x:v>
      </x:c>
      <x:c r="O421" s="13" t="n">
        <x:v>0.2479274622245426</x:v>
      </x:c>
      <x:c r="P421" s="13" t="n">
        <x:v>0.37780783115424943</x:v>
      </x:c>
      <x:c r="Q421" s="13" t="n">
        <x:v>64775.43515151515</x:v>
      </x:c>
      <x:c r="R421" s="13" t="n">
        <x:v>0.5571576823394986</x:v>
      </x:c>
      <x:c r="S421" s="13" t="n">
        <x:v>-0.0055243784397996975</x:v>
      </x:c>
      <x:c r="T421" s="13" t="n">
        <x:v>32</x:v>
      </x:c>
      <x:c r="U421" s="13" t="n">
        <x:v>126</x:v>
      </x:c>
      <x:c r="V421" s="13" t="n">
        <x:v>114</x:v>
      </x:c>
      <x:c r="W421" s="13" t="n">
        <x:v>12</x:v>
      </x:c>
      <x:c r="X421" s="13" t="n">
        <x:v>0</x:v>
      </x:c>
      <x:c r="Y421" s="13" t="n">
        <x:v>82321.73000000001</x:v>
      </x:c>
      <x:c r="Z421" s="13" t="n">
        <x:v>82321.73000000001</x:v>
      </x:c>
      <x:c r="AA421" s="13" t="n">
        <x:v>74</x:v>
      </x:c>
      <x:c r="AB421" s="13" t="n">
        <x:v>0.09523809523809523</x:v>
      </x:c>
      <x:c r="AC421" s="13" t="n">
        <x:v>0</x:v>
      </x:c>
      <x:c r="AD421" s="13" t="n">
        <x:v>0.02781574808590936</x:v>
      </x:c>
      <x:c r="AE421" s="13" t="n">
        <x:v>0.06613745848149694</x:v>
      </x:c>
      <x:c r="AF421" s="13" t="n">
        <x:v>2494.5978787878785</x:v>
      </x:c>
      <x:c r="AG421" s="13" t="n">
        <x:v>0.9541699300375958</x:v>
      </x:c>
      <x:c r="AH421" s="13" t="n">
        <x:v>-0.03145896200759568</x:v>
      </x:c>
      <x:c r="AI421" s="13" t="n">
        <x:v>30</x:v>
      </x:c>
      <x:c r="AJ421" s="13" t="n">
        <x:v>-2055267.6300000004</x:v>
      </x:c>
      <x:c r="AK421" s="13" t="n">
        <x:v>25.96628326445489</x:v>
      </x:c>
      <x:c r="AL421" s="13" t="n">
        <x:v>0.05017921146953405</x:v>
      </x:c>
      <x:c r="AM421" s="13" t="n">
        <x:v>0</x:v>
      </x:c>
      <x:c r="AN421" s="13" t="n">
        <x:v>0.13787160515522598</x:v>
      </x:c>
      <x:c r="AO421" s="13" t="n">
        <x:v>0.7556638061885472</x:v>
      </x:c>
      <x:c r="AP421" s="13" t="n">
        <x:v>-0.01849167022369769</x:v>
      </x:c>
    </x:row>
    <x:row r="422" ht="15" hidden="0" customHeight="1">
      <x:c r="A422" s="2" t="str">
        <x:v>E421</x:v>
      </x:c>
      <x:c r="B422" s="2" t="str">
        <x:v>***保温材料有限公司</x:v>
      </x:c>
      <x:c r="C422" s="2" t="str">
        <x:v>无信贷记录</x:v>
      </x:c>
      <x:c r="D422" s="2" t="str"/>
      <x:c r="E422" s="2" t="str"/>
      <x:c r="F422" s="13" t="n">
        <x:v>19</x:v>
      </x:c>
      <x:c r="G422" s="13" t="n">
        <x:v>19</x:v>
      </x:c>
      <x:c r="H422" s="13" t="n">
        <x:v>0</x:v>
      </x:c>
      <x:c r="I422" s="13" t="n">
        <x:v>0</x:v>
      </x:c>
      <x:c r="J422" s="13" t="n">
        <x:v>32170</x:v>
      </x:c>
      <x:c r="K422" s="13" t="n">
        <x:v>32170</x:v>
      </x:c>
      <x:c r="L422" s="13" t="n">
        <x:v>5</x:v>
      </x:c>
      <x:c r="M422" s="13" t="n">
        <x:v>0</x:v>
      </x:c>
      <x:c r="N422" s="13" t="n">
        <x:v>0</x:v>
      </x:c>
      <x:c r="O422" s="13" t="n">
        <x:v>0.8540227067329308</x:v>
      </x:c>
      <x:c r="P422" s="13" t="n">
        <x:v>0.9232203916692571</x:v>
      </x:c>
      <x:c r="Q422" s="13" t="n">
        <x:v>1148.9285714285713</x:v>
      </x:c>
      <x:c r="R422" s="13" t="n">
        <x:v>1.6965499835937472</x:v>
      </x:c>
      <x:c r="S422" s="13" t="n">
        <x:v>0.05028125249359337</x:v>
      </x:c>
      <x:c r="T422" s="13" t="n">
        <x:v>13</x:v>
      </x:c>
      <x:c r="U422" s="13" t="n">
        <x:v>29</x:v>
      </x:c>
      <x:c r="V422" s="13" t="n">
        <x:v>28</x:v>
      </x:c>
      <x:c r="W422" s="13" t="n">
        <x:v>1</x:v>
      </x:c>
      <x:c r="X422" s="13" t="n">
        <x:v>0</x:v>
      </x:c>
      <x:c r="Y422" s="13" t="n">
        <x:v>253071.83</x:v>
      </x:c>
      <x:c r="Z422" s="13" t="n">
        <x:v>253071.83</x:v>
      </x:c>
      <x:c r="AA422" s="13" t="n">
        <x:v>6</x:v>
      </x:c>
      <x:c r="AB422" s="13" t="n">
        <x:v>0.034482758620689655</x:v>
      </x:c>
      <x:c r="AC422" s="13" t="n">
        <x:v>0</x:v>
      </x:c>
      <x:c r="AD422" s="13" t="n">
        <x:v>0.4488982410354132</x:v>
      </x:c>
      <x:c r="AE422" s="13" t="n">
        <x:v>0.632231568404907</x:v>
      </x:c>
      <x:c r="AF422" s="13" t="n">
        <x:v>8163.607419354839</x:v>
      </x:c>
      <x:c r="AG422" s="13" t="n">
        <x:v>3.5938621943662015</x:v>
      </x:c>
      <x:c r="AH422" s="13" t="n">
        <x:v>0.010419956658153803</x:v>
      </x:c>
      <x:c r="AI422" s="13" t="n">
        <x:v>5</x:v>
      </x:c>
      <x:c r="AJ422" s="13" t="n">
        <x:v>220901.83</x:v>
      </x:c>
      <x:c r="AK422" s="13" t="n">
        <x:v>0.12711805972241114</x:v>
      </x:c>
      <x:c r="AL422" s="13" t="n">
        <x:v>0.020833333333333332</x:v>
      </x:c>
      <x:c r="AM422" s="13" t="n">
        <x:v>0</x:v>
      </x:c>
      <x:c r="AN422" s="13" t="n">
        <x:v>0.651460473884172</x:v>
      </x:c>
      <x:c r="AO422" s="13" t="n">
        <x:v>2.6452060889799744</x:v>
      </x:c>
      <x:c r="AP422" s="13" t="n">
        <x:v>0.030350604575873588</x:v>
      </x:c>
    </x:row>
    <x:row r="423" ht="15" hidden="0" customHeight="1">
      <x:c r="A423" s="2" t="str">
        <x:v>E422</x:v>
      </x:c>
      <x:c r="B423" s="2" t="str">
        <x:v>***童装店</x:v>
      </x:c>
      <x:c r="C423" s="2" t="str">
        <x:v>无信贷记录</x:v>
      </x:c>
      <x:c r="D423" s="2" t="str"/>
      <x:c r="E423" s="2" t="str"/>
      <x:c r="F423" s="13" t="n">
        <x:v>3</x:v>
      </x:c>
      <x:c r="G423" s="13" t="n">
        <x:v>3</x:v>
      </x:c>
      <x:c r="H423" s="13" t="n">
        <x:v>0</x:v>
      </x:c>
      <x:c r="I423" s="13" t="n">
        <x:v>0</x:v>
      </x:c>
      <x:c r="J423" s="13" t="n">
        <x:v>960</x:v>
      </x:c>
      <x:c r="K423" s="13" t="n">
        <x:v>960</x:v>
      </x:c>
      <x:c r="L423" s="13" t="n">
        <x:v>2</x:v>
      </x:c>
      <x:c r="M423" s="13" t="n">
        <x:v>0</x:v>
      </x:c>
      <x:c r="N423" s="13" t="n">
        <x:v>0</x:v>
      </x:c>
      <x:c r="O423" s="13" t="n">
        <x:v>0.6701388888888888</x:v>
      </x:c>
      <x:c r="P423" s="13" t="n">
        <x:v>0.7916666666666666</x:v>
      </x:c>
      <x:c r="Q423" s="13" t="n">
        <x:v>68.57142857142857</x:v>
      </x:c>
      <x:c r="R423" s="13" t="n">
        <x:v>2.0733092174072194</x:v>
      </x:c>
      <x:c r="S423" s="13" t="n">
        <x:v>-0.051282051281303545</x:v>
      </x:c>
      <x:c r="T423" s="13" t="n">
        <x:v>3</x:v>
      </x:c>
      <x:c r="U423" s="13" t="n">
        <x:v>30</x:v>
      </x:c>
      <x:c r="V423" s="13" t="n">
        <x:v>27</x:v>
      </x:c>
      <x:c r="W423" s="13" t="n">
        <x:v>3</x:v>
      </x:c>
      <x:c r="X423" s="13" t="n">
        <x:v>0</x:v>
      </x:c>
      <x:c r="Y423" s="13" t="n">
        <x:v>27856.61</x:v>
      </x:c>
      <x:c r="Z423" s="13" t="n">
        <x:v>27856.61</x:v>
      </x:c>
      <x:c r="AA423" s="13" t="n">
        <x:v>20</x:v>
      </x:c>
      <x:c r="AB423" s="13" t="n">
        <x:v>0.1</x:v>
      </x:c>
      <x:c r="AC423" s="13" t="n">
        <x:v>0</x:v>
      </x:c>
      <x:c r="AD423" s="13" t="n">
        <x:v>0.13208417879106152</x:v>
      </x:c>
      <x:c r="AE423" s="13" t="n">
        <x:v>0.299749323410135</x:v>
      </x:c>
      <x:c r="AF423" s="13" t="n">
        <x:v>1392.8305</x:v>
      </x:c>
      <x:c r="AG423" s="13" t="n">
        <x:v>1.9633896079223527</x:v>
      </x:c>
      <x:c r="AH423" s="13" t="n">
        <x:v>0.12971498323900596</x:v>
      </x:c>
      <x:c r="AI423" s="13" t="n">
        <x:v>13</x:v>
      </x:c>
      <x:c r="AJ423" s="13" t="n">
        <x:v>26896.61</x:v>
      </x:c>
      <x:c r="AK423" s="13" t="n">
        <x:v>0.03446219766152326</x:v>
      </x:c>
      <x:c r="AL423" s="13" t="n">
        <x:v>0.09090909090909091</x:v>
      </x:c>
      <x:c r="AM423" s="13" t="n">
        <x:v>0</x:v>
      </x:c>
      <x:c r="AN423" s="13" t="n">
        <x:v>0.40111153383997517</x:v>
      </x:c>
      <x:c r="AO423" s="13" t="n">
        <x:v>2.018349412664786</x:v>
      </x:c>
      <x:c r="AP423" s="13" t="n">
        <x:v>0.03921646597885121</x:v>
      </x:c>
    </x:row>
    <x:row r="424" ht="15" hidden="0" customHeight="1">
      <x:c r="A424" s="2" t="str">
        <x:v>E423</x:v>
      </x:c>
      <x:c r="B424" s="2" t="str">
        <x:v>***通风设备有限公司</x:v>
      </x:c>
      <x:c r="C424" s="2" t="str">
        <x:v>无信贷记录</x:v>
      </x:c>
      <x:c r="D424" s="2" t="str"/>
      <x:c r="E424" s="2" t="str"/>
      <x:c r="F424" s="13" t="n">
        <x:v>21</x:v>
      </x:c>
      <x:c r="G424" s="13" t="n">
        <x:v>21</x:v>
      </x:c>
      <x:c r="H424" s="13" t="n">
        <x:v>0</x:v>
      </x:c>
      <x:c r="I424" s="13" t="n">
        <x:v>1</x:v>
      </x:c>
      <x:c r="J424" s="13" t="n">
        <x:v>69051.7</x:v>
      </x:c>
      <x:c r="K424" s="13" t="n">
        <x:v>89211.7</x:v>
      </x:c>
      <x:c r="L424" s="13" t="n">
        <x:v>8</x:v>
      </x:c>
      <x:c r="M424" s="13" t="n">
        <x:v>0</x:v>
      </x:c>
      <x:c r="N424" s="13" t="n">
        <x:v>0.047619047619047616</x:v>
      </x:c>
      <x:c r="O424" s="13" t="n">
        <x:v>0.5060863026797731</x:v>
      </x:c>
      <x:c r="P424" s="13" t="n">
        <x:v>0.6846859772877325</x:v>
      </x:c>
      <x:c r="Q424" s="13" t="n">
        <x:v>3002.247826086957</x:v>
      </x:c>
      <x:c r="R424" s="13" t="n">
        <x:v>1.5074786222590448</x:v>
      </x:c>
      <x:c r="S424" s="13" t="n">
        <x:v>-0.06408791594490904</x:v>
      </x:c>
      <x:c r="T424" s="13" t="n">
        <x:v>11</x:v>
      </x:c>
      <x:c r="U424" s="13" t="n">
        <x:v>7</x:v>
      </x:c>
      <x:c r="V424" s="13" t="n">
        <x:v>6</x:v>
      </x:c>
      <x:c r="W424" s="13" t="n">
        <x:v>1</x:v>
      </x:c>
      <x:c r="X424" s="13" t="n">
        <x:v>0</x:v>
      </x:c>
      <x:c r="Y424" s="13" t="n">
        <x:v>74970</x:v>
      </x:c>
      <x:c r="Z424" s="13" t="n">
        <x:v>74970</x:v>
      </x:c>
      <x:c r="AA424" s="13" t="n">
        <x:v>3</x:v>
      </x:c>
      <x:c r="AB424" s="13" t="n">
        <x:v>0.14285714285714285</x:v>
      </x:c>
      <x:c r="AC424" s="13" t="n">
        <x:v>0</x:v>
      </x:c>
      <x:c r="AD424" s="13" t="n">
        <x:v>0.3900977758049999</x:v>
      </x:c>
      <x:c r="AE424" s="13" t="n">
        <x:v>0.52781112444978</x:v>
      </x:c>
      <x:c r="AF424" s="13" t="n">
        <x:v>2342.8125</x:v>
      </x:c>
      <x:c r="AG424" s="13" t="n">
        <x:v>2.742961980874312</x:v>
      </x:c>
      <x:c r="AH424" s="13" t="n">
        <x:v>-0.04017481870556873</x:v>
      </x:c>
      <x:c r="AI424" s="13" t="n">
        <x:v>6</x:v>
      </x:c>
      <x:c r="AJ424" s="13" t="n">
        <x:v>5918.300000000003</x:v>
      </x:c>
      <x:c r="AK424" s="13" t="n">
        <x:v>1.1899653194611017</x:v>
      </x:c>
      <x:c r="AL424" s="13" t="n">
        <x:v>0.03571428571428571</x:v>
      </x:c>
      <x:c r="AM424" s="13" t="n">
        <x:v>0.037037037037037035</x:v>
      </x:c>
      <x:c r="AN424" s="13" t="n">
        <x:v>0.4480920392423865</x:v>
      </x:c>
      <x:c r="AO424" s="13" t="n">
        <x:v>2.1252203015666784</x:v>
      </x:c>
      <x:c r="AP424" s="13" t="n">
        <x:v>-0.05213136732523888</x:v>
      </x:c>
    </x:row>
    <x:row r="425" ht="15" hidden="0" customHeight="1">
      <x:c r="A425" s="2" t="str">
        <x:v>E424</x:v>
      </x:c>
      <x:c r="B425" s="2" t="str">
        <x:v>***贸易有限公司</x:v>
      </x:c>
      <x:c r="C425" s="2" t="str">
        <x:v>无信贷记录</x:v>
      </x:c>
      <x:c r="D425" s="2" t="str"/>
      <x:c r="E425" s="2" t="str"/>
      <x:c r="F425" s="13" t="n">
        <x:v>25</x:v>
      </x:c>
      <x:c r="G425" s="13" t="n">
        <x:v>25</x:v>
      </x:c>
      <x:c r="H425" s="13" t="n">
        <x:v>0</x:v>
      </x:c>
      <x:c r="I425" s="13" t="n">
        <x:v>0</x:v>
      </x:c>
      <x:c r="J425" s="13" t="n">
        <x:v>271999.39</x:v>
      </x:c>
      <x:c r="K425" s="13" t="n">
        <x:v>271999.39</x:v>
      </x:c>
      <x:c r="L425" s="13" t="n">
        <x:v>13</x:v>
      </x:c>
      <x:c r="M425" s="13" t="n">
        <x:v>0</x:v>
      </x:c>
      <x:c r="N425" s="13" t="n">
        <x:v>0</x:v>
      </x:c>
      <x:c r="O425" s="13" t="n">
        <x:v>0.7139799185396164</x:v>
      </x:c>
      <x:c r="P425" s="13" t="n">
        <x:v>0.8386569543409637</x:v>
      </x:c>
      <x:c r="Q425" s="13" t="n">
        <x:v>12363.608636363637</x:v>
      </x:c>
      <x:c r="R425" s="13" t="n">
        <x:v>1.532561274431859</x:v>
      </x:c>
      <x:c r="S425" s="13" t="n">
        <x:v>-0.04321862039871563</x:v>
      </x:c>
      <x:c r="T425" s="13" t="n">
        <x:v>12</x:v>
      </x:c>
      <x:c r="U425" s="13" t="n">
        <x:v>43</x:v>
      </x:c>
      <x:c r="V425" s="13" t="n">
        <x:v>37</x:v>
      </x:c>
      <x:c r="W425" s="13" t="n">
        <x:v>6</x:v>
      </x:c>
      <x:c r="X425" s="13" t="n">
        <x:v>2</x:v>
      </x:c>
      <x:c r="Y425" s="13" t="n">
        <x:v>79203.3</x:v>
      </x:c>
      <x:c r="Z425" s="13" t="n">
        <x:v>81703.88</x:v>
      </x:c>
      <x:c r="AA425" s="13" t="n">
        <x:v>21</x:v>
      </x:c>
      <x:c r="AB425" s="13" t="n">
        <x:v>0.13953488372093023</x:v>
      </x:c>
      <x:c r="AC425" s="13" t="n">
        <x:v>0.05405405405405406</x:v>
      </x:c>
      <x:c r="AD425" s="13" t="n">
        <x:v>0.6842346743871394</x:v>
      </x:c>
      <x:c r="AE425" s="13" t="n">
        <x:v>0.8206831793055605</x:v>
      </x:c>
      <x:c r="AF425" s="13" t="n">
        <x:v>3046.280769230769</x:v>
      </x:c>
      <x:c r="AG425" s="13" t="n">
        <x:v>4.193390179025987</x:v>
      </x:c>
      <x:c r="AH425" s="13" t="n">
        <x:v>-0.1269185141976693</x:v>
      </x:c>
      <x:c r="AI425" s="13" t="n">
        <x:v>13</x:v>
      </x:c>
      <x:c r="AJ425" s="13" t="n">
        <x:v>-192796.09000000003</x:v>
      </x:c>
      <x:c r="AK425" s="13" t="n">
        <x:v>3.3290877985231138</x:v>
      </x:c>
      <x:c r="AL425" s="13" t="n">
        <x:v>0.08823529411764706</x:v>
      </x:c>
      <x:c r="AM425" s="13" t="n">
        <x:v>0.03225806451612903</x:v>
      </x:c>
      <x:c r="AN425" s="13" t="n">
        <x:v>0.6991072964633779</x:v>
      </x:c>
      <x:c r="AO425" s="13" t="n">
        <x:v>2.862975726728923</x:v>
      </x:c>
      <x:c r="AP425" s="13" t="n">
        <x:v>-0.08506856729819247</x:v>
      </x:c>
    </x:row>
    <x:row r="426" ht="15" hidden="0" customHeight="1">
      <x:c r="A426" s="2" t="str">
        <x:v>E425</x:v>
      </x:c>
      <x:c r="B426" s="2" t="str">
        <x:v>***商贸有限公司</x:v>
      </x:c>
      <x:c r="C426" s="2" t="str">
        <x:v>无信贷记录</x:v>
      </x:c>
      <x:c r="D426" s="2" t="str"/>
      <x:c r="E426" s="2" t="str"/>
      <x:c r="F426" s="13" t="n">
        <x:v>118</x:v>
      </x:c>
      <x:c r="G426" s="13" t="n">
        <x:v>116</x:v>
      </x:c>
      <x:c r="H426" s="13" t="n">
        <x:v>2</x:v>
      </x:c>
      <x:c r="I426" s="13" t="n">
        <x:v>3</x:v>
      </x:c>
      <x:c r="J426" s="13" t="n">
        <x:v>62081.399999999994</x:v>
      </x:c>
      <x:c r="K426" s="13" t="n">
        <x:v>63188.40000000001</x:v>
      </x:c>
      <x:c r="L426" s="13" t="n">
        <x:v>28</x:v>
      </x:c>
      <x:c r="M426" s="13" t="n">
        <x:v>0.01694915254237288</x:v>
      </x:c>
      <x:c r="N426" s="13" t="n">
        <x:v>0.02586206896551724</x:v>
      </x:c>
      <x:c r="O426" s="13" t="n">
        <x:v>0.08477761604792855</x:v>
      </x:c>
      <x:c r="P426" s="13" t="n">
        <x:v>0.17091744687316027</x:v>
      </x:c>
      <x:c r="Q426" s="13" t="n">
        <x:v>2586.725</x:v>
      </x:c>
      <x:c r="R426" s="13" t="n">
        <x:v>1.240893605330773</x:v>
      </x:c>
      <x:c r="S426" s="13" t="n">
        <x:v>-0.040012091838455825</x:v>
      </x:c>
      <x:c r="T426" s="13" t="n">
        <x:v>21</x:v>
      </x:c>
      <x:c r="U426" s="13" t="n">
        <x:v>18</x:v>
      </x:c>
      <x:c r="V426" s="13" t="n">
        <x:v>10</x:v>
      </x:c>
      <x:c r="W426" s="13" t="n">
        <x:v>8</x:v>
      </x:c>
      <x:c r="X426" s="13" t="n">
        <x:v>0</x:v>
      </x:c>
      <x:c r="Y426" s="13" t="n">
        <x:v>87680</x:v>
      </x:c>
      <x:c r="Z426" s="13" t="n">
        <x:v>87680</x:v>
      </x:c>
      <x:c r="AA426" s="13" t="n">
        <x:v>2</x:v>
      </x:c>
      <x:c r="AB426" s="13" t="n">
        <x:v>0.4444444444444444</x:v>
      </x:c>
      <x:c r="AC426" s="13" t="n">
        <x:v>0</x:v>
      </x:c>
      <x:c r="AD426" s="13" t="n">
        <x:v>0.8924527312323514</x:v>
      </x:c>
      <x:c r="AE426" s="13" t="n">
        <x:v>0.9429744525547445</x:v>
      </x:c>
      <x:c r="AF426" s="13" t="n">
        <x:v>5480</x:v>
      </x:c>
      <x:c r="AG426" s="13" t="n">
        <x:v>2.539072104991882</x:v>
      </x:c>
      <x:c r="AH426" s="13" t="n">
        <x:v>-0.2949119793902424</x:v>
      </x:c>
      <x:c r="AI426" s="13" t="n">
        <x:v>3</x:v>
      </x:c>
      <x:c r="AJ426" s="13" t="n">
        <x:v>25598.600000000006</x:v>
      </x:c>
      <x:c r="AK426" s="13" t="n">
        <x:v>0.720670620437948</x:v>
      </x:c>
      <x:c r="AL426" s="13" t="n">
        <x:v>0.07352941176470588</x:v>
      </x:c>
      <x:c r="AM426" s="13" t="n">
        <x:v>0.023809523809523808</x:v>
      </x:c>
      <x:c r="AN426" s="13" t="n">
        <x:v>0.48861517364013995</x:v>
      </x:c>
      <x:c r="AO426" s="13" t="n">
        <x:v>1.8899828551613274</x:v>
      </x:c>
      <x:c r="AP426" s="13" t="n">
        <x:v>-0.1674620356143491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</x:cols>
  <x:sheetData>
    <x:row r="1" ht="24" hidden="0" customHeight="1">
      <x:c r="A1" s="4" t="str">
        <x:v>企业代号</x:v>
      </x:c>
      <x:c r="B1" s="4" t="str">
        <x:v>企业名称</x:v>
      </x:c>
      <x:c r="C1" s="4" t="str">
        <x:v>样本类型</x:v>
      </x:c>
      <x:c r="D1" s="4" t="str">
        <x:v>信誉评级</x:v>
      </x:c>
      <x:c r="E1" s="4" t="str">
        <x:v>是否违约</x:v>
      </x:c>
      <x:c r="F1" s="4" t="str">
        <x:v>进项_发票总数</x:v>
      </x:c>
      <x:c r="G1" s="4" t="str">
        <x:v>进项_有效票数</x:v>
      </x:c>
      <x:c r="H1" s="4" t="str">
        <x:v>进项_作废票数</x:v>
      </x:c>
      <x:c r="I1" s="4" t="str">
        <x:v>进项_负数票数</x:v>
      </x:c>
      <x:c r="J1" s="4" t="str">
        <x:v>进项_有效价税合计</x:v>
      </x:c>
      <x:c r="K1" s="4" t="str">
        <x:v>进项_有效绝对额</x:v>
      </x:c>
      <x:c r="L1" s="4" t="str">
        <x:v>进项_交易对手数</x:v>
      </x:c>
      <x:c r="M1" s="4" t="str">
        <x:v>进项_作废率</x:v>
      </x:c>
      <x:c r="N1" s="4" t="str">
        <x:v>进项_负数率</x:v>
      </x:c>
      <x:c r="O1" s="4" t="str">
        <x:v>进项_交易集中度HHI</x:v>
      </x:c>
      <x:c r="P1" s="4" t="str">
        <x:v>进项_最大交易对手占比</x:v>
      </x:c>
      <x:c r="Q1" s="4" t="str">
        <x:v>进项_月均额</x:v>
      </x:c>
      <x:c r="R1" s="4" t="str">
        <x:v>进项_月波动率</x:v>
      </x:c>
      <x:c r="S1" s="4" t="str">
        <x:v>进项_月趋势</x:v>
      </x:c>
      <x:c r="T1" s="4" t="str">
        <x:v>进项_活跃月数</x:v>
      </x:c>
      <x:c r="U1" s="4" t="str">
        <x:v>销项_发票总数</x:v>
      </x:c>
      <x:c r="V1" s="4" t="str">
        <x:v>销项_有效票数</x:v>
      </x:c>
      <x:c r="W1" s="4" t="str">
        <x:v>销项_作废票数</x:v>
      </x:c>
      <x:c r="X1" s="4" t="str">
        <x:v>销项_负数票数</x:v>
      </x:c>
      <x:c r="Y1" s="4" t="str">
        <x:v>销项_有效价税合计</x:v>
      </x:c>
      <x:c r="Z1" s="4" t="str">
        <x:v>销项_有效绝对额</x:v>
      </x:c>
      <x:c r="AA1" s="4" t="str">
        <x:v>销项_交易对手数</x:v>
      </x:c>
      <x:c r="AB1" s="4" t="str">
        <x:v>销项_作废率</x:v>
      </x:c>
      <x:c r="AC1" s="4" t="str">
        <x:v>销项_负数率</x:v>
      </x:c>
      <x:c r="AD1" s="4" t="str">
        <x:v>销项_交易集中度HHI</x:v>
      </x:c>
      <x:c r="AE1" s="4" t="str">
        <x:v>销项_最大交易对手占比</x:v>
      </x:c>
      <x:c r="AF1" s="4" t="str">
        <x:v>销项_月均额</x:v>
      </x:c>
      <x:c r="AG1" s="4" t="str">
        <x:v>销项_月波动率</x:v>
      </x:c>
      <x:c r="AH1" s="4" t="str">
        <x:v>销项_月趋势</x:v>
      </x:c>
      <x:c r="AI1" s="4" t="str">
        <x:v>销项_活跃月数</x:v>
      </x:c>
      <x:c r="AJ1" s="4" t="str">
        <x:v>净流入代理</x:v>
      </x:c>
      <x:c r="AK1" s="4" t="str">
        <x:v>进销比</x:v>
      </x:c>
      <x:c r="AL1" s="4" t="str">
        <x:v>综合作废率</x:v>
      </x:c>
      <x:c r="AM1" s="4" t="str">
        <x:v>综合负数率</x:v>
      </x:c>
      <x:c r="AN1" s="4" t="str">
        <x:v>上下游集中度</x:v>
      </x:c>
      <x:c r="AO1" s="4" t="str">
        <x:v>经营波动率</x:v>
      </x:c>
      <x:c r="AP1" s="4" t="str">
        <x:v>经营趋势</x:v>
      </x:c>
    </x:row>
    <x:row r="2" ht="15" hidden="0" customHeight="1">
      <x:c r="A2" s="2" t="str">
        <x:v>E1</x:v>
      </x:c>
      <x:c r="B2" s="2" t="str">
        <x:v>***电器销售有限公司</x:v>
      </x:c>
      <x:c r="C2" s="2" t="str">
        <x:v>有信贷记录</x:v>
      </x:c>
      <x:c r="D2" s="2" t="str">
        <x:v>A</x:v>
      </x:c>
      <x:c r="E2" s="2" t="str">
        <x:v>否</x:v>
      </x:c>
      <x:c r="F2" s="13" t="n">
        <x:v>3441</x:v>
      </x:c>
      <x:c r="G2" s="13" t="n">
        <x:v>3249</x:v>
      </x:c>
      <x:c r="H2" s="13" t="n">
        <x:v>192</x:v>
      </x:c>
      <x:c r="I2" s="13" t="n">
        <x:v>71</x:v>
      </x:c>
      <x:c r="J2" s="13" t="n">
        <x:v>292218987.17319953</x:v>
      </x:c>
      <x:c r="K2" s="13" t="n">
        <x:v>294391831.53319967</x:v>
      </x:c>
      <x:c r="L2" s="13" t="n">
        <x:v>437</x:v>
      </x:c>
      <x:c r="M2" s="13" t="n">
        <x:v>0.05579773321708806</x:v>
      </x:c>
      <x:c r="N2" s="13" t="n">
        <x:v>0.02185287780855648</x:v>
      </x:c>
      <x:c r="O2" s="13" t="n">
        <x:v>0.9910738843568306</x:v>
      </x:c>
      <x:c r="P2" s="13" t="n">
        <x:v>0.9955206743736323</x:v>
      </x:c>
      <x:c r="Q2" s="13" t="n">
        <x:v>7854353.69919828</x:v>
      </x:c>
      <x:c r="R2" s="13" t="n">
        <x:v>0.4928196427541077</x:v>
      </x:c>
      <x:c r="S2" s="13" t="n">
        <x:v>-0.014749293629915622</x:v>
      </x:c>
      <x:c r="T2" s="13" t="n">
        <x:v>31</x:v>
      </x:c>
      <x:c r="U2" s="13" t="n">
        <x:v>8110</x:v>
      </x:c>
      <x:c r="V2" s="13" t="n">
        <x:v>7886</x:v>
      </x:c>
      <x:c r="W2" s="13" t="n">
        <x:v>224</x:v>
      </x:c>
      <x:c r="X2" s="13" t="n">
        <x:v>228</x:v>
      </x:c>
      <x:c r="Y2" s="13" t="n">
        <x:v>669003080.2907999</x:v>
      </x:c>
      <x:c r="Z2" s="13" t="n">
        <x:v>1012686468.1095984</x:v>
      </x:c>
      <x:c r="AA2" s="13" t="n">
        <x:v>360</x:v>
      </x:c>
      <x:c r="AB2" s="13" t="n">
        <x:v>0.027620221948212082</x:v>
      </x:c>
      <x:c r="AC2" s="13" t="n">
        <x:v>0.028911995942176007</x:v>
      </x:c>
      <x:c r="AD2" s="13" t="n">
        <x:v>0.07250266818859435</x:v>
      </x:c>
      <x:c r="AE2" s="13" t="n">
        <x:v>0.1823356465325447</x:v>
      </x:c>
      <x:c r="AF2" s="13" t="n">
        <x:v>18351464.41321227</x:v>
      </x:c>
      <x:c r="AG2" s="13" t="n">
        <x:v>0.4653301969596567</x:v>
      </x:c>
      <x:c r="AH2" s="13" t="n">
        <x:v>-0.018119139153853617</x:v>
      </x:c>
      <x:c r="AI2" s="13" t="n">
        <x:v>30</x:v>
      </x:c>
      <x:c r="AJ2" s="13" t="n">
        <x:v>-66758721.217599995</x:v>
      </x:c>
      <x:c r="AK2" s="13" t="n">
        <x:v>1.5574842623626057</x:v>
      </x:c>
      <x:c r="AL2" s="13" t="n">
        <x:v>0.03601419790494329</x:v>
      </x:c>
      <x:c r="AM2" s="13" t="n">
        <x:v>0.026852267624607094</x:v>
      </x:c>
      <x:c r="AN2" s="13" t="n">
        <x:v>0.5317882762727125</x:v>
      </x:c>
      <x:c r="AO2" s="13" t="n">
        <x:v>0.4790749198568822</x:v>
      </x:c>
      <x:c r="AP2" s="13" t="n">
        <x:v>-0.01643421639188462</x:v>
      </x:c>
    </x:row>
    <x:row r="3" ht="15" hidden="0" customHeight="1">
      <x:c r="A3" s="2" t="str">
        <x:v>E2</x:v>
      </x:c>
      <x:c r="B3" s="2" t="str">
        <x:v>***技术有限责任公司</x:v>
      </x:c>
      <x:c r="C3" s="2" t="str">
        <x:v>有信贷记录</x:v>
      </x:c>
      <x:c r="D3" s="2" t="str">
        <x:v>A</x:v>
      </x:c>
      <x:c r="E3" s="2" t="str">
        <x:v>否</x:v>
      </x:c>
      <x:c r="F3" s="13" t="n">
        <x:v>13379.719999999998</x:v>
      </x:c>
      <x:c r="G3" s="13" t="n">
        <x:v>13108.119999999995</x:v>
      </x:c>
      <x:c r="H3" s="13" t="n">
        <x:v>550</x:v>
      </x:c>
      <x:c r="I3" s="13" t="n">
        <x:v>149.75999999999976</x:v>
      </x:c>
      <x:c r="J3" s="13" t="n">
        <x:v>162487956.62</x:v>
      </x:c>
      <x:c r="K3" s="13" t="n">
        <x:v>164563441.82</x:v>
      </x:c>
      <x:c r="L3" s="13" t="n">
        <x:v>1608.56</x:v>
      </x:c>
      <x:c r="M3" s="13" t="n">
        <x:v>0.02242194302773977</x:v>
      </x:c>
      <x:c r="N3" s="13" t="n">
        <x:v>0.004962621282010498</x:v>
      </x:c>
      <x:c r="O3" s="13" t="n">
        <x:v>0.06800115802162585</x:v>
      </x:c>
      <x:c r="P3" s="13" t="n">
        <x:v>0.2476577841303198</x:v>
      </x:c>
      <x:c r="Q3" s="13" t="n">
        <x:v>4275998.858421053</x:v>
      </x:c>
      <x:c r="R3" s="13" t="n">
        <x:v>0.7036626308111503</x:v>
      </x:c>
      <x:c r="S3" s="13" t="n">
        <x:v>0.02052094179819626</x:v>
      </x:c>
      <x:c r="T3" s="13" t="n">
        <x:v>38</x:v>
      </x:c>
      <x:c r="U3" s="13" t="n">
        <x:v>10552</x:v>
      </x:c>
      <x:c r="V3" s="13" t="n">
        <x:v>9677</x:v>
      </x:c>
      <x:c r="W3" s="13" t="n">
        <x:v>809.7599999999993</x:v>
      </x:c>
      <x:c r="X3" s="13" t="n">
        <x:v>308</x:v>
      </x:c>
      <x:c r="Y3" s="13" t="n">
        <x:v>528056997.79</x:v>
      </x:c>
      <x:c r="Z3" s="13" t="n">
        <x:v>564582486.4300001</x:v>
      </x:c>
      <x:c r="AA3" s="13" t="n">
        <x:v>1611</x:v>
      </x:c>
      <x:c r="AB3" s="13" t="n">
        <x:v>0.0829226686884003</x:v>
      </x:c>
      <x:c r="AC3" s="13" t="n">
        <x:v>0.03182804588198822</x:v>
      </x:c>
      <x:c r="AD3" s="13" t="n">
        <x:v>0.00953716437718408</x:v>
      </x:c>
      <x:c r="AE3" s="13" t="n">
        <x:v>0.05249182380310061</x:v>
      </x:c>
      <x:c r="AF3" s="13" t="n">
        <x:v>14271810.751081081</x:v>
      </x:c>
      <x:c r="AG3" s="13" t="n">
        <x:v>0.6640244812556676</x:v>
      </x:c>
      <x:c r="AH3" s="13" t="n">
        <x:v>0.02360018762720344</x:v>
      </x:c>
      <x:c r="AI3" s="13" t="n">
        <x:v>37</x:v>
      </x:c>
      <x:c r="AJ3" s="13" t="n">
        <x:v>365569041.17</x:v>
      </x:c>
      <x:c r="AK3" s="13" t="n">
        <x:v>0.2914781201602212</x:v>
      </x:c>
      <x:c r="AL3" s="13" t="n">
        <x:v>0.03737004776622647</x:v>
      </x:c>
      <x:c r="AM3" s="13" t="n">
        <x:v>0.011286242459622495</x:v>
      </x:c>
      <x:c r="AN3" s="13" t="n">
        <x:v>0.03876916119940496</x:v>
      </x:c>
      <x:c r="AO3" s="13" t="n">
        <x:v>0.683843556033409</x:v>
      </x:c>
      <x:c r="AP3" s="13" t="n">
        <x:v>0.02206056471269985</x:v>
      </x:c>
    </x:row>
    <x:row r="4" ht="15" hidden="0" customHeight="1">
      <x:c r="A4" s="2" t="str">
        <x:v>E3</x:v>
      </x:c>
      <x:c r="B4" s="2" t="str">
        <x:v>***电子(中国)有限公司***分公司</x:v>
      </x:c>
      <x:c r="C4" s="2" t="str">
        <x:v>有信贷记录</x:v>
      </x:c>
      <x:c r="D4" s="2" t="str">
        <x:v>C</x:v>
      </x:c>
      <x:c r="E4" s="2" t="str">
        <x:v>否</x:v>
      </x:c>
      <x:c r="F4" s="13" t="n">
        <x:v>4561</x:v>
      </x:c>
      <x:c r="G4" s="13" t="n">
        <x:v>4367</x:v>
      </x:c>
      <x:c r="H4" s="13" t="n">
        <x:v>194</x:v>
      </x:c>
      <x:c r="I4" s="13" t="n">
        <x:v>26</x:v>
      </x:c>
      <x:c r="J4" s="13" t="n">
        <x:v>54179352.519999996</x:v>
      </x:c>
      <x:c r="K4" s="13" t="n">
        <x:v>54859923.26</x:v>
      </x:c>
      <x:c r="L4" s="13" t="n">
        <x:v>573</x:v>
      </x:c>
      <x:c r="M4" s="13" t="n">
        <x:v>0.042534531900898925</x:v>
      </x:c>
      <x:c r="N4" s="13" t="n">
        <x:v>0.005953743989008472</x:v>
      </x:c>
      <x:c r="O4" s="13" t="n">
        <x:v>0.3991085620740338</x:v>
      </x:c>
      <x:c r="P4" s="13" t="n">
        <x:v>0.6215724832204221</x:v>
      </x:c>
      <x:c r="Q4" s="13" t="n">
        <x:v>1425772.434736842</x:v>
      </x:c>
      <x:c r="R4" s="13" t="n">
        <x:v>0.656251973976642</x:v>
      </x:c>
      <x:c r="S4" s="13" t="n">
        <x:v>-0.005595284581677301</x:v>
      </x:c>
      <x:c r="T4" s="13" t="n">
        <x:v>38</x:v>
      </x:c>
      <x:c r="U4" s="13" t="n">
        <x:v>11455.639999999989</x:v>
      </x:c>
      <x:c r="V4" s="13" t="n">
        <x:v>10722.759999999987</x:v>
      </x:c>
      <x:c r="W4" s="13" t="n">
        <x:v>385</x:v>
      </x:c>
      <x:c r="X4" s="13" t="n">
        <x:v>352.83999999999946</x:v>
      </x:c>
      <x:c r="Y4" s="13" t="n">
        <x:v>661070278.7</x:v>
      </x:c>
      <x:c r="Z4" s="13" t="n">
        <x:v>1012686468.1095984</x:v>
      </x:c>
      <x:c r="AA4" s="13" t="n">
        <x:v>136</x:v>
      </x:c>
      <x:c r="AB4" s="13" t="n">
        <x:v>0.0159930212271009</x:v>
      </x:c>
      <x:c r="AC4" s="13" t="n">
        <x:v>0.17828116037106256</x:v>
      </x:c>
      <x:c r="AD4" s="13" t="n">
        <x:v>0.1412156820352551</x:v>
      </x:c>
      <x:c r="AE4" s="13" t="n">
        <x:v>0.260365599785323</x:v>
      </x:c>
      <x:c r="AF4" s="13" t="n">
        <x:v>17396586.281578947</x:v>
      </x:c>
      <x:c r="AG4" s="13" t="n">
        <x:v>0.7177343366382439</x:v>
      </x:c>
      <x:c r="AH4" s="13" t="n">
        <x:v>-0.035739785371312116</x:v>
      </x:c>
      <x:c r="AI4" s="13" t="n">
        <x:v>38</x:v>
      </x:c>
      <x:c r="AJ4" s="13" t="n">
        <x:v>398719945.9707996</x:v>
      </x:c>
      <x:c r="AK4" s="13" t="n">
        <x:v>0.04865816249683699</x:v>
      </x:c>
      <x:c r="AL4" s="13" t="n">
        <x:v>0.020220716630579033</x:v>
      </x:c>
      <x:c r="AM4" s="13" t="n">
        <x:v>0.103076923076923</x:v>
      </x:c>
      <x:c r="AN4" s="13" t="n">
        <x:v>0.27016212205464446</x:v>
      </x:c>
      <x:c r="AO4" s="13" t="n">
        <x:v>0.686993155307443</x:v>
      </x:c>
      <x:c r="AP4" s="13" t="n">
        <x:v>-0.02066753497649471</x:v>
      </x:c>
    </x:row>
    <x:row r="5" ht="15" hidden="0" customHeight="1">
      <x:c r="A5" s="2" t="str">
        <x:v>E4</x:v>
      </x:c>
      <x:c r="B5" s="2" t="str">
        <x:v>***发展有限责任公司</x:v>
      </x:c>
      <x:c r="C5" s="2" t="str">
        <x:v>有信贷记录</x:v>
      </x:c>
      <x:c r="D5" s="2" t="str">
        <x:v>C</x:v>
      </x:c>
      <x:c r="E5" s="2" t="str">
        <x:v>否</x:v>
      </x:c>
      <x:c r="F5" s="13" t="n">
        <x:v>558</x:v>
      </x:c>
      <x:c r="G5" s="13" t="n">
        <x:v>521</x:v>
      </x:c>
      <x:c r="H5" s="13" t="n">
        <x:v>37</x:v>
      </x:c>
      <x:c r="I5" s="13" t="n">
        <x:v>4</x:v>
      </x:c>
      <x:c r="J5" s="13" t="n">
        <x:v>254584214.62</x:v>
      </x:c>
      <x:c r="K5" s="13" t="n">
        <x:v>263411652.42000002</x:v>
      </x:c>
      <x:c r="L5" s="13" t="n">
        <x:v>131</x:v>
      </x:c>
      <x:c r="M5" s="13" t="n">
        <x:v>0.06630824372759857</x:v>
      </x:c>
      <x:c r="N5" s="13" t="n">
        <x:v>0.007677543186180422</x:v>
      </x:c>
      <x:c r="O5" s="13" t="n">
        <x:v>0.8812883561874376</x:v>
      </x:c>
      <x:c r="P5" s="13" t="n">
        <x:v>0.9383720087138885</x:v>
      </x:c>
      <x:c r="Q5" s="13" t="n">
        <x:v>6699584.595263157</x:v>
      </x:c>
      <x:c r="R5" s="13" t="n">
        <x:v>1.8968758249827182</x:v>
      </x:c>
      <x:c r="S5" s="13" t="n">
        <x:v>-0.0050001220000654625</x:v>
      </x:c>
      <x:c r="T5" s="13" t="n">
        <x:v>38</x:v>
      </x:c>
      <x:c r="U5" s="13" t="n">
        <x:v>2231</x:v>
      </x:c>
      <x:c r="V5" s="13" t="n">
        <x:v>2041</x:v>
      </x:c>
      <x:c r="W5" s="13" t="n">
        <x:v>190</x:v>
      </x:c>
      <x:c r="X5" s="13" t="n">
        <x:v>9</x:v>
      </x:c>
      <x:c r="Y5" s="13" t="n">
        <x:v>669003080.2907999</x:v>
      </x:c>
      <x:c r="Z5" s="13" t="n">
        <x:v>1012686468.1095984</x:v>
      </x:c>
      <x:c r="AA5" s="13" t="n">
        <x:v>26</x:v>
      </x:c>
      <x:c r="AB5" s="13" t="n">
        <x:v>0.08516360376512774</x:v>
      </x:c>
      <x:c r="AC5" s="13" t="n">
        <x:v>0.004409603135717786</x:v>
      </x:c>
      <x:c r="AD5" s="13" t="n">
        <x:v>0.3286993422320858</x:v>
      </x:c>
      <x:c r="AE5" s="13" t="n">
        <x:v>0.5520522699048421</x:v>
      </x:c>
      <x:c r="AF5" s="13" t="n">
        <x:v>18351464.41321227</x:v>
      </x:c>
      <x:c r="AG5" s="13" t="n">
        <x:v>1.3314607055554257</x:v>
      </x:c>
      <x:c r="AH5" s="13" t="n">
        <x:v>-0.08124234366869294</x:v>
      </x:c>
      <x:c r="AI5" s="13" t="n">
        <x:v>35</x:v>
      </x:c>
      <x:c r="AJ5" s="13" t="n">
        <x:v>398719945.9707996</x:v>
      </x:c>
      <x:c r="AK5" s="13" t="n">
        <x:v>0.12176017353441547</x:v>
      </x:c>
      <x:c r="AL5" s="13" t="n">
        <x:v>0.08139117963427751</x:v>
      </x:c>
      <x:c r="AM5" s="13" t="n">
        <x:v>0.00507416081186573</x:v>
      </x:c>
      <x:c r="AN5" s="13" t="n">
        <x:v>0.6049938492097617</x:v>
      </x:c>
      <x:c r="AO5" s="13" t="n">
        <x:v>1.6141682652690719</x:v>
      </x:c>
      <x:c r="AP5" s="13" t="n">
        <x:v>-0.0431212328343792</x:v>
      </x:c>
    </x:row>
    <x:row r="6" ht="15" hidden="0" customHeight="1">
      <x:c r="A6" s="2" t="str">
        <x:v>E5</x:v>
      </x:c>
      <x:c r="B6" s="2" t="str">
        <x:v>***供应链管理有限公司</x:v>
      </x:c>
      <x:c r="C6" s="2" t="str">
        <x:v>有信贷记录</x:v>
      </x:c>
      <x:c r="D6" s="2" t="str">
        <x:v>B</x:v>
      </x:c>
      <x:c r="E6" s="2" t="str">
        <x:v>否</x:v>
      </x:c>
      <x:c r="F6" s="13" t="n">
        <x:v>2169</x:v>
      </x:c>
      <x:c r="G6" s="13" t="n">
        <x:v>2084</x:v>
      </x:c>
      <x:c r="H6" s="13" t="n">
        <x:v>85</x:v>
      </x:c>
      <x:c r="I6" s="13" t="n">
        <x:v>16</x:v>
      </x:c>
      <x:c r="J6" s="13" t="n">
        <x:v>227331978.97</x:v>
      </x:c>
      <x:c r="K6" s="13" t="n">
        <x:v>229561996.32999998</x:v>
      </x:c>
      <x:c r="L6" s="13" t="n">
        <x:v>393</x:v>
      </x:c>
      <x:c r="M6" s="13" t="n">
        <x:v>0.039188566159520516</x:v>
      </x:c>
      <x:c r="N6" s="13" t="n">
        <x:v>0.007677543186180422</x:v>
      </x:c>
      <x:c r="O6" s="13" t="n">
        <x:v>0.1418085442526056</x:v>
      </x:c>
      <x:c r="P6" s="13" t="n">
        <x:v>0.27065430338340535</x:v>
      </x:c>
      <x:c r="Q6" s="13" t="n">
        <x:v>6144107.539729729</x:v>
      </x:c>
      <x:c r="R6" s="13" t="n">
        <x:v>0.9839280365075799</x:v>
      </x:c>
      <x:c r="S6" s="13" t="n">
        <x:v>0.047039943681738736</x:v>
      </x:c>
      <x:c r="T6" s="13" t="n">
        <x:v>37</x:v>
      </x:c>
      <x:c r="U6" s="13" t="n">
        <x:v>1060</x:v>
      </x:c>
      <x:c r="V6" s="13" t="n">
        <x:v>1005</x:v>
      </x:c>
      <x:c r="W6" s="13" t="n">
        <x:v>55</x:v>
      </x:c>
      <x:c r="X6" s="13" t="n">
        <x:v>10</x:v>
      </x:c>
      <x:c r="Y6" s="13" t="n">
        <x:v>233290699.99</x:v>
      </x:c>
      <x:c r="Z6" s="13" t="n">
        <x:v>235530147.19</x:v>
      </x:c>
      <x:c r="AA6" s="13" t="n">
        <x:v>33</x:v>
      </x:c>
      <x:c r="AB6" s="13" t="n">
        <x:v>0.05188679245283019</x:v>
      </x:c>
      <x:c r="AC6" s="13" t="n">
        <x:v>0.009950248756218905</x:v>
      </x:c>
      <x:c r="AD6" s="13" t="n">
        <x:v>0.20301033127709808</x:v>
      </x:c>
      <x:c r="AE6" s="13" t="n">
        <x:v>0.39403015065045693</x:v>
      </x:c>
      <x:c r="AF6" s="13" t="n">
        <x:v>6305154.053783784</x:v>
      </x:c>
      <x:c r="AG6" s="13" t="n">
        <x:v>0.9919500922477668</x:v>
      </x:c>
      <x:c r="AH6" s="13" t="n">
        <x:v>0.04848915870505322</x:v>
      </x:c>
      <x:c r="AI6" s="13" t="n">
        <x:v>33</x:v>
      </x:c>
      <x:c r="AJ6" s="13" t="n">
        <x:v>5958721.020000011</x:v>
      </x:c>
      <x:c r="AK6" s="13" t="n">
        <x:v>0.9746607772669307</x:v>
      </x:c>
      <x:c r="AL6" s="13" t="n">
        <x:v>0.043357076494270674</x:v>
      </x:c>
      <x:c r="AM6" s="13" t="n">
        <x:v>0.008416963418582066</x:v>
      </x:c>
      <x:c r="AN6" s="13" t="n">
        <x:v>0.17240943776485185</x:v>
      </x:c>
      <x:c r="AO6" s="13" t="n">
        <x:v>0.9879390643776733</x:v>
      </x:c>
      <x:c r="AP6" s="13" t="n">
        <x:v>0.04776455119339598</x:v>
      </x:c>
    </x:row>
    <x:row r="7" ht="15" hidden="0" customHeight="1">
      <x:c r="A7" s="2" t="str">
        <x:v>E6</x:v>
      </x:c>
      <x:c r="B7" s="2" t="str">
        <x:v>***装饰设计工程有限公司</x:v>
      </x:c>
      <x:c r="C7" s="2" t="str">
        <x:v>有信贷记录</x:v>
      </x:c>
      <x:c r="D7" s="2" t="str">
        <x:v>A</x:v>
      </x:c>
      <x:c r="E7" s="2" t="str">
        <x:v>否</x:v>
      </x:c>
      <x:c r="F7" s="13" t="n">
        <x:v>11337</x:v>
      </x:c>
      <x:c r="G7" s="13" t="n">
        <x:v>10814</x:v>
      </x:c>
      <x:c r="H7" s="13" t="n">
        <x:v>523</x:v>
      </x:c>
      <x:c r="I7" s="13" t="n">
        <x:v>78</x:v>
      </x:c>
      <x:c r="J7" s="13" t="n">
        <x:v>292218987.17319953</x:v>
      </x:c>
      <x:c r="K7" s="13" t="n">
        <x:v>294391831.53319967</x:v>
      </x:c>
      <x:c r="L7" s="13" t="n">
        <x:v>1524</x:v>
      </x:c>
      <x:c r="M7" s="13" t="n">
        <x:v>0.046132133721443064</x:v>
      </x:c>
      <x:c r="N7" s="13" t="n">
        <x:v>0.007212872202700203</x:v>
      </x:c>
      <x:c r="O7" s="13" t="n">
        <x:v>0.1136884645200179</x:v>
      </x:c>
      <x:c r="P7" s="13" t="n">
        <x:v>0.3255820739721519</x:v>
      </x:c>
      <x:c r="Q7" s="13" t="n">
        <x:v>7854353.69919828</x:v>
      </x:c>
      <x:c r="R7" s="13" t="n">
        <x:v>0.7041649148987049</x:v>
      </x:c>
      <x:c r="S7" s="13" t="n">
        <x:v>0.03509402813591825</x:v>
      </x:c>
      <x:c r="T7" s="13" t="n">
        <x:v>37</x:v>
      </x:c>
      <x:c r="U7" s="13" t="n">
        <x:v>1052</x:v>
      </x:c>
      <x:c r="V7" s="13" t="n">
        <x:v>913</x:v>
      </x:c>
      <x:c r="W7" s="13" t="n">
        <x:v>139</x:v>
      </x:c>
      <x:c r="X7" s="13" t="n">
        <x:v>23</x:v>
      </x:c>
      <x:c r="Y7" s="13" t="n">
        <x:v>395897438.24</x:v>
      </x:c>
      <x:c r="Z7" s="13" t="n">
        <x:v>400113425.32000005</x:v>
      </x:c>
      <x:c r="AA7" s="13" t="n">
        <x:v>151</x:v>
      </x:c>
      <x:c r="AB7" s="13" t="n">
        <x:v>0.13212927756653992</x:v>
      </x:c>
      <x:c r="AC7" s="13" t="n">
        <x:v>0.025191675794085433</x:v>
      </x:c>
      <x:c r="AD7" s="13" t="n">
        <x:v>0.07090492943715736</x:v>
      </x:c>
      <x:c r="AE7" s="13" t="n">
        <x:v>0.18028160110426159</x:v>
      </x:c>
      <x:c r="AF7" s="13" t="n">
        <x:v>10699930.763243243</x:v>
      </x:c>
      <x:c r="AG7" s="13" t="n">
        <x:v>0.6930019703648538</x:v>
      </x:c>
      <x:c r="AH7" s="13" t="n">
        <x:v>0.027342938222907134</x:v>
      </x:c>
      <x:c r="AI7" s="13" t="n">
        <x:v>37</x:v>
      </x:c>
      <x:c r="AJ7" s="13" t="n">
        <x:v>74718874.74000001</x:v>
      </x:c>
      <x:c r="AK7" s="13" t="n">
        <x:v>0.8171164469638146</x:v>
      </x:c>
      <x:c r="AL7" s="13" t="n">
        <x:v>0.05343449834530632</x:v>
      </x:c>
      <x:c r="AM7" s="13" t="n">
        <x:v>0.008612603393877377</x:v>
      </x:c>
      <x:c r="AN7" s="13" t="n">
        <x:v>0.09229669697858764</x:v>
      </x:c>
      <x:c r="AO7" s="13" t="n">
        <x:v>0.6985834426317794</x:v>
      </x:c>
      <x:c r="AP7" s="13" t="n">
        <x:v>0.03121848317941269</x:v>
      </x:c>
    </x:row>
    <x:row r="8" ht="15" hidden="0" customHeight="1">
      <x:c r="A8" s="2" t="str">
        <x:v>E7</x:v>
      </x:c>
      <x:c r="B8" s="2" t="str">
        <x:v>***家电有限公司***分公司</x:v>
      </x:c>
      <x:c r="C8" s="2" t="str">
        <x:v>有信贷记录</x:v>
      </x:c>
      <x:c r="D8" s="2" t="str">
        <x:v>A</x:v>
      </x:c>
      <x:c r="E8" s="2" t="str">
        <x:v>否</x:v>
      </x:c>
      <x:c r="F8" s="13" t="n">
        <x:v>13097</x:v>
      </x:c>
      <x:c r="G8" s="13" t="n">
        <x:v>12643</x:v>
      </x:c>
      <x:c r="H8" s="13" t="n">
        <x:v>454</x:v>
      </x:c>
      <x:c r="I8" s="13" t="n">
        <x:v>149.75999999999976</x:v>
      </x:c>
      <x:c r="J8" s="13" t="n">
        <x:v>63491942.06</x:v>
      </x:c>
      <x:c r="K8" s="13" t="n">
        <x:v>78273474.06</x:v>
      </x:c>
      <x:c r="L8" s="13" t="n">
        <x:v>1588</x:v>
      </x:c>
      <x:c r="M8" s="13" t="n">
        <x:v>0.03466442696800794</x:v>
      </x:c>
      <x:c r="N8" s="13" t="n">
        <x:v>0.03559281816024678</x:v>
      </x:c>
      <x:c r="O8" s="13" t="n">
        <x:v>0.07571952041519017</x:v>
      </x:c>
      <x:c r="P8" s="13" t="n">
        <x:v>0.2232797303286068</x:v>
      </x:c>
      <x:c r="Q8" s="13" t="n">
        <x:v>1670840.5805263158</x:v>
      </x:c>
      <x:c r="R8" s="13" t="n">
        <x:v>0.7365984860281714</x:v>
      </x:c>
      <x:c r="S8" s="13" t="n">
        <x:v>0.0059701729287414615</x:v>
      </x:c>
      <x:c r="T8" s="13" t="n">
        <x:v>38</x:v>
      </x:c>
      <x:c r="U8" s="13" t="n">
        <x:v>8149</x:v>
      </x:c>
      <x:c r="V8" s="13" t="n">
        <x:v>8032</x:v>
      </x:c>
      <x:c r="W8" s="13" t="n">
        <x:v>117</x:v>
      </x:c>
      <x:c r="X8" s="13" t="n">
        <x:v>352.83999999999946</x:v>
      </x:c>
      <x:c r="Y8" s="13" t="n">
        <x:v>596230696.76</x:v>
      </x:c>
      <x:c r="Z8" s="13" t="n">
        <x:v>1012686468.1095984</x:v>
      </x:c>
      <x:c r="AA8" s="13" t="n">
        <x:v>1216</x:v>
      </x:c>
      <x:c r="AB8" s="13" t="n">
        <x:v>0.014357589888329856</x:v>
      </x:c>
      <x:c r="AC8" s="13" t="n">
        <x:v>0.17828116037106256</x:v>
      </x:c>
      <x:c r="AD8" s="13" t="n">
        <x:v>0.03593026439834278</x:v>
      </x:c>
      <x:c r="AE8" s="13" t="n">
        <x:v>0.09798642858642094</x:v>
      </x:c>
      <x:c r="AF8" s="13" t="n">
        <x:v>15690281.49368421</x:v>
      </x:c>
      <x:c r="AG8" s="13" t="n">
        <x:v>0.7056942517841214</x:v>
      </x:c>
      <x:c r="AH8" s="13" t="n">
        <x:v>-0.04066773871330962</x:v>
      </x:c>
      <x:c r="AI8" s="13" t="n">
        <x:v>38</x:v>
      </x:c>
      <x:c r="AJ8" s="13" t="n">
        <x:v>398719945.9707996</x:v>
      </x:c>
      <x:c r="AK8" s="13" t="n">
        <x:v>0.07423977666611199</x:v>
      </x:c>
      <x:c r="AL8" s="13" t="n">
        <x:v>0.026875647180645768</x:v>
      </x:c>
      <x:c r="AM8" s="13" t="n">
        <x:v>0.103076923076923</x:v>
      </x:c>
      <x:c r="AN8" s="13" t="n">
        <x:v>0.055824892406766476</x:v>
      </x:c>
      <x:c r="AO8" s="13" t="n">
        <x:v>0.7211463689061464</x:v>
      </x:c>
      <x:c r="AP8" s="13" t="n">
        <x:v>-0.01734878289228408</x:v>
      </x:c>
    </x:row>
    <x:row r="9" ht="15" hidden="0" customHeight="1">
      <x:c r="A9" s="2" t="str">
        <x:v>E8</x:v>
      </x:c>
      <x:c r="B9" s="2" t="str">
        <x:v>***科学研究院有限公司</x:v>
      </x:c>
      <x:c r="C9" s="2" t="str">
        <x:v>有信贷记录</x:v>
      </x:c>
      <x:c r="D9" s="2" t="str">
        <x:v>A</x:v>
      </x:c>
      <x:c r="E9" s="2" t="str">
        <x:v>否</x:v>
      </x:c>
      <x:c r="F9" s="13" t="n">
        <x:v>13379.719999999998</x:v>
      </x:c>
      <x:c r="G9" s="13" t="n">
        <x:v>13108.119999999995</x:v>
      </x:c>
      <x:c r="H9" s="13" t="n">
        <x:v>550</x:v>
      </x:c>
      <x:c r="I9" s="13" t="n">
        <x:v>77</x:v>
      </x:c>
      <x:c r="J9" s="13" t="n">
        <x:v>170418693.94</x:v>
      </x:c>
      <x:c r="K9" s="13" t="n">
        <x:v>171762629.3</x:v>
      </x:c>
      <x:c r="L9" s="13" t="n">
        <x:v>1608.56</x:v>
      </x:c>
      <x:c r="M9" s="13" t="n">
        <x:v>0.03367944621938232</x:v>
      </x:c>
      <x:c r="N9" s="13" t="n">
        <x:v>0.0035358405657344907</x:v>
      </x:c>
      <x:c r="O9" s="13" t="n">
        <x:v>0.07447282249585975</x:v>
      </x:c>
      <x:c r="P9" s="13" t="n">
        <x:v>0.2015461371375269</x:v>
      </x:c>
      <x:c r="Q9" s="13" t="n">
        <x:v>4484702.472105263</x:v>
      </x:c>
      <x:c r="R9" s="13" t="n">
        <x:v>0.4435078067418855</x:v>
      </x:c>
      <x:c r="S9" s="13" t="n">
        <x:v>0.0052585756495370645</x:v>
      </x:c>
      <x:c r="T9" s="13" t="n">
        <x:v>38</x:v>
      </x:c>
      <x:c r="U9" s="13" t="n">
        <x:v>9425</x:v>
      </x:c>
      <x:c r="V9" s="13" t="n">
        <x:v>8359</x:v>
      </x:c>
      <x:c r="W9" s="13" t="n">
        <x:v>809.7599999999993</x:v>
      </x:c>
      <x:c r="X9" s="13" t="n">
        <x:v>245</x:v>
      </x:c>
      <x:c r="Y9" s="13" t="n">
        <x:v>380793887.66999996</x:v>
      </x:c>
      <x:c r="Z9" s="13" t="n">
        <x:v>411376253.66999996</x:v>
      </x:c>
      <x:c r="AA9" s="13" t="n">
        <x:v>2694.279999999999</x:v>
      </x:c>
      <x:c r="AB9" s="13" t="n">
        <x:v>0.11310344827586206</x:v>
      </x:c>
      <x:c r="AC9" s="13" t="n">
        <x:v>0.029309726043785143</x:v>
      </x:c>
      <x:c r="AD9" s="13" t="n">
        <x:v>0.004886626984096743</x:v>
      </x:c>
      <x:c r="AE9" s="13" t="n">
        <x:v>0.0343133643548063</x:v>
      </x:c>
      <x:c r="AF9" s="13" t="n">
        <x:v>10020891.780789472</x:v>
      </x:c>
      <x:c r="AG9" s="13" t="n">
        <x:v>0.47231679935136495</x:v>
      </x:c>
      <x:c r="AH9" s="13" t="n">
        <x:v>0.011370927078865818</x:v>
      </x:c>
      <x:c r="AI9" s="13" t="n">
        <x:v>38</x:v>
      </x:c>
      <x:c r="AJ9" s="13" t="n">
        <x:v>210375193.72999996</x:v>
      </x:c>
      <x:c r="AK9" s="13" t="n">
        <x:v>0.4175317067226381</x:v>
      </x:c>
      <x:c r="AL9" s="13" t="n">
        <x:v>0.05710084165076187</x:v>
      </x:c>
      <x:c r="AM9" s="13" t="n">
        <x:v>0.010684895142022829</x:v>
      </x:c>
      <x:c r="AN9" s="13" t="n">
        <x:v>0.03924896819099344</x:v>
      </x:c>
      <x:c r="AO9" s="13" t="n">
        <x:v>0.4579123030466252</x:v>
      </x:c>
      <x:c r="AP9" s="13" t="n">
        <x:v>0.008314751364201442</x:v>
      </x:c>
    </x:row>
    <x:row r="10" ht="15" hidden="0" customHeight="1">
      <x:c r="A10" s="2" t="str">
        <x:v>E9</x:v>
      </x:c>
      <x:c r="B10" s="2" t="str">
        <x:v>***生活用品服务有限公司***分公司</x:v>
      </x:c>
      <x:c r="C10" s="2" t="str">
        <x:v>有信贷记录</x:v>
      </x:c>
      <x:c r="D10" s="2" t="str">
        <x:v>A</x:v>
      </x:c>
      <x:c r="E10" s="2" t="str">
        <x:v>否</x:v>
      </x:c>
      <x:c r="F10" s="13" t="n">
        <x:v>4293</x:v>
      </x:c>
      <x:c r="G10" s="13" t="n">
        <x:v>4199</x:v>
      </x:c>
      <x:c r="H10" s="13" t="n">
        <x:v>94</x:v>
      </x:c>
      <x:c r="I10" s="13" t="n">
        <x:v>26</x:v>
      </x:c>
      <x:c r="J10" s="13" t="n">
        <x:v>26333514.09</x:v>
      </x:c>
      <x:c r="K10" s="13" t="n">
        <x:v>26569889.209999997</x:v>
      </x:c>
      <x:c r="L10" s="13" t="n">
        <x:v>741</x:v>
      </x:c>
      <x:c r="M10" s="13" t="n">
        <x:v>0.02189610994642441</x:v>
      </x:c>
      <x:c r="N10" s="13" t="n">
        <x:v>0.006191950464396285</x:v>
      </x:c>
      <x:c r="O10" s="13" t="n">
        <x:v>0.12914985397698808</x:v>
      </x:c>
      <x:c r="P10" s="13" t="n">
        <x:v>0.2833736693627711</x:v>
      </x:c>
      <x:c r="Q10" s="13" t="n">
        <x:v>692987.2128947368</x:v>
      </x:c>
      <x:c r="R10" s="13" t="n">
        <x:v>0.43444468913332196</x:v>
      </x:c>
      <x:c r="S10" s="13" t="n">
        <x:v>0.0014631733397658315</x:v>
      </x:c>
      <x:c r="T10" s="13" t="n">
        <x:v>38</x:v>
      </x:c>
      <x:c r="U10" s="13" t="n">
        <x:v>5906</x:v>
      </x:c>
      <x:c r="V10" s="13" t="n">
        <x:v>5760</x:v>
      </x:c>
      <x:c r="W10" s="13" t="n">
        <x:v>146</x:v>
      </x:c>
      <x:c r="X10" s="13" t="n">
        <x:v>122</x:v>
      </x:c>
      <x:c r="Y10" s="13" t="n">
        <x:v>369412037.87</x:v>
      </x:c>
      <x:c r="Z10" s="13" t="n">
        <x:v>390731046.55</x:v>
      </x:c>
      <x:c r="AA10" s="13" t="n">
        <x:v>124</x:v>
      </x:c>
      <x:c r="AB10" s="13" t="n">
        <x:v>0.024720623095157466</x:v>
      </x:c>
      <x:c r="AC10" s="13" t="n">
        <x:v>0.021180555555555557</x:v>
      </x:c>
      <x:c r="AD10" s="13" t="n">
        <x:v>0.05813702036501621</x:v>
      </x:c>
      <x:c r="AE10" s="13" t="n">
        <x:v>0.14517452452486718</x:v>
      </x:c>
      <x:c r="AF10" s="13" t="n">
        <x:v>9721369.41763158</x:v>
      </x:c>
      <x:c r="AG10" s="13" t="n">
        <x:v>0.3386560825125703</x:v>
      </x:c>
      <x:c r="AH10" s="13" t="n">
        <x:v>0.002024746652720029</x:v>
      </x:c>
      <x:c r="AI10" s="13" t="n">
        <x:v>38</x:v>
      </x:c>
      <x:c r="AJ10" s="13" t="n">
        <x:v>343078523.78000003</x:v>
      </x:c>
      <x:c r="AK10" s="13" t="n">
        <x:v>0.06800045567047094</x:v>
      </x:c>
      <x:c r="AL10" s="13" t="n">
        <x:v>0.023531718795960388</x:v>
      </x:c>
      <x:c r="AM10" s="13" t="n">
        <x:v>0.014860929812230144</x:v>
      </x:c>
      <x:c r="AN10" s="13" t="n">
        <x:v>0.09364343717100215</x:v>
      </x:c>
      <x:c r="AO10" s="13" t="n">
        <x:v>0.3865503858229461</x:v>
      </x:c>
      <x:c r="AP10" s="13" t="n">
        <x:v>0.0017439599962429304</x:v>
      </x:c>
    </x:row>
    <x:row r="11" ht="15" hidden="0" customHeight="1">
      <x:c r="A11" s="2" t="str">
        <x:v>E10</x:v>
      </x:c>
      <x:c r="B11" s="2" t="str">
        <x:v>***建筑劳务有限公司</x:v>
      </x:c>
      <x:c r="C11" s="2" t="str">
        <x:v>有信贷记录</x:v>
      </x:c>
      <x:c r="D11" s="2" t="str">
        <x:v>B</x:v>
      </x:c>
      <x:c r="E11" s="2" t="str">
        <x:v>否</x:v>
      </x:c>
      <x:c r="F11" s="13" t="n">
        <x:v>4097</x:v>
      </x:c>
      <x:c r="G11" s="13" t="n">
        <x:v>3860</x:v>
      </x:c>
      <x:c r="H11" s="13" t="n">
        <x:v>237</x:v>
      </x:c>
      <x:c r="I11" s="13" t="n">
        <x:v>34</x:v>
      </x:c>
      <x:c r="J11" s="13" t="n">
        <x:v>5417961.64</x:v>
      </x:c>
      <x:c r="K11" s="13" t="n">
        <x:v>5771271.36</x:v>
      </x:c>
      <x:c r="L11" s="13" t="n">
        <x:v>882</x:v>
      </x:c>
      <x:c r="M11" s="13" t="n">
        <x:v>0.05784720527215036</x:v>
      </x:c>
      <x:c r="N11" s="13" t="n">
        <x:v>0.008808290155440414</x:v>
      </x:c>
      <x:c r="O11" s="13" t="n">
        <x:v>0.018854265468786713</x:v>
      </x:c>
      <x:c r="P11" s="13" t="n">
        <x:v>0.07976257418608021</x:v>
      </x:c>
      <x:c r="Q11" s="13" t="n">
        <x:v>154798.90399999998</x:v>
      </x:c>
      <x:c r="R11" s="13" t="n">
        <x:v>0.6579888822353812</x:v>
      </x:c>
      <x:c r="S11" s="13" t="n">
        <x:v>0.0431473938065391</x:v>
      </x:c>
      <x:c r="T11" s="13" t="n">
        <x:v>35</x:v>
      </x:c>
      <x:c r="U11" s="13" t="n">
        <x:v>568</x:v>
      </x:c>
      <x:c r="V11" s="13" t="n">
        <x:v>516</x:v>
      </x:c>
      <x:c r="W11" s="13" t="n">
        <x:v>52</x:v>
      </x:c>
      <x:c r="X11" s="13" t="n">
        <x:v>2</x:v>
      </x:c>
      <x:c r="Y11" s="13" t="n">
        <x:v>351461531.5</x:v>
      </x:c>
      <x:c r="Z11" s="13" t="n">
        <x:v>353606289.58</x:v>
      </x:c>
      <x:c r="AA11" s="13" t="n">
        <x:v>27</x:v>
      </x:c>
      <x:c r="AB11" s="13" t="n">
        <x:v>0.09154929577464789</x:v>
      </x:c>
      <x:c r="AC11" s="13" t="n">
        <x:v>0.003875968992248062</x:v>
      </x:c>
      <x:c r="AD11" s="13" t="n">
        <x:v>0.10774589471101241</x:v>
      </x:c>
      <x:c r="AE11" s="13" t="n">
        <x:v>0.18974805527269945</x:v>
      </x:c>
      <x:c r="AF11" s="13" t="n">
        <x:v>9498960.31081081</x:v>
      </x:c>
      <x:c r="AG11" s="13" t="n">
        <x:v>1.8498693870930119</x:v>
      </x:c>
      <x:c r="AH11" s="13" t="n">
        <x:v>-0.025106253627825963</x:v>
      </x:c>
      <x:c r="AI11" s="13" t="n">
        <x:v>35</x:v>
      </x:c>
      <x:c r="AJ11" s="13" t="n">
        <x:v>346043569.86</x:v>
      </x:c>
      <x:c r="AK11" s="13" t="n">
        <x:v>0.016321178469011103</x:v>
      </x:c>
      <x:c r="AL11" s="13" t="n">
        <x:v>0.06195069667738478</x:v>
      </x:c>
      <x:c r="AM11" s="13" t="n">
        <x:v>0.008226691042047532</x:v>
      </x:c>
      <x:c r="AN11" s="13" t="n">
        <x:v>0.06330008008989957</x:v>
      </x:c>
      <x:c r="AO11" s="13" t="n">
        <x:v>1.2539291346641965</x:v>
      </x:c>
      <x:c r="AP11" s="13" t="n">
        <x:v>0.009020570089356568</x:v>
      </x:c>
    </x:row>
    <x:row r="12" ht="15" hidden="0" customHeight="1">
      <x:c r="A12" s="2" t="str">
        <x:v>E11</x:v>
      </x:c>
      <x:c r="B12" s="2" t="str">
        <x:v>***建设工程有限公司</x:v>
      </x:c>
      <x:c r="C12" s="2" t="str">
        <x:v>有信贷记录</x:v>
      </x:c>
      <x:c r="D12" s="2" t="str">
        <x:v>C</x:v>
      </x:c>
      <x:c r="E12" s="2" t="str">
        <x:v>否</x:v>
      </x:c>
      <x:c r="F12" s="13" t="n">
        <x:v>2836</x:v>
      </x:c>
      <x:c r="G12" s="13" t="n">
        <x:v>2715</x:v>
      </x:c>
      <x:c r="H12" s="13" t="n">
        <x:v>121</x:v>
      </x:c>
      <x:c r="I12" s="13" t="n">
        <x:v>24</x:v>
      </x:c>
      <x:c r="J12" s="13" t="n">
        <x:v>144211948.07999998</x:v>
      </x:c>
      <x:c r="K12" s="13" t="n">
        <x:v>145189244.89999998</x:v>
      </x:c>
      <x:c r="L12" s="13" t="n">
        <x:v>467</x:v>
      </x:c>
      <x:c r="M12" s="13" t="n">
        <x:v>0.04266572637517631</x:v>
      </x:c>
      <x:c r="N12" s="13" t="n">
        <x:v>0.008839779005524863</x:v>
      </x:c>
      <x:c r="O12" s="13" t="n">
        <x:v>0.0819723506802937</x:v>
      </x:c>
      <x:c r="P12" s="13" t="n">
        <x:v>0.1751129970233766</x:v>
      </x:c>
      <x:c r="Q12" s="13" t="n">
        <x:v>4370059.032727273</x:v>
      </x:c>
      <x:c r="R12" s="13" t="n">
        <x:v>1.0549652447078834</x:v>
      </x:c>
      <x:c r="S12" s="13" t="n">
        <x:v>0.08607990610716217</x:v>
      </x:c>
      <x:c r="T12" s="13" t="n">
        <x:v>31</x:v>
      </x:c>
      <x:c r="U12" s="13" t="n">
        <x:v>1117</x:v>
      </x:c>
      <x:c r="V12" s="13" t="n">
        <x:v>1051</x:v>
      </x:c>
      <x:c r="W12" s="13" t="n">
        <x:v>66</x:v>
      </x:c>
      <x:c r="X12" s="13" t="n">
        <x:v>1</x:v>
      </x:c>
      <x:c r="Y12" s="13" t="n">
        <x:v>162547045.13</x:v>
      </x:c>
      <x:c r="Z12" s="13" t="n">
        <x:v>162747045.13</x:v>
      </x:c>
      <x:c r="AA12" s="13" t="n">
        <x:v>44</x:v>
      </x:c>
      <x:c r="AB12" s="13" t="n">
        <x:v>0.05908683974932856</x:v>
      </x:c>
      <x:c r="AC12" s="13" t="n">
        <x:v>0.0009514747859181732</x:v>
      </x:c>
      <x:c r="AD12" s="13" t="n">
        <x:v>0.39679429663471744</x:v>
      </x:c>
      <x:c r="AE12" s="13" t="n">
        <x:v>0.4695194485955949</x:v>
      </x:c>
      <x:c r="AF12" s="13" t="n">
        <x:v>6772793.547083333</x:v>
      </x:c>
      <x:c r="AG12" s="13" t="n">
        <x:v>0.784776742680654</x:v>
      </x:c>
      <x:c r="AH12" s="13" t="n">
        <x:v>0.03991052576613248</x:v>
      </x:c>
      <x:c r="AI12" s="13" t="n">
        <x:v>21</x:v>
      </x:c>
      <x:c r="AJ12" s="13" t="n">
        <x:v>18335097.050000012</x:v>
      </x:c>
      <x:c r="AK12" s="13" t="n">
        <x:v>0.8921160122079322</x:v>
      </x:c>
      <x:c r="AL12" s="13" t="n">
        <x:v>0.04730584366304073</x:v>
      </x:c>
      <x:c r="AM12" s="13" t="n">
        <x:v>0.006638343069569836</x:v>
      </x:c>
      <x:c r="AN12" s="13" t="n">
        <x:v>0.23938332365750556</x:v>
      </x:c>
      <x:c r="AO12" s="13" t="n">
        <x:v>0.9198709936942687</x:v>
      </x:c>
      <x:c r="AP12" s="13" t="n">
        <x:v>0.06299521593664732</x:v>
      </x:c>
    </x:row>
    <x:row r="13" ht="15" hidden="0" customHeight="1">
      <x:c r="A13" s="2" t="str">
        <x:v>E12</x:v>
      </x:c>
      <x:c r="B13" s="2" t="str">
        <x:v>***建筑劳务有限公司</x:v>
      </x:c>
      <x:c r="C13" s="2" t="str">
        <x:v>有信贷记录</x:v>
      </x:c>
      <x:c r="D13" s="2" t="str">
        <x:v>B</x:v>
      </x:c>
      <x:c r="E13" s="2" t="str">
        <x:v>否</x:v>
      </x:c>
      <x:c r="F13" s="13" t="n">
        <x:v>1796</x:v>
      </x:c>
      <x:c r="G13" s="13" t="n">
        <x:v>1757</x:v>
      </x:c>
      <x:c r="H13" s="13" t="n">
        <x:v>39</x:v>
      </x:c>
      <x:c r="I13" s="13" t="n">
        <x:v>13</x:v>
      </x:c>
      <x:c r="J13" s="13" t="n">
        <x:v>95447012.7</x:v>
      </x:c>
      <x:c r="K13" s="13" t="n">
        <x:v>95980112.96000001</x:v>
      </x:c>
      <x:c r="L13" s="13" t="n">
        <x:v>395</x:v>
      </x:c>
      <x:c r="M13" s="13" t="n">
        <x:v>0.021714922048997772</x:v>
      </x:c>
      <x:c r="N13" s="13" t="n">
        <x:v>0.007398975526465566</x:v>
      </x:c>
      <x:c r="O13" s="13" t="n">
        <x:v>0.13302058471424927</x:v>
      </x:c>
      <x:c r="P13" s="13" t="n">
        <x:v>0.3069421403189813</x:v>
      </x:c>
      <x:c r="Q13" s="13" t="n">
        <x:v>2579648.9918918917</x:v>
      </x:c>
      <x:c r="R13" s="13" t="n">
        <x:v>1.258526318286876</x:v>
      </x:c>
      <x:c r="S13" s="13" t="n">
        <x:v>0.04295517768467571</x:v>
      </x:c>
      <x:c r="T13" s="13" t="n">
        <x:v>36</x:v>
      </x:c>
      <x:c r="U13" s="13" t="n">
        <x:v>285</x:v>
      </x:c>
      <x:c r="V13" s="13" t="n">
        <x:v>263</x:v>
      </x:c>
      <x:c r="W13" s="13" t="n">
        <x:v>22</x:v>
      </x:c>
      <x:c r="X13" s="13" t="n">
        <x:v>1</x:v>
      </x:c>
      <x:c r="Y13" s="13" t="n">
        <x:v>243003020.51</x:v>
      </x:c>
      <x:c r="Z13" s="13" t="n">
        <x:v>245003020.51</x:v>
      </x:c>
      <x:c r="AA13" s="13" t="n">
        <x:v>5</x:v>
      </x:c>
      <x:c r="AB13" s="13" t="n">
        <x:v>0.07719298245614035</x:v>
      </x:c>
      <x:c r="AC13" s="13" t="n">
        <x:v>0.0038022813688212928</x:v>
      </x:c>
      <x:c r="AD13" s="13" t="n">
        <x:v>0.5637175730025612</x:v>
      </x:c>
      <x:c r="AE13" s="13" t="n">
        <x:v>0.7238217130174597</x:v>
      </x:c>
      <x:c r="AF13" s="13" t="n">
        <x:v>9720120.8204</x:v>
      </x:c>
      <x:c r="AG13" s="13" t="n">
        <x:v>1.2676329377778621</x:v>
      </x:c>
      <x:c r="AH13" s="13" t="n">
        <x:v>-0.03271878619611535</x:v>
      </x:c>
      <x:c r="AI13" s="13" t="n">
        <x:v>16</x:v>
      </x:c>
      <x:c r="AJ13" s="13" t="n">
        <x:v>147556007.81</x:v>
      </x:c>
      <x:c r="AK13" s="13" t="n">
        <x:v>0.3917507333591526</x:v>
      </x:c>
      <x:c r="AL13" s="13" t="n">
        <x:v>0.029312830370014416</x:v>
      </x:c>
      <x:c r="AM13" s="13" t="n">
        <x:v>0.006930693069306931</x:v>
      </x:c>
      <x:c r="AN13" s="13" t="n">
        <x:v>0.34836907885840523</x:v>
      </x:c>
      <x:c r="AO13" s="13" t="n">
        <x:v>1.263079628032369</x:v>
      </x:c>
      <x:c r="AP13" s="13" t="n">
        <x:v>0.005118195744280178</x:v>
      </x:c>
    </x:row>
    <x:row r="14" ht="15" hidden="0" customHeight="1">
      <x:c r="A14" s="2" t="str">
        <x:v>E13</x:v>
      </x:c>
      <x:c r="B14" s="2" t="str">
        <x:v>***汽车贸易有限公司</x:v>
      </x:c>
      <x:c r="C14" s="2" t="str">
        <x:v>有信贷记录</x:v>
      </x:c>
      <x:c r="D14" s="2" t="str">
        <x:v>A</x:v>
      </x:c>
      <x:c r="E14" s="2" t="str">
        <x:v>否</x:v>
      </x:c>
      <x:c r="F14" s="13" t="n">
        <x:v>13379.719999999998</x:v>
      </x:c>
      <x:c r="G14" s="13" t="n">
        <x:v>13108.119999999995</x:v>
      </x:c>
      <x:c r="H14" s="13" t="n">
        <x:v>214</x:v>
      </x:c>
      <x:c r="I14" s="13" t="n">
        <x:v>39</x:v>
      </x:c>
      <x:c r="J14" s="13" t="n">
        <x:v>103628502.97</x:v>
      </x:c>
      <x:c r="K14" s="13" t="n">
        <x:v>104471922.76999998</x:v>
      </x:c>
      <x:c r="L14" s="13" t="n">
        <x:v>725</x:v>
      </x:c>
      <x:c r="M14" s="13" t="n">
        <x:v>0.01588833617937486</x:v>
      </x:c>
      <x:c r="N14" s="13" t="n">
        <x:v>0.0029422859298377972</x:v>
      </x:c>
      <x:c r="O14" s="13" t="n">
        <x:v>0.10040959768665896</x:v>
      </x:c>
      <x:c r="P14" s="13" t="n">
        <x:v>0.29128583683671394</x:v>
      </x:c>
      <x:c r="Q14" s="13" t="n">
        <x:v>2727065.8676315784</x:v>
      </x:c>
      <x:c r="R14" s="13" t="n">
        <x:v>0.3960373013828574</x:v>
      </x:c>
      <x:c r="S14" s="13" t="n">
        <x:v>-0.01216097032055089</x:v>
      </x:c>
      <x:c r="T14" s="13" t="n">
        <x:v>38</x:v>
      </x:c>
      <x:c r="U14" s="13" t="n">
        <x:v>8005</x:v>
      </x:c>
      <x:c r="V14" s="13" t="n">
        <x:v>6808</x:v>
      </x:c>
      <x:c r="W14" s="13" t="n">
        <x:v>809.7599999999993</x:v>
      </x:c>
      <x:c r="X14" s="13" t="n">
        <x:v>73</x:v>
      </x:c>
      <x:c r="Y14" s="13" t="n">
        <x:v>243978023.32</x:v>
      </x:c>
      <x:c r="Z14" s="13" t="n">
        <x:v>252910519.78</x:v>
      </x:c>
      <x:c r="AA14" s="13" t="n">
        <x:v>2694.279999999999</x:v>
      </x:c>
      <x:c r="AB14" s="13" t="n">
        <x:v>0.1495315427857589</x:v>
      </x:c>
      <x:c r="AC14" s="13" t="n">
        <x:v>0.01072267920094007</x:v>
      </x:c>
      <x:c r="AD14" s="13" t="n">
        <x:v>0.062087031569517705</x:v>
      </x:c>
      <x:c r="AE14" s="13" t="n">
        <x:v>0.19591366085958387</x:v>
      </x:c>
      <x:c r="AF14" s="13" t="n">
        <x:v>6420474.297894736</x:v>
      </x:c>
      <x:c r="AG14" s="13" t="n">
        <x:v>0.937748856504735</x:v>
      </x:c>
      <x:c r="AH14" s="13" t="n">
        <x:v>0.007900296972202379</x:v>
      </x:c>
      <x:c r="AI14" s="13" t="n">
        <x:v>38</x:v>
      </x:c>
      <x:c r="AJ14" s="13" t="n">
        <x:v>140349520.35</x:v>
      </x:c>
      <x:c r="AK14" s="13" t="n">
        <x:v>0.4130785973666784</x:v>
      </x:c>
      <x:c r="AL14" s="13" t="n">
        <x:v>0.0657073670485238</x:v>
      </x:c>
      <x:c r="AM14" s="13" t="n">
        <x:v>0.005582415391516722</x:v>
      </x:c>
      <x:c r="AN14" s="13" t="n">
        <x:v>0.08124831462808833</x:v>
      </x:c>
      <x:c r="AO14" s="13" t="n">
        <x:v>0.6668930789437962</x:v>
      </x:c>
      <x:c r="AP14" s="13" t="n">
        <x:v>-0.0021303366741742555</x:v>
      </x:c>
    </x:row>
    <x:row r="15" ht="15" hidden="0" customHeight="1">
      <x:c r="A15" s="2" t="str">
        <x:v>E14</x:v>
      </x:c>
      <x:c r="B15" s="2" t="str">
        <x:v>个体经营E14</x:v>
      </x:c>
      <x:c r="C15" s="2" t="str">
        <x:v>有信贷记录</x:v>
      </x:c>
      <x:c r="D15" s="2" t="str">
        <x:v>C</x:v>
      </x:c>
      <x:c r="E15" s="2" t="str">
        <x:v>否</x:v>
      </x:c>
      <x:c r="F15" s="13" t="n">
        <x:v>7077</x:v>
      </x:c>
      <x:c r="G15" s="13" t="n">
        <x:v>6527</x:v>
      </x:c>
      <x:c r="H15" s="13" t="n">
        <x:v>550</x:v>
      </x:c>
      <x:c r="I15" s="13" t="n">
        <x:v>130</x:v>
      </x:c>
      <x:c r="J15" s="13" t="n">
        <x:v>125103670.24</x:v>
      </x:c>
      <x:c r="K15" s="13" t="n">
        <x:v>130138254.88</x:v>
      </x:c>
      <x:c r="L15" s="13" t="n">
        <x:v>910</x:v>
      </x:c>
      <x:c r="M15" s="13" t="n">
        <x:v>0.07771654655927653</x:v>
      </x:c>
      <x:c r="N15" s="13" t="n">
        <x:v>0.019917266738164546</x:v>
      </x:c>
      <x:c r="O15" s="13" t="n">
        <x:v>0.06288906393385504</x:v>
      </x:c>
      <x:c r="P15" s="13" t="n">
        <x:v>0.22253256758901455</x:v>
      </x:c>
      <x:c r="Q15" s="13" t="n">
        <x:v>3475101.9511111113</x:v>
      </x:c>
      <x:c r="R15" s="13" t="n">
        <x:v>1.130893214119648</x:v>
      </x:c>
      <x:c r="S15" s="13" t="n">
        <x:v>0.009213045585495981</x:v>
      </x:c>
      <x:c r="T15" s="13" t="n">
        <x:v>36</x:v>
      </x:c>
      <x:c r="U15" s="13" t="n">
        <x:v>3336</x:v>
      </x:c>
      <x:c r="V15" s="13" t="n">
        <x:v>3097</x:v>
      </x:c>
      <x:c r="W15" s="13" t="n">
        <x:v>239</x:v>
      </x:c>
      <x:c r="X15" s="13" t="n">
        <x:v>42</x:v>
      </x:c>
      <x:c r="Y15" s="13" t="n">
        <x:v>241760597.37</x:v>
      </x:c>
      <x:c r="Z15" s="13" t="n">
        <x:v>246959854.71</x:v>
      </x:c>
      <x:c r="AA15" s="13" t="n">
        <x:v>829</x:v>
      </x:c>
      <x:c r="AB15" s="13" t="n">
        <x:v>0.07164268585131894</x:v>
      </x:c>
      <x:c r="AC15" s="13" t="n">
        <x:v>0.013561511139812722</x:v>
      </x:c>
      <x:c r="AD15" s="13" t="n">
        <x:v>0.009677191370718383</x:v>
      </x:c>
      <x:c r="AE15" s="13" t="n">
        <x:v>0.037357691236228376</x:v>
      </x:c>
      <x:c r="AF15" s="13" t="n">
        <x:v>6715572.149166666</x:v>
      </x:c>
      <x:c r="AG15" s="13" t="n">
        <x:v>0.3806614339261747</x:v>
      </x:c>
      <x:c r="AH15" s="13" t="n">
        <x:v>0.006149468490871172</x:v>
      </x:c>
      <x:c r="AI15" s="13" t="n">
        <x:v>36</x:v>
      </x:c>
      <x:c r="AJ15" s="13" t="n">
        <x:v>116656927.13000001</x:v>
      </x:c>
      <x:c r="AK15" s="13" t="n">
        <x:v>0.5269611736402208</x:v>
      </x:c>
      <x:c r="AL15" s="13" t="n">
        <x:v>0.07577067127628925</x:v>
      </x:c>
      <x:c r="AM15" s="13" t="n">
        <x:v>0.017871986699916874</x:v>
      </x:c>
      <x:c r="AN15" s="13" t="n">
        <x:v>0.036283127652286716</x:v>
      </x:c>
      <x:c r="AO15" s="13" t="n">
        <x:v>0.7557773240229113</x:v>
      </x:c>
      <x:c r="AP15" s="13" t="n">
        <x:v>0.0076812570381835765</x:v>
      </x:c>
    </x:row>
    <x:row r="16" ht="15" hidden="0" customHeight="1">
      <x:c r="A16" s="2" t="str">
        <x:v>E15</x:v>
      </x:c>
      <x:c r="B16" s="2" t="str">
        <x:v>***劳务有限公司</x:v>
      </x:c>
      <x:c r="C16" s="2" t="str">
        <x:v>有信贷记录</x:v>
      </x:c>
      <x:c r="D16" s="2" t="str">
        <x:v>A</x:v>
      </x:c>
      <x:c r="E16" s="2" t="str">
        <x:v>否</x:v>
      </x:c>
      <x:c r="F16" s="13" t="n">
        <x:v>92</x:v>
      </x:c>
      <x:c r="G16" s="13" t="n">
        <x:v>92</x:v>
      </x:c>
      <x:c r="H16" s="13" t="n">
        <x:v>0</x:v>
      </x:c>
      <x:c r="I16" s="13" t="n">
        <x:v>0</x:v>
      </x:c>
      <x:c r="J16" s="13" t="n">
        <x:v>4803944.4399999995</x:v>
      </x:c>
      <x:c r="K16" s="13" t="n">
        <x:v>4803944.4399999995</x:v>
      </x:c>
      <x:c r="L16" s="13" t="n">
        <x:v>33</x:v>
      </x:c>
      <x:c r="M16" s="13" t="n">
        <x:v>0</x:v>
      </x:c>
      <x:c r="N16" s="13" t="n">
        <x:v>0</x:v>
      </x:c>
      <x:c r="O16" s="13" t="n">
        <x:v>0.26438601319738486</x:v>
      </x:c>
      <x:c r="P16" s="13" t="n">
        <x:v>0.46420187157701603</x:v>
      </x:c>
      <x:c r="Q16" s="13" t="n">
        <x:v>160131.48133333333</x:v>
      </x:c>
      <x:c r="R16" s="13" t="n">
        <x:v>1.8563670929421359</x:v>
      </x:c>
      <x:c r="S16" s="13" t="n">
        <x:v>0.11233924224480572</x:v>
      </x:c>
      <x:c r="T16" s="13" t="n">
        <x:v>20</x:v>
      </x:c>
      <x:c r="U16" s="13" t="n">
        <x:v>2412</x:v>
      </x:c>
      <x:c r="V16" s="13" t="n">
        <x:v>2260</x:v>
      </x:c>
      <x:c r="W16" s="13" t="n">
        <x:v>152</x:v>
      </x:c>
      <x:c r="X16" s="13" t="n">
        <x:v>0</x:v>
      </x:c>
      <x:c r="Y16" s="13" t="n">
        <x:v>219600852.16000003</x:v>
      </x:c>
      <x:c r="Z16" s="13" t="n">
        <x:v>219600852.16000003</x:v>
      </x:c>
      <x:c r="AA16" s="13" t="n">
        <x:v>2</x:v>
      </x:c>
      <x:c r="AB16" s="13" t="n">
        <x:v>0.06301824212271974</x:v>
      </x:c>
      <x:c r="AC16" s="13" t="n">
        <x:v>0</x:v>
      </x:c>
      <x:c r="AD16" s="13" t="n">
        <x:v>0.7176798781421321</x:v>
      </x:c>
      <x:c r="AE16" s="13" t="n">
        <x:v>0.8299089860417052</x:v>
      </x:c>
      <x:c r="AF16" s="13" t="n">
        <x:v>5935158.166486487</x:v>
      </x:c>
      <x:c r="AG16" s="13" t="n">
        <x:v>1.0881438795992187</x:v>
      </x:c>
      <x:c r="AH16" s="13" t="n">
        <x:v>0.014199644150767016</x:v>
      </x:c>
      <x:c r="AI16" s="13" t="n">
        <x:v>29</x:v>
      </x:c>
      <x:c r="AJ16" s="13" t="n">
        <x:v>214796907.72000003</x:v>
      </x:c>
      <x:c r="AK16" s="13" t="n">
        <x:v>0.02187580053878785</x:v>
      </x:c>
      <x:c r="AL16" s="13" t="n">
        <x:v>0.06070287539936102</x:v>
      </x:c>
      <x:c r="AM16" s="13" t="n">
        <x:v>0</x:v>
      </x:c>
      <x:c r="AN16" s="13" t="n">
        <x:v>0.49103294566975847</x:v>
      </x:c>
      <x:c r="AO16" s="13" t="n">
        <x:v>1.4722554862706771</x:v>
      </x:c>
      <x:c r="AP16" s="13" t="n">
        <x:v>0.06326944319778637</x:v>
      </x:c>
    </x:row>
    <x:row r="17" ht="15" hidden="0" customHeight="1">
      <x:c r="A17" s="2" t="str">
        <x:v>E16</x:v>
      </x:c>
      <x:c r="B17" s="2" t="str">
        <x:v>***建筑劳务有限公司</x:v>
      </x:c>
      <x:c r="C17" s="2" t="str">
        <x:v>有信贷记录</x:v>
      </x:c>
      <x:c r="D17" s="2" t="str">
        <x:v>A</x:v>
      </x:c>
      <x:c r="E17" s="2" t="str">
        <x:v>否</x:v>
      </x:c>
      <x:c r="F17" s="13" t="n">
        <x:v>290</x:v>
      </x:c>
      <x:c r="G17" s="13" t="n">
        <x:v>289</x:v>
      </x:c>
      <x:c r="H17" s="13" t="n">
        <x:v>1</x:v>
      </x:c>
      <x:c r="I17" s="13" t="n">
        <x:v>1</x:v>
      </x:c>
      <x:c r="J17" s="13" t="n">
        <x:v>292748.42</x:v>
      </x:c>
      <x:c r="K17" s="13" t="n">
        <x:v>333748.42000000004</x:v>
      </x:c>
      <x:c r="L17" s="13" t="n">
        <x:v>77</x:v>
      </x:c>
      <x:c r="M17" s="13" t="n">
        <x:v>0.0034482758620689655</x:v>
      </x:c>
      <x:c r="N17" s="13" t="n">
        <x:v>0.0034602076124567475</x:v>
      </x:c>
      <x:c r="O17" s="13" t="n">
        <x:v>0.08715522888898697</x:v>
      </x:c>
      <x:c r="P17" s="13" t="n">
        <x:v>0.18427053527324563</x:v>
      </x:c>
      <x:c r="Q17" s="13" t="n">
        <x:v>8871.164242424242</x:v>
      </x:c>
      <x:c r="R17" s="13" t="n">
        <x:v>1.1606288743167692</x:v>
      </x:c>
      <x:c r="S17" s="13" t="n">
        <x:v>0.06073413499147672</x:v>
      </x:c>
      <x:c r="T17" s="13" t="n">
        <x:v>26</x:v>
      </x:c>
      <x:c r="U17" s="13" t="n">
        <x:v>439</x:v>
      </x:c>
      <x:c r="V17" s="13" t="n">
        <x:v>390</x:v>
      </x:c>
      <x:c r="W17" s="13" t="n">
        <x:v>49</x:v>
      </x:c>
      <x:c r="X17" s="13" t="n">
        <x:v>0</x:v>
      </x:c>
      <x:c r="Y17" s="13" t="n">
        <x:v>213556685.94</x:v>
      </x:c>
      <x:c r="Z17" s="13" t="n">
        <x:v>213556685.94</x:v>
      </x:c>
      <x:c r="AA17" s="13" t="n">
        <x:v>55</x:v>
      </x:c>
      <x:c r="AB17" s="13" t="n">
        <x:v>0.11161731207289294</x:v>
      </x:c>
      <x:c r="AC17" s="13" t="n">
        <x:v>0</x:v>
      </x:c>
      <x:c r="AD17" s="13" t="n">
        <x:v>0.06603363098644045</x:v>
      </x:c>
      <x:c r="AE17" s="13" t="n">
        <x:v>0.15142835583750208</x:v>
      </x:c>
      <x:c r="AF17" s="13" t="n">
        <x:v>5771802.322702703</x:v>
      </x:c>
      <x:c r="AG17" s="13" t="n">
        <x:v>0.9346037805879104</x:v>
      </x:c>
      <x:c r="AH17" s="13" t="n">
        <x:v>0.000905260216935669</x:v>
      </x:c>
      <x:c r="AI17" s="13" t="n">
        <x:v>36</x:v>
      </x:c>
      <x:c r="AJ17" s="13" t="n">
        <x:v>213263937.52</x:v>
      </x:c>
      <x:c r="AK17" s="13" t="n">
        <x:v>0.001562809511352731</x:v>
      </x:c>
      <x:c r="AL17" s="13" t="n">
        <x:v>0.06858710562414266</x:v>
      </x:c>
      <x:c r="AM17" s="13" t="n">
        <x:v>0.0014727540500736377</x:v>
      </x:c>
      <x:c r="AN17" s="13" t="n">
        <x:v>0.0765944299377137</x:v>
      </x:c>
      <x:c r="AO17" s="13" t="n">
        <x:v>1.0476163274523398</x:v>
      </x:c>
      <x:c r="AP17" s="13" t="n">
        <x:v>0.030819697604206196</x:v>
      </x:c>
    </x:row>
    <x:row r="18" ht="15" hidden="0" customHeight="1">
      <x:c r="A18" s="2" t="str">
        <x:v>E17</x:v>
      </x:c>
      <x:c r="B18" s="2" t="str">
        <x:v>***消防工程有限公司</x:v>
      </x:c>
      <x:c r="C18" s="2" t="str">
        <x:v>有信贷记录</x:v>
      </x:c>
      <x:c r="D18" s="2" t="str">
        <x:v>A</x:v>
      </x:c>
      <x:c r="E18" s="2" t="str">
        <x:v>否</x:v>
      </x:c>
      <x:c r="F18" s="13" t="n">
        <x:v>7568</x:v>
      </x:c>
      <x:c r="G18" s="13" t="n">
        <x:v>7143</x:v>
      </x:c>
      <x:c r="H18" s="13" t="n">
        <x:v>425</x:v>
      </x:c>
      <x:c r="I18" s="13" t="n">
        <x:v>91</x:v>
      </x:c>
      <x:c r="J18" s="13" t="n">
        <x:v>142782019.19</x:v>
      </x:c>
      <x:c r="K18" s="13" t="n">
        <x:v>149657140.57</x:v>
      </x:c>
      <x:c r="L18" s="13" t="n">
        <x:v>874</x:v>
      </x:c>
      <x:c r="M18" s="13" t="n">
        <x:v>0.05615750528541226</x:v>
      </x:c>
      <x:c r="N18" s="13" t="n">
        <x:v>0.012739745205095899</x:v>
      </x:c>
      <x:c r="O18" s="13" t="n">
        <x:v>0.018960396021677192</x:v>
      </x:c>
      <x:c r="P18" s="13" t="n">
        <x:v>0.06047283006698168</x:v>
      </x:c>
      <x:c r="Q18" s="13" t="n">
        <x:v>3858973.4916216224</x:v>
      </x:c>
      <x:c r="R18" s="13" t="n">
        <x:v>0.6651885167102717</x:v>
      </x:c>
      <x:c r="S18" s="13" t="n">
        <x:v>0.045553185348877964</x:v>
      </x:c>
      <x:c r="T18" s="13" t="n">
        <x:v>37</x:v>
      </x:c>
      <x:c r="U18" s="13" t="n">
        <x:v>676</x:v>
      </x:c>
      <x:c r="V18" s="13" t="n">
        <x:v>561</x:v>
      </x:c>
      <x:c r="W18" s="13" t="n">
        <x:v>115</x:v>
      </x:c>
      <x:c r="X18" s="13" t="n">
        <x:v>13</x:v>
      </x:c>
      <x:c r="Y18" s="13" t="n">
        <x:v>168088057.43</x:v>
      </x:c>
      <x:c r="Z18" s="13" t="n">
        <x:v>174904362.39000002</x:v>
      </x:c>
      <x:c r="AA18" s="13" t="n">
        <x:v>197</x:v>
      </x:c>
      <x:c r="AB18" s="13" t="n">
        <x:v>0.17011834319526628</x:v>
      </x:c>
      <x:c r="AC18" s="13" t="n">
        <x:v>0.023172905525846704</x:v>
      </x:c>
      <x:c r="AD18" s="13" t="n">
        <x:v>0.041652093362084475</x:v>
      </x:c>
      <x:c r="AE18" s="13" t="n">
        <x:v>0.1061778261344371</x:v>
      </x:c>
      <x:c r="AF18" s="13" t="n">
        <x:v>4542920.471081081</x:v>
      </x:c>
      <x:c r="AG18" s="13" t="n">
        <x:v>0.6829927127675612</x:v>
      </x:c>
      <x:c r="AH18" s="13" t="n">
        <x:v>0.04287365380432153</x:v>
      </x:c>
      <x:c r="AI18" s="13" t="n">
        <x:v>37</x:v>
      </x:c>
      <x:c r="AJ18" s="13" t="n">
        <x:v>25306038.24000001</x:v>
      </x:c>
      <x:c r="AK18" s="13" t="n">
        <x:v>0.8556512743592751</x:v>
      </x:c>
      <x:c r="AL18" s="13" t="n">
        <x:v>0.06550218340611354</x:v>
      </x:c>
      <x:c r="AM18" s="13" t="n">
        <x:v>0.013499480789200415</x:v>
      </x:c>
      <x:c r="AN18" s="13" t="n">
        <x:v>0.030306244691880833</x:v>
      </x:c>
      <x:c r="AO18" s="13" t="n">
        <x:v>0.6740906147389165</x:v>
      </x:c>
      <x:c r="AP18" s="13" t="n">
        <x:v>0.044213419576599744</x:v>
      </x:c>
    </x:row>
    <x:row r="19" ht="15" hidden="0" customHeight="1">
      <x:c r="A19" s="2" t="str">
        <x:v>E18</x:v>
      </x:c>
      <x:c r="B19" s="2" t="str">
        <x:v>***消防工程有限责任公司</x:v>
      </x:c>
      <x:c r="C19" s="2" t="str">
        <x:v>有信贷记录</x:v>
      </x:c>
      <x:c r="D19" s="2" t="str">
        <x:v>A</x:v>
      </x:c>
      <x:c r="E19" s="2" t="str">
        <x:v>否</x:v>
      </x:c>
      <x:c r="F19" s="13" t="n">
        <x:v>5765</x:v>
      </x:c>
      <x:c r="G19" s="13" t="n">
        <x:v>5455</x:v>
      </x:c>
      <x:c r="H19" s="13" t="n">
        <x:v>310</x:v>
      </x:c>
      <x:c r="I19" s="13" t="n">
        <x:v>31</x:v>
      </x:c>
      <x:c r="J19" s="13" t="n">
        <x:v>137752837.21</x:v>
      </x:c>
      <x:c r="K19" s="13" t="n">
        <x:v>141048335.82999998</x:v>
      </x:c>
      <x:c r="L19" s="13" t="n">
        <x:v>646</x:v>
      </x:c>
      <x:c r="M19" s="13" t="n">
        <x:v>0.053772766695576756</x:v>
      </x:c>
      <x:c r="N19" s="13" t="n">
        <x:v>0.0056828597616865265</x:v>
      </x:c>
      <x:c r="O19" s="13" t="n">
        <x:v>0.04162940459864149</x:v>
      </x:c>
      <x:c r="P19" s="13" t="n">
        <x:v>0.14024560703673775</x:v>
      </x:c>
      <x:c r="Q19" s="13" t="n">
        <x:v>3723049.654324324</x:v>
      </x:c>
      <x:c r="R19" s="13" t="n">
        <x:v>1.0156941078285335</x:v>
      </x:c>
      <x:c r="S19" s="13" t="n">
        <x:v>0.030339232179443155</x:v>
      </x:c>
      <x:c r="T19" s="13" t="n">
        <x:v>37</x:v>
      </x:c>
      <x:c r="U19" s="13" t="n">
        <x:v>381</x:v>
      </x:c>
      <x:c r="V19" s="13" t="n">
        <x:v>345</x:v>
      </x:c>
      <x:c r="W19" s="13" t="n">
        <x:v>36</x:v>
      </x:c>
      <x:c r="X19" s="13" t="n">
        <x:v>2</x:v>
      </x:c>
      <x:c r="Y19" s="13" t="n">
        <x:v>197656390.76999998</x:v>
      </x:c>
      <x:c r="Z19" s="13" t="n">
        <x:v>199796470.97</x:v>
      </x:c>
      <x:c r="AA19" s="13" t="n">
        <x:v>49</x:v>
      </x:c>
      <x:c r="AB19" s="13" t="n">
        <x:v>0.09448818897637795</x:v>
      </x:c>
      <x:c r="AC19" s="13" t="n">
        <x:v>0.005797101449275362</x:v>
      </x:c>
      <x:c r="AD19" s="13" t="n">
        <x:v>0.1275133434163856</x:v>
      </x:c>
      <x:c r="AE19" s="13" t="n">
        <x:v>0.2610754523178353</x:v>
      </x:c>
      <x:c r="AF19" s="13" t="n">
        <x:v>5342064.615405406</x:v>
      </x:c>
      <x:c r="AG19" s="13" t="n">
        <x:v>0.8957950243627159</x:v>
      </x:c>
      <x:c r="AH19" s="13" t="n">
        <x:v>0.007007568340795679</x:v>
      </x:c>
      <x:c r="AI19" s="13" t="n">
        <x:v>37</x:v>
      </x:c>
      <x:c r="AJ19" s="13" t="n">
        <x:v>59903553.55999997</x:v>
      </x:c>
      <x:c r="AK19" s="13" t="n">
        <x:v>0.705960096017806</x:v>
      </x:c>
      <x:c r="AL19" s="13" t="n">
        <x:v>0.056296778392450376</x:v>
      </x:c>
      <x:c r="AM19" s="13" t="n">
        <x:v>0.005689655172413793</x:v>
      </x:c>
      <x:c r="AN19" s="13" t="n">
        <x:v>0.08457137400751355</x:v>
      </x:c>
      <x:c r="AO19" s="13" t="n">
        <x:v>0.9557445660956247</x:v>
      </x:c>
      <x:c r="AP19" s="13" t="n">
        <x:v>0.01867340026011942</x:v>
      </x:c>
    </x:row>
    <x:row r="20" ht="15" hidden="0" customHeight="1">
      <x:c r="A20" s="2" t="str">
        <x:v>E19</x:v>
      </x:c>
      <x:c r="B20" s="2" t="str">
        <x:v>***科技有限公司</x:v>
      </x:c>
      <x:c r="C20" s="2" t="str">
        <x:v>有信贷记录</x:v>
      </x:c>
      <x:c r="D20" s="2" t="str">
        <x:v>A</x:v>
      </x:c>
      <x:c r="E20" s="2" t="str">
        <x:v>否</x:v>
      </x:c>
      <x:c r="F20" s="13" t="n">
        <x:v>1524</x:v>
      </x:c>
      <x:c r="G20" s="13" t="n">
        <x:v>1484</x:v>
      </x:c>
      <x:c r="H20" s="13" t="n">
        <x:v>40</x:v>
      </x:c>
      <x:c r="I20" s="13" t="n">
        <x:v>3</x:v>
      </x:c>
      <x:c r="J20" s="13" t="n">
        <x:v>212140557.3</x:v>
      </x:c>
      <x:c r="K20" s="13" t="n">
        <x:v>212471777.3</x:v>
      </x:c>
      <x:c r="L20" s="13" t="n">
        <x:v>167</x:v>
      </x:c>
      <x:c r="M20" s="13" t="n">
        <x:v>0.026246719160104987</x:v>
      </x:c>
      <x:c r="N20" s="13" t="n">
        <x:v>0.0020215633423180594</x:v>
      </x:c>
      <x:c r="O20" s="13" t="n">
        <x:v>0.18799586805123353</x:v>
      </x:c>
      <x:c r="P20" s="13" t="n">
        <x:v>0.36843485287681077</x:v>
      </x:c>
      <x:c r="Q20" s="13" t="n">
        <x:v>5733528.575675676</x:v>
      </x:c>
      <x:c r="R20" s="13" t="n">
        <x:v>0.4726521465769947</x:v>
      </x:c>
      <x:c r="S20" s="13" t="n">
        <x:v>0.015163790736960135</x:v>
      </x:c>
      <x:c r="T20" s="13" t="n">
        <x:v>37</x:v>
      </x:c>
      <x:c r="U20" s="13" t="n">
        <x:v>3099</x:v>
      </x:c>
      <x:c r="V20" s="13" t="n">
        <x:v>2821</x:v>
      </x:c>
      <x:c r="W20" s="13" t="n">
        <x:v>278</x:v>
      </x:c>
      <x:c r="X20" s="13" t="n">
        <x:v>65</x:v>
      </x:c>
      <x:c r="Y20" s="13" t="n">
        <x:v>209115169.14000002</x:v>
      </x:c>
      <x:c r="Z20" s="13" t="n">
        <x:v>218754375.16000003</x:v>
      </x:c>
      <x:c r="AA20" s="13" t="n">
        <x:v>516</x:v>
      </x:c>
      <x:c r="AB20" s="13" t="n">
        <x:v>0.08970635688931913</x:v>
      </x:c>
      <x:c r="AC20" s="13" t="n">
        <x:v>0.02304147465437788</x:v>
      </x:c>
      <x:c r="AD20" s="13" t="n">
        <x:v>0.014642931768548828</x:v>
      </x:c>
      <x:c r="AE20" s="13" t="n">
        <x:v>0.05638489210091646</x:v>
      </x:c>
      <x:c r="AF20" s="13" t="n">
        <x:v>5651761.328108108</x:v>
      </x:c>
      <x:c r="AG20" s="13" t="n">
        <x:v>0.39618714556381185</x:v>
      </x:c>
      <x:c r="AH20" s="13" t="n">
        <x:v>0.01446791928348665</x:v>
      </x:c>
      <x:c r="AI20" s="13" t="n">
        <x:v>37</x:v>
      </x:c>
      <x:c r="AJ20" s="13" t="n">
        <x:v>-3025388.1599999964</x:v>
      </x:c>
      <x:c r="AK20" s="13" t="n">
        <x:v>0.9712801270584653</x:v>
      </x:c>
      <x:c r="AL20" s="13" t="n">
        <x:v>0.06878650227125244</x:v>
      </x:c>
      <x:c r="AM20" s="13" t="n">
        <x:v>0.015795586527293844</x:v>
      </x:c>
      <x:c r="AN20" s="13" t="n">
        <x:v>0.10131939990989118</x:v>
      </x:c>
      <x:c r="AO20" s="13" t="n">
        <x:v>0.4344196460704033</x:v>
      </x:c>
      <x:c r="AP20" s="13" t="n">
        <x:v>0.014815855010223393</x:v>
      </x:c>
    </x:row>
    <x:row r="21" ht="15" hidden="0" customHeight="1">
      <x:c r="A21" s="2" t="str">
        <x:v>E20</x:v>
      </x:c>
      <x:c r="B21" s="2" t="str">
        <x:v>***贸易有限公司</x:v>
      </x:c>
      <x:c r="C21" s="2" t="str">
        <x:v>有信贷记录</x:v>
      </x:c>
      <x:c r="D21" s="2" t="str">
        <x:v>B</x:v>
      </x:c>
      <x:c r="E21" s="2" t="str">
        <x:v>否</x:v>
      </x:c>
      <x:c r="F21" s="13" t="n">
        <x:v>1130</x:v>
      </x:c>
      <x:c r="G21" s="13" t="n">
        <x:v>1041</x:v>
      </x:c>
      <x:c r="H21" s="13" t="n">
        <x:v>89</x:v>
      </x:c>
      <x:c r="I21" s="13" t="n">
        <x:v>3</x:v>
      </x:c>
      <x:c r="J21" s="13" t="n">
        <x:v>204339817.17000002</x:v>
      </x:c>
      <x:c r="K21" s="13" t="n">
        <x:v>204442529.69</x:v>
      </x:c>
      <x:c r="L21" s="13" t="n">
        <x:v>71</x:v>
      </x:c>
      <x:c r="M21" s="13" t="n">
        <x:v>0.07876106194690266</x:v>
      </x:c>
      <x:c r="N21" s="13" t="n">
        <x:v>0.002881844380403458</x:v>
      </x:c>
      <x:c r="O21" s="13" t="n">
        <x:v>0.07297300558800633</x:v>
      </x:c>
      <x:c r="P21" s="13" t="n">
        <x:v>0.1610654680311885</x:v>
      </x:c>
      <x:c r="Q21" s="13" t="n">
        <x:v>5522697.761351352</x:v>
      </x:c>
      <x:c r="R21" s="13" t="n">
        <x:v>0.6565113988477492</x:v>
      </x:c>
      <x:c r="S21" s="13" t="n">
        <x:v>0.006142711983304903</x:v>
      </x:c>
      <x:c r="T21" s="13" t="n">
        <x:v>37</x:v>
      </x:c>
      <x:c r="U21" s="13" t="n">
        <x:v>777</x:v>
      </x:c>
      <x:c r="V21" s="13" t="n">
        <x:v>737</x:v>
      </x:c>
      <x:c r="W21" s="13" t="n">
        <x:v>40</x:v>
      </x:c>
      <x:c r="X21" s="13" t="n">
        <x:v>0</x:v>
      </x:c>
      <x:c r="Y21" s="13" t="n">
        <x:v>222122058.8</x:v>
      </x:c>
      <x:c r="Z21" s="13" t="n">
        <x:v>222122058.8</x:v>
      </x:c>
      <x:c r="AA21" s="13" t="n">
        <x:v>26</x:v>
      </x:c>
      <x:c r="AB21" s="13" t="n">
        <x:v>0.05148005148005148</x:v>
      </x:c>
      <x:c r="AC21" s="13" t="n">
        <x:v>0</x:v>
      </x:c>
      <x:c r="AD21" s="13" t="n">
        <x:v>0.3147606763061084</x:v>
      </x:c>
      <x:c r="AE21" s="13" t="n">
        <x:v>0.5381373311852267</x:v>
      </x:c>
      <x:c r="AF21" s="13" t="n">
        <x:v>6003298.8864864865</x:v>
      </x:c>
      <x:c r="AG21" s="13" t="n">
        <x:v>0.5484377939259115</x:v>
      </x:c>
      <x:c r="AH21" s="13" t="n">
        <x:v>0.008641647577398515</x:v>
      </x:c>
      <x:c r="AI21" s="13" t="n">
        <x:v>35</x:v>
      </x:c>
      <x:c r="AJ21" s="13" t="n">
        <x:v>17782241.629999995</x:v>
      </x:c>
      <x:c r="AK21" s="13" t="n">
        <x:v>0.9204062432812278</x:v>
      </x:c>
      <x:c r="AL21" s="13" t="n">
        <x:v>0.06764551651809124</x:v>
      </x:c>
      <x:c r="AM21" s="13" t="n">
        <x:v>0.001687289088863892</x:v>
      </x:c>
      <x:c r="AN21" s="13" t="n">
        <x:v>0.19386684094705736</x:v>
      </x:c>
      <x:c r="AO21" s="13" t="n">
        <x:v>0.6024745963868303</x:v>
      </x:c>
      <x:c r="AP21" s="13" t="n">
        <x:v>0.007392179780351709</x:v>
      </x:c>
    </x:row>
    <x:row r="22" ht="15" hidden="0" customHeight="1">
      <x:c r="A22" s="2" t="str">
        <x:v>E21</x:v>
      </x:c>
      <x:c r="B22" s="2" t="str">
        <x:v>***建设工程有限公司</x:v>
      </x:c>
      <x:c r="C22" s="2" t="str">
        <x:v>有信贷记录</x:v>
      </x:c>
      <x:c r="D22" s="2" t="str">
        <x:v>B</x:v>
      </x:c>
      <x:c r="E22" s="2" t="str">
        <x:v>否</x:v>
      </x:c>
      <x:c r="F22" s="13" t="n">
        <x:v>2312</x:v>
      </x:c>
      <x:c r="G22" s="13" t="n">
        <x:v>2146</x:v>
      </x:c>
      <x:c r="H22" s="13" t="n">
        <x:v>166</x:v>
      </x:c>
      <x:c r="I22" s="13" t="n">
        <x:v>22</x:v>
      </x:c>
      <x:c r="J22" s="13" t="n">
        <x:v>123194760.08000001</x:v>
      </x:c>
      <x:c r="K22" s="13" t="n">
        <x:v>125347677.56</x:v>
      </x:c>
      <x:c r="L22" s="13" t="n">
        <x:v>481</x:v>
      </x:c>
      <x:c r="M22" s="13" t="n">
        <x:v>0.07179930795847751</x:v>
      </x:c>
      <x:c r="N22" s="13" t="n">
        <x:v>0.010251630941286114</x:v>
      </x:c>
      <x:c r="O22" s="13" t="n">
        <x:v>0.05727775478834476</x:v>
      </x:c>
      <x:c r="P22" s="13" t="n">
        <x:v>0.15875842606237753</x:v>
      </x:c>
      <x:c r="Q22" s="13" t="n">
        <x:v>3329588.1102702706</x:v>
      </x:c>
      <x:c r="R22" s="13" t="n">
        <x:v>0.8813133962707187</x:v>
      </x:c>
      <x:c r="S22" s="13" t="n">
        <x:v>0.058035280423774774</x:v>
      </x:c>
      <x:c r="T22" s="13" t="n">
        <x:v>37</x:v>
      </x:c>
      <x:c r="U22" s="13" t="n">
        <x:v>1466</x:v>
      </x:c>
      <x:c r="V22" s="13" t="n">
        <x:v>1428</x:v>
      </x:c>
      <x:c r="W22" s="13" t="n">
        <x:v>38</x:v>
      </x:c>
      <x:c r="X22" s="13" t="n">
        <x:v>46</x:v>
      </x:c>
      <x:c r="Y22" s="13" t="n">
        <x:v>129722845.87</x:v>
      </x:c>
      <x:c r="Z22" s="13" t="n">
        <x:v>138701427.37</x:v>
      </x:c>
      <x:c r="AA22" s="13" t="n">
        <x:v>338</x:v>
      </x:c>
      <x:c r="AB22" s="13" t="n">
        <x:v>0.02592087312414734</x:v>
      </x:c>
      <x:c r="AC22" s="13" t="n">
        <x:v>0.03221288515406162</x:v>
      </x:c>
      <x:c r="AD22" s="13" t="n">
        <x:v>0.24042596219453424</x:v>
      </x:c>
      <x:c r="AE22" s="13" t="n">
        <x:v>0.4657486316104953</x:v>
      </x:c>
      <x:c r="AF22" s="13" t="n">
        <x:v>3506022.8613513513</x:v>
      </x:c>
      <x:c r="AG22" s="13" t="n">
        <x:v>1.1107678915160892</x:v>
      </x:c>
      <x:c r="AH22" s="13" t="n">
        <x:v>0.06579061459126918</x:v>
      </x:c>
      <x:c r="AI22" s="13" t="n">
        <x:v>34</x:v>
      </x:c>
      <x:c r="AJ22" s="13" t="n">
        <x:v>6528085.789999992</x:v>
      </x:c>
      <x:c r="AK22" s="13" t="n">
        <x:v>0.9037230541659999</x:v>
      </x:c>
      <x:c r="AL22" s="13" t="n">
        <x:v>0.05399682371625199</x:v>
      </x:c>
      <x:c r="AM22" s="13" t="n">
        <x:v>0.019026301063234472</x:v>
      </x:c>
      <x:c r="AN22" s="13" t="n">
        <x:v>0.1488518584914395</x:v>
      </x:c>
      <x:c r="AO22" s="13" t="n">
        <x:v>0.996040643893404</x:v>
      </x:c>
      <x:c r="AP22" s="13" t="n">
        <x:v>0.06191294750752198</x:v>
      </x:c>
    </x:row>
    <x:row r="23" ht="15" hidden="0" customHeight="1">
      <x:c r="A23" s="2" t="str">
        <x:v>E22</x:v>
      </x:c>
      <x:c r="B23" s="2" t="str">
        <x:v>***物流有限公司</x:v>
      </x:c>
      <x:c r="C23" s="2" t="str">
        <x:v>有信贷记录</x:v>
      </x:c>
      <x:c r="D23" s="2" t="str">
        <x:v>A</x:v>
      </x:c>
      <x:c r="E23" s="2" t="str">
        <x:v>否</x:v>
      </x:c>
      <x:c r="F23" s="13" t="n">
        <x:v>807</x:v>
      </x:c>
      <x:c r="G23" s="13" t="n">
        <x:v>762</x:v>
      </x:c>
      <x:c r="H23" s="13" t="n">
        <x:v>45</x:v>
      </x:c>
      <x:c r="I23" s="13" t="n">
        <x:v>9</x:v>
      </x:c>
      <x:c r="J23" s="13" t="n">
        <x:v>37445597.97</x:v>
      </x:c>
      <x:c r="K23" s="13" t="n">
        <x:v>38388284.25</x:v>
      </x:c>
      <x:c r="L23" s="13" t="n">
        <x:v>80</x:v>
      </x:c>
      <x:c r="M23" s="13" t="n">
        <x:v>0.055762081784386616</x:v>
      </x:c>
      <x:c r="N23" s="13" t="n">
        <x:v>0.011811023622047244</x:v>
      </x:c>
      <x:c r="O23" s="13" t="n">
        <x:v>0.12512147531334727</x:v>
      </x:c>
      <x:c r="P23" s="13" t="n">
        <x:v>0.24097977236375184</x:v>
      </x:c>
      <x:c r="Q23" s="13" t="n">
        <x:v>1012043.1883783784</x:v>
      </x:c>
      <x:c r="R23" s="13" t="n">
        <x:v>1.061277225311488</x:v>
      </x:c>
      <x:c r="S23" s="13" t="n">
        <x:v>0.034919488684912486</x:v>
      </x:c>
      <x:c r="T23" s="13" t="n">
        <x:v>37</x:v>
      </x:c>
      <x:c r="U23" s="13" t="n">
        <x:v>782</x:v>
      </x:c>
      <x:c r="V23" s="13" t="n">
        <x:v>684</x:v>
      </x:c>
      <x:c r="W23" s="13" t="n">
        <x:v>98</x:v>
      </x:c>
      <x:c r="X23" s="13" t="n">
        <x:v>6</x:v>
      </x:c>
      <x:c r="Y23" s="13" t="n">
        <x:v>61453231.71000001</x:v>
      </x:c>
      <x:c r="Z23" s="13" t="n">
        <x:v>62106480.410000004</x:v>
      </x:c>
      <x:c r="AA23" s="13" t="n">
        <x:v>48</x:v>
      </x:c>
      <x:c r="AB23" s="13" t="n">
        <x:v>0.12531969309462915</x:v>
      </x:c>
      <x:c r="AC23" s="13" t="n">
        <x:v>0.008771929824561403</x:v>
      </x:c>
      <x:c r="AD23" s="13" t="n">
        <x:v>0.09785006884922472</x:v>
      </x:c>
      <x:c r="AE23" s="13" t="n">
        <x:v>0.23568121319016475</x:v>
      </x:c>
      <x:c r="AF23" s="13" t="n">
        <x:v>1660898.1543243243</x:v>
      </x:c>
      <x:c r="AG23" s="13" t="n">
        <x:v>0.8479002582559694</x:v>
      </x:c>
      <x:c r="AH23" s="13" t="n">
        <x:v>0.06168709071191473</x:v>
      </x:c>
      <x:c r="AI23" s="13" t="n">
        <x:v>35</x:v>
      </x:c>
      <x:c r="AJ23" s="13" t="n">
        <x:v>24007633.74000001</x:v>
      </x:c>
      <x:c r="AK23" s="13" t="n">
        <x:v>0.6181043265787599</x:v>
      </x:c>
      <x:c r="AL23" s="13" t="n">
        <x:v>0.08999370673379484</x:v>
      </x:c>
      <x:c r="AM23" s="13" t="n">
        <x:v>0.01037344398340249</x:v>
      </x:c>
      <x:c r="AN23" s="13" t="n">
        <x:v>0.11148577208128599</x:v>
      </x:c>
      <x:c r="AO23" s="13" t="n">
        <x:v>0.9545887417837287</x:v>
      </x:c>
      <x:c r="AP23" s="13" t="n">
        <x:v>0.048303289698413604</x:v>
      </x:c>
    </x:row>
    <x:row r="24" ht="15" hidden="0" customHeight="1">
      <x:c r="A24" s="2" t="str">
        <x:v>E23</x:v>
      </x:c>
      <x:c r="B24" s="2" t="str">
        <x:v>***贸易有限公司</x:v>
      </x:c>
      <x:c r="C24" s="2" t="str">
        <x:v>有信贷记录</x:v>
      </x:c>
      <x:c r="D24" s="2" t="str">
        <x:v>B</x:v>
      </x:c>
      <x:c r="E24" s="2" t="str">
        <x:v>否</x:v>
      </x:c>
      <x:c r="F24" s="13" t="n">
        <x:v>4951</x:v>
      </x:c>
      <x:c r="G24" s="13" t="n">
        <x:v>4802</x:v>
      </x:c>
      <x:c r="H24" s="13" t="n">
        <x:v>149</x:v>
      </x:c>
      <x:c r="I24" s="13" t="n">
        <x:v>74</x:v>
      </x:c>
      <x:c r="J24" s="13" t="n">
        <x:v>200994746.13</x:v>
      </x:c>
      <x:c r="K24" s="13" t="n">
        <x:v>203232360.85</x:v>
      </x:c>
      <x:c r="L24" s="13" t="n">
        <x:v>685</x:v>
      </x:c>
      <x:c r="M24" s="13" t="n">
        <x:v>0.030094930317107655</x:v>
      </x:c>
      <x:c r="N24" s="13" t="n">
        <x:v>0.015410245730945439</x:v>
      </x:c>
      <x:c r="O24" s="13" t="n">
        <x:v>0.6715062617724951</x:v>
      </x:c>
      <x:c r="P24" s="13" t="n">
        <x:v>0.817643094214934</x:v>
      </x:c>
      <x:c r="Q24" s="13" t="n">
        <x:v>5432290.435945947</x:v>
      </x:c>
      <x:c r="R24" s="13" t="n">
        <x:v>0.34664257366358964</x:v>
      </x:c>
      <x:c r="S24" s="13" t="n">
        <x:v>-0.0010664570937012107</x:v>
      </x:c>
      <x:c r="T24" s="13" t="n">
        <x:v>37</x:v>
      </x:c>
      <x:c r="U24" s="13" t="n">
        <x:v>3570</x:v>
      </x:c>
      <x:c r="V24" s="13" t="n">
        <x:v>3441</x:v>
      </x:c>
      <x:c r="W24" s="13" t="n">
        <x:v>129</x:v>
      </x:c>
      <x:c r="X24" s="13" t="n">
        <x:v>34</x:v>
      </x:c>
      <x:c r="Y24" s="13" t="n">
        <x:v>212044592.53</x:v>
      </x:c>
      <x:c r="Z24" s="13" t="n">
        <x:v>214276359.81</x:v>
      </x:c>
      <x:c r="AA24" s="13" t="n">
        <x:v>119</x:v>
      </x:c>
      <x:c r="AB24" s="13" t="n">
        <x:v>0.03613445378151261</x:v>
      </x:c>
      <x:c r="AC24" s="13" t="n">
        <x:v>0.00988084859052601</x:v>
      </x:c>
      <x:c r="AD24" s="13" t="n">
        <x:v>0.05393545371104911</x:v>
      </x:c>
      <x:c r="AE24" s="13" t="n">
        <x:v>0.10890975780386064</x:v>
      </x:c>
      <x:c r="AF24" s="13" t="n">
        <x:v>5730934.933243243</x:v>
      </x:c>
      <x:c r="AG24" s="13" t="n">
        <x:v>0.2698388037208975</x:v>
      </x:c>
      <x:c r="AH24" s="13" t="n">
        <x:v>-0.0040038110469496095</x:v>
      </x:c>
      <x:c r="AI24" s="13" t="n">
        <x:v>37</x:v>
      </x:c>
      <x:c r="AJ24" s="13" t="n">
        <x:v>11049846.400000006</x:v>
      </x:c>
      <x:c r="AK24" s="13" t="n">
        <x:v>0.9484590882083642</x:v>
      </x:c>
      <x:c r="AL24" s="13" t="n">
        <x:v>0.03262527872315456</x:v>
      </x:c>
      <x:c r="AM24" s="13" t="n">
        <x:v>0.013102025961421812</x:v>
      </x:c>
      <x:c r="AN24" s="13" t="n">
        <x:v>0.3627208577417721</x:v>
      </x:c>
      <x:c r="AO24" s="13" t="n">
        <x:v>0.35185067339818643</x:v>
      </x:c>
      <x:c r="AP24" s="13" t="n">
        <x:v>-0.00253513407032541</x:v>
      </x:c>
    </x:row>
    <x:row r="25" ht="15" hidden="0" customHeight="1">
      <x:c r="A25" s="2" t="str">
        <x:v>E24</x:v>
      </x:c>
      <x:c r="B25" s="2" t="str">
        <x:v>***建筑工程有限公司</x:v>
      </x:c>
      <x:c r="C25" s="2" t="str">
        <x:v>有信贷记录</x:v>
      </x:c>
      <x:c r="D25" s="2" t="str">
        <x:v>A</x:v>
      </x:c>
      <x:c r="E25" s="2" t="str">
        <x:v>否</x:v>
      </x:c>
      <x:c r="F25" s="13" t="n">
        <x:v>2047</x:v>
      </x:c>
      <x:c r="G25" s="13" t="n">
        <x:v>2004</x:v>
      </x:c>
      <x:c r="H25" s="13" t="n">
        <x:v>43</x:v>
      </x:c>
      <x:c r="I25" s="13" t="n">
        <x:v>16</x:v>
      </x:c>
      <x:c r="J25" s="13" t="n">
        <x:v>86230669.41</x:v>
      </x:c>
      <x:c r="K25" s="13" t="n">
        <x:v>88148997.57</x:v>
      </x:c>
      <x:c r="L25" s="13" t="n">
        <x:v>367</x:v>
      </x:c>
      <x:c r="M25" s="13" t="n">
        <x:v>0.021006350757205666</x:v>
      </x:c>
      <x:c r="N25" s="13" t="n">
        <x:v>0.007984031936127744</x:v>
      </x:c>
      <x:c r="O25" s="13" t="n">
        <x:v>0.08275244545750948</x:v>
      </x:c>
      <x:c r="P25" s="13" t="n">
        <x:v>0.1752114422825421</x:v>
      </x:c>
      <x:c r="Q25" s="13" t="n">
        <x:v>2330558.632702703</x:v>
      </x:c>
      <x:c r="R25" s="13" t="n">
        <x:v>0.6536780525239002</x:v>
      </x:c>
      <x:c r="S25" s="13" t="n">
        <x:v>0.036644149065288435</x:v>
      </x:c>
      <x:c r="T25" s="13" t="n">
        <x:v>36</x:v>
      </x:c>
      <x:c r="U25" s="13" t="n">
        <x:v>1782</x:v>
      </x:c>
      <x:c r="V25" s="13" t="n">
        <x:v>1638</x:v>
      </x:c>
      <x:c r="W25" s="13" t="n">
        <x:v>144</x:v>
      </x:c>
      <x:c r="X25" s="13" t="n">
        <x:v>28</x:v>
      </x:c>
      <x:c r="Y25" s="13" t="n">
        <x:v>154248452.82999998</x:v>
      </x:c>
      <x:c r="Z25" s="13" t="n">
        <x:v>158761613.29</x:v>
      </x:c>
      <x:c r="AA25" s="13" t="n">
        <x:v>49</x:v>
      </x:c>
      <x:c r="AB25" s="13" t="n">
        <x:v>0.08080808080808081</x:v>
      </x:c>
      <x:c r="AC25" s="13" t="n">
        <x:v>0.017094017094017096</x:v>
      </x:c>
      <x:c r="AD25" s="13" t="n">
        <x:v>0.141299980420656</x:v>
      </x:c>
      <x:c r="AE25" s="13" t="n">
        <x:v>0.28852009469272133</x:v>
      </x:c>
      <x:c r="AF25" s="13" t="n">
        <x:v>4168877.103513513</x:v>
      </x:c>
      <x:c r="AG25" s="13" t="n">
        <x:v>0.6948367394970142</x:v>
      </x:c>
      <x:c r="AH25" s="13" t="n">
        <x:v>0.0408664333233495</x:v>
      </x:c>
      <x:c r="AI25" s="13" t="n">
        <x:v>35</x:v>
      </x:c>
      <x:c r="AJ25" s="13" t="n">
        <x:v>68017783.41999999</x:v>
      </x:c>
      <x:c r="AK25" s="13" t="n">
        <x:v>0.5552286585106923</x:v>
      </x:c>
      <x:c r="AL25" s="13" t="n">
        <x:v>0.04883781666231392</x:v>
      </x:c>
      <x:c r="AM25" s="13" t="n">
        <x:v>0.012081274025260845</x:v>
      </x:c>
      <x:c r="AN25" s="13" t="n">
        <x:v>0.11202621293908274</x:v>
      </x:c>
      <x:c r="AO25" s="13" t="n">
        <x:v>0.6742573960104572</x:v>
      </x:c>
      <x:c r="AP25" s="13" t="n">
        <x:v>0.03875529119431897</x:v>
      </x:c>
    </x:row>
    <x:row r="26" ht="15" hidden="0" customHeight="1">
      <x:c r="A26" s="2" t="str">
        <x:v>E25</x:v>
      </x:c>
      <x:c r="B26" s="2" t="str">
        <x:v>***通讯设备有限公司</x:v>
      </x:c>
      <x:c r="C26" s="2" t="str">
        <x:v>有信贷记录</x:v>
      </x:c>
      <x:c r="D26" s="2" t="str">
        <x:v>C</x:v>
      </x:c>
      <x:c r="E26" s="2" t="str">
        <x:v>否</x:v>
      </x:c>
      <x:c r="F26" s="13" t="n">
        <x:v>1410</x:v>
      </x:c>
      <x:c r="G26" s="13" t="n">
        <x:v>1391</x:v>
      </x:c>
      <x:c r="H26" s="13" t="n">
        <x:v>19</x:v>
      </x:c>
      <x:c r="I26" s="13" t="n">
        <x:v>6</x:v>
      </x:c>
      <x:c r="J26" s="13" t="n">
        <x:v>10004188.870000001</x:v>
      </x:c>
      <x:c r="K26" s="13" t="n">
        <x:v>10162456.45</x:v>
      </x:c>
      <x:c r="L26" s="13" t="n">
        <x:v>368</x:v>
      </x:c>
      <x:c r="M26" s="13" t="n">
        <x:v>0.01347517730496454</x:v>
      </x:c>
      <x:c r="N26" s="13" t="n">
        <x:v>0.004313443565780014</x:v>
      </x:c>
      <x:c r="O26" s="13" t="n">
        <x:v>0.06522865074641568</x:v>
      </x:c>
      <x:c r="P26" s="13" t="n">
        <x:v>0.18859111568443673</x:v>
      </x:c>
      <x:c r="Q26" s="13" t="n">
        <x:v>294240.8491176471</x:v>
      </x:c>
      <x:c r="R26" s="13" t="n">
        <x:v>0.9529549953410726</x:v>
      </x:c>
      <x:c r="S26" s="13" t="n">
        <x:v>0.02731931679724077</x:v>
      </x:c>
      <x:c r="T26" s="13" t="n">
        <x:v>34</x:v>
      </x:c>
      <x:c r="U26" s="13" t="n">
        <x:v>978</x:v>
      </x:c>
      <x:c r="V26" s="13" t="n">
        <x:v>814</x:v>
      </x:c>
      <x:c r="W26" s="13" t="n">
        <x:v>164</x:v>
      </x:c>
      <x:c r="X26" s="13" t="n">
        <x:v>22</x:v>
      </x:c>
      <x:c r="Y26" s="13" t="n">
        <x:v>43833796.03</x:v>
      </x:c>
      <x:c r="Z26" s="13" t="n">
        <x:v>44937716.03</x:v>
      </x:c>
      <x:c r="AA26" s="13" t="n">
        <x:v>237</x:v>
      </x:c>
      <x:c r="AB26" s="13" t="n">
        <x:v>0.16768916155419222</x:v>
      </x:c>
      <x:c r="AC26" s="13" t="n">
        <x:v>0.02702702702702703</x:v>
      </x:c>
      <x:c r="AD26" s="13" t="n">
        <x:v>0.04987679946136882</x:v>
      </x:c>
      <x:c r="AE26" s="13" t="n">
        <x:v>0.14672975359046078</x:v>
      </x:c>
      <x:c r="AF26" s="13" t="n">
        <x:v>1289229.295</x:v>
      </x:c>
      <x:c r="AG26" s="13" t="n">
        <x:v>1.1179303428869207</x:v>
      </x:c>
      <x:c r="AH26" s="13" t="n">
        <x:v>0.017506489115515198</x:v>
      </x:c>
      <x:c r="AI26" s="13" t="n">
        <x:v>34</x:v>
      </x:c>
      <x:c r="AJ26" s="13" t="n">
        <x:v>33829607.16</x:v>
      </x:c>
      <x:c r="AK26" s="13" t="n">
        <x:v>0.226145370699651</x:v>
      </x:c>
      <x:c r="AL26" s="13" t="n">
        <x:v>0.07663316582914573</x:v>
      </x:c>
      <x:c r="AM26" s="13" t="n">
        <x:v>0.012698412698412698</x:v>
      </x:c>
      <x:c r="AN26" s="13" t="n">
        <x:v>0.05755272510389225</x:v>
      </x:c>
      <x:c r="AO26" s="13" t="n">
        <x:v>1.0354426691139966</x:v>
      </x:c>
      <x:c r="AP26" s="13" t="n">
        <x:v>0.022412902956377982</x:v>
      </x:c>
    </x:row>
    <x:row r="27" ht="15" hidden="0" customHeight="1">
      <x:c r="A27" s="2" t="str">
        <x:v>E26</x:v>
      </x:c>
      <x:c r="B27" s="2" t="str">
        <x:v>***金属材料有限公司</x:v>
      </x:c>
      <x:c r="C27" s="2" t="str">
        <x:v>有信贷记录</x:v>
      </x:c>
      <x:c r="D27" s="2" t="str">
        <x:v>A</x:v>
      </x:c>
      <x:c r="E27" s="2" t="str">
        <x:v>否</x:v>
      </x:c>
      <x:c r="F27" s="13" t="n">
        <x:v>791</x:v>
      </x:c>
      <x:c r="G27" s="13" t="n">
        <x:v>758</x:v>
      </x:c>
      <x:c r="H27" s="13" t="n">
        <x:v>33</x:v>
      </x:c>
      <x:c r="I27" s="13" t="n">
        <x:v>1</x:v>
      </x:c>
      <x:c r="J27" s="13" t="n">
        <x:v>42645410.519999996</x:v>
      </x:c>
      <x:c r="K27" s="13" t="n">
        <x:v>42804372.12</x:v>
      </x:c>
      <x:c r="L27" s="13" t="n">
        <x:v>117</x:v>
      </x:c>
      <x:c r="M27" s="13" t="n">
        <x:v>0.041719342604298354</x:v>
      </x:c>
      <x:c r="N27" s="13" t="n">
        <x:v>0.0013192612137203166</x:v>
      </x:c>
      <x:c r="O27" s="13" t="n">
        <x:v>0.08615115252346814</x:v>
      </x:c>
      <x:c r="P27" s="13" t="n">
        <x:v>0.1749263177838199</x:v>
      </x:c>
      <x:c r="Q27" s="13" t="n">
        <x:v>1152578.6627027027</x:v>
      </x:c>
      <x:c r="R27" s="13" t="n">
        <x:v>0.6822398688383645</x:v>
      </x:c>
      <x:c r="S27" s="13" t="n">
        <x:v>0.015564013620273584</x:v>
      </x:c>
      <x:c r="T27" s="13" t="n">
        <x:v>37</x:v>
      </x:c>
      <x:c r="U27" s="13" t="n">
        <x:v>504</x:v>
      </x:c>
      <x:c r="V27" s="13" t="n">
        <x:v>450</x:v>
      </x:c>
      <x:c r="W27" s="13" t="n">
        <x:v>54</x:v>
      </x:c>
      <x:c r="X27" s="13" t="n">
        <x:v>2</x:v>
      </x:c>
      <x:c r="Y27" s="13" t="n">
        <x:v>42429070.82</x:v>
      </x:c>
      <x:c r="Z27" s="13" t="n">
        <x:v>42552614.82</x:v>
      </x:c>
      <x:c r="AA27" s="13" t="n">
        <x:v>44</x:v>
      </x:c>
      <x:c r="AB27" s="13" t="n">
        <x:v>0.10714285714285714</x:v>
      </x:c>
      <x:c r="AC27" s="13" t="n">
        <x:v>0.0044444444444444444</x:v>
      </x:c>
      <x:c r="AD27" s="13" t="n">
        <x:v>0.08039404388680076</x:v>
      </x:c>
      <x:c r="AE27" s="13" t="n">
        <x:v>0.18459766205267478</x:v>
      </x:c>
      <x:c r="AF27" s="13" t="n">
        <x:v>1178585.3005555556</x:v>
      </x:c>
      <x:c r="AG27" s="13" t="n">
        <x:v>0.7083712161917126</x:v>
      </x:c>
      <x:c r="AH27" s="13" t="n">
        <x:v>0.015731884299630794</x:v>
      </x:c>
      <x:c r="AI27" s="13" t="n">
        <x:v>36</x:v>
      </x:c>
      <x:c r="AJ27" s="13" t="n">
        <x:v>-216339.69999999553</x:v>
      </x:c>
      <x:c r="AK27" s="13" t="n">
        <x:v>1.00591637672714</x:v>
      </x:c>
      <x:c r="AL27" s="13" t="n">
        <x:v>0.06718146718146718</x:v>
      </x:c>
      <x:c r="AM27" s="13" t="n">
        <x:v>0.0024834437086092716</x:v>
      </x:c>
      <x:c r="AN27" s="13" t="n">
        <x:v>0.08327259820513444</x:v>
      </x:c>
      <x:c r="AO27" s="13" t="n">
        <x:v>0.6953055425150385</x:v>
      </x:c>
      <x:c r="AP27" s="13" t="n">
        <x:v>0.01564794895995219</x:v>
      </x:c>
    </x:row>
    <x:row r="28" ht="15" hidden="0" customHeight="1">
      <x:c r="A28" s="2" t="str">
        <x:v>E27</x:v>
      </x:c>
      <x:c r="B28" s="2" t="str">
        <x:v>***农业开发有限公司</x:v>
      </x:c>
      <x:c r="C28" s="2" t="str">
        <x:v>有信贷记录</x:v>
      </x:c>
      <x:c r="D28" s="2" t="str">
        <x:v>A</x:v>
      </x:c>
      <x:c r="E28" s="2" t="str">
        <x:v>否</x:v>
      </x:c>
      <x:c r="F28" s="13" t="n">
        <x:v>2565</x:v>
      </x:c>
      <x:c r="G28" s="13" t="n">
        <x:v>2475</x:v>
      </x:c>
      <x:c r="H28" s="13" t="n">
        <x:v>90</x:v>
      </x:c>
      <x:c r="I28" s="13" t="n">
        <x:v>22</x:v>
      </x:c>
      <x:c r="J28" s="13" t="n">
        <x:v>48889674.19</x:v>
      </x:c>
      <x:c r="K28" s="13" t="n">
        <x:v>49135490.43</x:v>
      </x:c>
      <x:c r="L28" s="13" t="n">
        <x:v>406</x:v>
      </x:c>
      <x:c r="M28" s="13" t="n">
        <x:v>0.03508771929824561</x:v>
      </x:c>
      <x:c r="N28" s="13" t="n">
        <x:v>0.008888888888888889</x:v>
      </x:c>
      <x:c r="O28" s="13" t="n">
        <x:v>0.3778245960879686</x:v>
      </x:c>
      <x:c r="P28" s="13" t="n">
        <x:v>0.6086261058613799</x:v>
      </x:c>
      <x:c r="Q28" s="13" t="n">
        <x:v>1321342.5456756756</x:v>
      </x:c>
      <x:c r="R28" s="13" t="n">
        <x:v>0.5428450965688495</x:v>
      </x:c>
      <x:c r="S28" s="13" t="n">
        <x:v>0.029594149784150814</x:v>
      </x:c>
      <x:c r="T28" s="13" t="n">
        <x:v>37</x:v>
      </x:c>
      <x:c r="U28" s="13" t="n">
        <x:v>1468</x:v>
      </x:c>
      <x:c r="V28" s="13" t="n">
        <x:v>1389</x:v>
      </x:c>
      <x:c r="W28" s="13" t="n">
        <x:v>79</x:v>
      </x:c>
      <x:c r="X28" s="13" t="n">
        <x:v>24</x:v>
      </x:c>
      <x:c r="Y28" s="13" t="n">
        <x:v>48659766.5</x:v>
      </x:c>
      <x:c r="Z28" s="13" t="n">
        <x:v>49290369.62</x:v>
      </x:c>
      <x:c r="AA28" s="13" t="n">
        <x:v>181</x:v>
      </x:c>
      <x:c r="AB28" s="13" t="n">
        <x:v>0.05381471389645776</x:v>
      </x:c>
      <x:c r="AC28" s="13" t="n">
        <x:v>0.017278617710583154</x:v>
      </x:c>
      <x:c r="AD28" s="13" t="n">
        <x:v>0.06541551349666154</x:v>
      </x:c>
      <x:c r="AE28" s="13" t="n">
        <x:v>0.18051940102290515</x:v>
      </x:c>
      <x:c r="AF28" s="13" t="n">
        <x:v>1315128.824324324</x:v>
      </x:c>
      <x:c r="AG28" s="13" t="n">
        <x:v>0.5122397941086919</x:v>
      </x:c>
      <x:c r="AH28" s="13" t="n">
        <x:v>0.027991384707110115</x:v>
      </x:c>
      <x:c r="AI28" s="13" t="n">
        <x:v>37</x:v>
      </x:c>
      <x:c r="AJ28" s="13" t="n">
        <x:v>-229907.68999999762</x:v>
      </x:c>
      <x:c r="AK28" s="13" t="n">
        <x:v>0.9968578204790505</x:v>
      </x:c>
      <x:c r="AL28" s="13" t="n">
        <x:v>0.04190428961071163</x:v>
      </x:c>
      <x:c r="AM28" s="13" t="n">
        <x:v>0.011904761904761904</x:v>
      </x:c>
      <x:c r="AN28" s="13" t="n">
        <x:v>0.22162005479231506</x:v>
      </x:c>
      <x:c r="AO28" s="13" t="n">
        <x:v>0.5275424453387707</x:v>
      </x:c>
      <x:c r="AP28" s="13" t="n">
        <x:v>0.028792767245630464</x:v>
      </x:c>
    </x:row>
    <x:row r="29" ht="15" hidden="0" customHeight="1">
      <x:c r="A29" s="2" t="str">
        <x:v>E28</x:v>
      </x:c>
      <x:c r="B29" s="2" t="str">
        <x:v>***景观工程有限公司</x:v>
      </x:c>
      <x:c r="C29" s="2" t="str">
        <x:v>有信贷记录</x:v>
      </x:c>
      <x:c r="D29" s="2" t="str">
        <x:v>B</x:v>
      </x:c>
      <x:c r="E29" s="2" t="str">
        <x:v>否</x:v>
      </x:c>
      <x:c r="F29" s="13" t="n">
        <x:v>169</x:v>
      </x:c>
      <x:c r="G29" s="13" t="n">
        <x:v>156</x:v>
      </x:c>
      <x:c r="H29" s="13" t="n">
        <x:v>13</x:v>
      </x:c>
      <x:c r="I29" s="13" t="n">
        <x:v>0</x:v>
      </x:c>
      <x:c r="J29" s="13" t="n">
        <x:v>1414753.4700000002</x:v>
      </x:c>
      <x:c r="K29" s="13" t="n">
        <x:v>1414753.4700000002</x:v>
      </x:c>
      <x:c r="L29" s="13" t="n">
        <x:v>61</x:v>
      </x:c>
      <x:c r="M29" s="13" t="n">
        <x:v>0.07692307692307693</x:v>
      </x:c>
      <x:c r="N29" s="13" t="n">
        <x:v>0</x:v>
      </x:c>
      <x:c r="O29" s="13" t="n">
        <x:v>0.1045463164667224</x:v>
      </x:c>
      <x:c r="P29" s="13" t="n">
        <x:v>0.20264767401489392</x:v>
      </x:c>
      <x:c r="Q29" s="13" t="n">
        <x:v>38236.58027027027</x:v>
      </x:c>
      <x:c r="R29" s="13" t="n">
        <x:v>1.9037562104403631</x:v>
      </x:c>
      <x:c r="S29" s="13" t="n">
        <x:v>0.03307624021168429</x:v>
      </x:c>
      <x:c r="T29" s="13" t="n">
        <x:v>25</x:v>
      </x:c>
      <x:c r="U29" s="13" t="n">
        <x:v>569</x:v>
      </x:c>
      <x:c r="V29" s="13" t="n">
        <x:v>525</x:v>
      </x:c>
      <x:c r="W29" s="13" t="n">
        <x:v>44</x:v>
      </x:c>
      <x:c r="X29" s="13" t="n">
        <x:v>0</x:v>
      </x:c>
      <x:c r="Y29" s="13" t="n">
        <x:v>53773528.75</x:v>
      </x:c>
      <x:c r="Z29" s="13" t="n">
        <x:v>53773528.75</x:v>
      </x:c>
      <x:c r="AA29" s="13" t="n">
        <x:v>6</x:v>
      </x:c>
      <x:c r="AB29" s="13" t="n">
        <x:v>0.0773286467486819</x:v>
      </x:c>
      <x:c r="AC29" s="13" t="n">
        <x:v>0</x:v>
      </x:c>
      <x:c r="AD29" s="13" t="n">
        <x:v>0.3478789980520792</x:v>
      </x:c>
      <x:c r="AE29" s="13" t="n">
        <x:v>0.4701538780826244</x:v>
      </x:c>
      <x:c r="AF29" s="13" t="n">
        <x:v>1453338.6148648649</x:v>
      </x:c>
      <x:c r="AG29" s="13" t="n">
        <x:v>1.3755204907473948</x:v>
      </x:c>
      <x:c r="AH29" s="13" t="n">
        <x:v>0.06696140232022647</x:v>
      </x:c>
      <x:c r="AI29" s="13" t="n">
        <x:v>24</x:v>
      </x:c>
      <x:c r="AJ29" s="13" t="n">
        <x:v>52358775.28</x:v>
      </x:c>
      <x:c r="AK29" s="13" t="n">
        <x:v>0.026309477969678533</x:v>
      </x:c>
      <x:c r="AL29" s="13" t="n">
        <x:v>0.07723577235772358</x:v>
      </x:c>
      <x:c r="AM29" s="13" t="n">
        <x:v>0</x:v>
      </x:c>
      <x:c r="AN29" s="13" t="n">
        <x:v>0.22621265725940082</x:v>
      </x:c>
      <x:c r="AO29" s="13" t="n">
        <x:v>1.639638350593879</x:v>
      </x:c>
      <x:c r="AP29" s="13" t="n">
        <x:v>0.05001882126595538</x:v>
      </x:c>
    </x:row>
    <x:row r="30" ht="15" hidden="0" customHeight="1">
      <x:c r="A30" s="2" t="str">
        <x:v>E29</x:v>
      </x:c>
      <x:c r="B30" s="2" t="str">
        <x:v>***建筑劳务有限公司</x:v>
      </x:c>
      <x:c r="C30" s="2" t="str">
        <x:v>有信贷记录</x:v>
      </x:c>
      <x:c r="D30" s="2" t="str">
        <x:v>C</x:v>
      </x:c>
      <x:c r="E30" s="2" t="str">
        <x:v>是</x:v>
      </x:c>
      <x:c r="F30" s="13" t="n">
        <x:v>50</x:v>
      </x:c>
      <x:c r="G30" s="13" t="n">
        <x:v>48</x:v>
      </x:c>
      <x:c r="H30" s="13" t="n">
        <x:v>2</x:v>
      </x:c>
      <x:c r="I30" s="13" t="n">
        <x:v>0</x:v>
      </x:c>
      <x:c r="J30" s="13" t="n">
        <x:v>186618.44</x:v>
      </x:c>
      <x:c r="K30" s="13" t="n">
        <x:v>186618.44</x:v>
      </x:c>
      <x:c r="L30" s="13" t="n">
        <x:v>17</x:v>
      </x:c>
      <x:c r="M30" s="13" t="n">
        <x:v>0.04</x:v>
      </x:c>
      <x:c r="N30" s="13" t="n">
        <x:v>0</x:v>
      </x:c>
      <x:c r="O30" s="13" t="n">
        <x:v>0.8013903272418441</x:v>
      </x:c>
      <x:c r="P30" s="13" t="n">
        <x:v>0.8938023487925416</x:v>
      </x:c>
      <x:c r="Q30" s="13" t="n">
        <x:v>5183.845555555556</x:v>
      </x:c>
      <x:c r="R30" s="13" t="n">
        <x:v>4.84123861016109</x:v>
      </x:c>
      <x:c r="S30" s="13" t="n">
        <x:v>-0.1435455152424753</x:v>
      </x:c>
      <x:c r="T30" s="13" t="n">
        <x:v>18</x:v>
      </x:c>
      <x:c r="U30" s="13" t="n">
        <x:v>475</x:v>
      </x:c>
      <x:c r="V30" s="13" t="n">
        <x:v>469</x:v>
      </x:c>
      <x:c r="W30" s="13" t="n">
        <x:v>6</x:v>
      </x:c>
      <x:c r="X30" s="13" t="n">
        <x:v>0</x:v>
      </x:c>
      <x:c r="Y30" s="13" t="n">
        <x:v>46976378.78</x:v>
      </x:c>
      <x:c r="Z30" s="13" t="n">
        <x:v>46976378.78</x:v>
      </x:c>
      <x:c r="AA30" s="13" t="n">
        <x:v>4</x:v>
      </x:c>
      <x:c r="AB30" s="13" t="n">
        <x:v>0.01263157894736842</x:v>
      </x:c>
      <x:c r="AC30" s="13" t="n">
        <x:v>0</x:v>
      </x:c>
      <x:c r="AD30" s="13" t="n">
        <x:v>0.39928039540457994</x:v>
      </x:c>
      <x:c r="AE30" s="13" t="n">
        <x:v>0.5310115561870475</x:v>
      </x:c>
      <x:c r="AF30" s="13" t="n">
        <x:v>1806783.7992307693</x:v>
      </x:c>
      <x:c r="AG30" s="13" t="n">
        <x:v>1.419388042653439</x:v>
      </x:c>
      <x:c r="AH30" s="13" t="n">
        <x:v>0.028442329710512138</x:v>
      </x:c>
      <x:c r="AI30" s="13" t="n">
        <x:v>15</x:v>
      </x:c>
      <x:c r="AJ30" s="13" t="n">
        <x:v>46789760.34</x:v>
      </x:c>
      <x:c r="AK30" s="13" t="n">
        <x:v>0.0039726016531408765</x:v>
      </x:c>
      <x:c r="AL30" s="13" t="n">
        <x:v>0.015238095238095238</x:v>
      </x:c>
      <x:c r="AM30" s="13" t="n">
        <x:v>0</x:v>
      </x:c>
      <x:c r="AN30" s="13" t="n">
        <x:v>0.6003353613232121</x:v>
      </x:c>
      <x:c r="AO30" s="13" t="n">
        <x:v>3.3461551496277764</x:v>
      </x:c>
      <x:c r="AP30" s="13" t="n">
        <x:v>-0.05755159276598158</x:v>
      </x:c>
    </x:row>
    <x:row r="31" ht="15" hidden="0" customHeight="1">
      <x:c r="A31" s="2" t="str">
        <x:v>E30</x:v>
      </x:c>
      <x:c r="B31" s="2" t="str">
        <x:v>***建筑工程有限公司</x:v>
      </x:c>
      <x:c r="C31" s="2" t="str">
        <x:v>有信贷记录</x:v>
      </x:c>
      <x:c r="D31" s="2" t="str">
        <x:v>B</x:v>
      </x:c>
      <x:c r="E31" s="2" t="str">
        <x:v>否</x:v>
      </x:c>
      <x:c r="F31" s="13" t="n">
        <x:v>754</x:v>
      </x:c>
      <x:c r="G31" s="13" t="n">
        <x:v>740</x:v>
      </x:c>
      <x:c r="H31" s="13" t="n">
        <x:v>14</x:v>
      </x:c>
      <x:c r="I31" s="13" t="n">
        <x:v>2</x:v>
      </x:c>
      <x:c r="J31" s="13" t="n">
        <x:v>24220896.36</x:v>
      </x:c>
      <x:c r="K31" s="13" t="n">
        <x:v>24227646.36</x:v>
      </x:c>
      <x:c r="L31" s="13" t="n">
        <x:v>170</x:v>
      </x:c>
      <x:c r="M31" s="13" t="n">
        <x:v>0.01856763925729443</x:v>
      </x:c>
      <x:c r="N31" s="13" t="n">
        <x:v>0.002702702702702703</x:v>
      </x:c>
      <x:c r="O31" s="13" t="n">
        <x:v>0.6432129417176691</x:v>
      </x:c>
      <x:c r="P31" s="13" t="n">
        <x:v>0.7999625597969146</x:v>
      </x:c>
      <x:c r="Q31" s="13" t="n">
        <x:v>654618.8205405405</x:v>
      </x:c>
      <x:c r="R31" s="13" t="n">
        <x:v>1.1966256177376118</x:v>
      </x:c>
      <x:c r="S31" s="13" t="n">
        <x:v>0.06186267083550852</x:v>
      </x:c>
      <x:c r="T31" s="13" t="n">
        <x:v>32</x:v>
      </x:c>
      <x:c r="U31" s="13" t="n">
        <x:v>800</x:v>
      </x:c>
      <x:c r="V31" s="13" t="n">
        <x:v>747</x:v>
      </x:c>
      <x:c r="W31" s="13" t="n">
        <x:v>53</x:v>
      </x:c>
      <x:c r="X31" s="13" t="n">
        <x:v>0</x:v>
      </x:c>
      <x:c r="Y31" s="13" t="n">
        <x:v>78108521.81</x:v>
      </x:c>
      <x:c r="Z31" s="13" t="n">
        <x:v>78108521.81</x:v>
      </x:c>
      <x:c r="AA31" s="13" t="n">
        <x:v>7</x:v>
      </x:c>
      <x:c r="AB31" s="13" t="n">
        <x:v>0.06625</x:v>
      </x:c>
      <x:c r="AC31" s="13" t="n">
        <x:v>0</x:v>
      </x:c>
      <x:c r="AD31" s="13" t="n">
        <x:v>0.2291978840566945</x:v>
      </x:c>
      <x:c r="AE31" s="13" t="n">
        <x:v>0.3578448882695608</x:v>
      </x:c>
      <x:c r="AF31" s="13" t="n">
        <x:v>2693397.3037931034</x:v>
      </x:c>
      <x:c r="AG31" s="13" t="n">
        <x:v>0.9505232257984835</x:v>
      </x:c>
      <x:c r="AH31" s="13" t="n">
        <x:v>0.0007872100929506562</x:v>
      </x:c>
      <x:c r="AI31" s="13" t="n">
        <x:v>24</x:v>
      </x:c>
      <x:c r="AJ31" s="13" t="n">
        <x:v>53887625.45</x:v>
      </x:c>
      <x:c r="AK31" s="13" t="n">
        <x:v>0.3101792966833256</x:v>
      </x:c>
      <x:c r="AL31" s="13" t="n">
        <x:v>0.043114543114543116</x:v>
      </x:c>
      <x:c r="AM31" s="13" t="n">
        <x:v>0.0013449899125756557</x:v>
      </x:c>
      <x:c r="AN31" s="13" t="n">
        <x:v>0.4362054128871818</x:v>
      </x:c>
      <x:c r="AO31" s="13" t="n">
        <x:v>1.0735744217680476</x:v>
      </x:c>
      <x:c r="AP31" s="13" t="n">
        <x:v>0.03132494046422959</x:v>
      </x:c>
    </x:row>
    <x:row r="32" ht="15" hidden="0" customHeight="1">
      <x:c r="A32" s="2" t="str">
        <x:v>E31</x:v>
      </x:c>
      <x:c r="B32" s="2" t="str">
        <x:v>***食品有限公司</x:v>
      </x:c>
      <x:c r="C32" s="2" t="str">
        <x:v>有信贷记录</x:v>
      </x:c>
      <x:c r="D32" s="2" t="str">
        <x:v>A</x:v>
      </x:c>
      <x:c r="E32" s="2" t="str">
        <x:v>否</x:v>
      </x:c>
      <x:c r="F32" s="13" t="n">
        <x:v>412</x:v>
      </x:c>
      <x:c r="G32" s="13" t="n">
        <x:v>404</x:v>
      </x:c>
      <x:c r="H32" s="13" t="n">
        <x:v>8</x:v>
      </x:c>
      <x:c r="I32" s="13" t="n">
        <x:v>1</x:v>
      </x:c>
      <x:c r="J32" s="13" t="n">
        <x:v>5059207.58</x:v>
      </x:c>
      <x:c r="K32" s="13" t="n">
        <x:v>5069803.78</x:v>
      </x:c>
      <x:c r="L32" s="13" t="n">
        <x:v>109</x:v>
      </x:c>
      <x:c r="M32" s="13" t="n">
        <x:v>0.019417475728155338</x:v>
      </x:c>
      <x:c r="N32" s="13" t="n">
        <x:v>0.0024752475247524753</x:v>
      </x:c>
      <x:c r="O32" s="13" t="n">
        <x:v>0.6927253653444799</x:v>
      </x:c>
      <x:c r="P32" s="13" t="n">
        <x:v>0.8303993078801168</x:v>
      </x:c>
      <x:c r="Q32" s="13" t="n">
        <x:v>136735.33999999997</x:v>
      </x:c>
      <x:c r="R32" s="13" t="n">
        <x:v>0.946566342256329</x:v>
      </x:c>
      <x:c r="S32" s="13" t="n">
        <x:v>-0.03890847776086577</x:v>
      </x:c>
      <x:c r="T32" s="13" t="n">
        <x:v>37</x:v>
      </x:c>
      <x:c r="U32" s="13" t="n">
        <x:v>2608</x:v>
      </x:c>
      <x:c r="V32" s="13" t="n">
        <x:v>2501</x:v>
      </x:c>
      <x:c r="W32" s="13" t="n">
        <x:v>107</x:v>
      </x:c>
      <x:c r="X32" s="13" t="n">
        <x:v>6</x:v>
      </x:c>
      <x:c r="Y32" s="13" t="n">
        <x:v>54271848.95</x:v>
      </x:c>
      <x:c r="Z32" s="13" t="n">
        <x:v>54331314.95</x:v>
      </x:c>
      <x:c r="AA32" s="13" t="n">
        <x:v>153</x:v>
      </x:c>
      <x:c r="AB32" s="13" t="n">
        <x:v>0.04102760736196319</x:v>
      </x:c>
      <x:c r="AC32" s="13" t="n">
        <x:v>0.0023990403838464614</x:v>
      </x:c>
      <x:c r="AD32" s="13" t="n">
        <x:v>0.06589020615117999</x:v>
      </x:c>
      <x:c r="AE32" s="13" t="n">
        <x:v>0.20493678443540045</x:v>
      </x:c>
      <x:c r="AF32" s="13" t="n">
        <x:v>1466806.7283783786</x:v>
      </x:c>
      <x:c r="AG32" s="13" t="n">
        <x:v>0.3670997910619898</x:v>
      </x:c>
      <x:c r="AH32" s="13" t="n">
        <x:v>0.015479450018730459</x:v>
      </x:c>
      <x:c r="AI32" s="13" t="n">
        <x:v>37</x:v>
      </x:c>
      <x:c r="AJ32" s="13" t="n">
        <x:v>49212641.370000005</x:v>
      </x:c>
      <x:c r="AK32" s="13" t="n">
        <x:v>0.09331273842103098</x:v>
      </x:c>
      <x:c r="AL32" s="13" t="n">
        <x:v>0.0380794701986755</x:v>
      </x:c>
      <x:c r="AM32" s="13" t="n">
        <x:v>0.0024096385542168677</x:v>
      </x:c>
      <x:c r="AN32" s="13" t="n">
        <x:v>0.37930778574783</x:v>
      </x:c>
      <x:c r="AO32" s="13" t="n">
        <x:v>0.6568330666591594</x:v>
      </x:c>
      <x:c r="AP32" s="13" t="n">
        <x:v>-0.011714513871067655</x:v>
      </x:c>
    </x:row>
    <x:row r="33" ht="15" hidden="0" customHeight="1">
      <x:c r="A33" s="2" t="str">
        <x:v>E32</x:v>
      </x:c>
      <x:c r="B33" s="2" t="str">
        <x:v>***建筑劳务有限公司</x:v>
      </x:c>
      <x:c r="C33" s="2" t="str">
        <x:v>有信贷记录</x:v>
      </x:c>
      <x:c r="D33" s="2" t="str">
        <x:v>B</x:v>
      </x:c>
      <x:c r="E33" s="2" t="str">
        <x:v>否</x:v>
      </x:c>
      <x:c r="F33" s="13" t="n">
        <x:v>2826</x:v>
      </x:c>
      <x:c r="G33" s="13" t="n">
        <x:v>2811</x:v>
      </x:c>
      <x:c r="H33" s="13" t="n">
        <x:v>15</x:v>
      </x:c>
      <x:c r="I33" s="13" t="n">
        <x:v>6</x:v>
      </x:c>
      <x:c r="J33" s="13" t="n">
        <x:v>2542575.72</x:v>
      </x:c>
      <x:c r="K33" s="13" t="n">
        <x:v>2602845.72</x:v>
      </x:c>
      <x:c r="L33" s="13" t="n">
        <x:v>272</x:v>
      </x:c>
      <x:c r="M33" s="13" t="n">
        <x:v>0.005307855626326964</x:v>
      </x:c>
      <x:c r="N33" s="13" t="n">
        <x:v>0.0021344717182497333</x:v>
      </x:c>
      <x:c r="O33" s="13" t="n">
        <x:v>0.11569811511960573</x:v>
      </x:c>
      <x:c r="P33" s="13" t="n">
        <x:v>0.30481711378575294</x:v>
      </x:c>
      <x:c r="Q33" s="13" t="n">
        <x:v>77047.7490909091</x:v>
      </x:c>
      <x:c r="R33" s="13" t="n">
        <x:v>0.8469812294486206</x:v>
      </x:c>
      <x:c r="S33" s="13" t="n">
        <x:v>0.053732277341969656</x:v>
      </x:c>
      <x:c r="T33" s="13" t="n">
        <x:v>31</x:v>
      </x:c>
      <x:c r="U33" s="13" t="n">
        <x:v>552</x:v>
      </x:c>
      <x:c r="V33" s="13" t="n">
        <x:v>468</x:v>
      </x:c>
      <x:c r="W33" s="13" t="n">
        <x:v>84</x:v>
      </x:c>
      <x:c r="X33" s="13" t="n">
        <x:v>2</x:v>
      </x:c>
      <x:c r="Y33" s="13" t="n">
        <x:v>45475253.28</x:v>
      </x:c>
      <x:c r="Z33" s="13" t="n">
        <x:v>45875253.28</x:v>
      </x:c>
      <x:c r="AA33" s="13" t="n">
        <x:v>13</x:v>
      </x:c>
      <x:c r="AB33" s="13" t="n">
        <x:v>0.15217391304347827</x:v>
      </x:c>
      <x:c r="AC33" s="13" t="n">
        <x:v>0.004273504273504274</x:v>
      </x:c>
      <x:c r="AD33" s="13" t="n">
        <x:v>0.5532064887170861</x:v>
      </x:c>
      <x:c r="AE33" s="13" t="n">
        <x:v>0.7334455418618672</x:v>
      </x:c>
      <x:c r="AF33" s="13" t="n">
        <x:v>1263201.48</x:v>
      </x:c>
      <x:c r="AG33" s="13" t="n">
        <x:v>1.119541380981843</x:v>
      </x:c>
      <x:c r="AH33" s="13" t="n">
        <x:v>0.031220832126302858</x:v>
      </x:c>
      <x:c r="AI33" s="13" t="n">
        <x:v>29</x:v>
      </x:c>
      <x:c r="AJ33" s="13" t="n">
        <x:v>42932677.56</x:v>
      </x:c>
      <x:c r="AK33" s="13" t="n">
        <x:v>0.05673746810973466</x:v>
      </x:c>
      <x:c r="AL33" s="13" t="n">
        <x:v>0.02930728241563055</x:v>
      </x:c>
      <x:c r="AM33" s="13" t="n">
        <x:v>0.002439768222018908</x:v>
      </x:c>
      <x:c r="AN33" s="13" t="n">
        <x:v>0.3344523019183459</x:v>
      </x:c>
      <x:c r="AO33" s="13" t="n">
        <x:v>0.9832613052152319</x:v>
      </x:c>
      <x:c r="AP33" s="13" t="n">
        <x:v>0.04247655473413626</x:v>
      </x:c>
    </x:row>
    <x:row r="34" ht="15" hidden="0" customHeight="1">
      <x:c r="A34" s="2" t="str">
        <x:v>E33</x:v>
      </x:c>
      <x:c r="B34" s="2" t="str">
        <x:v>***园林有限责任公司</x:v>
      </x:c>
      <x:c r="C34" s="2" t="str">
        <x:v>有信贷记录</x:v>
      </x:c>
      <x:c r="D34" s="2" t="str">
        <x:v>B</x:v>
      </x:c>
      <x:c r="E34" s="2" t="str">
        <x:v>否</x:v>
      </x:c>
      <x:c r="F34" s="13" t="n">
        <x:v>1293</x:v>
      </x:c>
      <x:c r="G34" s="13" t="n">
        <x:v>1133</x:v>
      </x:c>
      <x:c r="H34" s="13" t="n">
        <x:v>160</x:v>
      </x:c>
      <x:c r="I34" s="13" t="n">
        <x:v>14</x:v>
      </x:c>
      <x:c r="J34" s="13" t="n">
        <x:v>69644756.16</x:v>
      </x:c>
      <x:c r="K34" s="13" t="n">
        <x:v>70813718.68</x:v>
      </x:c>
      <x:c r="L34" s="13" t="n">
        <x:v>242</x:v>
      </x:c>
      <x:c r="M34" s="13" t="n">
        <x:v>0.12374323279195669</x:v>
      </x:c>
      <x:c r="N34" s="13" t="n">
        <x:v>0.01235657546337158</x:v>
      </x:c>
      <x:c r="O34" s="13" t="n">
        <x:v>0.045700541564437695</x:v>
      </x:c>
      <x:c r="P34" s="13" t="n">
        <x:v>0.11713427757526712</x:v>
      </x:c>
      <x:c r="Q34" s="13" t="n">
        <x:v>2048375.1811764708</x:v>
      </x:c>
      <x:c r="R34" s="13" t="n">
        <x:v>0.6894432935002794</x:v>
      </x:c>
      <x:c r="S34" s="13" t="n">
        <x:v>-0.027111280900957737</x:v>
      </x:c>
      <x:c r="T34" s="13" t="n">
        <x:v>34</x:v>
      </x:c>
      <x:c r="U34" s="13" t="n">
        <x:v>1073</x:v>
      </x:c>
      <x:c r="V34" s="13" t="n">
        <x:v>912</x:v>
      </x:c>
      <x:c r="W34" s="13" t="n">
        <x:v>161</x:v>
      </x:c>
      <x:c r="X34" s="13" t="n">
        <x:v>14</x:v>
      </x:c>
      <x:c r="Y34" s="13" t="n">
        <x:v>74440396.16</x:v>
      </x:c>
      <x:c r="Z34" s="13" t="n">
        <x:v>77075715.58</x:v>
      </x:c>
      <x:c r="AA34" s="13" t="n">
        <x:v>90</x:v>
      </x:c>
      <x:c r="AB34" s="13" t="n">
        <x:v>0.1500465983224604</x:v>
      </x:c>
      <x:c r="AC34" s="13" t="n">
        <x:v>0.015350877192982455</x:v>
      </x:c>
      <x:c r="AD34" s="13" t="n">
        <x:v>0.044669030356868804</x:v>
      </x:c>
      <x:c r="AE34" s="13" t="n">
        <x:v>0.10496172418409871</x:v>
      </x:c>
      <x:c r="AF34" s="13" t="n">
        <x:v>2189423.4164705877</x:v>
      </x:c>
      <x:c r="AG34" s="13" t="n">
        <x:v>0.8087969550771363</x:v>
      </x:c>
      <x:c r="AH34" s="13" t="n">
        <x:v>-0.028191405916441478</x:v>
      </x:c>
      <x:c r="AI34" s="13" t="n">
        <x:v>34</x:v>
      </x:c>
      <x:c r="AJ34" s="13" t="n">
        <x:v>4795640</x:v>
      </x:c>
      <x:c r="AK34" s="13" t="n">
        <x:v>0.9187552544549468</x:v>
      </x:c>
      <x:c r="AL34" s="13" t="n">
        <x:v>0.1356720202874049</x:v>
      </x:c>
      <x:c r="AM34" s="13" t="n">
        <x:v>0.013691931540342298</x:v>
      </x:c>
      <x:c r="AN34" s="13" t="n">
        <x:v>0.04518478596065325</x:v>
      </x:c>
      <x:c r="AO34" s="13" t="n">
        <x:v>0.7491201242887079</x:v>
      </x:c>
      <x:c r="AP34" s="13" t="n">
        <x:v>-0.027651343408699607</x:v>
      </x:c>
    </x:row>
    <x:row r="35" ht="15" hidden="0" customHeight="1">
      <x:c r="A35" s="2" t="str">
        <x:v>E34</x:v>
      </x:c>
      <x:c r="B35" s="2" t="str">
        <x:v>***建设工程有限公司</x:v>
      </x:c>
      <x:c r="C35" s="2" t="str">
        <x:v>有信贷记录</x:v>
      </x:c>
      <x:c r="D35" s="2" t="str">
        <x:v>B</x:v>
      </x:c>
      <x:c r="E35" s="2" t="str">
        <x:v>否</x:v>
      </x:c>
      <x:c r="F35" s="13" t="n">
        <x:v>2309</x:v>
      </x:c>
      <x:c r="G35" s="13" t="n">
        <x:v>2071</x:v>
      </x:c>
      <x:c r="H35" s="13" t="n">
        <x:v>238</x:v>
      </x:c>
      <x:c r="I35" s="13" t="n">
        <x:v>44</x:v>
      </x:c>
      <x:c r="J35" s="13" t="n">
        <x:v>52849851.650000006</x:v>
      </x:c>
      <x:c r="K35" s="13" t="n">
        <x:v>59105818.97</x:v>
      </x:c>
      <x:c r="L35" s="13" t="n">
        <x:v>451</x:v>
      </x:c>
      <x:c r="M35" s="13" t="n">
        <x:v>0.10307492420961455</x:v>
      </x:c>
      <x:c r="N35" s="13" t="n">
        <x:v>0.021245774987928536</x:v>
      </x:c>
      <x:c r="O35" s="13" t="n">
        <x:v>0.037384832583418265</x:v>
      </x:c>
      <x:c r="P35" s="13" t="n">
        <x:v>0.14571864750527455</x:v>
      </x:c>
      <x:c r="Q35" s="13" t="n">
        <x:v>1428374.3689189188</x:v>
      </x:c>
      <x:c r="R35" s="13" t="n">
        <x:v>1.749713107373558</x:v>
      </x:c>
      <x:c r="S35" s="13" t="n">
        <x:v>0.10103111099072938</x:v>
      </x:c>
      <x:c r="T35" s="13" t="n">
        <x:v>37</x:v>
      </x:c>
      <x:c r="U35" s="13" t="n">
        <x:v>707</x:v>
      </x:c>
      <x:c r="V35" s="13" t="n">
        <x:v>596</x:v>
      </x:c>
      <x:c r="W35" s="13" t="n">
        <x:v>111</x:v>
      </x:c>
      <x:c r="X35" s="13" t="n">
        <x:v>3</x:v>
      </x:c>
      <x:c r="Y35" s="13" t="n">
        <x:v>95568728.50999999</x:v>
      </x:c>
      <x:c r="Z35" s="13" t="n">
        <x:v>96098257.35</x:v>
      </x:c>
      <x:c r="AA35" s="13" t="n">
        <x:v>71</x:v>
      </x:c>
      <x:c r="AB35" s="13" t="n">
        <x:v>0.157001414427157</x:v>
      </x:c>
      <x:c r="AC35" s="13" t="n">
        <x:v>0.0050335570469798654</x:v>
      </x:c>
      <x:c r="AD35" s="13" t="n">
        <x:v>0.27835730383682344</x:v>
      </x:c>
      <x:c r="AE35" s="13" t="n">
        <x:v>0.5022757224847845</x:v>
      </x:c>
      <x:c r="AF35" s="13" t="n">
        <x:v>2582938.608378379</x:v>
      </x:c>
      <x:c r="AG35" s="13" t="n">
        <x:v>1.4419909199857</x:v>
      </x:c>
      <x:c r="AH35" s="13" t="n">
        <x:v>0.026870305711167056</x:v>
      </x:c>
      <x:c r="AI35" s="13" t="n">
        <x:v>35</x:v>
      </x:c>
      <x:c r="AJ35" s="13" t="n">
        <x:v>42718876.859999985</x:v>
      </x:c>
      <x:c r="AK35" s="13" t="n">
        <x:v>0.6150560957076502</x:v>
      </x:c>
      <x:c r="AL35" s="13" t="n">
        <x:v>0.11571618037135278</x:v>
      </x:c>
      <x:c r="AM35" s="13" t="n">
        <x:v>0.017622797150356206</x:v>
      </x:c>
      <x:c r="AN35" s="13" t="n">
        <x:v>0.15787106821012087</x:v>
      </x:c>
      <x:c r="AO35" s="13" t="n">
        <x:v>1.5958520136796288</x:v>
      </x:c>
      <x:c r="AP35" s="13" t="n">
        <x:v>0.06395070835094822</x:v>
      </x:c>
    </x:row>
    <x:row r="36" ht="15" hidden="0" customHeight="1">
      <x:c r="A36" s="2" t="str">
        <x:v>E35</x:v>
      </x:c>
      <x:c r="B36" s="2" t="str">
        <x:v>***商贸有限公司</x:v>
      </x:c>
      <x:c r="C36" s="2" t="str">
        <x:v>有信贷记录</x:v>
      </x:c>
      <x:c r="D36" s="2" t="str">
        <x:v>B</x:v>
      </x:c>
      <x:c r="E36" s="2" t="str">
        <x:v>否</x:v>
      </x:c>
      <x:c r="F36" s="13" t="n">
        <x:v>669</x:v>
      </x:c>
      <x:c r="G36" s="13" t="n">
        <x:v>633</x:v>
      </x:c>
      <x:c r="H36" s="13" t="n">
        <x:v>36</x:v>
      </x:c>
      <x:c r="I36" s="13" t="n">
        <x:v>11</x:v>
      </x:c>
      <x:c r="J36" s="13" t="n">
        <x:v>33451922.229999997</x:v>
      </x:c>
      <x:c r="K36" s="13" t="n">
        <x:v>35284508.91</x:v>
      </x:c>
      <x:c r="L36" s="13" t="n">
        <x:v>103</x:v>
      </x:c>
      <x:c r="M36" s="13" t="n">
        <x:v>0.053811659192825115</x:v>
      </x:c>
      <x:c r="N36" s="13" t="n">
        <x:v>0.017377567140600316</x:v>
      </x:c>
      <x:c r="O36" s="13" t="n">
        <x:v>0.04614236703533614</x:v>
      </x:c>
      <x:c r="P36" s="13" t="n">
        <x:v>0.1235717453549221</x:v>
      </x:c>
      <x:c r="Q36" s="13" t="n">
        <x:v>904106.0062162161</x:v>
      </x:c>
      <x:c r="R36" s="13" t="n">
        <x:v>0.7092731719716479</x:v>
      </x:c>
      <x:c r="S36" s="13" t="n">
        <x:v>0.03777141947642581</x:v>
      </x:c>
      <x:c r="T36" s="13" t="n">
        <x:v>37</x:v>
      </x:c>
      <x:c r="U36" s="13" t="n">
        <x:v>770</x:v>
      </x:c>
      <x:c r="V36" s="13" t="n">
        <x:v>737</x:v>
      </x:c>
      <x:c r="W36" s="13" t="n">
        <x:v>33</x:v>
      </x:c>
      <x:c r="X36" s="13" t="n">
        <x:v>2</x:v>
      </x:c>
      <x:c r="Y36" s="13" t="n">
        <x:v>38633260.75</x:v>
      </x:c>
      <x:c r="Z36" s="13" t="n">
        <x:v>38672420.75</x:v>
      </x:c>
      <x:c r="AA36" s="13" t="n">
        <x:v>32</x:v>
      </x:c>
      <x:c r="AB36" s="13" t="n">
        <x:v>0.04285714285714286</x:v>
      </x:c>
      <x:c r="AC36" s="13" t="n">
        <x:v>0.0027137042062415195</x:v>
      </x:c>
      <x:c r="AD36" s="13" t="n">
        <x:v>0.15477430410905554</x:v>
      </x:c>
      <x:c r="AE36" s="13" t="n">
        <x:v>0.22456171611651696</x:v>
      </x:c>
      <x:c r="AF36" s="13" t="n">
        <x:v>1044142.1824324327</x:v>
      </x:c>
      <x:c r="AG36" s="13" t="n">
        <x:v>0.7207458152877646</x:v>
      </x:c>
      <x:c r="AH36" s="13" t="n">
        <x:v>0.04824503522400066</x:v>
      </x:c>
      <x:c r="AI36" s="13" t="n">
        <x:v>37</x:v>
      </x:c>
      <x:c r="AJ36" s="13" t="n">
        <x:v>5181338.520000003</x:v>
      </x:c>
      <x:c r="AK36" s="13" t="n">
        <x:v>0.9123946271193792</x:v>
      </x:c>
      <x:c r="AL36" s="13" t="n">
        <x:v>0.04794996525364837</x:v>
      </x:c>
      <x:c r="AM36" s="13" t="n">
        <x:v>0.00948905109489051</x:v>
      </x:c>
      <x:c r="AN36" s="13" t="n">
        <x:v>0.10045833557219584</x:v>
      </x:c>
      <x:c r="AO36" s="13" t="n">
        <x:v>0.7150094936297062</x:v>
      </x:c>
      <x:c r="AP36" s="13" t="n">
        <x:v>0.04300822735021323</x:v>
      </x:c>
    </x:row>
    <x:row r="37" ht="15" hidden="0" customHeight="1">
      <x:c r="A37" s="2" t="str">
        <x:v>E36</x:v>
      </x:c>
      <x:c r="B37" s="2" t="str">
        <x:v>***超硬材料有限公司</x:v>
      </x:c>
      <x:c r="C37" s="2" t="str">
        <x:v>有信贷记录</x:v>
      </x:c>
      <x:c r="D37" s="2" t="str">
        <x:v>D</x:v>
      </x:c>
      <x:c r="E37" s="2" t="str">
        <x:v>是</x:v>
      </x:c>
      <x:c r="F37" s="13" t="n">
        <x:v>1636</x:v>
      </x:c>
      <x:c r="G37" s="13" t="n">
        <x:v>1562</x:v>
      </x:c>
      <x:c r="H37" s="13" t="n">
        <x:v>74</x:v>
      </x:c>
      <x:c r="I37" s="13" t="n">
        <x:v>6</x:v>
      </x:c>
      <x:c r="J37" s="13" t="n">
        <x:v>22400406.1</x:v>
      </x:c>
      <x:c r="K37" s="13" t="n">
        <x:v>22539777.060000002</x:v>
      </x:c>
      <x:c r="L37" s="13" t="n">
        <x:v>418</x:v>
      </x:c>
      <x:c r="M37" s="13" t="n">
        <x:v>0.04523227383863081</x:v>
      </x:c>
      <x:c r="N37" s="13" t="n">
        <x:v>0.0038412291933418692</x:v>
      </x:c>
      <x:c r="O37" s="13" t="n">
        <x:v>0.05454773313092602</x:v>
      </x:c>
      <x:c r="P37" s="13" t="n">
        <x:v>0.10926727418128243</x:v>
      </x:c>
      <x:c r="Q37" s="13" t="n">
        <x:v>700012.690625</x:v>
      </x:c>
      <x:c r="R37" s="13" t="n">
        <x:v>0.3500053534192065</x:v>
      </x:c>
      <x:c r="S37" s="13" t="n">
        <x:v>0.014669648898401949</x:v>
      </x:c>
      <x:c r="T37" s="13" t="n">
        <x:v>32</x:v>
      </x:c>
      <x:c r="U37" s="13" t="n">
        <x:v>1547</x:v>
      </x:c>
      <x:c r="V37" s="13" t="n">
        <x:v>1429</x:v>
      </x:c>
      <x:c r="W37" s="13" t="n">
        <x:v>118</x:v>
      </x:c>
      <x:c r="X37" s="13" t="n">
        <x:v>33</x:v>
      </x:c>
      <x:c r="Y37" s="13" t="n">
        <x:v>40171671.32</x:v>
      </x:c>
      <x:c r="Z37" s="13" t="n">
        <x:v>41944347.9</x:v>
      </x:c>
      <x:c r="AA37" s="13" t="n">
        <x:v>203</x:v>
      </x:c>
      <x:c r="AB37" s="13" t="n">
        <x:v>0.07627666451195864</x:v>
      </x:c>
      <x:c r="AC37" s="13" t="n">
        <x:v>0.02309307207837649</x:v>
      </x:c>
      <x:c r="AD37" s="13" t="n">
        <x:v>0.029540918731962545</x:v>
      </x:c>
      <x:c r="AE37" s="13" t="n">
        <x:v>0.060591393292348694</x:v>
      </x:c>
      <x:c r="AF37" s="13" t="n">
        <x:v>1255364.72875</x:v>
      </x:c>
      <x:c r="AG37" s="13" t="n">
        <x:v>0.37421808578261556</x:v>
      </x:c>
      <x:c r="AH37" s="13" t="n">
        <x:v>0.02705882186287432</x:v>
      </x:c>
      <x:c r="AI37" s="13" t="n">
        <x:v>32</x:v>
      </x:c>
      <x:c r="AJ37" s="13" t="n">
        <x:v>17771265.22</x:v>
      </x:c>
      <x:c r="AK37" s="13" t="n">
        <x:v>0.5373734052019915</x:v>
      </x:c>
      <x:c r="AL37" s="13" t="n">
        <x:v>0.060320452403393024</x:v>
      </x:c>
      <x:c r="AM37" s="13" t="n">
        <x:v>0.013039117352056168</x:v>
      </x:c>
      <x:c r="AN37" s="13" t="n">
        <x:v>0.04204432593144428</x:v>
      </x:c>
      <x:c r="AO37" s="13" t="n">
        <x:v>0.36211171960091104</x:v>
      </x:c>
      <x:c r="AP37" s="13" t="n">
        <x:v>0.020864235380638134</x:v>
      </x:c>
    </x:row>
    <x:row r="38" ht="15" hidden="0" customHeight="1">
      <x:c r="A38" s="2" t="str">
        <x:v>E37</x:v>
      </x:c>
      <x:c r="B38" s="2" t="str">
        <x:v>***木业有限公司</x:v>
      </x:c>
      <x:c r="C38" s="2" t="str">
        <x:v>有信贷记录</x:v>
      </x:c>
      <x:c r="D38" s="2" t="str">
        <x:v>B</x:v>
      </x:c>
      <x:c r="E38" s="2" t="str">
        <x:v>否</x:v>
      </x:c>
      <x:c r="F38" s="13" t="n">
        <x:v>618</x:v>
      </x:c>
      <x:c r="G38" s="13" t="n">
        <x:v>592</x:v>
      </x:c>
      <x:c r="H38" s="13" t="n">
        <x:v>26</x:v>
      </x:c>
      <x:c r="I38" s="13" t="n">
        <x:v>2</x:v>
      </x:c>
      <x:c r="J38" s="13" t="n">
        <x:v>50078318.69</x:v>
      </x:c>
      <x:c r="K38" s="13" t="n">
        <x:v>50278318.69</x:v>
      </x:c>
      <x:c r="L38" s="13" t="n">
        <x:v>79</x:v>
      </x:c>
      <x:c r="M38" s="13" t="n">
        <x:v>0.042071197411003236</x:v>
      </x:c>
      <x:c r="N38" s="13" t="n">
        <x:v>0.0033783783783783786</x:v>
      </x:c>
      <x:c r="O38" s="13" t="n">
        <x:v>0.06240465934362306</x:v>
      </x:c>
      <x:c r="P38" s="13" t="n">
        <x:v>0.16641223847574926</x:v>
      </x:c>
      <x:c r="Q38" s="13" t="n">
        <x:v>1353468.0727027024</x:v>
      </x:c>
      <x:c r="R38" s="13" t="n">
        <x:v>0.6858492551743377</x:v>
      </x:c>
      <x:c r="S38" s="13" t="n">
        <x:v>0.02109278730708444</x:v>
      </x:c>
      <x:c r="T38" s="13" t="n">
        <x:v>37</x:v>
      </x:c>
      <x:c r="U38" s="13" t="n">
        <x:v>1273</x:v>
      </x:c>
      <x:c r="V38" s="13" t="n">
        <x:v>1184</x:v>
      </x:c>
      <x:c r="W38" s="13" t="n">
        <x:v>89</x:v>
      </x:c>
      <x:c r="X38" s="13" t="n">
        <x:v>14</x:v>
      </x:c>
      <x:c r="Y38" s="13" t="n">
        <x:v>50089245.769999996</x:v>
      </x:c>
      <x:c r="Z38" s="13" t="n">
        <x:v>51237785.19</x:v>
      </x:c>
      <x:c r="AA38" s="13" t="n">
        <x:v>280</x:v>
      </x:c>
      <x:c r="AB38" s="13" t="n">
        <x:v>0.06991358994501179</x:v>
      </x:c>
      <x:c r="AC38" s="13" t="n">
        <x:v>0.011824324324324325</x:v>
      </x:c>
      <x:c r="AD38" s="13" t="n">
        <x:v>0.02446771520512429</x:v>
      </x:c>
      <x:c r="AE38" s="13" t="n">
        <x:v>0.08917506139378856</x:v>
      </x:c>
      <x:c r="AF38" s="13" t="n">
        <x:v>1353763.399189189</x:v>
      </x:c>
      <x:c r="AG38" s="13" t="n">
        <x:v>0.6673177530171547</x:v>
      </x:c>
      <x:c r="AH38" s="13" t="n">
        <x:v>0.02418891784557196</x:v>
      </x:c>
      <x:c r="AI38" s="13" t="n">
        <x:v>37</x:v>
      </x:c>
      <x:c r="AJ38" s="13" t="n">
        <x:v>10927.079999998212</x:v>
      </x:c>
      <x:c r="AK38" s="13" t="n">
        <x:v>0.9812742393832578</x:v>
      </x:c>
      <x:c r="AL38" s="13" t="n">
        <x:v>0.060814383923849816</x:v>
      </x:c>
      <x:c r="AM38" s="13" t="n">
        <x:v>0.009009009009009009</x:v>
      </x:c>
      <x:c r="AN38" s="13" t="n">
        <x:v>0.04343618727437368</x:v>
      </x:c>
      <x:c r="AO38" s="13" t="n">
        <x:v>0.6765835040957462</x:v>
      </x:c>
      <x:c r="AP38" s="13" t="n">
        <x:v>0.0226408525763282</x:v>
      </x:c>
    </x:row>
    <x:row r="39" ht="15" hidden="0" customHeight="1">
      <x:c r="A39" s="2" t="str">
        <x:v>E38</x:v>
      </x:c>
      <x:c r="B39" s="2" t="str">
        <x:v>***建设工程有限公司</x:v>
      </x:c>
      <x:c r="C39" s="2" t="str">
        <x:v>有信贷记录</x:v>
      </x:c>
      <x:c r="D39" s="2" t="str">
        <x:v>B</x:v>
      </x:c>
      <x:c r="E39" s="2" t="str">
        <x:v>否</x:v>
      </x:c>
      <x:c r="F39" s="13" t="n">
        <x:v>991</x:v>
      </x:c>
      <x:c r="G39" s="13" t="n">
        <x:v>958</x:v>
      </x:c>
      <x:c r="H39" s="13" t="n">
        <x:v>33</x:v>
      </x:c>
      <x:c r="I39" s="13" t="n">
        <x:v>4</x:v>
      </x:c>
      <x:c r="J39" s="13" t="n">
        <x:v>13162533.92</x:v>
      </x:c>
      <x:c r="K39" s="13" t="n">
        <x:v>13184015.780000001</x:v>
      </x:c>
      <x:c r="L39" s="13" t="n">
        <x:v>237</x:v>
      </x:c>
      <x:c r="M39" s="13" t="n">
        <x:v>0.033299697275479316</x:v>
      </x:c>
      <x:c r="N39" s="13" t="n">
        <x:v>0.0041753653444676405</x:v>
      </x:c>
      <x:c r="O39" s="13" t="n">
        <x:v>0.12158443401780074</x:v>
      </x:c>
      <x:c r="P39" s="13" t="n">
        <x:v>0.2996052239251795</x:v>
      </x:c>
      <x:c r="Q39" s="13" t="n">
        <x:v>387133.35058823525</x:v>
      </x:c>
      <x:c r="R39" s="13" t="n">
        <x:v>2.4526833096209484</x:v>
      </x:c>
      <x:c r="S39" s="13" t="n">
        <x:v>0.06288859754669548</x:v>
      </x:c>
      <x:c r="T39" s="13" t="n">
        <x:v>31</x:v>
      </x:c>
      <x:c r="U39" s="13" t="n">
        <x:v>628</x:v>
      </x:c>
      <x:c r="V39" s="13" t="n">
        <x:v>552</x:v>
      </x:c>
      <x:c r="W39" s="13" t="n">
        <x:v>76</x:v>
      </x:c>
      <x:c r="X39" s="13" t="n">
        <x:v>4</x:v>
      </x:c>
      <x:c r="Y39" s="13" t="n">
        <x:v>50113398.94</x:v>
      </x:c>
      <x:c r="Z39" s="13" t="n">
        <x:v>50913398.94</x:v>
      </x:c>
      <x:c r="AA39" s="13" t="n">
        <x:v>8</x:v>
      </x:c>
      <x:c r="AB39" s="13" t="n">
        <x:v>0.12101910828025478</x:v>
      </x:c>
      <x:c r="AC39" s="13" t="n">
        <x:v>0.007246376811594203</x:v>
      </x:c>
      <x:c r="AD39" s="13" t="n">
        <x:v>0.420214441687965</x:v>
      </x:c>
      <x:c r="AE39" s="13" t="n">
        <x:v>0.6267524397183765</x:v>
      </x:c>
      <x:c r="AF39" s="13" t="n">
        <x:v>1566043.7168750002</x:v>
      </x:c>
      <x:c r="AG39" s="13" t="n">
        <x:v>1.279875727304427</x:v>
      </x:c>
      <x:c r="AH39" s="13" t="n">
        <x:v>0.012091887765745744</x:v>
      </x:c>
      <x:c r="AI39" s="13" t="n">
        <x:v>24</x:v>
      </x:c>
      <x:c r="AJ39" s="13" t="n">
        <x:v>36950865.019999996</x:v>
      </x:c>
      <x:c r="AK39" s="13" t="n">
        <x:v>0.2589498256743179</x:v>
      </x:c>
      <x:c r="AL39" s="13" t="n">
        <x:v>0.06732550957381099</x:v>
      </x:c>
      <x:c r="AM39" s="13" t="n">
        <x:v>0.005298013245033113</x:v>
      </x:c>
      <x:c r="AN39" s="13" t="n">
        <x:v>0.2708994378528829</x:v>
      </x:c>
      <x:c r="AO39" s="13" t="n">
        <x:v>1.8662795184626877</x:v>
      </x:c>
      <x:c r="AP39" s="13" t="n">
        <x:v>0.03749024265622061</x:v>
      </x:c>
    </x:row>
    <x:row r="40" ht="15" hidden="0" customHeight="1">
      <x:c r="A40" s="2" t="str">
        <x:v>E39</x:v>
      </x:c>
      <x:c r="B40" s="2" t="str">
        <x:v>***建筑劳务有限公司</x:v>
      </x:c>
      <x:c r="C40" s="2" t="str">
        <x:v>有信贷记录</x:v>
      </x:c>
      <x:c r="D40" s="2" t="str">
        <x:v>C</x:v>
      </x:c>
      <x:c r="E40" s="2" t="str">
        <x:v>否</x:v>
      </x:c>
      <x:c r="F40" s="13" t="n">
        <x:v>282</x:v>
      </x:c>
      <x:c r="G40" s="13" t="n">
        <x:v>279</x:v>
      </x:c>
      <x:c r="H40" s="13" t="n">
        <x:v>3</x:v>
      </x:c>
      <x:c r="I40" s="13" t="n">
        <x:v>0</x:v>
      </x:c>
      <x:c r="J40" s="13" t="n">
        <x:v>373240.46</x:v>
      </x:c>
      <x:c r="K40" s="13" t="n">
        <x:v>373240.46</x:v>
      </x:c>
      <x:c r="L40" s="13" t="n">
        <x:v>54</x:v>
      </x:c>
      <x:c r="M40" s="13" t="n">
        <x:v>0.010638297872340425</x:v>
      </x:c>
      <x:c r="N40" s="13" t="n">
        <x:v>0</x:v>
      </x:c>
      <x:c r="O40" s="13" t="n">
        <x:v>0.09624242434509829</x:v>
      </x:c>
      <x:c r="P40" s="13" t="n">
        <x:v>0.1777138523513769</x:v>
      </x:c>
      <x:c r="Q40" s="13" t="n">
        <x:v>12040.014838709678</x:v>
      </x:c>
      <x:c r="R40" s="13" t="n">
        <x:v>1.9318154177303237</x:v>
      </x:c>
      <x:c r="S40" s="13" t="n">
        <x:v>0.08972878570023525</x:v>
      </x:c>
      <x:c r="T40" s="13" t="n">
        <x:v>26</x:v>
      </x:c>
      <x:c r="U40" s="13" t="n">
        <x:v>264</x:v>
      </x:c>
      <x:c r="V40" s="13" t="n">
        <x:v>236</x:v>
      </x:c>
      <x:c r="W40" s="13" t="n">
        <x:v>28</x:v>
      </x:c>
      <x:c r="X40" s="13" t="n">
        <x:v>6</x:v>
      </x:c>
      <x:c r="Y40" s="13" t="n">
        <x:v>32917476.68</x:v>
      </x:c>
      <x:c r="Z40" s="13" t="n">
        <x:v>33730256.68</x:v>
      </x:c>
      <x:c r="AA40" s="13" t="n">
        <x:v>2</x:v>
      </x:c>
      <x:c r="AB40" s="13" t="n">
        <x:v>0.10606060606060606</x:v>
      </x:c>
      <x:c r="AC40" s="13" t="n">
        <x:v>0.025423728813559324</x:v>
      </x:c>
      <x:c r="AD40" s="13" t="n">
        <x:v>0.9424639963004893</x:v>
      </x:c>
      <x:c r="AE40" s="13" t="n">
        <x:v>0.9703530569160199</x:v>
      </x:c>
      <x:c r="AF40" s="13" t="n">
        <x:v>1219165.802962963</x:v>
      </x:c>
      <x:c r="AG40" s="13" t="n">
        <x:v>1.145083766856515</x:v>
      </x:c>
      <x:c r="AH40" s="13" t="n">
        <x:v>0.0048715134950049685</x:v>
      </x:c>
      <x:c r="AI40" s="13" t="n">
        <x:v>24</x:v>
      </x:c>
      <x:c r="AJ40" s="13" t="n">
        <x:v>32544236.22</x:v>
      </x:c>
      <x:c r="AK40" s="13" t="n">
        <x:v>0.011065449739708296</x:v>
      </x:c>
      <x:c r="AL40" s="13" t="n">
        <x:v>0.056776556776556776</x:v>
      </x:c>
      <x:c r="AM40" s="13" t="n">
        <x:v>0.011650485436893204</x:v>
      </x:c>
      <x:c r="AN40" s="13" t="n">
        <x:v>0.5193532103227938</x:v>
      </x:c>
      <x:c r="AO40" s="13" t="n">
        <x:v>1.5384495922934194</x:v>
      </x:c>
      <x:c r="AP40" s="13" t="n">
        <x:v>0.047300149597620106</x:v>
      </x:c>
    </x:row>
    <x:row r="41" ht="15" hidden="0" customHeight="1">
      <x:c r="A41" s="2" t="str">
        <x:v>E40</x:v>
      </x:c>
      <x:c r="B41" s="2" t="str">
        <x:v>***财税咨询服务有限公司</x:v>
      </x:c>
      <x:c r="C41" s="2" t="str">
        <x:v>有信贷记录</x:v>
      </x:c>
      <x:c r="D41" s="2" t="str">
        <x:v>C</x:v>
      </x:c>
      <x:c r="E41" s="2" t="str">
        <x:v>否</x:v>
      </x:c>
      <x:c r="F41" s="13" t="n">
        <x:v>3148</x:v>
      </x:c>
      <x:c r="G41" s="13" t="n">
        <x:v>3068</x:v>
      </x:c>
      <x:c r="H41" s="13" t="n">
        <x:v>80</x:v>
      </x:c>
      <x:c r="I41" s="13" t="n">
        <x:v>34</x:v>
      </x:c>
      <x:c r="J41" s="13" t="n">
        <x:v>4486335.359999999</x:v>
      </x:c>
      <x:c r="K41" s="13" t="n">
        <x:v>4550063.44</x:v>
      </x:c>
      <x:c r="L41" s="13" t="n">
        <x:v>801</x:v>
      </x:c>
      <x:c r="M41" s="13" t="n">
        <x:v>0.025412960609911054</x:v>
      </x:c>
      <x:c r="N41" s="13" t="n">
        <x:v>0.01108213820078227</x:v>
      </x:c>
      <x:c r="O41" s="13" t="n">
        <x:v>0.02142782098188911</x:v>
      </x:c>
      <x:c r="P41" s="13" t="n">
        <x:v>0.07736155872147575</x:v>
      </x:c>
      <x:c r="Q41" s="13" t="n">
        <x:v>131951.04</x:v>
      </x:c>
      <x:c r="R41" s="13" t="n">
        <x:v>1.0597704396105836</x:v>
      </x:c>
      <x:c r="S41" s="13" t="n">
        <x:v>0.0321365874840038</x:v>
      </x:c>
      <x:c r="T41" s="13" t="n">
        <x:v>34</x:v>
      </x:c>
      <x:c r="U41" s="13" t="n">
        <x:v>883</x:v>
      </x:c>
      <x:c r="V41" s="13" t="n">
        <x:v>800</x:v>
      </x:c>
      <x:c r="W41" s="13" t="n">
        <x:v>83</x:v>
      </x:c>
      <x:c r="X41" s="13" t="n">
        <x:v>42</x:v>
      </x:c>
      <x:c r="Y41" s="13" t="n">
        <x:v>34507751.31</x:v>
      </x:c>
      <x:c r="Z41" s="13" t="n">
        <x:v>40064199.31</x:v>
      </x:c>
      <x:c r="AA41" s="13" t="n">
        <x:v>535</x:v>
      </x:c>
      <x:c r="AB41" s="13" t="n">
        <x:v>0.09399773499433749</x:v>
      </x:c>
      <x:c r="AC41" s="13" t="n">
        <x:v>0.0525</x:v>
      </x:c>
      <x:c r="AD41" s="13" t="n">
        <x:v>0.013285559996180111</x:v>
      </x:c>
      <x:c r="AE41" s="13" t="n">
        <x:v>0.08142356658019531</x:v>
      </x:c>
      <x:c r="AF41" s="13" t="n">
        <x:v>985935.7517142858</x:v>
      </x:c>
      <x:c r="AG41" s="13" t="n">
        <x:v>1.1294170193809008</x:v>
      </x:c>
      <x:c r="AH41" s="13" t="n">
        <x:v>0.05791019255607395</x:v>
      </x:c>
      <x:c r="AI41" s="13" t="n">
        <x:v>35</x:v>
      </x:c>
      <x:c r="AJ41" s="13" t="n">
        <x:v>30021415.950000003</x:v>
      </x:c>
      <x:c r="AK41" s="13" t="n">
        <x:v>0.11356930921777605</x:v>
      </x:c>
      <x:c r="AL41" s="13" t="n">
        <x:v>0.04043661622426197</x:v>
      </x:c>
      <x:c r="AM41" s="13" t="n">
        <x:v>0.01964839710444674</x:v>
      </x:c>
      <x:c r="AN41" s="13" t="n">
        <x:v>0.026697377740847485</x:v>
      </x:c>
      <x:c r="AO41" s="13" t="n">
        <x:v>1.0945937294957422</x:v>
      </x:c>
      <x:c r="AP41" s="13" t="n">
        <x:v>0.04502339002003887</x:v>
      </x:c>
    </x:row>
    <x:row r="42" ht="15" hidden="0" customHeight="1">
      <x:c r="A42" s="2" t="str">
        <x:v>E41</x:v>
      </x:c>
      <x:c r="B42" s="2" t="str">
        <x:v>***物业发展有限公司</x:v>
      </x:c>
      <x:c r="C42" s="2" t="str">
        <x:v>有信贷记录</x:v>
      </x:c>
      <x:c r="D42" s="2" t="str">
        <x:v>C</x:v>
      </x:c>
      <x:c r="E42" s="2" t="str">
        <x:v>否</x:v>
      </x:c>
      <x:c r="F42" s="13" t="n">
        <x:v>2033</x:v>
      </x:c>
      <x:c r="G42" s="13" t="n">
        <x:v>1968</x:v>
      </x:c>
      <x:c r="H42" s="13" t="n">
        <x:v>65</x:v>
      </x:c>
      <x:c r="I42" s="13" t="n">
        <x:v>13</x:v>
      </x:c>
      <x:c r="J42" s="13" t="n">
        <x:v>5388727.33</x:v>
      </x:c>
      <x:c r="K42" s="13" t="n">
        <x:v>5672415.33</x:v>
      </x:c>
      <x:c r="L42" s="13" t="n">
        <x:v>486</x:v>
      </x:c>
      <x:c r="M42" s="13" t="n">
        <x:v>0.031972454500737824</x:v>
      </x:c>
      <x:c r="N42" s="13" t="n">
        <x:v>0.0066056910569105695</x:v>
      </x:c>
      <x:c r="O42" s="13" t="n">
        <x:v>0.028753404953953555</x:v>
      </x:c>
      <x:c r="P42" s="13" t="n">
        <x:v>0.09878236648796307</x:v>
      </x:c>
      <x:c r="Q42" s="13" t="n">
        <x:v>153963.63800000004</x:v>
      </x:c>
      <x:c r="R42" s="13" t="n">
        <x:v>0.8521157707009113</x:v>
      </x:c>
      <x:c r="S42" s="13" t="n">
        <x:v>0.0485244483651448</x:v>
      </x:c>
      <x:c r="T42" s="13" t="n">
        <x:v>34</x:v>
      </x:c>
      <x:c r="U42" s="13" t="n">
        <x:v>663</x:v>
      </x:c>
      <x:c r="V42" s="13" t="n">
        <x:v>605</x:v>
      </x:c>
      <x:c r="W42" s="13" t="n">
        <x:v>58</x:v>
      </x:c>
      <x:c r="X42" s="13" t="n">
        <x:v>18</x:v>
      </x:c>
      <x:c r="Y42" s="13" t="n">
        <x:v>33332217.83</x:v>
      </x:c>
      <x:c r="Z42" s="13" t="n">
        <x:v>35706679.89</x:v>
      </x:c>
      <x:c r="AA42" s="13" t="n">
        <x:v>13</x:v>
      </x:c>
      <x:c r="AB42" s="13" t="n">
        <x:v>0.08748114630467571</x:v>
      </x:c>
      <x:c r="AC42" s="13" t="n">
        <x:v>0.02975206611570248</x:v>
      </x:c>
      <x:c r="AD42" s="13" t="n">
        <x:v>0.33529756149687356</x:v>
      </x:c>
      <x:c r="AE42" s="13" t="n">
        <x:v>0.5384763290575432</x:v>
      </x:c>
      <x:c r="AF42" s="13" t="n">
        <x:v>877163.6271052631</x:v>
      </x:c>
      <x:c r="AG42" s="13" t="n">
        <x:v>0.8004247035687851</x:v>
      </x:c>
      <x:c r="AH42" s="13" t="n">
        <x:v>0.05456224340078603</x:v>
      </x:c>
      <x:c r="AI42" s="13" t="n">
        <x:v>38</x:v>
      </x:c>
      <x:c r="AJ42" s="13" t="n">
        <x:v>27943490.5</x:v>
      </x:c>
      <x:c r="AK42" s="13" t="n">
        <x:v>0.1588614608659993</x:v>
      </x:c>
      <x:c r="AL42" s="13" t="n">
        <x:v>0.04562314540059347</x:v>
      </x:c>
      <x:c r="AM42" s="13" t="n">
        <x:v>0.012048192771084338</x:v>
      </x:c>
      <x:c r="AN42" s="13" t="n">
        <x:v>0.18202548322541356</x:v>
      </x:c>
      <x:c r="AO42" s="13" t="n">
        <x:v>0.8262702371348483</x:v>
      </x:c>
      <x:c r="AP42" s="13" t="n">
        <x:v>0.05154334588296541</x:v>
      </x:c>
    </x:row>
    <x:row r="43" ht="15" hidden="0" customHeight="1">
      <x:c r="A43" s="2" t="str">
        <x:v>E42</x:v>
      </x:c>
      <x:c r="B43" s="2" t="str">
        <x:v>***园艺场</x:v>
      </x:c>
      <x:c r="C43" s="2" t="str">
        <x:v>有信贷记录</x:v>
      </x:c>
      <x:c r="D43" s="2" t="str">
        <x:v>A</x:v>
      </x:c>
      <x:c r="E43" s="2" t="str">
        <x:v>否</x:v>
      </x:c>
      <x:c r="F43" s="13" t="n">
        <x:v>47</x:v>
      </x:c>
      <x:c r="G43" s="13" t="n">
        <x:v>47</x:v>
      </x:c>
      <x:c r="H43" s="13" t="n">
        <x:v>0</x:v>
      </x:c>
      <x:c r="I43" s="13" t="n">
        <x:v>0</x:v>
      </x:c>
      <x:c r="J43" s="13" t="n">
        <x:v>11769</x:v>
      </x:c>
      <x:c r="K43" s="13" t="n">
        <x:v>11769</x:v>
      </x:c>
      <x:c r="L43" s="13" t="n">
        <x:v>7</x:v>
      </x:c>
      <x:c r="M43" s="13" t="n">
        <x:v>0</x:v>
      </x:c>
      <x:c r="N43" s="13" t="n">
        <x:v>0</x:v>
      </x:c>
      <x:c r="O43" s="13" t="n">
        <x:v>0.6314892103213153</x:v>
      </x:c>
      <x:c r="P43" s="13" t="n">
        <x:v>0.7849434956240972</x:v>
      </x:c>
      <x:c r="Q43" s="13" t="n">
        <x:v>435.8888888888889</x:v>
      </x:c>
      <x:c r="R43" s="13" t="n">
        <x:v>2.2565804651917953</x:v>
      </x:c>
      <x:c r="S43" s="13" t="n">
        <x:v>0.15599605594471672</x:v>
      </x:c>
      <x:c r="T43" s="13" t="n">
        <x:v>7</x:v>
      </x:c>
      <x:c r="U43" s="13" t="n">
        <x:v>327</x:v>
      </x:c>
      <x:c r="V43" s="13" t="n">
        <x:v>294</x:v>
      </x:c>
      <x:c r="W43" s="13" t="n">
        <x:v>33</x:v>
      </x:c>
      <x:c r="X43" s="13" t="n">
        <x:v>6</x:v>
      </x:c>
      <x:c r="Y43" s="13" t="n">
        <x:v>26235453.61</x:v>
      </x:c>
      <x:c r="Z43" s="13" t="n">
        <x:v>27390653.61</x:v>
      </x:c>
      <x:c r="AA43" s="13" t="n">
        <x:v>28</x:v>
      </x:c>
      <x:c r="AB43" s="13" t="n">
        <x:v>0.10091743119266056</x:v>
      </x:c>
      <x:c r="AC43" s="13" t="n">
        <x:v>0.02040816326530612</x:v>
      </x:c>
      <x:c r="AD43" s="13" t="n">
        <x:v>0.0810005022865488</x:v>
      </x:c>
      <x:c r="AE43" s="13" t="n">
        <x:v>0.15369671859393064</x:v>
      </x:c>
      <x:c r="AF43" s="13" t="n">
        <x:v>936980.4860714285</x:v>
      </x:c>
      <x:c r="AG43" s="13" t="n">
        <x:v>1.2532082784095797</x:v>
      </x:c>
      <x:c r="AH43" s="13" t="n">
        <x:v>0.06509715093309087</x:v>
      </x:c>
      <x:c r="AI43" s="13" t="n">
        <x:v>19</x:v>
      </x:c>
      <x:c r="AJ43" s="13" t="n">
        <x:v>26223684.61</x:v>
      </x:c>
      <x:c r="AK43" s="13" t="n">
        <x:v>0.00042967211252320313</x:v>
      </x:c>
      <x:c r="AL43" s="13" t="n">
        <x:v>0.08823529411764706</x:v>
      </x:c>
      <x:c r="AM43" s="13" t="n">
        <x:v>0.017595307917888565</x:v>
      </x:c>
      <x:c r="AN43" s="13" t="n">
        <x:v>0.35624485630393204</x:v>
      </x:c>
      <x:c r="AO43" s="13" t="n">
        <x:v>1.7548943718006875</x:v>
      </x:c>
      <x:c r="AP43" s="13" t="n">
        <x:v>0.1105466034389038</x:v>
      </x:c>
    </x:row>
    <x:row r="44" ht="15" hidden="0" customHeight="1">
      <x:c r="A44" s="2" t="str">
        <x:v>E43</x:v>
      </x:c>
      <x:c r="B44" s="2" t="str">
        <x:v>***建设工程有限公司</x:v>
      </x:c>
      <x:c r="C44" s="2" t="str">
        <x:v>有信贷记录</x:v>
      </x:c>
      <x:c r="D44" s="2" t="str">
        <x:v>B</x:v>
      </x:c>
      <x:c r="E44" s="2" t="str">
        <x:v>否</x:v>
      </x:c>
      <x:c r="F44" s="13" t="n">
        <x:v>78</x:v>
      </x:c>
      <x:c r="G44" s="13" t="n">
        <x:v>68</x:v>
      </x:c>
      <x:c r="H44" s="13" t="n">
        <x:v>10</x:v>
      </x:c>
      <x:c r="I44" s="13" t="n">
        <x:v>10</x:v>
      </x:c>
      <x:c r="J44" s="13" t="n">
        <x:v>3896529.75</x:v>
      </x:c>
      <x:c r="K44" s="13" t="n">
        <x:v>4025661.81</x:v>
      </x:c>
      <x:c r="L44" s="13" t="n">
        <x:v>19</x:v>
      </x:c>
      <x:c r="M44" s="13" t="n">
        <x:v>0.1274358974358974</x:v>
      </x:c>
      <x:c r="N44" s="13" t="n">
        <x:v>0.04853794642857142</x:v>
      </x:c>
      <x:c r="O44" s="13" t="n">
        <x:v>0.26669958706280933</x:v>
      </x:c>
      <x:c r="P44" s="13" t="n">
        <x:v>0.3651573503637157</x:v>
      </x:c>
      <x:c r="Q44" s="13" t="n">
        <x:v>169414.33695652173</x:v>
      </x:c>
      <x:c r="R44" s="13" t="n">
        <x:v>2.4199606354747054</x:v>
      </x:c>
      <x:c r="S44" s="13" t="n">
        <x:v>-0.0001790398471637507</x:v>
      </x:c>
      <x:c r="T44" s="13" t="n">
        <x:v>13</x:v>
      </x:c>
      <x:c r="U44" s="13" t="n">
        <x:v>245</x:v>
      </x:c>
      <x:c r="V44" s="13" t="n">
        <x:v>214</x:v>
      </x:c>
      <x:c r="W44" s="13" t="n">
        <x:v>31</x:v>
      </x:c>
      <x:c r="X44" s="13" t="n">
        <x:v>5</x:v>
      </x:c>
      <x:c r="Y44" s="13" t="n">
        <x:v>19715447.14</x:v>
      </x:c>
      <x:c r="Z44" s="13" t="n">
        <x:v>20641819.74</x:v>
      </x:c>
      <x:c r="AA44" s="13" t="n">
        <x:v>6</x:v>
      </x:c>
      <x:c r="AB44" s="13" t="n">
        <x:v>0.12653061224489795</x:v>
      </x:c>
      <x:c r="AC44" s="13" t="n">
        <x:v>0.02336448598130841</x:v>
      </x:c>
      <x:c r="AD44" s="13" t="n">
        <x:v>0.4268106697989614</x:v>
      </x:c>
      <x:c r="AE44" s="13" t="n">
        <x:v>0.6055667648224506</x:v>
      </x:c>
      <x:c r="AF44" s="13" t="n">
        <x:v>1314363.1426666668</x:v>
      </x:c>
      <x:c r="AG44" s="13" t="n">
        <x:v>0.553011619447312</x:v>
      </x:c>
      <x:c r="AH44" s="13" t="n">
        <x:v>0.02487913236885091</x:v>
      </x:c>
      <x:c r="AI44" s="13" t="n">
        <x:v>13</x:v>
      </x:c>
      <x:c r="AJ44" s="13" t="n">
        <x:v>15818917.39</x:v>
      </x:c>
      <x:c r="AK44" s="13" t="n">
        <x:v>0.1950245598840793</x:v>
      </x:c>
      <x:c r="AL44" s="13" t="n">
        <x:v>0.12693498452012383</x:v>
      </x:c>
      <x:c r="AM44" s="13" t="n">
        <x:v>0.05319148936170213</x:v>
      </x:c>
      <x:c r="AN44" s="13" t="n">
        <x:v>0.34675512843088535</x:v>
      </x:c>
      <x:c r="AO44" s="13" t="n">
        <x:v>1.4864861274610086</x:v>
      </x:c>
      <x:c r="AP44" s="13" t="n">
        <x:v>0.01235004626084358</x:v>
      </x:c>
    </x:row>
    <x:row r="45" ht="15" hidden="0" customHeight="1">
      <x:c r="A45" s="2" t="str">
        <x:v>E44</x:v>
      </x:c>
      <x:c r="B45" s="2" t="str">
        <x:v>***商贸有限公司</x:v>
      </x:c>
      <x:c r="C45" s="2" t="str">
        <x:v>有信贷记录</x:v>
      </x:c>
      <x:c r="D45" s="2" t="str">
        <x:v>C</x:v>
      </x:c>
      <x:c r="E45" s="2" t="str">
        <x:v>否</x:v>
      </x:c>
      <x:c r="F45" s="13" t="n">
        <x:v>1248</x:v>
      </x:c>
      <x:c r="G45" s="13" t="n">
        <x:v>1222</x:v>
      </x:c>
      <x:c r="H45" s="13" t="n">
        <x:v>26</x:v>
      </x:c>
      <x:c r="I45" s="13" t="n">
        <x:v>2</x:v>
      </x:c>
      <x:c r="J45" s="13" t="n">
        <x:v>34381631.3</x:v>
      </x:c>
      <x:c r="K45" s="13" t="n">
        <x:v>34587747.3</x:v>
      </x:c>
      <x:c r="L45" s="13" t="n">
        <x:v>211</x:v>
      </x:c>
      <x:c r="M45" s="13" t="n">
        <x:v>0.020833333333333332</x:v>
      </x:c>
      <x:c r="N45" s="13" t="n">
        <x:v>0.0016366612111292963</x:v>
      </x:c>
      <x:c r="O45" s="13" t="n">
        <x:v>0.05306251184683225</x:v>
      </x:c>
      <x:c r="P45" s="13" t="n">
        <x:v>0.12394959442761976</x:v>
      </x:c>
      <x:c r="Q45" s="13" t="n">
        <x:v>929233.2783783783</x:v>
      </x:c>
      <x:c r="R45" s="13" t="n">
        <x:v>0.7472583473652226</x:v>
      </x:c>
      <x:c r="S45" s="13" t="n">
        <x:v>0.03758344420321166</x:v>
      </x:c>
      <x:c r="T45" s="13" t="n">
        <x:v>37</x:v>
      </x:c>
      <x:c r="U45" s="13" t="n">
        <x:v>2435</x:v>
      </x:c>
      <x:c r="V45" s="13" t="n">
        <x:v>2242</x:v>
      </x:c>
      <x:c r="W45" s="13" t="n">
        <x:v>193</x:v>
      </x:c>
      <x:c r="X45" s="13" t="n">
        <x:v>56</x:v>
      </x:c>
      <x:c r="Y45" s="13" t="n">
        <x:v>37740524.4</x:v>
      </x:c>
      <x:c r="Z45" s="13" t="n">
        <x:v>38757598.86</x:v>
      </x:c>
      <x:c r="AA45" s="13" t="n">
        <x:v>33</x:v>
      </x:c>
      <x:c r="AB45" s="13" t="n">
        <x:v>0.07926078028747434</x:v>
      </x:c>
      <x:c r="AC45" s="13" t="n">
        <x:v>0.024977698483496878</x:v>
      </x:c>
      <x:c r="AD45" s="13" t="n">
        <x:v>0.35187462095341265</x:v>
      </x:c>
      <x:c r="AE45" s="13" t="n">
        <x:v>0.5086051713679355</x:v>
      </x:c>
      <x:c r="AF45" s="13" t="n">
        <x:v>1020014.172972973</x:v>
      </x:c>
      <x:c r="AG45" s="13" t="n">
        <x:v>0.7047895245283775</x:v>
      </x:c>
      <x:c r="AH45" s="13" t="n">
        <x:v>0.03590958244259107</x:v>
      </x:c>
      <x:c r="AI45" s="13" t="n">
        <x:v>37</x:v>
      </x:c>
      <x:c r="AJ45" s="13" t="n">
        <x:v>3358893.1000000015</x:v>
      </x:c>
      <x:c r="AK45" s="13" t="n">
        <x:v>0.8924120254440344</x:v>
      </x:c>
      <x:c r="AL45" s="13" t="n">
        <x:v>0.05946239478685854</x:v>
      </x:c>
      <x:c r="AM45" s="13" t="n">
        <x:v>0.01674364896073903</x:v>
      </x:c>
      <x:c r="AN45" s="13" t="n">
        <x:v>0.20246856640012245</x:v>
      </x:c>
      <x:c r="AO45" s="13" t="n">
        <x:v>0.7260239359468</x:v>
      </x:c>
      <x:c r="AP45" s="13" t="n">
        <x:v>0.03674651332290137</x:v>
      </x:c>
    </x:row>
    <x:row r="46" ht="15" hidden="0" customHeight="1">
      <x:c r="A46" s="2" t="str">
        <x:v>E45</x:v>
      </x:c>
      <x:c r="B46" s="2" t="str">
        <x:v>个体经营E45</x:v>
      </x:c>
      <x:c r="C46" s="2" t="str">
        <x:v>有信贷记录</x:v>
      </x:c>
      <x:c r="D46" s="2" t="str">
        <x:v>B</x:v>
      </x:c>
      <x:c r="E46" s="2" t="str">
        <x:v>是</x:v>
      </x:c>
      <x:c r="F46" s="13" t="n">
        <x:v>600</x:v>
      </x:c>
      <x:c r="G46" s="13" t="n">
        <x:v>592</x:v>
      </x:c>
      <x:c r="H46" s="13" t="n">
        <x:v>8</x:v>
      </x:c>
      <x:c r="I46" s="13" t="n">
        <x:v>0</x:v>
      </x:c>
      <x:c r="J46" s="13" t="n">
        <x:v>26918289.2</x:v>
      </x:c>
      <x:c r="K46" s="13" t="n">
        <x:v>26918289.2</x:v>
      </x:c>
      <x:c r="L46" s="13" t="n">
        <x:v>114</x:v>
      </x:c>
      <x:c r="M46" s="13" t="n">
        <x:v>0.013333333333333334</x:v>
      </x:c>
      <x:c r="N46" s="13" t="n">
        <x:v>0</x:v>
      </x:c>
      <x:c r="O46" s="13" t="n">
        <x:v>0.4088922686082504</x:v>
      </x:c>
      <x:c r="P46" s="13" t="n">
        <x:v>0.6148577105709973</x:v>
      </x:c>
      <x:c r="Q46" s="13" t="n">
        <x:v>928216.8689655173</x:v>
      </x:c>
      <x:c r="R46" s="13" t="n">
        <x:v>1.207981670784306</x:v>
      </x:c>
      <x:c r="S46" s="13" t="n">
        <x:v>0.09332726881787534</x:v>
      </x:c>
      <x:c r="T46" s="13" t="n">
        <x:v>29</x:v>
      </x:c>
      <x:c r="U46" s="13" t="n">
        <x:v>325</x:v>
      </x:c>
      <x:c r="V46" s="13" t="n">
        <x:v>305</x:v>
      </x:c>
      <x:c r="W46" s="13" t="n">
        <x:v>20</x:v>
      </x:c>
      <x:c r="X46" s="13" t="n">
        <x:v>7</x:v>
      </x:c>
      <x:c r="Y46" s="13" t="n">
        <x:v>27925863.82</x:v>
      </x:c>
      <x:c r="Z46" s="13" t="n">
        <x:v>29129501.82</x:v>
      </x:c>
      <x:c r="AA46" s="13" t="n">
        <x:v>64</x:v>
      </x:c>
      <x:c r="AB46" s="13" t="n">
        <x:v>0.06153846153846154</x:v>
      </x:c>
      <x:c r="AC46" s="13" t="n">
        <x:v>0.022950819672131147</x:v>
      </x:c>
      <x:c r="AD46" s="13" t="n">
        <x:v>0.10662544988134066</x:v>
      </x:c>
      <x:c r="AE46" s="13" t="n">
        <x:v>0.2704036975528337</x:v>
      </x:c>
      <x:c r="AF46" s="13" t="n">
        <x:v>1117034.5528</x:v>
      </x:c>
      <x:c r="AG46" s="13" t="n">
        <x:v>1.0889113136948454</x:v>
      </x:c>
      <x:c r="AH46" s="13" t="n">
        <x:v>0.09429743941688987</x:v>
      </x:c>
      <x:c r="AI46" s="13" t="n">
        <x:v>22</x:v>
      </x:c>
      <x:c r="AJ46" s="13" t="n">
        <x:v>1007574.620000001</x:v>
      </x:c>
      <x:c r="AK46" s="13" t="n">
        <x:v>0.924090269937888</x:v>
      </x:c>
      <x:c r="AL46" s="13" t="n">
        <x:v>0.03027027027027027</x:v>
      </x:c>
      <x:c r="AM46" s="13" t="n">
        <x:v>0.007803790412486065</x:v>
      </x:c>
      <x:c r="AN46" s="13" t="n">
        <x:v>0.2577588592447955</x:v>
      </x:c>
      <x:c r="AO46" s="13" t="n">
        <x:v>1.1484464922395756</x:v>
      </x:c>
      <x:c r="AP46" s="13" t="n">
        <x:v>0.0938123541173826</x:v>
      </x:c>
    </x:row>
    <x:row r="47" ht="15" hidden="0" customHeight="1">
      <x:c r="A47" s="2" t="str">
        <x:v>E46</x:v>
      </x:c>
      <x:c r="B47" s="2" t="str">
        <x:v>***广告传媒有限公司</x:v>
      </x:c>
      <x:c r="C47" s="2" t="str">
        <x:v>有信贷记录</x:v>
      </x:c>
      <x:c r="D47" s="2" t="str">
        <x:v>C</x:v>
      </x:c>
      <x:c r="E47" s="2" t="str">
        <x:v>否</x:v>
      </x:c>
      <x:c r="F47" s="13" t="n">
        <x:v>2544</x:v>
      </x:c>
      <x:c r="G47" s="13" t="n">
        <x:v>2492</x:v>
      </x:c>
      <x:c r="H47" s="13" t="n">
        <x:v>52</x:v>
      </x:c>
      <x:c r="I47" s="13" t="n">
        <x:v>17</x:v>
      </x:c>
      <x:c r="J47" s="13" t="n">
        <x:v>52703543.41</x:v>
      </x:c>
      <x:c r="K47" s="13" t="n">
        <x:v>53617413.17</x:v>
      </x:c>
      <x:c r="L47" s="13" t="n">
        <x:v>441</x:v>
      </x:c>
      <x:c r="M47" s="13" t="n">
        <x:v>0.020440251572327043</x:v>
      </x:c>
      <x:c r="N47" s="13" t="n">
        <x:v>0.006821829855537721</x:v>
      </x:c>
      <x:c r="O47" s="13" t="n">
        <x:v>0.07798738016697833</x:v>
      </x:c>
      <x:c r="P47" s="13" t="n">
        <x:v>0.16544589668796958</x:v>
      </x:c>
      <x:c r="Q47" s="13" t="n">
        <x:v>1424420.0921621618</x:v>
      </x:c>
      <x:c r="R47" s="13" t="n">
        <x:v>0.5474675279828504</x:v>
      </x:c>
      <x:c r="S47" s="13" t="n">
        <x:v>0.002334304832135613</x:v>
      </x:c>
      <x:c r="T47" s="13" t="n">
        <x:v>37</x:v>
      </x:c>
      <x:c r="U47" s="13" t="n">
        <x:v>974</x:v>
      </x:c>
      <x:c r="V47" s="13" t="n">
        <x:v>889</x:v>
      </x:c>
      <x:c r="W47" s="13" t="n">
        <x:v>85</x:v>
      </x:c>
      <x:c r="X47" s="13" t="n">
        <x:v>36</x:v>
      </x:c>
      <x:c r="Y47" s="13" t="n">
        <x:v>62111842.82</x:v>
      </x:c>
      <x:c r="Z47" s="13" t="n">
        <x:v>67377862.82</x:v>
      </x:c>
      <x:c r="AA47" s="13" t="n">
        <x:v>148</x:v>
      </x:c>
      <x:c r="AB47" s="13" t="n">
        <x:v>0.08726899383983573</x:v>
      </x:c>
      <x:c r="AC47" s="13" t="n">
        <x:v>0.04049493813273341</x:v>
      </x:c>
      <x:c r="AD47" s="13" t="n">
        <x:v>0.04885346017546</x:v>
      </x:c>
      <x:c r="AE47" s="13" t="n">
        <x:v>0.1643716427988655</x:v>
      </x:c>
      <x:c r="AF47" s="13" t="n">
        <x:v>1678698.4545945947</x:v>
      </x:c>
      <x:c r="AG47" s="13" t="n">
        <x:v>0.5768256997934345</x:v>
      </x:c>
      <x:c r="AH47" s="13" t="n">
        <x:v>-0.0063049277246442</x:v>
      </x:c>
      <x:c r="AI47" s="13" t="n">
        <x:v>37</x:v>
      </x:c>
      <x:c r="AJ47" s="13" t="n">
        <x:v>9408299.410000004</x:v>
      </x:c>
      <x:c r="AK47" s="13" t="n">
        <x:v>0.7957719483213493</x:v>
      </x:c>
      <x:c r="AL47" s="13" t="n">
        <x:v>0.0389425810119386</x:v>
      </x:c>
      <x:c r="AM47" s="13" t="n">
        <x:v>0.01567583555161195</x:v>
      </x:c>
      <x:c r="AN47" s="13" t="n">
        <x:v>0.06342042017121917</x:v>
      </x:c>
      <x:c r="AO47" s="13" t="n">
        <x:v>0.5621466138881424</x:v>
      </x:c>
      <x:c r="AP47" s="13" t="n">
        <x:v>-0.001985311446254293</x:v>
      </x:c>
    </x:row>
    <x:row r="48" ht="15" hidden="0" customHeight="1">
      <x:c r="A48" s="2" t="str">
        <x:v>E47</x:v>
      </x:c>
      <x:c r="B48" s="2" t="str">
        <x:v>***控制设备有限责任公司</x:v>
      </x:c>
      <x:c r="C48" s="2" t="str">
        <x:v>有信贷记录</x:v>
      </x:c>
      <x:c r="D48" s="2" t="str">
        <x:v>C</x:v>
      </x:c>
      <x:c r="E48" s="2" t="str">
        <x:v>否</x:v>
      </x:c>
      <x:c r="F48" s="13" t="n">
        <x:v>2905</x:v>
      </x:c>
      <x:c r="G48" s="13" t="n">
        <x:v>2811</x:v>
      </x:c>
      <x:c r="H48" s="13" t="n">
        <x:v>94</x:v>
      </x:c>
      <x:c r="I48" s="13" t="n">
        <x:v>11</x:v>
      </x:c>
      <x:c r="J48" s="13" t="n">
        <x:v>47929854.870000005</x:v>
      </x:c>
      <x:c r="K48" s="13" t="n">
        <x:v>48140974.03</x:v>
      </x:c>
      <x:c r="L48" s="13" t="n">
        <x:v>375</x:v>
      </x:c>
      <x:c r="M48" s="13" t="n">
        <x:v>0.03235800344234079</x:v>
      </x:c>
      <x:c r="N48" s="13" t="n">
        <x:v>0.003913198150124511</x:v>
      </x:c>
      <x:c r="O48" s="13" t="n">
        <x:v>0.1558440621812283</x:v>
      </x:c>
      <x:c r="P48" s="13" t="n">
        <x:v>0.3644926357132953</x:v>
      </x:c>
      <x:c r="Q48" s="13" t="n">
        <x:v>1295401.4829729728</x:v>
      </x:c>
      <x:c r="R48" s="13" t="n">
        <x:v>0.3300239898223691</x:v>
      </x:c>
      <x:c r="S48" s="13" t="n">
        <x:v>-0.017134483584786767</x:v>
      </x:c>
      <x:c r="T48" s="13" t="n">
        <x:v>37</x:v>
      </x:c>
      <x:c r="U48" s="13" t="n">
        <x:v>3518</x:v>
      </x:c>
      <x:c r="V48" s="13" t="n">
        <x:v>3356</x:v>
      </x:c>
      <x:c r="W48" s="13" t="n">
        <x:v>162</x:v>
      </x:c>
      <x:c r="X48" s="13" t="n">
        <x:v>20</x:v>
      </x:c>
      <x:c r="Y48" s="13" t="n">
        <x:v>57588277.629999995</x:v>
      </x:c>
      <x:c r="Z48" s="13" t="n">
        <x:v>58452972.39</x:v>
      </x:c>
      <x:c r="AA48" s="13" t="n">
        <x:v>767</x:v>
      </x:c>
      <x:c r="AB48" s="13" t="n">
        <x:v>0.04604889141557703</x:v>
      </x:c>
      <x:c r="AC48" s="13" t="n">
        <x:v>0.0059594755661501785</x:v>
      </x:c>
      <x:c r="AD48" s="13" t="n">
        <x:v>0.019772916894955465</x:v>
      </x:c>
      <x:c r="AE48" s="13" t="n">
        <x:v>0.06597450638215525</x:v>
      </x:c>
      <x:c r="AF48" s="13" t="n">
        <x:v>1556439.9359459458</x:v>
      </x:c>
      <x:c r="AG48" s="13" t="n">
        <x:v>0.3680909984174487</x:v>
      </x:c>
      <x:c r="AH48" s="13" t="n">
        <x:v>-0.016820212634652453</x:v>
      </x:c>
      <x:c r="AI48" s="13" t="n">
        <x:v>37</x:v>
      </x:c>
      <x:c r="AJ48" s="13" t="n">
        <x:v>9658422.75999999</x:v>
      </x:c>
      <x:c r="AK48" s="13" t="n">
        <x:v>0.8235847051335895</x:v>
      </x:c>
      <x:c r="AL48" s="13" t="n">
        <x:v>0.03985676475167367</x:v>
      </x:c>
      <x:c r="AM48" s="13" t="n">
        <x:v>0.005026755310523755</x:v>
      </x:c>
      <x:c r="AN48" s="13" t="n">
        <x:v>0.08780848953809188</x:v>
      </x:c>
      <x:c r="AO48" s="13" t="n">
        <x:v>0.35185067339818643</x:v>
      </x:c>
      <x:c r="AP48" s="13" t="n">
        <x:v>-0.01697734810971961</x:v>
      </x:c>
    </x:row>
    <x:row r="49" ht="15" hidden="0" customHeight="1">
      <x:c r="A49" s="2" t="str">
        <x:v>E48</x:v>
      </x:c>
      <x:c r="B49" s="2" t="str">
        <x:v>***化工有限公司</x:v>
      </x:c>
      <x:c r="C49" s="2" t="str">
        <x:v>有信贷记录</x:v>
      </x:c>
      <x:c r="D49" s="2" t="str">
        <x:v>A</x:v>
      </x:c>
      <x:c r="E49" s="2" t="str">
        <x:v>否</x:v>
      </x:c>
      <x:c r="F49" s="13" t="n">
        <x:v>1235</x:v>
      </x:c>
      <x:c r="G49" s="13" t="n">
        <x:v>1210</x:v>
      </x:c>
      <x:c r="H49" s="13" t="n">
        <x:v>25</x:v>
      </x:c>
      <x:c r="I49" s="13" t="n">
        <x:v>5</x:v>
      </x:c>
      <x:c r="J49" s="13" t="n">
        <x:v>14377295.35</x:v>
      </x:c>
      <x:c r="K49" s="13" t="n">
        <x:v>14517913.35</x:v>
      </x:c>
      <x:c r="L49" s="13" t="n">
        <x:v>233</x:v>
      </x:c>
      <x:c r="M49" s="13" t="n">
        <x:v>0.020242914979757085</x:v>
      </x:c>
      <x:c r="N49" s="13" t="n">
        <x:v>0.004132231404958678</x:v>
      </x:c>
      <x:c r="O49" s="13" t="n">
        <x:v>0.13827332047336144</x:v>
      </x:c>
      <x:c r="P49" s="13" t="n">
        <x:v>0.33042429544463425</x:v>
      </x:c>
      <x:c r="Q49" s="13" t="n">
        <x:v>378349.87763157894</x:v>
      </x:c>
      <x:c r="R49" s="13" t="n">
        <x:v>0.9676758114956664</x:v>
      </x:c>
      <x:c r="S49" s="13" t="n">
        <x:v>0.056767866102081226</x:v>
      </x:c>
      <x:c r="T49" s="13" t="n">
        <x:v>38</x:v>
      </x:c>
      <x:c r="U49" s="13" t="n">
        <x:v>513</x:v>
      </x:c>
      <x:c r="V49" s="13" t="n">
        <x:v>484</x:v>
      </x:c>
      <x:c r="W49" s="13" t="n">
        <x:v>29</x:v>
      </x:c>
      <x:c r="X49" s="13" t="n">
        <x:v>3</x:v>
      </x:c>
      <x:c r="Y49" s="13" t="n">
        <x:v>28922248.75</x:v>
      </x:c>
      <x:c r="Z49" s="13" t="n">
        <x:v>29005118.75</x:v>
      </x:c>
      <x:c r="AA49" s="13" t="n">
        <x:v>59</x:v>
      </x:c>
      <x:c r="AB49" s="13" t="n">
        <x:v>0.056530214424951264</x:v>
      </x:c>
      <x:c r="AC49" s="13" t="n">
        <x:v>0.006198347107438017</x:v>
      </x:c>
      <x:c r="AD49" s="13" t="n">
        <x:v>0.06270623950418232</x:v>
      </x:c>
      <x:c r="AE49" s="13" t="n">
        <x:v>0.16634586265915563</x:v>
      </x:c>
      <x:c r="AF49" s="13" t="n">
        <x:v>781682.3986486486</x:v>
      </x:c>
      <x:c r="AG49" s="13" t="n">
        <x:v>0.7308867202250106</x:v>
      </x:c>
      <x:c r="AH49" s="13" t="n">
        <x:v>0.06019318926514845</x:v>
      </x:c>
      <x:c r="AI49" s="13" t="n">
        <x:v>36</x:v>
      </x:c>
      <x:c r="AJ49" s="13" t="n">
        <x:v>14544953.4</x:v>
      </x:c>
      <x:c r="AK49" s="13" t="n">
        <x:v>0.5005293539782525</x:v>
      </x:c>
      <x:c r="AL49" s="13" t="n">
        <x:v>0.030892448512585814</x:v>
      </x:c>
      <x:c r="AM49" s="13" t="n">
        <x:v>0.004722550177095631</x:v>
      </x:c>
      <x:c r="AN49" s="13" t="n">
        <x:v>0.10048977998877187</x:v>
      </x:c>
      <x:c r="AO49" s="13" t="n">
        <x:v>0.8492812658603385</x:v>
      </x:c>
      <x:c r="AP49" s="13" t="n">
        <x:v>0.058480527683614836</x:v>
      </x:c>
    </x:row>
    <x:row r="50" ht="15" hidden="0" customHeight="1">
      <x:c r="A50" s="2" t="str">
        <x:v>E49</x:v>
      </x:c>
      <x:c r="B50" s="2" t="str">
        <x:v>***地球环保科技有限公司</x:v>
      </x:c>
      <x:c r="C50" s="2" t="str">
        <x:v>有信贷记录</x:v>
      </x:c>
      <x:c r="D50" s="2" t="str">
        <x:v>C</x:v>
      </x:c>
      <x:c r="E50" s="2" t="str">
        <x:v>否</x:v>
      </x:c>
      <x:c r="F50" s="13" t="n">
        <x:v>3615</x:v>
      </x:c>
      <x:c r="G50" s="13" t="n">
        <x:v>3518</x:v>
      </x:c>
      <x:c r="H50" s="13" t="n">
        <x:v>97</x:v>
      </x:c>
      <x:c r="I50" s="13" t="n">
        <x:v>19</x:v>
      </x:c>
      <x:c r="J50" s="13" t="n">
        <x:v>24500732.04</x:v>
      </x:c>
      <x:c r="K50" s="13" t="n">
        <x:v>24699538.66</x:v>
      </x:c>
      <x:c r="L50" s="13" t="n">
        <x:v>715</x:v>
      </x:c>
      <x:c r="M50" s="13" t="n">
        <x:v>0.026832641770401105</x:v>
      </x:c>
      <x:c r="N50" s="13" t="n">
        <x:v>0.005400795906765207</x:v>
      </x:c>
      <x:c r="O50" s="13" t="n">
        <x:v>0.08128554778186624</x:v>
      </x:c>
      <x:c r="P50" s="13" t="n">
        <x:v>0.25999971450478904</x:v>
      </x:c>
      <x:c r="Q50" s="13" t="n">
        <x:v>662181.9470270269</x:v>
      </x:c>
      <x:c r="R50" s="13" t="n">
        <x:v>1.1525122261574656</x:v>
      </x:c>
      <x:c r="S50" s="13" t="n">
        <x:v>0.04298670714258603</x:v>
      </x:c>
      <x:c r="T50" s="13" t="n">
        <x:v>37</x:v>
      </x:c>
      <x:c r="U50" s="13" t="n">
        <x:v>513</x:v>
      </x:c>
      <x:c r="V50" s="13" t="n">
        <x:v>461</x:v>
      </x:c>
      <x:c r="W50" s="13" t="n">
        <x:v>52</x:v>
      </x:c>
      <x:c r="X50" s="13" t="n">
        <x:v>13</x:v>
      </x:c>
      <x:c r="Y50" s="13" t="n">
        <x:v>39206169.22</x:v>
      </x:c>
      <x:c r="Z50" s="13" t="n">
        <x:v>40936840.04</x:v>
      </x:c>
      <x:c r="AA50" s="13" t="n">
        <x:v>295</x:v>
      </x:c>
      <x:c r="AB50" s="13" t="n">
        <x:v>0.10136452241715399</x:v>
      </x:c>
      <x:c r="AC50" s="13" t="n">
        <x:v>0.028199566160520606</x:v>
      </x:c>
      <x:c r="AD50" s="13" t="n">
        <x:v>0.07352066416003313</x:v>
      </x:c>
      <x:c r="AE50" s="13" t="n">
        <x:v>0.24495876892797902</x:v>
      </x:c>
      <x:c r="AF50" s="13" t="n">
        <x:v>1059626.1951351352</x:v>
      </x:c>
      <x:c r="AG50" s="13" t="n">
        <x:v>1.376328299048134</x:v>
      </x:c>
      <x:c r="AH50" s="13" t="n">
        <x:v>0.014645667573539842</x:v>
      </x:c>
      <x:c r="AI50" s="13" t="n">
        <x:v>29</x:v>
      </x:c>
      <x:c r="AJ50" s="13" t="n">
        <x:v>14705437.18</x:v>
      </x:c>
      <x:c r="AK50" s="13" t="n">
        <x:v>0.6033572360706325</x:v>
      </x:c>
      <x:c r="AL50" s="13" t="n">
        <x:v>0.03609496124031008</x:v>
      </x:c>
      <x:c r="AM50" s="13" t="n">
        <x:v>0.008042221663734606</x:v>
      </x:c>
      <x:c r="AN50" s="13" t="n">
        <x:v>0.07740310597094968</x:v>
      </x:c>
      <x:c r="AO50" s="13" t="n">
        <x:v>1.2644202626027998</x:v>
      </x:c>
      <x:c r="AP50" s="13" t="n">
        <x:v>0.028816187358062937</x:v>
      </x:c>
    </x:row>
    <x:row r="51" ht="15" hidden="0" customHeight="1">
      <x:c r="A51" s="2" t="str">
        <x:v>E50</x:v>
      </x:c>
      <x:c r="B51" s="2" t="str">
        <x:v>***建筑劳务有限公司</x:v>
      </x:c>
      <x:c r="C51" s="2" t="str">
        <x:v>有信贷记录</x:v>
      </x:c>
      <x:c r="D51" s="2" t="str">
        <x:v>C</x:v>
      </x:c>
      <x:c r="E51" s="2" t="str">
        <x:v>否</x:v>
      </x:c>
      <x:c r="F51" s="13" t="n">
        <x:v>197</x:v>
      </x:c>
      <x:c r="G51" s="13" t="n">
        <x:v>186</x:v>
      </x:c>
      <x:c r="H51" s="13" t="n">
        <x:v>11</x:v>
      </x:c>
      <x:c r="I51" s="13" t="n">
        <x:v>1</x:v>
      </x:c>
      <x:c r="J51" s="13" t="n">
        <x:v>1879996.2899999998</x:v>
      </x:c>
      <x:c r="K51" s="13" t="n">
        <x:v>1903196.2899999998</x:v>
      </x:c>
      <x:c r="L51" s="13" t="n">
        <x:v>66</x:v>
      </x:c>
      <x:c r="M51" s="13" t="n">
        <x:v>0.05583756345177665</x:v>
      </x:c>
      <x:c r="N51" s="13" t="n">
        <x:v>0.005376344086021506</x:v>
      </x:c>
      <x:c r="O51" s="13" t="n">
        <x:v>0.47891180698863134</x:v>
      </x:c>
      <x:c r="P51" s="13" t="n">
        <x:v>0.685096543562514</x:v>
      </x:c>
      <x:c r="Q51" s="13" t="n">
        <x:v>62666.543</x:v>
      </x:c>
      <x:c r="R51" s="13" t="n">
        <x:v>3.475600038951563</x:v>
      </x:c>
      <x:c r="S51" s="13" t="n">
        <x:v>0.16516646908980923</x:v>
      </x:c>
      <x:c r="T51" s="13" t="n">
        <x:v>28</x:v>
      </x:c>
      <x:c r="U51" s="13" t="n">
        <x:v>285</x:v>
      </x:c>
      <x:c r="V51" s="13" t="n">
        <x:v>255</x:v>
      </x:c>
      <x:c r="W51" s="13" t="n">
        <x:v>30</x:v>
      </x:c>
      <x:c r="X51" s="13" t="n">
        <x:v>18</x:v>
      </x:c>
      <x:c r="Y51" s="13" t="n">
        <x:v>20130478.71</x:v>
      </x:c>
      <x:c r="Z51" s="13" t="n">
        <x:v>23525694.349999998</x:v>
      </x:c>
      <x:c r="AA51" s="13" t="n">
        <x:v>5</x:v>
      </x:c>
      <x:c r="AB51" s="13" t="n">
        <x:v>0.10526315789473684</x:v>
      </x:c>
      <x:c r="AC51" s="13" t="n">
        <x:v>0.07058823529411765</x:v>
      </x:c>
      <x:c r="AD51" s="13" t="n">
        <x:v>0.31535550122126266</x:v>
      </x:c>
      <x:c r="AE51" s="13" t="n">
        <x:v>0.4105065553569942</x:v>
      </x:c>
      <x:c r="AF51" s="13" t="n">
        <x:v>718945.6682142857</x:v>
      </x:c>
      <x:c r="AG51" s="13" t="n">
        <x:v>1.4429828127807498</x:v>
      </x:c>
      <x:c r="AH51" s="13" t="n">
        <x:v>0.06078678387378934</x:v>
      </x:c>
      <x:c r="AI51" s="13" t="n">
        <x:v>13</x:v>
      </x:c>
      <x:c r="AJ51" s="13" t="n">
        <x:v>18250482.42</x:v>
      </x:c>
      <x:c r="AK51" s="13" t="n">
        <x:v>0.08089862350864045</x:v>
      </x:c>
      <x:c r="AL51" s="13" t="n">
        <x:v>0.08506224066390042</x:v>
      </x:c>
      <x:c r="AM51" s="13" t="n">
        <x:v>0.04308390022675737</x:v>
      </x:c>
      <x:c r="AN51" s="13" t="n">
        <x:v>0.397133654104947</x:v>
      </x:c>
      <x:c r="AO51" s="13" t="n">
        <x:v>2.4592914258661565</x:v>
      </x:c>
      <x:c r="AP51" s="13" t="n">
        <x:v>0.11297662648179929</x:v>
      </x:c>
    </x:row>
    <x:row r="52" ht="15" hidden="0" customHeight="1">
      <x:c r="A52" s="2" t="str">
        <x:v>E51</x:v>
      </x:c>
      <x:c r="B52" s="2" t="str">
        <x:v>***物流有限公司</x:v>
      </x:c>
      <x:c r="C52" s="2" t="str">
        <x:v>有信贷记录</x:v>
      </x:c>
      <x:c r="D52" s="2" t="str">
        <x:v>B</x:v>
      </x:c>
      <x:c r="E52" s="2" t="str">
        <x:v>否</x:v>
      </x:c>
      <x:c r="F52" s="13" t="n">
        <x:v>453</x:v>
      </x:c>
      <x:c r="G52" s="13" t="n">
        <x:v>451</x:v>
      </x:c>
      <x:c r="H52" s="13" t="n">
        <x:v>2</x:v>
      </x:c>
      <x:c r="I52" s="13" t="n">
        <x:v>4</x:v>
      </x:c>
      <x:c r="J52" s="13" t="n">
        <x:v>22559091.9</x:v>
      </x:c>
      <x:c r="K52" s="13" t="n">
        <x:v>22711625.380000003</x:v>
      </x:c>
      <x:c r="L52" s="13" t="n">
        <x:v>61</x:v>
      </x:c>
      <x:c r="M52" s="13" t="n">
        <x:v>0.004415011037527594</x:v>
      </x:c>
      <x:c r="N52" s="13" t="n">
        <x:v>0.008869179600886918</x:v>
      </x:c>
      <x:c r="O52" s="13" t="n">
        <x:v>0.2806353558823908</x:v>
      </x:c>
      <x:c r="P52" s="13" t="n">
        <x:v>0.49237735357538726</x:v>
      </x:c>
      <x:c r="Q52" s="13" t="n">
        <x:v>609705.1864864866</x:v>
      </x:c>
      <x:c r="R52" s="13" t="n">
        <x:v>0.7596417551318742</x:v>
      </x:c>
      <x:c r="S52" s="13" t="n">
        <x:v>0.040385918672084124</x:v>
      </x:c>
      <x:c r="T52" s="13" t="n">
        <x:v>37</x:v>
      </x:c>
      <x:c r="U52" s="13" t="n">
        <x:v>895</x:v>
      </x:c>
      <x:c r="V52" s="13" t="n">
        <x:v>834</x:v>
      </x:c>
      <x:c r="W52" s="13" t="n">
        <x:v>61</x:v>
      </x:c>
      <x:c r="X52" s="13" t="n">
        <x:v>3</x:v>
      </x:c>
      <x:c r="Y52" s="13" t="n">
        <x:v>30453335.6</x:v>
      </x:c>
      <x:c r="Z52" s="13" t="n">
        <x:v>30730873.6</x:v>
      </x:c>
      <x:c r="AA52" s="13" t="n">
        <x:v>132</x:v>
      </x:c>
      <x:c r="AB52" s="13" t="n">
        <x:v>0.06815642458100558</x:v>
      </x:c>
      <x:c r="AC52" s="13" t="n">
        <x:v>0.0035971223021582736</x:v>
      </x:c>
      <x:c r="AD52" s="13" t="n">
        <x:v>0.1098561284056973</x:v>
      </x:c>
      <x:c r="AE52" s="13" t="n">
        <x:v>0.300466058016652</x:v>
      </x:c>
      <x:c r="AF52" s="13" t="n">
        <x:v>823063.1243243243</x:v>
      </x:c>
      <x:c r="AG52" s="13" t="n">
        <x:v>0.5781592474702474</x:v>
      </x:c>
      <x:c r="AH52" s="13" t="n">
        <x:v>0.04719643196505489</x:v>
      </x:c>
      <x:c r="AI52" s="13" t="n">
        <x:v>37</x:v>
      </x:c>
      <x:c r="AJ52" s="13" t="n">
        <x:v>7894243.700000003</x:v>
      </x:c>
      <x:c r="AK52" s="13" t="n">
        <x:v>0.739049129407112</x:v>
      </x:c>
      <x:c r="AL52" s="13" t="n">
        <x:v>0.04673590504451038</x:v>
      </x:c>
      <x:c r="AM52" s="13" t="n">
        <x:v>0.005447470817120622</x:v>
      </x:c>
      <x:c r="AN52" s="13" t="n">
        <x:v>0.19524574214404405</x:v>
      </x:c>
      <x:c r="AO52" s="13" t="n">
        <x:v>0.6689005013010607</x:v>
      </x:c>
      <x:c r="AP52" s="13" t="n">
        <x:v>0.043791175318569506</x:v>
      </x:c>
    </x:row>
    <x:row r="53" ht="15" hidden="0" customHeight="1">
      <x:c r="A53" s="2" t="str">
        <x:v>E52</x:v>
      </x:c>
      <x:c r="B53" s="2" t="str">
        <x:v>***商贸有限公司</x:v>
      </x:c>
      <x:c r="C53" s="2" t="str">
        <x:v>有信贷记录</x:v>
      </x:c>
      <x:c r="D53" s="2" t="str">
        <x:v>D</x:v>
      </x:c>
      <x:c r="E53" s="2" t="str">
        <x:v>是</x:v>
      </x:c>
      <x:c r="F53" s="13" t="n">
        <x:v>425</x:v>
      </x:c>
      <x:c r="G53" s="13" t="n">
        <x:v>409</x:v>
      </x:c>
      <x:c r="H53" s="13" t="n">
        <x:v>16</x:v>
      </x:c>
      <x:c r="I53" s="13" t="n">
        <x:v>2</x:v>
      </x:c>
      <x:c r="J53" s="13" t="n">
        <x:v>18437416.54</x:v>
      </x:c>
      <x:c r="K53" s="13" t="n">
        <x:v>18478414.54</x:v>
      </x:c>
      <x:c r="L53" s="13" t="n">
        <x:v>131</x:v>
      </x:c>
      <x:c r="M53" s="13" t="n">
        <x:v>0.03764705882352941</x:v>
      </x:c>
      <x:c r="N53" s="13" t="n">
        <x:v>0.004889975550122249</x:v>
      </x:c>
      <x:c r="O53" s="13" t="n">
        <x:v>0.14027781877763273</x:v>
      </x:c>
      <x:c r="P53" s="13" t="n">
        <x:v>0.2842235186699086</x:v>
      </x:c>
      <x:c r="Q53" s="13" t="n">
        <x:v>635772.984137931</x:v>
      </x:c>
      <x:c r="R53" s="13" t="n">
        <x:v>1.8686203216439745</x:v>
      </x:c>
      <x:c r="S53" s="13" t="n">
        <x:v>0.09284234019544911</x:v>
      </x:c>
      <x:c r="T53" s="13" t="n">
        <x:v>29</x:v>
      </x:c>
      <x:c r="U53" s="13" t="n">
        <x:v>379</x:v>
      </x:c>
      <x:c r="V53" s="13" t="n">
        <x:v>286</x:v>
      </x:c>
      <x:c r="W53" s="13" t="n">
        <x:v>93</x:v>
      </x:c>
      <x:c r="X53" s="13" t="n">
        <x:v>5</x:v>
      </x:c>
      <x:c r="Y53" s="13" t="n">
        <x:v>21270109.97</x:v>
      </x:c>
      <x:c r="Z53" s="13" t="n">
        <x:v>21567346.17</x:v>
      </x:c>
      <x:c r="AA53" s="13" t="n">
        <x:v>13</x:v>
      </x:c>
      <x:c r="AB53" s="13" t="n">
        <x:v>0.24538258575197888</x:v>
      </x:c>
      <x:c r="AC53" s="13" t="n">
        <x:v>0.017482517482517484</x:v>
      </x:c>
      <x:c r="AD53" s="13" t="n">
        <x:v>0.44453000429141487</x:v>
      </x:c>
      <x:c r="AE53" s="13" t="n">
        <x:v>0.6158045359551069</x:v>
      </x:c>
      <x:c r="AF53" s="13" t="n">
        <x:v>787781.8507407407</x:v>
      </x:c>
      <x:c r="AG53" s="13" t="n">
        <x:v>1.6378819915980167</x:v>
      </x:c>
      <x:c r="AH53" s="13" t="n">
        <x:v>0.08164863405357267</x:v>
      </x:c>
      <x:c r="AI53" s="13" t="n">
        <x:v>24</x:v>
      </x:c>
      <x:c r="AJ53" s="13" t="n">
        <x:v>2832693.4299999997</x:v>
      </x:c>
      <x:c r="AK53" s="13" t="n">
        <x:v>0.8567773890374755</x:v>
      </x:c>
      <x:c r="AL53" s="13" t="n">
        <x:v>0.13557213930348258</x:v>
      </x:c>
      <x:c r="AM53" s="13" t="n">
        <x:v>0.010071942446043165</x:v>
      </x:c>
      <x:c r="AN53" s="13" t="n">
        <x:v>0.29240391153452383</x:v>
      </x:c>
      <x:c r="AO53" s="13" t="n">
        <x:v>1.7532511566209956</x:v>
      </x:c>
      <x:c r="AP53" s="13" t="n">
        <x:v>0.08724548712451088</x:v>
      </x:c>
    </x:row>
    <x:row r="54" ht="15" hidden="0" customHeight="1">
      <x:c r="A54" s="2" t="str">
        <x:v>E53</x:v>
      </x:c>
      <x:c r="B54" s="2" t="str">
        <x:v>***文化传媒有限公司</x:v>
      </x:c>
      <x:c r="C54" s="2" t="str">
        <x:v>有信贷记录</x:v>
      </x:c>
      <x:c r="D54" s="2" t="str">
        <x:v>C</x:v>
      </x:c>
      <x:c r="E54" s="2" t="str">
        <x:v>否</x:v>
      </x:c>
      <x:c r="F54" s="13" t="n">
        <x:v>630</x:v>
      </x:c>
      <x:c r="G54" s="13" t="n">
        <x:v>599</x:v>
      </x:c>
      <x:c r="H54" s="13" t="n">
        <x:v>31</x:v>
      </x:c>
      <x:c r="I54" s="13" t="n">
        <x:v>1</x:v>
      </x:c>
      <x:c r="J54" s="13" t="n">
        <x:v>34943306.95</x:v>
      </x:c>
      <x:c r="K54" s="13" t="n">
        <x:v>35092786.35</x:v>
      </x:c>
      <x:c r="L54" s="13" t="n">
        <x:v>63</x:v>
      </x:c>
      <x:c r="M54" s="13" t="n">
        <x:v>0.049206349206349205</x:v>
      </x:c>
      <x:c r="N54" s="13" t="n">
        <x:v>0.001669449081803005</x:v>
      </x:c>
      <x:c r="O54" s="13" t="n">
        <x:v>0.4537526915602672</x:v>
      </x:c>
      <x:c r="P54" s="13" t="n">
        <x:v>0.6546521088656728</x:v>
      </x:c>
      <x:c r="Q54" s="13" t="n">
        <x:v>1091978.3421875</x:v>
      </x:c>
      <x:c r="R54" s="13" t="n">
        <x:v>0.6668303395909596</x:v>
      </x:c>
      <x:c r="S54" s="13" t="n">
        <x:v>0.0372480871667229</x:v>
      </x:c>
      <x:c r="T54" s="13" t="n">
        <x:v>31</x:v>
      </x:c>
      <x:c r="U54" s="13" t="n">
        <x:v>454</x:v>
      </x:c>
      <x:c r="V54" s="13" t="n">
        <x:v>396</x:v>
      </x:c>
      <x:c r="W54" s="13" t="n">
        <x:v>58</x:v>
      </x:c>
      <x:c r="X54" s="13" t="n">
        <x:v>4</x:v>
      </x:c>
      <x:c r="Y54" s="13" t="n">
        <x:v>38127316.11</x:v>
      </x:c>
      <x:c r="Z54" s="13" t="n">
        <x:v>38615826.11</x:v>
      </x:c>
      <x:c r="AA54" s="13" t="n">
        <x:v>46</x:v>
      </x:c>
      <x:c r="AB54" s="13" t="n">
        <x:v>0.1277533039647577</x:v>
      </x:c>
      <x:c r="AC54" s="13" t="n">
        <x:v>0.010101010101010102</x:v>
      </x:c>
      <x:c r="AD54" s="13" t="n">
        <x:v>0.07731155982257257</x:v>
      </x:c>
      <x:c r="AE54" s="13" t="n">
        <x:v>0.1838624397099555</x:v>
      </x:c>
      <x:c r="AF54" s="13" t="n">
        <x:v>1191478.6284375</x:v>
      </x:c>
      <x:c r="AG54" s="13" t="n">
        <x:v>1.09214363037012</x:v>
      </x:c>
      <x:c r="AH54" s="13" t="n">
        <x:v>0.03930131239217635</x:v>
      </x:c>
      <x:c r="AI54" s="13" t="n">
        <x:v>30</x:v>
      </x:c>
      <x:c r="AJ54" s="13" t="n">
        <x:v>3184009.1599999964</x:v>
      </x:c>
      <x:c r="AK54" s="13" t="n">
        <x:v>0.9087669457086232</x:v>
      </x:c>
      <x:c r="AL54" s="13" t="n">
        <x:v>0.08210332103321033</x:v>
      </x:c>
      <x:c r="AM54" s="13" t="n">
        <x:v>0.005025125628140704</x:v>
      </x:c>
      <x:c r="AN54" s="13" t="n">
        <x:v>0.2655321256914199</x:v>
      </x:c>
      <x:c r="AO54" s="13" t="n">
        <x:v>0.8794869849805398</x:v>
      </x:c>
      <x:c r="AP54" s="13" t="n">
        <x:v>0.038274699779449625</x:v>
      </x:c>
    </x:row>
    <x:row r="55" ht="15" hidden="0" customHeight="1">
      <x:c r="A55" s="2" t="str">
        <x:v>E54</x:v>
      </x:c>
      <x:c r="B55" s="2" t="str">
        <x:v>***新技术开发有限公司</x:v>
      </x:c>
      <x:c r="C55" s="2" t="str">
        <x:v>有信贷记录</x:v>
      </x:c>
      <x:c r="D55" s="2" t="str">
        <x:v>A</x:v>
      </x:c>
      <x:c r="E55" s="2" t="str">
        <x:v>否</x:v>
      </x:c>
      <x:c r="F55" s="13" t="n">
        <x:v>1644</x:v>
      </x:c>
      <x:c r="G55" s="13" t="n">
        <x:v>1555</x:v>
      </x:c>
      <x:c r="H55" s="13" t="n">
        <x:v>89</x:v>
      </x:c>
      <x:c r="I55" s="13" t="n">
        <x:v>20</x:v>
      </x:c>
      <x:c r="J55" s="13" t="n">
        <x:v>8163925.74</x:v>
      </x:c>
      <x:c r="K55" s="13" t="n">
        <x:v>8772654.64</x:v>
      </x:c>
      <x:c r="L55" s="13" t="n">
        <x:v>459</x:v>
      </x:c>
      <x:c r="M55" s="13" t="n">
        <x:v>0.054136253041362534</x:v>
      </x:c>
      <x:c r="N55" s="13" t="n">
        <x:v>0.012861736334405145</x:v>
      </x:c>
      <x:c r="O55" s="13" t="n">
        <x:v>0.036544589126179715</x:v>
      </x:c>
      <x:c r="P55" s="13" t="n">
        <x:v>0.107607108536533</x:v>
      </x:c>
      <x:c r="Q55" s="13" t="n">
        <x:v>214840.15105263153</x:v>
      </x:c>
      <x:c r="R55" s="13" t="n">
        <x:v>0.6712162806468056</x:v>
      </x:c>
      <x:c r="S55" s="13" t="n">
        <x:v>-0.006164203704403253</x:v>
      </x:c>
      <x:c r="T55" s="13" t="n">
        <x:v>38</x:v>
      </x:c>
      <x:c r="U55" s="13" t="n">
        <x:v>3501</x:v>
      </x:c>
      <x:c r="V55" s="13" t="n">
        <x:v>3215</x:v>
      </x:c>
      <x:c r="W55" s="13" t="n">
        <x:v>286</x:v>
      </x:c>
      <x:c r="X55" s="13" t="n">
        <x:v>37</x:v>
      </x:c>
      <x:c r="Y55" s="13" t="n">
        <x:v>37510977.72</x:v>
      </x:c>
      <x:c r="Z55" s="13" t="n">
        <x:v>38145037.72</x:v>
      </x:c>
      <x:c r="AA55" s="13" t="n">
        <x:v>1132</x:v>
      </x:c>
      <x:c r="AB55" s="13" t="n">
        <x:v>0.08169094544415881</x:v>
      </x:c>
      <x:c r="AC55" s="13" t="n">
        <x:v>0.011508553654743391</x:v>
      </x:c>
      <x:c r="AD55" s="13" t="n">
        <x:v>0.016772998060125017</x:v>
      </x:c>
      <x:c r="AE55" s="13" t="n">
        <x:v>0.06297254226440441</x:v>
      </x:c>
      <x:c r="AF55" s="13" t="n">
        <x:v>987130.9926315789</x:v>
      </x:c>
      <x:c r="AG55" s="13" t="n">
        <x:v>0.6084525959397217</x:v>
      </x:c>
      <x:c r="AH55" s="13" t="n">
        <x:v>0.012004205085855302</x:v>
      </x:c>
      <x:c r="AI55" s="13" t="n">
        <x:v>38</x:v>
      </x:c>
      <x:c r="AJ55" s="13" t="n">
        <x:v>29347051.979999997</x:v>
      </x:c>
      <x:c r="AK55" s="13" t="n">
        <x:v>0.2299815431929792</x:v>
      </x:c>
      <x:c r="AL55" s="13" t="n">
        <x:v>0.0728862973760933</x:v>
      </x:c>
      <x:c r="AM55" s="13" t="n">
        <x:v>0.011949685534591196</x:v>
      </x:c>
      <x:c r="AN55" s="13" t="n">
        <x:v>0.026697377740847485</x:v>
      </x:c>
      <x:c r="AO55" s="13" t="n">
        <x:v>0.6398344382932637</x:v>
      </x:c>
      <x:c r="AP55" s="13" t="n">
        <x:v>0.002920000690726025</x:v>
      </x:c>
    </x:row>
    <x:row r="56" ht="15" hidden="0" customHeight="1">
      <x:c r="A56" s="2" t="str">
        <x:v>E55</x:v>
      </x:c>
      <x:c r="B56" s="2" t="str">
        <x:v>***集团有限公司***电力设备分公司</x:v>
      </x:c>
      <x:c r="C56" s="2" t="str">
        <x:v>有信贷记录</x:v>
      </x:c>
      <x:c r="D56" s="2" t="str">
        <x:v>C</x:v>
      </x:c>
      <x:c r="E56" s="2" t="str">
        <x:v>否</x:v>
      </x:c>
      <x:c r="F56" s="13" t="n">
        <x:v>823</x:v>
      </x:c>
      <x:c r="G56" s="13" t="n">
        <x:v>752</x:v>
      </x:c>
      <x:c r="H56" s="13" t="n">
        <x:v>71</x:v>
      </x:c>
      <x:c r="I56" s="13" t="n">
        <x:v>30</x:v>
      </x:c>
      <x:c r="J56" s="13" t="n">
        <x:v>10860768.28</x:v>
      </x:c>
      <x:c r="K56" s="13" t="n">
        <x:v>12068501.42</x:v>
      </x:c>
      <x:c r="L56" s="13" t="n">
        <x:v>137</x:v>
      </x:c>
      <x:c r="M56" s="13" t="n">
        <x:v>0.08626974483596597</x:v>
      </x:c>
      <x:c r="N56" s="13" t="n">
        <x:v>0.0398936170212766</x:v>
      </x:c>
      <x:c r="O56" s="13" t="n">
        <x:v>0.055675724990841835</x:v>
      </x:c>
      <x:c r="P56" s="13" t="n">
        <x:v>0.09111582223271594</x:v>
      </x:c>
      <x:c r="Q56" s="13" t="n">
        <x:v>285809.69157894736</x:v>
      </x:c>
      <x:c r="R56" s="13" t="n">
        <x:v>1.230608541391885</x:v>
      </x:c>
      <x:c r="S56" s="13" t="n">
        <x:v>0.07110167611522468</x:v>
      </x:c>
      <x:c r="T56" s="13" t="n">
        <x:v>38</x:v>
      </x:c>
      <x:c r="U56" s="13" t="n">
        <x:v>590</x:v>
      </x:c>
      <x:c r="V56" s="13" t="n">
        <x:v>443</x:v>
      </x:c>
      <x:c r="W56" s="13" t="n">
        <x:v>147</x:v>
      </x:c>
      <x:c r="X56" s="13" t="n">
        <x:v>70</x:v>
      </x:c>
      <x:c r="Y56" s="13" t="n">
        <x:v>25594813.79</x:v>
      </x:c>
      <x:c r="Z56" s="13" t="n">
        <x:v>40222827.43</x:v>
      </x:c>
      <x:c r="AA56" s="13" t="n">
        <x:v>24</x:v>
      </x:c>
      <x:c r="AB56" s="13" t="n">
        <x:v>0.24915254237288137</x:v>
      </x:c>
      <x:c r="AC56" s="13" t="n">
        <x:v>0.1580135440180587</x:v>
      </x:c>
      <x:c r="AD56" s="13" t="n">
        <x:v>0.157623427987664</x:v>
      </x:c>
      <x:c r="AE56" s="13" t="n">
        <x:v>0.32560860205048</x:v>
      </x:c>
      <x:c r="AF56" s="13" t="n">
        <x:v>710967.0497222221</x:v>
      </x:c>
      <x:c r="AG56" s="13" t="n">
        <x:v>1.8101755808799556</x:v>
      </x:c>
      <x:c r="AH56" s="13" t="n">
        <x:v>0.02817987060190445</x:v>
      </x:c>
      <x:c r="AI56" s="13" t="n">
        <x:v>26</x:v>
      </x:c>
      <x:c r="AJ56" s="13" t="n">
        <x:v>14734045.51</x:v>
      </x:c>
      <x:c r="AK56" s="13" t="n">
        <x:v>0.300041100815274</x:v>
      </x:c>
      <x:c r="AL56" s="13" t="n">
        <x:v>0.1542816702052371</x:v>
      </x:c>
      <x:c r="AM56" s="13" t="n">
        <x:v>0.08368200836820083</x:v>
      </x:c>
      <x:c r="AN56" s="13" t="n">
        <x:v>0.10664957648925291</x:v>
      </x:c>
      <x:c r="AO56" s="13" t="n">
        <x:v>1.5203920611359203</x:v>
      </x:c>
      <x:c r="AP56" s="13" t="n">
        <x:v>0.049640773358564566</x:v>
      </x:c>
    </x:row>
    <x:row r="57" ht="15" hidden="0" customHeight="1">
      <x:c r="A57" s="2" t="str">
        <x:v>E56</x:v>
      </x:c>
      <x:c r="B57" s="2" t="str">
        <x:v>***家居材料***有限公司</x:v>
      </x:c>
      <x:c r="C57" s="2" t="str">
        <x:v>有信贷记录</x:v>
      </x:c>
      <x:c r="D57" s="2" t="str">
        <x:v>C</x:v>
      </x:c>
      <x:c r="E57" s="2" t="str">
        <x:v>否</x:v>
      </x:c>
      <x:c r="F57" s="13" t="n">
        <x:v>1201</x:v>
      </x:c>
      <x:c r="G57" s="13" t="n">
        <x:v>1152</x:v>
      </x:c>
      <x:c r="H57" s="13" t="n">
        <x:v>49</x:v>
      </x:c>
      <x:c r="I57" s="13" t="n">
        <x:v>7</x:v>
      </x:c>
      <x:c r="J57" s="13" t="n">
        <x:v>28163715.35</x:v>
      </x:c>
      <x:c r="K57" s="13" t="n">
        <x:v>28806545.35</x:v>
      </x:c>
      <x:c r="L57" s="13" t="n">
        <x:v>163</x:v>
      </x:c>
      <x:c r="M57" s="13" t="n">
        <x:v>0.04079933388842631</x:v>
      </x:c>
      <x:c r="N57" s="13" t="n">
        <x:v>0.006076388888888889</x:v>
      </x:c>
      <x:c r="O57" s="13" t="n">
        <x:v>0.10025273314632935</x:v>
      </x:c>
      <x:c r="P57" s="13" t="n">
        <x:v>0.22315551975759562</x:v>
      </x:c>
      <x:c r="Q57" s="13" t="n">
        <x:v>782325.4263888889</x:v>
      </x:c>
      <x:c r="R57" s="13" t="n">
        <x:v>0.7927597586358893</x:v>
      </x:c>
      <x:c r="S57" s="13" t="n">
        <x:v>0.03740685880662995</x:v>
      </x:c>
      <x:c r="T57" s="13" t="n">
        <x:v>36</x:v>
      </x:c>
      <x:c r="U57" s="13" t="n">
        <x:v>495</x:v>
      </x:c>
      <x:c r="V57" s="13" t="n">
        <x:v>458</x:v>
      </x:c>
      <x:c r="W57" s="13" t="n">
        <x:v>37</x:v>
      </x:c>
      <x:c r="X57" s="13" t="n">
        <x:v>8</x:v>
      </x:c>
      <x:c r="Y57" s="13" t="n">
        <x:v>30141852.04</x:v>
      </x:c>
      <x:c r="Z57" s="13" t="n">
        <x:v>30916843.04</x:v>
      </x:c>
      <x:c r="AA57" s="13" t="n">
        <x:v>39</x:v>
      </x:c>
      <x:c r="AB57" s="13" t="n">
        <x:v>0.07474747474747474</x:v>
      </x:c>
      <x:c r="AC57" s="13" t="n">
        <x:v>0.017467248908296942</x:v>
      </x:c>
      <x:c r="AD57" s="13" t="n">
        <x:v>0.21022429842115678</x:v>
      </x:c>
      <x:c r="AE57" s="13" t="n">
        <x:v>0.3668485147505539</x:v>
      </x:c>
      <x:c r="AF57" s="13" t="n">
        <x:v>861195.7725714287</x:v>
      </x:c>
      <x:c r="AG57" s="13" t="n">
        <x:v>0.6053432594076067</x:v>
      </x:c>
      <x:c r="AH57" s="13" t="n">
        <x:v>0.04852984571672806</x:v>
      </x:c>
      <x:c r="AI57" s="13" t="n">
        <x:v>35</x:v>
      </x:c>
      <x:c r="AJ57" s="13" t="n">
        <x:v>1978136.6899999976</x:v>
      </x:c>
      <x:c r="AK57" s="13" t="n">
        <x:v>0.9317427821699095</x:v>
      </x:c>
      <x:c r="AL57" s="13" t="n">
        <x:v>0.05070754716981132</x:v>
      </x:c>
      <x:c r="AM57" s="13" t="n">
        <x:v>0.009316770186335404</x:v>
      </x:c>
      <x:c r="AN57" s="13" t="n">
        <x:v>0.15523851578374306</x:v>
      </x:c>
      <x:c r="AO57" s="13" t="n">
        <x:v>0.699051509021748</x:v>
      </x:c>
      <x:c r="AP57" s="13" t="n">
        <x:v>0.042968352261679006</x:v>
      </x:c>
    </x:row>
    <x:row r="58" ht="15" hidden="0" customHeight="1">
      <x:c r="A58" s="2" t="str">
        <x:v>E57</x:v>
      </x:c>
      <x:c r="B58" s="2" t="str">
        <x:v>***机械设备有限公司</x:v>
      </x:c>
      <x:c r="C58" s="2" t="str">
        <x:v>有信贷记录</x:v>
      </x:c>
      <x:c r="D58" s="2" t="str">
        <x:v>B</x:v>
      </x:c>
      <x:c r="E58" s="2" t="str">
        <x:v>否</x:v>
      </x:c>
      <x:c r="F58" s="13" t="n">
        <x:v>130</x:v>
      </x:c>
      <x:c r="G58" s="13" t="n">
        <x:v>122</x:v>
      </x:c>
      <x:c r="H58" s="13" t="n">
        <x:v>8</x:v>
      </x:c>
      <x:c r="I58" s="13" t="n">
        <x:v>0</x:v>
      </x:c>
      <x:c r="J58" s="13" t="n">
        <x:v>31823470.549999997</x:v>
      </x:c>
      <x:c r="K58" s="13" t="n">
        <x:v>31823470.549999997</x:v>
      </x:c>
      <x:c r="L58" s="13" t="n">
        <x:v>41</x:v>
      </x:c>
      <x:c r="M58" s="13" t="n">
        <x:v>0.06153846153846154</x:v>
      </x:c>
      <x:c r="N58" s="13" t="n">
        <x:v>0</x:v>
      </x:c>
      <x:c r="O58" s="13" t="n">
        <x:v>0.644872637128591</x:v>
      </x:c>
      <x:c r="P58" s="13" t="n">
        <x:v>0.7862984950269668</x:v>
      </x:c>
      <x:c r="Q58" s="13" t="n">
        <x:v>860093.7986486488</x:v>
      </x:c>
      <x:c r="R58" s="13" t="n">
        <x:v>1.6520347078273647</x:v>
      </x:c>
      <x:c r="S58" s="13" t="n">
        <x:v>0.08264444659047342</x:v>
      </x:c>
      <x:c r="T58" s="13" t="n">
        <x:v>30</x:v>
      </x:c>
      <x:c r="U58" s="13" t="n">
        <x:v>438</x:v>
      </x:c>
      <x:c r="V58" s="13" t="n">
        <x:v>386</x:v>
      </x:c>
      <x:c r="W58" s="13" t="n">
        <x:v>52</x:v>
      </x:c>
      <x:c r="X58" s="13" t="n">
        <x:v>9</x:v>
      </x:c>
      <x:c r="Y58" s="13" t="n">
        <x:v>36787964.86</x:v>
      </x:c>
      <x:c r="Z58" s="13" t="n">
        <x:v>38551464.86</x:v>
      </x:c>
      <x:c r="AA58" s="13" t="n">
        <x:v>25</x:v>
      </x:c>
      <x:c r="AB58" s="13" t="n">
        <x:v>0.1187214611872146</x:v>
      </x:c>
      <x:c r="AC58" s="13" t="n">
        <x:v>0.023316062176165803</x:v>
      </x:c>
      <x:c r="AD58" s="13" t="n">
        <x:v>0.12120966390744549</x:v>
      </x:c>
      <x:c r="AE58" s="13" t="n">
        <x:v>0.2543631749302094</x:v>
      </x:c>
      <x:c r="AF58" s="13" t="n">
        <x:v>994269.3205405405</x:v>
      </x:c>
      <x:c r="AG58" s="13" t="n">
        <x:v>1.1062939812988954</x:v>
      </x:c>
      <x:c r="AH58" s="13" t="n">
        <x:v>0.052284033496751085</x:v>
      </x:c>
      <x:c r="AI58" s="13" t="n">
        <x:v>28</x:v>
      </x:c>
      <x:c r="AJ58" s="13" t="n">
        <x:v>4964494.310000002</x:v>
      </x:c>
      <x:c r="AK58" s="13" t="n">
        <x:v>0.8254801903265472</x:v>
      </x:c>
      <x:c r="AL58" s="13" t="n">
        <x:v>0.1056338028169014</x:v>
      </x:c>
      <x:c r="AM58" s="13" t="n">
        <x:v>0.017716535433070866</x:v>
      </x:c>
      <x:c r="AN58" s="13" t="n">
        <x:v>0.38304115051801824</x:v>
      </x:c>
      <x:c r="AO58" s="13" t="n">
        <x:v>1.37916434456313</x:v>
      </x:c>
      <x:c r="AP58" s="13" t="n">
        <x:v>0.06746424004361225</x:v>
      </x:c>
    </x:row>
    <x:row r="59" ht="15" hidden="0" customHeight="1">
      <x:c r="A59" s="2" t="str">
        <x:v>E58</x:v>
      </x:c>
      <x:c r="B59" s="2" t="str">
        <x:v>***油气工程建设有限责任公司</x:v>
      </x:c>
      <x:c r="C59" s="2" t="str">
        <x:v>有信贷记录</x:v>
      </x:c>
      <x:c r="D59" s="2" t="str">
        <x:v>B</x:v>
      </x:c>
      <x:c r="E59" s="2" t="str">
        <x:v>否</x:v>
      </x:c>
      <x:c r="F59" s="13" t="n">
        <x:v>1352</x:v>
      </x:c>
      <x:c r="G59" s="13" t="n">
        <x:v>1313</x:v>
      </x:c>
      <x:c r="H59" s="13" t="n">
        <x:v>39</x:v>
      </x:c>
      <x:c r="I59" s="13" t="n">
        <x:v>9</x:v>
      </x:c>
      <x:c r="J59" s="13" t="n">
        <x:v>7112292.240000001</x:v>
      </x:c>
      <x:c r="K59" s="13" t="n">
        <x:v>7188644.020000001</x:v>
      </x:c>
      <x:c r="L59" s="13" t="n">
        <x:v>354</x:v>
      </x:c>
      <x:c r="M59" s="13" t="n">
        <x:v>0.028846153846153848</x:v>
      </x:c>
      <x:c r="N59" s="13" t="n">
        <x:v>0.006854531607006854</x:v>
      </x:c>
      <x:c r="O59" s="13" t="n">
        <x:v>0.16880937233991244</x:v>
      </x:c>
      <x:c r="P59" s="13" t="n">
        <x:v>0.33385990366511425</x:v>
      </x:c>
      <x:c r="Q59" s="13" t="n">
        <x:v>237076.40799999997</x:v>
      </x:c>
      <x:c r="R59" s="13" t="n">
        <x:v>2.1317744341371205</x:v>
      </x:c>
      <x:c r="S59" s="13" t="n">
        <x:v>0.07721029817222107</x:v>
      </x:c>
      <x:c r="T59" s="13" t="n">
        <x:v>29</x:v>
      </x:c>
      <x:c r="U59" s="13" t="n">
        <x:v>388</x:v>
      </x:c>
      <x:c r="V59" s="13" t="n">
        <x:v>284</x:v>
      </x:c>
      <x:c r="W59" s="13" t="n">
        <x:v>104</x:v>
      </x:c>
      <x:c r="X59" s="13" t="n">
        <x:v>6</x:v>
      </x:c>
      <x:c r="Y59" s="13" t="n">
        <x:v>24093807.509999998</x:v>
      </x:c>
      <x:c r="Z59" s="13" t="n">
        <x:v>24943011.07</x:v>
      </x:c>
      <x:c r="AA59" s="13" t="n">
        <x:v>23</x:v>
      </x:c>
      <x:c r="AB59" s="13" t="n">
        <x:v>0.26804123711340205</x:v>
      </x:c>
      <x:c r="AC59" s="13" t="n">
        <x:v>0.02112676056338028</x:v>
      </x:c>
      <x:c r="AD59" s="13" t="n">
        <x:v>0.21186651842774695</x:v>
      </x:c>
      <x:c r="AE59" s="13" t="n">
        <x:v>0.3708807659202952</x:v>
      </x:c>
      <x:c r="AF59" s="13" t="n">
        <x:v>860493.1253571428</x:v>
      </x:c>
      <x:c r="AG59" s="13" t="n">
        <x:v>1.2261054570845895</x:v>
      </x:c>
      <x:c r="AH59" s="13" t="n">
        <x:v>0.06134395893102024</x:v>
      </x:c>
      <x:c r="AI59" s="13" t="n">
        <x:v>25</x:v>
      </x:c>
      <x:c r="AJ59" s="13" t="n">
        <x:v>16981515.269999996</x:v>
      </x:c>
      <x:c r="AK59" s="13" t="n">
        <x:v>0.2882027354205878</x:v>
      </x:c>
      <x:c r="AL59" s="13" t="n">
        <x:v>0.08218390804597701</x:v>
      </x:c>
      <x:c r="AM59" s="13" t="n">
        <x:v>0.00939261114589856</x:v>
      </x:c>
      <x:c r="AN59" s="13" t="n">
        <x:v>0.1903379453838297</x:v>
      </x:c>
      <x:c r="AO59" s="13" t="n">
        <x:v>1.6789399456108551</x:v>
      </x:c>
      <x:c r="AP59" s="13" t="n">
        <x:v>0.06927712855162066</x:v>
      </x:c>
    </x:row>
    <x:row r="60" ht="15" hidden="0" customHeight="1">
      <x:c r="A60" s="2" t="str">
        <x:v>E59</x:v>
      </x:c>
      <x:c r="B60" s="2" t="str">
        <x:v>***商贸有限公司</x:v>
      </x:c>
      <x:c r="C60" s="2" t="str">
        <x:v>有信贷记录</x:v>
      </x:c>
      <x:c r="D60" s="2" t="str">
        <x:v>A</x:v>
      </x:c>
      <x:c r="E60" s="2" t="str">
        <x:v>否</x:v>
      </x:c>
      <x:c r="F60" s="13" t="n">
        <x:v>549</x:v>
      </x:c>
      <x:c r="G60" s="13" t="n">
        <x:v>532</x:v>
      </x:c>
      <x:c r="H60" s="13" t="n">
        <x:v>17</x:v>
      </x:c>
      <x:c r="I60" s="13" t="n">
        <x:v>0</x:v>
      </x:c>
      <x:c r="J60" s="13" t="n">
        <x:v>21185926.360000003</x:v>
      </x:c>
      <x:c r="K60" s="13" t="n">
        <x:v>21185926.360000003</x:v>
      </x:c>
      <x:c r="L60" s="13" t="n">
        <x:v>76</x:v>
      </x:c>
      <x:c r="M60" s="13" t="n">
        <x:v>0.030965391621129327</x:v>
      </x:c>
      <x:c r="N60" s="13" t="n">
        <x:v>0</x:v>
      </x:c>
      <x:c r="O60" s="13" t="n">
        <x:v>0.14796138835705702</x:v>
      </x:c>
      <x:c r="P60" s="13" t="n">
        <x:v>0.23623027924090265</x:v>
      </x:c>
      <x:c r="Q60" s="13" t="n">
        <x:v>572592.6043243244</x:v>
      </x:c>
      <x:c r="R60" s="13" t="n">
        <x:v>0.5309263487710738</x:v>
      </x:c>
      <x:c r="S60" s="13" t="n">
        <x:v>-0.0037686042202984336</x:v>
      </x:c>
      <x:c r="T60" s="13" t="n">
        <x:v>37</x:v>
      </x:c>
      <x:c r="U60" s="13" t="n">
        <x:v>2149</x:v>
      </x:c>
      <x:c r="V60" s="13" t="n">
        <x:v>2067</x:v>
      </x:c>
      <x:c r="W60" s="13" t="n">
        <x:v>82</x:v>
      </x:c>
      <x:c r="X60" s="13" t="n">
        <x:v>2</x:v>
      </x:c>
      <x:c r="Y60" s="13" t="n">
        <x:v>30932889.160000004</x:v>
      </x:c>
      <x:c r="Z60" s="13" t="n">
        <x:v>30979669.040000003</x:v>
      </x:c>
      <x:c r="AA60" s="13" t="n">
        <x:v>186</x:v>
      </x:c>
      <x:c r="AB60" s="13" t="n">
        <x:v>0.03815728245695672</x:v>
      </x:c>
      <x:c r="AC60" s="13" t="n">
        <x:v>0.0009675858732462506</x:v>
      </x:c>
      <x:c r="AD60" s="13" t="n">
        <x:v>0.02591282671903705</x:v>
      </x:c>
      <x:c r="AE60" s="13" t="n">
        <x:v>0.08647817336398504</x:v>
      </x:c>
      <x:c r="AF60" s="13" t="n">
        <x:v>836024.0313513514</x:v>
      </x:c>
      <x:c r="AG60" s="13" t="n">
        <x:v>0.6287842203536053</x:v>
      </x:c>
      <x:c r="AH60" s="13" t="n">
        <x:v>0.004116321589460112</x:v>
      </x:c>
      <x:c r="AI60" s="13" t="n">
        <x:v>37</x:v>
      </x:c>
      <x:c r="AJ60" s="13" t="n">
        <x:v>9746962.8</x:v>
      </x:c>
      <x:c r="AK60" s="13" t="n">
        <x:v>0.6838654839290046</x:v>
      </x:c>
      <x:c r="AL60" s="13" t="n">
        <x:v>0.03669384729429207</x:v>
      </x:c>
      <x:c r="AM60" s="13" t="n">
        <x:v>0.0007695267410542517</x:v>
      </x:c>
      <x:c r="AN60" s="13" t="n">
        <x:v>0.08693710753804704</x:v>
      </x:c>
      <x:c r="AO60" s="13" t="n">
        <x:v>0.5798552845623395</x:v>
      </x:c>
      <x:c r="AP60" s="13" t="n">
        <x:v>0.0001738586845808391</x:v>
      </x:c>
    </x:row>
    <x:row r="61" ht="15" hidden="0" customHeight="1">
      <x:c r="A61" s="2" t="str">
        <x:v>E60</x:v>
      </x:c>
      <x:c r="B61" s="2" t="str">
        <x:v>***机械租赁有限公司</x:v>
      </x:c>
      <x:c r="C61" s="2" t="str">
        <x:v>有信贷记录</x:v>
      </x:c>
      <x:c r="D61" s="2" t="str">
        <x:v>B</x:v>
      </x:c>
      <x:c r="E61" s="2" t="str">
        <x:v>否</x:v>
      </x:c>
      <x:c r="F61" s="13" t="n">
        <x:v>538</x:v>
      </x:c>
      <x:c r="G61" s="13" t="n">
        <x:v>530</x:v>
      </x:c>
      <x:c r="H61" s="13" t="n">
        <x:v>8</x:v>
      </x:c>
      <x:c r="I61" s="13" t="n">
        <x:v>0</x:v>
      </x:c>
      <x:c r="J61" s="13" t="n">
        <x:v>5375422.57</x:v>
      </x:c>
      <x:c r="K61" s="13" t="n">
        <x:v>5375422.57</x:v>
      </x:c>
      <x:c r="L61" s="13" t="n">
        <x:v>129</x:v>
      </x:c>
      <x:c r="M61" s="13" t="n">
        <x:v>0.01486988847583643</x:v>
      </x:c>
      <x:c r="N61" s="13" t="n">
        <x:v>0</x:v>
      </x:c>
      <x:c r="O61" s="13" t="n">
        <x:v>0.26706648718358794</x:v>
      </x:c>
      <x:c r="P61" s="13" t="n">
        <x:v>0.45949875899709963</x:v>
      </x:c>
      <x:c r="Q61" s="13" t="n">
        <x:v>191979.37749999997</x:v>
      </x:c>
      <x:c r="R61" s="13" t="n">
        <x:v>2.513266778316404</x:v>
      </x:c>
      <x:c r="S61" s="13" t="n">
        <x:v>-0.07329462349784335</x:v>
      </x:c>
      <x:c r="T61" s="13" t="n">
        <x:v>28</x:v>
      </x:c>
      <x:c r="U61" s="13" t="n">
        <x:v>513</x:v>
      </x:c>
      <x:c r="V61" s="13" t="n">
        <x:v>424</x:v>
      </x:c>
      <x:c r="W61" s="13" t="n">
        <x:v>89</x:v>
      </x:c>
      <x:c r="X61" s="13" t="n">
        <x:v>1</x:v>
      </x:c>
      <x:c r="Y61" s="13" t="n">
        <x:v>8208945</x:v>
      </x:c>
      <x:c r="Z61" s="13" t="n">
        <x:v>8357393</x:v>
      </x:c>
      <x:c r="AA61" s="13" t="n">
        <x:v>8</x:v>
      </x:c>
      <x:c r="AB61" s="13" t="n">
        <x:v>0.17348927875243664</x:v>
      </x:c>
      <x:c r="AC61" s="13" t="n">
        <x:v>0.0023584905660377358</x:v>
      </x:c>
      <x:c r="AD61" s="13" t="n">
        <x:v>0.24998610388333614</x:v>
      </x:c>
      <x:c r="AE61" s="13" t="n">
        <x:v>0.43728744119129015</x:v>
      </x:c>
      <x:c r="AF61" s="13" t="n">
        <x:v>304035</x:v>
      </x:c>
      <x:c r="AG61" s="13" t="n">
        <x:v>1.2240352935262537</x:v>
      </x:c>
      <x:c r="AH61" s="13" t="n">
        <x:v>0.03310300230720565</x:v>
      </x:c>
      <x:c r="AI61" s="13" t="n">
        <x:v>21</x:v>
      </x:c>
      <x:c r="AJ61" s="13" t="n">
        <x:v>2833522.4299999997</x:v>
      </x:c>
      <x:c r="AK61" s="13" t="n">
        <x:v>0.643193705261916</x:v>
      </x:c>
      <x:c r="AL61" s="13" t="n">
        <x:v>0.0922930542340628</x:v>
      </x:c>
      <x:c r="AM61" s="13" t="n">
        <x:v>0.0010482180293501049</x:v>
      </x:c>
      <x:c r="AN61" s="13" t="n">
        <x:v>0.25852629553346207</x:v>
      </x:c>
      <x:c r="AO61" s="13" t="n">
        <x:v>1.8686510359213289</x:v>
      </x:c>
      <x:c r="AP61" s="13" t="n">
        <x:v>-0.020095810595318852</x:v>
      </x:c>
    </x:row>
    <x:row r="62" ht="15" hidden="0" customHeight="1">
      <x:c r="A62" s="2" t="str">
        <x:v>E61</x:v>
      </x:c>
      <x:c r="B62" s="2" t="str">
        <x:v>***调味品有限公司</x:v>
      </x:c>
      <x:c r="C62" s="2" t="str">
        <x:v>有信贷记录</x:v>
      </x:c>
      <x:c r="D62" s="2" t="str">
        <x:v>B</x:v>
      </x:c>
      <x:c r="E62" s="2" t="str">
        <x:v>否</x:v>
      </x:c>
      <x:c r="F62" s="13" t="n">
        <x:v>212</x:v>
      </x:c>
      <x:c r="G62" s="13" t="n">
        <x:v>209</x:v>
      </x:c>
      <x:c r="H62" s="13" t="n">
        <x:v>3</x:v>
      </x:c>
      <x:c r="I62" s="13" t="n">
        <x:v>2</x:v>
      </x:c>
      <x:c r="J62" s="13" t="n">
        <x:v>932031.18</x:v>
      </x:c>
      <x:c r="K62" s="13" t="n">
        <x:v>1057074.3800000001</x:v>
      </x:c>
      <x:c r="L62" s="13" t="n">
        <x:v>44</x:v>
      </x:c>
      <x:c r="M62" s="13" t="n">
        <x:v>0.014150943396226415</x:v>
      </x:c>
      <x:c r="N62" s="13" t="n">
        <x:v>0.009569377990430622</x:v>
      </x:c>
      <x:c r="O62" s="13" t="n">
        <x:v>0.10107863523746081</x:v>
      </x:c>
      <x:c r="P62" s="13" t="n">
        <x:v>0.19016258818040788</x:v>
      </x:c>
      <x:c r="Q62" s="13" t="n">
        <x:v>25190.031891891893</x:v>
      </x:c>
      <x:c r="R62" s="13" t="n">
        <x:v>1.1184007676122</x:v>
      </x:c>
      <x:c r="S62" s="13" t="n">
        <x:v>0.0040036630782187025</x:v>
      </x:c>
      <x:c r="T62" s="13" t="n">
        <x:v>32</x:v>
      </x:c>
      <x:c r="U62" s="13" t="n">
        <x:v>1332</x:v>
      </x:c>
      <x:c r="V62" s="13" t="n">
        <x:v>1307</x:v>
      </x:c>
      <x:c r="W62" s="13" t="n">
        <x:v>25</x:v>
      </x:c>
      <x:c r="X62" s="13" t="n">
        <x:v>40</x:v>
      </x:c>
      <x:c r="Y62" s="13" t="n">
        <x:v>12120706.2</x:v>
      </x:c>
      <x:c r="Z62" s="13" t="n">
        <x:v>12876770.2</x:v>
      </x:c>
      <x:c r="AA62" s="13" t="n">
        <x:v>66</x:v>
      </x:c>
      <x:c r="AB62" s="13" t="n">
        <x:v>0.01876876876876877</x:v>
      </x:c>
      <x:c r="AC62" s="13" t="n">
        <x:v>0.030604437643458302</x:v>
      </x:c>
      <x:c r="AD62" s="13" t="n">
        <x:v>0.1072759395049321</x:v>
      </x:c>
      <x:c r="AE62" s="13" t="n">
        <x:v>0.24329636635124544</x:v>
      </x:c>
      <x:c r="AF62" s="13" t="n">
        <x:v>327586.65405405406</x:v>
      </x:c>
      <x:c r="AG62" s="13" t="n">
        <x:v>0.3518663422179294</x:v>
      </x:c>
      <x:c r="AH62" s="13" t="n">
        <x:v>-0.007078038018795087</x:v>
      </x:c>
      <x:c r="AI62" s="13" t="n">
        <x:v>37</x:v>
      </x:c>
      <x:c r="AJ62" s="13" t="n">
        <x:v>11188675.02</x:v>
      </x:c>
      <x:c r="AK62" s="13" t="n">
        <x:v>0.08209157759140565</x:v>
      </x:c>
      <x:c r="AL62" s="13" t="n">
        <x:v>0.018134715025906734</x:v>
      </x:c>
      <x:c r="AM62" s="13" t="n">
        <x:v>0.027704485488126648</x:v>
      </x:c>
      <x:c r="AN62" s="13" t="n">
        <x:v>0.10417728737119646</x:v>
      </x:c>
      <x:c r="AO62" s="13" t="n">
        <x:v>0.7351335549150647</x:v>
      </x:c>
      <x:c r="AP62" s="13" t="n">
        <x:v>-0.0015371874702881923</x:v>
      </x:c>
    </x:row>
    <x:row r="63" ht="15" hidden="0" customHeight="1">
      <x:c r="A63" s="2" t="str">
        <x:v>E62</x:v>
      </x:c>
      <x:c r="B63" s="2" t="str">
        <x:v>***工程造价咨询有限公司***分公司</x:v>
      </x:c>
      <x:c r="C63" s="2" t="str">
        <x:v>有信贷记录</x:v>
      </x:c>
      <x:c r="D63" s="2" t="str">
        <x:v>B</x:v>
      </x:c>
      <x:c r="E63" s="2" t="str">
        <x:v>否</x:v>
      </x:c>
      <x:c r="F63" s="13" t="n">
        <x:v>530</x:v>
      </x:c>
      <x:c r="G63" s="13" t="n">
        <x:v>527</x:v>
      </x:c>
      <x:c r="H63" s="13" t="n">
        <x:v>3</x:v>
      </x:c>
      <x:c r="I63" s="13" t="n">
        <x:v>0</x:v>
      </x:c>
      <x:c r="J63" s="13" t="n">
        <x:v>1238870.98</x:v>
      </x:c>
      <x:c r="K63" s="13" t="n">
        <x:v>1238870.98</x:v>
      </x:c>
      <x:c r="L63" s="13" t="n">
        <x:v>148</x:v>
      </x:c>
      <x:c r="M63" s="13" t="n">
        <x:v>0.005660377358490566</x:v>
      </x:c>
      <x:c r="N63" s="13" t="n">
        <x:v>0</x:v>
      </x:c>
      <x:c r="O63" s="13" t="n">
        <x:v>0.20038940786433873</x:v>
      </x:c>
      <x:c r="P63" s="13" t="n">
        <x:v>0.4035932781313515</x:v>
      </x:c>
      <x:c r="Q63" s="13" t="n">
        <x:v>33482.99945945947</x:v>
      </x:c>
      <x:c r="R63" s="13" t="n">
        <x:v>1.8659979172462495</x:v>
      </x:c>
      <x:c r="S63" s="13" t="n">
        <x:v>0.03908700106591247</x:v>
      </x:c>
      <x:c r="T63" s="13" t="n">
        <x:v>36</x:v>
      </x:c>
      <x:c r="U63" s="13" t="n">
        <x:v>219</x:v>
      </x:c>
      <x:c r="V63" s="13" t="n">
        <x:v>191</x:v>
      </x:c>
      <x:c r="W63" s="13" t="n">
        <x:v>28</x:v>
      </x:c>
      <x:c r="X63" s="13" t="n">
        <x:v>23</x:v>
      </x:c>
      <x:c r="Y63" s="13" t="n">
        <x:v>10060112.139999999</x:v>
      </x:c>
      <x:c r="Z63" s="13" t="n">
        <x:v>13211201.58</x:v>
      </x:c>
      <x:c r="AA63" s="13" t="n">
        <x:v>30</x:v>
      </x:c>
      <x:c r="AB63" s="13" t="n">
        <x:v>0.1278538812785388</x:v>
      </x:c>
      <x:c r="AC63" s="13" t="n">
        <x:v>0.12041884816753927</x:v>
      </x:c>
      <x:c r="AD63" s="13" t="n">
        <x:v>0.14781108071908625</x:v>
      </x:c>
      <x:c r="AE63" s="13" t="n">
        <x:v>0.2709904695890652</x:v>
      </x:c>
      <x:c r="AF63" s="13" t="n">
        <x:v>271894.92270270275</x:v>
      </x:c>
      <x:c r="AG63" s="13" t="n">
        <x:v>1.1286679062416727</x:v>
      </x:c>
      <x:c r="AH63" s="13" t="n">
        <x:v>-0.019741391434294393</x:v>
      </x:c>
      <x:c r="AI63" s="13" t="n">
        <x:v>26</x:v>
      </x:c>
      <x:c r="AJ63" s="13" t="n">
        <x:v>8821241.159999998</x:v>
      </x:c>
      <x:c r="AK63" s="13" t="n">
        <x:v>0.09377428483685281</x:v>
      </x:c>
      <x:c r="AL63" s="13" t="n">
        <x:v>0.04138851802403204</x:v>
      </x:c>
      <x:c r="AM63" s="13" t="n">
        <x:v>0.03203342618384401</x:v>
      </x:c>
      <x:c r="AN63" s="13" t="n">
        <x:v>0.1741002442917125</x:v>
      </x:c>
      <x:c r="AO63" s="13" t="n">
        <x:v>1.497332911743961</x:v>
      </x:c>
      <x:c r="AP63" s="13" t="n">
        <x:v>0.00967280481580904</x:v>
      </x:c>
    </x:row>
    <x:row r="64" ht="15" hidden="0" customHeight="1">
      <x:c r="A64" s="2" t="str">
        <x:v>E63</x:v>
      </x:c>
      <x:c r="B64" s="2" t="str">
        <x:v>***科技有限公司</x:v>
      </x:c>
      <x:c r="C64" s="2" t="str">
        <x:v>有信贷记录</x:v>
      </x:c>
      <x:c r="D64" s="2" t="str">
        <x:v>B</x:v>
      </x:c>
      <x:c r="E64" s="2" t="str">
        <x:v>否</x:v>
      </x:c>
      <x:c r="F64" s="13" t="n">
        <x:v>1573</x:v>
      </x:c>
      <x:c r="G64" s="13" t="n">
        <x:v>1526</x:v>
      </x:c>
      <x:c r="H64" s="13" t="n">
        <x:v>47</x:v>
      </x:c>
      <x:c r="I64" s="13" t="n">
        <x:v>24</x:v>
      </x:c>
      <x:c r="J64" s="13" t="n">
        <x:v>39440184.87</x:v>
      </x:c>
      <x:c r="K64" s="13" t="n">
        <x:v>42464980.85</x:v>
      </x:c>
      <x:c r="L64" s="13" t="n">
        <x:v>293</x:v>
      </x:c>
      <x:c r="M64" s="13" t="n">
        <x:v>0.029879211697393517</x:v>
      </x:c>
      <x:c r="N64" s="13" t="n">
        <x:v>0.015727391874180863</x:v>
      </x:c>
      <x:c r="O64" s="13" t="n">
        <x:v>0.7767166322135037</x:v>
      </x:c>
      <x:c r="P64" s="13" t="n">
        <x:v>0.8807482573019929</x:v>
      </x:c>
      <x:c r="Q64" s="13" t="n">
        <x:v>1037899.6018421052</x:v>
      </x:c>
      <x:c r="R64" s="13" t="n">
        <x:v>1.19913832215972</x:v>
      </x:c>
      <x:c r="S64" s="13" t="n">
        <x:v>-0.06531183617003687</x:v>
      </x:c>
      <x:c r="T64" s="13" t="n">
        <x:v>38</x:v>
      </x:c>
      <x:c r="U64" s="13" t="n">
        <x:v>673</x:v>
      </x:c>
      <x:c r="V64" s="13" t="n">
        <x:v>625</x:v>
      </x:c>
      <x:c r="W64" s="13" t="n">
        <x:v>48</x:v>
      </x:c>
      <x:c r="X64" s="13" t="n">
        <x:v>3</x:v>
      </x:c>
      <x:c r="Y64" s="13" t="n">
        <x:v>54978242.44</x:v>
      </x:c>
      <x:c r="Z64" s="13" t="n">
        <x:v>55453260.44</x:v>
      </x:c>
      <x:c r="AA64" s="13" t="n">
        <x:v>42</x:v>
      </x:c>
      <x:c r="AB64" s="13" t="n">
        <x:v>0.0713224368499257</x:v>
      </x:c>
      <x:c r="AC64" s="13" t="n">
        <x:v>0.0048</x:v>
      </x:c>
      <x:c r="AD64" s="13" t="n">
        <x:v>0.18900861090349425</x:v>
      </x:c>
      <x:c r="AE64" s="13" t="n">
        <x:v>0.322860754407248</x:v>
      </x:c>
      <x:c r="AF64" s="13" t="n">
        <x:v>1963508.6585714284</x:v>
      </x:c>
      <x:c r="AG64" s="13" t="n">
        <x:v>0.9299210837636294</x:v>
      </x:c>
      <x:c r="AH64" s="13" t="n">
        <x:v>-0.04554266849225595</x:v>
      </x:c>
      <x:c r="AI64" s="13" t="n">
        <x:v>23</x:v>
      </x:c>
      <x:c r="AJ64" s="13" t="n">
        <x:v>15538057.57</x:v>
      </x:c>
      <x:c r="AK64" s="13" t="n">
        <x:v>0.7657796947024744</x:v>
      </x:c>
      <x:c r="AL64" s="13" t="n">
        <x:v>0.04229741763134461</x:v>
      </x:c>
      <x:c r="AM64" s="13" t="n">
        <x:v>0.012552301255230125</x:v>
      </x:c>
      <x:c r="AN64" s="13" t="n">
        <x:v>0.482862621558499</x:v>
      </x:c>
      <x:c r="AO64" s="13" t="n">
        <x:v>1.0645297029616747</x:v>
      </x:c>
      <x:c r="AP64" s="13" t="n">
        <x:v>-0.05542725233114641</x:v>
      </x:c>
    </x:row>
    <x:row r="65" ht="15" hidden="0" customHeight="1">
      <x:c r="A65" s="2" t="str">
        <x:v>E64</x:v>
      </x:c>
      <x:c r="B65" s="2" t="str">
        <x:v>***图书有限责任公司</x:v>
      </x:c>
      <x:c r="C65" s="2" t="str">
        <x:v>有信贷记录</x:v>
      </x:c>
      <x:c r="D65" s="2" t="str">
        <x:v>A</x:v>
      </x:c>
      <x:c r="E65" s="2" t="str">
        <x:v>否</x:v>
      </x:c>
      <x:c r="F65" s="13" t="n">
        <x:v>32</x:v>
      </x:c>
      <x:c r="G65" s="13" t="n">
        <x:v>32</x:v>
      </x:c>
      <x:c r="H65" s="13" t="n">
        <x:v>0</x:v>
      </x:c>
      <x:c r="I65" s="13" t="n">
        <x:v>0</x:v>
      </x:c>
      <x:c r="J65" s="13" t="n">
        <x:v>90634.05</x:v>
      </x:c>
      <x:c r="K65" s="13" t="n">
        <x:v>90634.05</x:v>
      </x:c>
      <x:c r="L65" s="13" t="n">
        <x:v>21</x:v>
      </x:c>
      <x:c r="M65" s="13" t="n">
        <x:v>0</x:v>
      </x:c>
      <x:c r="N65" s="13" t="n">
        <x:v>0</x:v>
      </x:c>
      <x:c r="O65" s="13" t="n">
        <x:v>0.43730388926862784</x:v>
      </x:c>
      <x:c r="P65" s="13" t="n">
        <x:v>0.6146917190614344</x:v>
      </x:c>
      <x:c r="Q65" s="13" t="n">
        <x:v>2746.486363636364</x:v>
      </x:c>
      <x:c r="R65" s="13" t="n">
        <x:v>2.6107968812984783</x:v>
      </x:c>
      <x:c r="S65" s="13" t="n">
        <x:v>-0.006834108606823195</x:v>
      </x:c>
      <x:c r="T65" s="13" t="n">
        <x:v>19</x:v>
      </x:c>
      <x:c r="U65" s="13" t="n">
        <x:v>1375</x:v>
      </x:c>
      <x:c r="V65" s="13" t="n">
        <x:v>1283</x:v>
      </x:c>
      <x:c r="W65" s="13" t="n">
        <x:v>92</x:v>
      </x:c>
      <x:c r="X65" s="13" t="n">
        <x:v>0</x:v>
      </x:c>
      <x:c r="Y65" s="13" t="n">
        <x:v>8944128.07</x:v>
      </x:c>
      <x:c r="Z65" s="13" t="n">
        <x:v>8944128.07</x:v>
      </x:c>
      <x:c r="AA65" s="13" t="n">
        <x:v>186</x:v>
      </x:c>
      <x:c r="AB65" s="13" t="n">
        <x:v>0.0669090909090909</x:v>
      </x:c>
      <x:c r="AC65" s="13" t="n">
        <x:v>0</x:v>
      </x:c>
      <x:c r="AD65" s="13" t="n">
        <x:v>0.07897212531675013</x:v>
      </x:c>
      <x:c r="AE65" s="13" t="n">
        <x:v>0.22624514700179155</x:v>
      </x:c>
      <x:c r="AF65" s="13" t="n">
        <x:v>241733.19108108114</x:v>
      </x:c>
      <x:c r="AG65" s="13" t="n">
        <x:v>0.8298130110275039</x:v>
      </x:c>
      <x:c r="AH65" s="13" t="n">
        <x:v>0.015098964389948604</x:v>
      </x:c>
      <x:c r="AI65" s="13" t="n">
        <x:v>34</x:v>
      </x:c>
      <x:c r="AJ65" s="13" t="n">
        <x:v>8853494.02</x:v>
      </x:c>
      <x:c r="AK65" s="13" t="n">
        <x:v>0.010133357806447418</x:v>
      </x:c>
      <x:c r="AL65" s="13" t="n">
        <x:v>0.06538734896943853</x:v>
      </x:c>
      <x:c r="AM65" s="13" t="n">
        <x:v>0</x:v>
      </x:c>
      <x:c r="AN65" s="13" t="n">
        <x:v>0.258138007292689</x:v>
      </x:c>
      <x:c r="AO65" s="13" t="n">
        <x:v>1.7203049461629911</x:v>
      </x:c>
      <x:c r="AP65" s="13" t="n">
        <x:v>0.004132427891562705</x:v>
      </x:c>
    </x:row>
    <x:row r="66" ht="15" hidden="0" customHeight="1">
      <x:c r="A66" s="2" t="str">
        <x:v>E65</x:v>
      </x:c>
      <x:c r="B66" s="2" t="str">
        <x:v>***商贸有限公司</x:v>
      </x:c>
      <x:c r="C66" s="2" t="str">
        <x:v>有信贷记录</x:v>
      </x:c>
      <x:c r="D66" s="2" t="str">
        <x:v>B</x:v>
      </x:c>
      <x:c r="E66" s="2" t="str">
        <x:v>否</x:v>
      </x:c>
      <x:c r="F66" s="13" t="n">
        <x:v>587</x:v>
      </x:c>
      <x:c r="G66" s="13" t="n">
        <x:v>579</x:v>
      </x:c>
      <x:c r="H66" s="13" t="n">
        <x:v>8</x:v>
      </x:c>
      <x:c r="I66" s="13" t="n">
        <x:v>0</x:v>
      </x:c>
      <x:c r="J66" s="13" t="n">
        <x:v>4839565.890000001</x:v>
      </x:c>
      <x:c r="K66" s="13" t="n">
        <x:v>4839565.890000001</x:v>
      </x:c>
      <x:c r="L66" s="13" t="n">
        <x:v>38</x:v>
      </x:c>
      <x:c r="M66" s="13" t="n">
        <x:v>0.013628620102214651</x:v>
      </x:c>
      <x:c r="N66" s="13" t="n">
        <x:v>0</x:v>
      </x:c>
      <x:c r="O66" s="13" t="n">
        <x:v>0.8249755307226453</x:v>
      </x:c>
      <x:c r="P66" s="13" t="n">
        <x:v>0.9077699322324961</x:v>
      </x:c>
      <x:c r="Q66" s="13" t="n">
        <x:v>138273.31114285713</x:v>
      </x:c>
      <x:c r="R66" s="13" t="n">
        <x:v>1.0147823707183083</x:v>
      </x:c>
      <x:c r="S66" s="13" t="n">
        <x:v>-0.013771276376147081</x:v>
      </x:c>
      <x:c r="T66" s="13" t="n">
        <x:v>33</x:v>
      </x:c>
      <x:c r="U66" s="13" t="n">
        <x:v>485</x:v>
      </x:c>
      <x:c r="V66" s="13" t="n">
        <x:v>455</x:v>
      </x:c>
      <x:c r="W66" s="13" t="n">
        <x:v>30</x:v>
      </x:c>
      <x:c r="X66" s="13" t="n">
        <x:v>7</x:v>
      </x:c>
      <x:c r="Y66" s="13" t="n">
        <x:v>8163565.499999999</x:v>
      </x:c>
      <x:c r="Z66" s="13" t="n">
        <x:v>8299211.619999999</x:v>
      </x:c>
      <x:c r="AA66" s="13" t="n">
        <x:v>58</x:v>
      </x:c>
      <x:c r="AB66" s="13" t="n">
        <x:v>0.061855670103092786</x:v>
      </x:c>
      <x:c r="AC66" s="13" t="n">
        <x:v>0.015384615384615385</x:v>
      </x:c>
      <x:c r="AD66" s="13" t="n">
        <x:v>0.1812098472442812</x:v>
      </x:c>
      <x:c r="AE66" s="13" t="n">
        <x:v>0.3923944356536362</x:v>
      </x:c>
      <x:c r="AF66" s="13" t="n">
        <x:v>226765.70833333337</x:v>
      </x:c>
      <x:c r="AG66" s="13" t="n">
        <x:v>0.4865236860256748</x:v>
      </x:c>
      <x:c r="AH66" s="13" t="n">
        <x:v>0.012019154312245695</x:v>
      </x:c>
      <x:c r="AI66" s="13" t="n">
        <x:v>36</x:v>
      </x:c>
      <x:c r="AJ66" s="13" t="n">
        <x:v>3323999.6099999985</x:v>
      </x:c>
      <x:c r="AK66" s="13" t="n">
        <x:v>0.5831356171635976</x:v>
      </x:c>
      <x:c r="AL66" s="13" t="n">
        <x:v>0.03544776119402985</x:v>
      </x:c>
      <x:c r="AM66" s="13" t="n">
        <x:v>0.006769825918762089</x:v>
      </x:c>
      <x:c r="AN66" s="13" t="n">
        <x:v>0.5030926889834633</x:v>
      </x:c>
      <x:c r="AO66" s="13" t="n">
        <x:v>0.7506530283719915</x:v>
      </x:c>
      <x:c r="AP66" s="13" t="n">
        <x:v>-0.000876061031950693</x:v>
      </x:c>
    </x:row>
    <x:row r="67" ht="15" hidden="0" customHeight="1">
      <x:c r="A67" s="2" t="str">
        <x:v>E66</x:v>
      </x:c>
      <x:c r="B67" s="2" t="str">
        <x:v>***快递有限公司</x:v>
      </x:c>
      <x:c r="C67" s="2" t="str">
        <x:v>有信贷记录</x:v>
      </x:c>
      <x:c r="D67" s="2" t="str">
        <x:v>B</x:v>
      </x:c>
      <x:c r="E67" s="2" t="str">
        <x:v>否</x:v>
      </x:c>
      <x:c r="F67" s="13" t="n">
        <x:v>577</x:v>
      </x:c>
      <x:c r="G67" s="13" t="n">
        <x:v>575</x:v>
      </x:c>
      <x:c r="H67" s="13" t="n">
        <x:v>2</x:v>
      </x:c>
      <x:c r="I67" s="13" t="n">
        <x:v>1</x:v>
      </x:c>
      <x:c r="J67" s="13" t="n">
        <x:v>5378108.3100000005</x:v>
      </x:c>
      <x:c r="K67" s="13" t="n">
        <x:v>5380906.3100000005</x:v>
      </x:c>
      <x:c r="L67" s="13" t="n">
        <x:v>30</x:v>
      </x:c>
      <x:c r="M67" s="13" t="n">
        <x:v>0.0034662045060658577</x:v>
      </x:c>
      <x:c r="N67" s="13" t="n">
        <x:v>0.0017391304347826088</x:v>
      </x:c>
      <x:c r="O67" s="13" t="n">
        <x:v>0.8077734312257288</x:v>
      </x:c>
      <x:c r="P67" s="13" t="n">
        <x:v>0.8964646812443756</x:v>
      </x:c>
      <x:c r="Q67" s="13" t="n">
        <x:v>168065.88468750002</x:v>
      </x:c>
      <x:c r="R67" s="13" t="n">
        <x:v>1.0449366542564118</x:v>
      </x:c>
      <x:c r="S67" s="13" t="n">
        <x:v>0.03877394796997962</x:v>
      </x:c>
      <x:c r="T67" s="13" t="n">
        <x:v>32</x:v>
      </x:c>
      <x:c r="U67" s="13" t="n">
        <x:v>679</x:v>
      </x:c>
      <x:c r="V67" s="13" t="n">
        <x:v>628</x:v>
      </x:c>
      <x:c r="W67" s="13" t="n">
        <x:v>51</x:v>
      </x:c>
      <x:c r="X67" s="13" t="n">
        <x:v>6</x:v>
      </x:c>
      <x:c r="Y67" s="13" t="n">
        <x:v>5029933.5</x:v>
      </x:c>
      <x:c r="Z67" s="13" t="n">
        <x:v>5067333.800000001</x:v>
      </x:c>
      <x:c r="AA67" s="13" t="n">
        <x:v>156</x:v>
      </x:c>
      <x:c r="AB67" s="13" t="n">
        <x:v>0.07511045655375552</x:v>
      </x:c>
      <x:c r="AC67" s="13" t="n">
        <x:v>0.009554140127388535</x:v>
      </x:c>
      <x:c r="AD67" s="13" t="n">
        <x:v>0.15818191089464267</x:v>
      </x:c>
      <x:c r="AE67" s="13" t="n">
        <x:v>0.3465382130539733</x:v>
      </x:c>
      <x:c r="AF67" s="13" t="n">
        <x:v>186293.83333333334</x:v>
      </x:c>
      <x:c r="AG67" s="13" t="n">
        <x:v>1.118827120313128</x:v>
      </x:c>
      <x:c r="AH67" s="13" t="n">
        <x:v>0.10400799318237933</x:v>
      </x:c>
      <x:c r="AI67" s="13" t="n">
        <x:v>27</x:v>
      </x:c>
      <x:c r="AJ67" s="13" t="n">
        <x:v>-348174.8100000005</x:v>
      </x:c>
      <x:c r="AK67" s="13" t="n">
        <x:v>1.06188116322631</x:v>
      </x:c>
      <x:c r="AL67" s="13" t="n">
        <x:v>0.04219745222929936</x:v>
      </x:c>
      <x:c r="AM67" s="13" t="n">
        <x:v>0.005818786367414797</x:v>
      </x:c>
      <x:c r="AN67" s="13" t="n">
        <x:v>0.48297767106018574</x:v>
      </x:c>
      <x:c r="AO67" s="13" t="n">
        <x:v>1.0818818872847697</x:v>
      </x:c>
      <x:c r="AP67" s="13" t="n">
        <x:v>0.07139097057617948</x:v>
      </x:c>
    </x:row>
    <x:row r="68" ht="15" hidden="0" customHeight="1">
      <x:c r="A68" s="2" t="str">
        <x:v>E67</x:v>
      </x:c>
      <x:c r="B68" s="2" t="str">
        <x:v>***信息技术有限公司</x:v>
      </x:c>
      <x:c r="C68" s="2" t="str">
        <x:v>有信贷记录</x:v>
      </x:c>
      <x:c r="D68" s="2" t="str">
        <x:v>B</x:v>
      </x:c>
      <x:c r="E68" s="2" t="str">
        <x:v>否</x:v>
      </x:c>
      <x:c r="F68" s="13" t="n">
        <x:v>647</x:v>
      </x:c>
      <x:c r="G68" s="13" t="n">
        <x:v>627</x:v>
      </x:c>
      <x:c r="H68" s="13" t="n">
        <x:v>20</x:v>
      </x:c>
      <x:c r="I68" s="13" t="n">
        <x:v>2</x:v>
      </x:c>
      <x:c r="J68" s="13" t="n">
        <x:v>1290298.95</x:v>
      </x:c>
      <x:c r="K68" s="13" t="n">
        <x:v>1299500.55</x:v>
      </x:c>
      <x:c r="L68" s="13" t="n">
        <x:v>196</x:v>
      </x:c>
      <x:c r="M68" s="13" t="n">
        <x:v>0.030911901081916538</x:v>
      </x:c>
      <x:c r="N68" s="13" t="n">
        <x:v>0.003189792663476874</x:v>
      </x:c>
      <x:c r="O68" s="13" t="n">
        <x:v>0.05689628801496664</x:v>
      </x:c>
      <x:c r="P68" s="13" t="n">
        <x:v>0.12481718457141092</x:v>
      </x:c>
      <x:c r="Q68" s="13" t="n">
        <x:v>33955.23552631579</x:v>
      </x:c>
      <x:c r="R68" s="13" t="n">
        <x:v>2.265852582418835</x:v>
      </x:c>
      <x:c r="S68" s="13" t="n">
        <x:v>0.08009064789003807</x:v>
      </x:c>
      <x:c r="T68" s="13" t="n">
        <x:v>38</x:v>
      </x:c>
      <x:c r="U68" s="13" t="n">
        <x:v>215</x:v>
      </x:c>
      <x:c r="V68" s="13" t="n">
        <x:v>192</x:v>
      </x:c>
      <x:c r="W68" s="13" t="n">
        <x:v>23</x:v>
      </x:c>
      <x:c r="X68" s="13" t="n">
        <x:v>3</x:v>
      </x:c>
      <x:c r="Y68" s="13" t="n">
        <x:v>5791410</x:v>
      </x:c>
      <x:c r="Z68" s="13" t="n">
        <x:v>6021410</x:v>
      </x:c>
      <x:c r="AA68" s="13" t="n">
        <x:v>24</x:v>
      </x:c>
      <x:c r="AB68" s="13" t="n">
        <x:v>0.10697674418604651</x:v>
      </x:c>
      <x:c r="AC68" s="13" t="n">
        <x:v>0.015625</x:v>
      </x:c>
      <x:c r="AD68" s="13" t="n">
        <x:v>0.1274734041128835</x:v>
      </x:c>
      <x:c r="AE68" s="13" t="n">
        <x:v>0.24520104095220221</x:v>
      </x:c>
      <x:c r="AF68" s="13" t="n">
        <x:v>170335.58823529413</x:v>
      </x:c>
      <x:c r="AG68" s="13" t="n">
        <x:v>1.4857318360132554</x:v>
      </x:c>
      <x:c r="AH68" s="13" t="n">
        <x:v>0.07759215983492927</x:v>
      </x:c>
      <x:c r="AI68" s="13" t="n">
        <x:v>24</x:v>
      </x:c>
      <x:c r="AJ68" s="13" t="n">
        <x:v>4501111.05</x:v>
      </x:c>
      <x:c r="AK68" s="13" t="n">
        <x:v>0.21581333109686932</x:v>
      </x:c>
      <x:c r="AL68" s="13" t="n">
        <x:v>0.04988399071925754</x:v>
      </x:c>
      <x:c r="AM68" s="13" t="n">
        <x:v>0.006105006105006105</x:v>
      </x:c>
      <x:c r="AN68" s="13" t="n">
        <x:v>0.09218484606392507</x:v>
      </x:c>
      <x:c r="AO68" s="13" t="n">
        <x:v>1.8757922092160453</x:v>
      </x:c>
      <x:c r="AP68" s="13" t="n">
        <x:v>0.07884140386248367</x:v>
      </x:c>
    </x:row>
    <x:row r="69" ht="15" hidden="0" customHeight="1">
      <x:c r="A69" s="2" t="str">
        <x:v>E68</x:v>
      </x:c>
      <x:c r="B69" s="2" t="str">
        <x:v>***花木总公司</x:v>
      </x:c>
      <x:c r="C69" s="2" t="str">
        <x:v>有信贷记录</x:v>
      </x:c>
      <x:c r="D69" s="2" t="str">
        <x:v>C</x:v>
      </x:c>
      <x:c r="E69" s="2" t="str">
        <x:v>否</x:v>
      </x:c>
      <x:c r="F69" s="13" t="n">
        <x:v>3</x:v>
      </x:c>
      <x:c r="G69" s="13" t="n">
        <x:v>3</x:v>
      </x:c>
      <x:c r="H69" s="13" t="n">
        <x:v>0</x:v>
      </x:c>
      <x:c r="I69" s="13" t="n">
        <x:v>0</x:v>
      </x:c>
      <x:c r="J69" s="13" t="n">
        <x:v>740</x:v>
      </x:c>
      <x:c r="K69" s="13" t="n">
        <x:v>740</x:v>
      </x:c>
      <x:c r="L69" s="13" t="n">
        <x:v>2</x:v>
      </x:c>
      <x:c r="M69" s="13" t="n">
        <x:v>0</x:v>
      </x:c>
      <x:c r="N69" s="13" t="n">
        <x:v>0</x:v>
      </x:c>
      <x:c r="O69" s="13" t="n">
        <x:v>0.6318480642804968</x:v>
      </x:c>
      <x:c r="P69" s="13" t="n">
        <x:v>0.7567567567567568</x:v>
      </x:c>
      <x:c r="Q69" s="13" t="n">
        <x:v>49.333333333333336</x:v>
      </x:c>
      <x:c r="R69" s="13" t="n">
        <x:v>2.045144260757746</x:v>
      </x:c>
      <x:c r="S69" s="13" t="n">
        <x:v>-0.05067567567464844</x:v>
      </x:c>
      <x:c r="T69" s="13" t="n">
        <x:v>3</x:v>
      </x:c>
      <x:c r="U69" s="13" t="n">
        <x:v>73</x:v>
      </x:c>
      <x:c r="V69" s="13" t="n">
        <x:v>65</x:v>
      </x:c>
      <x:c r="W69" s="13" t="n">
        <x:v>8</x:v>
      </x:c>
      <x:c r="X69" s="13" t="n">
        <x:v>0</x:v>
      </x:c>
      <x:c r="Y69" s="13" t="n">
        <x:v>5957078.2</x:v>
      </x:c>
      <x:c r="Z69" s="13" t="n">
        <x:v>5957078.2</x:v>
      </x:c>
      <x:c r="AA69" s="13" t="n">
        <x:v>8</x:v>
      </x:c>
      <x:c r="AB69" s="13" t="n">
        <x:v>0.1095890410958904</x:v>
      </x:c>
      <x:c r="AC69" s="13" t="n">
        <x:v>0</x:v>
      </x:c>
      <x:c r="AD69" s="13" t="n">
        <x:v>0.47661169869236575</x:v>
      </x:c>
      <x:c r="AE69" s="13" t="n">
        <x:v>0.600033452641263</x:v>
      </x:c>
      <x:c r="AF69" s="13" t="n">
        <x:v>259003.4</x:v>
      </x:c>
      <x:c r="AG69" s="13" t="n">
        <x:v>1.852852738399058</x:v>
      </x:c>
      <x:c r="AH69" s="13" t="n">
        <x:v>-0.09148284457486343</x:v>
      </x:c>
      <x:c r="AI69" s="13" t="n">
        <x:v>11</x:v>
      </x:c>
      <x:c r="AJ69" s="13" t="n">
        <x:v>5956338.2</x:v>
      </x:c>
      <x:c r="AK69" s="13" t="n">
        <x:v>0.000324549550467228</x:v>
      </x:c>
      <x:c r="AL69" s="13" t="n">
        <x:v>0.10526315789473684</x:v>
      </x:c>
      <x:c r="AM69" s="13" t="n">
        <x:v>0</x:v>
      </x:c>
      <x:c r="AN69" s="13" t="n">
        <x:v>0.5542298814864313</x:v>
      </x:c>
      <x:c r="AO69" s="13" t="n">
        <x:v>1.9489984995784022</x:v>
      </x:c>
      <x:c r="AP69" s="13" t="n">
        <x:v>-0.07107926012475593</x:v>
      </x:c>
    </x:row>
    <x:row r="70" ht="15" hidden="0" customHeight="1">
      <x:c r="A70" s="2" t="str">
        <x:v>E69</x:v>
      </x:c>
      <x:c r="B70" s="2" t="str">
        <x:v>***电子器材经营部</x:v>
      </x:c>
      <x:c r="C70" s="2" t="str">
        <x:v>有信贷记录</x:v>
      </x:c>
      <x:c r="D70" s="2" t="str">
        <x:v>C</x:v>
      </x:c>
      <x:c r="E70" s="2" t="str">
        <x:v>否</x:v>
      </x:c>
      <x:c r="F70" s="13" t="n">
        <x:v>2</x:v>
      </x:c>
      <x:c r="G70" s="13" t="n">
        <x:v>2</x:v>
      </x:c>
      <x:c r="H70" s="13" t="n">
        <x:v>0</x:v>
      </x:c>
      <x:c r="I70" s="13" t="n">
        <x:v>0</x:v>
      </x:c>
      <x:c r="J70" s="13" t="n">
        <x:v>3250</x:v>
      </x:c>
      <x:c r="K70" s="13" t="n">
        <x:v>3250</x:v>
      </x:c>
      <x:c r="L70" s="13" t="n">
        <x:v>1</x:v>
      </x:c>
      <x:c r="M70" s="13" t="n">
        <x:v>0</x:v>
      </x:c>
      <x:c r="N70" s="13" t="n">
        <x:v>0</x:v>
      </x:c>
      <x:c r="O70" s="13" t="n">
        <x:v>1</x:v>
      </x:c>
      <x:c r="P70" s="13" t="n">
        <x:v>1</x:v>
      </x:c>
      <x:c r="Q70" s="13" t="n">
        <x:v>3250</x:v>
      </x:c>
      <x:c r="R70" s="13" t="n">
        <x:v>0.32422736494682114</x:v>
      </x:c>
      <x:c r="S70" s="13" t="n">
        <x:v>0</x:v>
      </x:c>
      <x:c r="T70" s="13" t="n">
        <x:v>2</x:v>
      </x:c>
      <x:c r="U70" s="13" t="n">
        <x:v>587</x:v>
      </x:c>
      <x:c r="V70" s="13" t="n">
        <x:v>523</x:v>
      </x:c>
      <x:c r="W70" s="13" t="n">
        <x:v>64</x:v>
      </x:c>
      <x:c r="X70" s="13" t="n">
        <x:v>39</x:v>
      </x:c>
      <x:c r="Y70" s="13" t="n">
        <x:v>3748394.63</x:v>
      </x:c>
      <x:c r="Z70" s="13" t="n">
        <x:v>4468275.87</x:v>
      </x:c>
      <x:c r="AA70" s="13" t="n">
        <x:v>22</x:v>
      </x:c>
      <x:c r="AB70" s="13" t="n">
        <x:v>0.10902896081771721</x:v>
      </x:c>
      <x:c r="AC70" s="13" t="n">
        <x:v>0.0745697896749522</x:v>
      </x:c>
      <x:c r="AD70" s="13" t="n">
        <x:v>0.7404283944631468</x:v>
      </x:c>
      <x:c r="AE70" s="13" t="n">
        <x:v>0.8578408566344853</x:v>
      </x:c>
      <x:c r="AF70" s="13" t="n">
        <x:v>197283.92789473681</x:v>
      </x:c>
      <x:c r="AG70" s="13" t="n">
        <x:v>0.811537649507208</x:v>
      </x:c>
      <x:c r="AH70" s="13" t="n">
        <x:v>0.06179283156213436</x:v>
      </x:c>
      <x:c r="AI70" s="13" t="n">
        <x:v>19</x:v>
      </x:c>
      <x:c r="AJ70" s="13" t="n">
        <x:v>3745144.63</x:v>
      </x:c>
      <x:c r="AK70" s="13" t="n">
        <x:v>0.000727349898384855</x:v>
      </x:c>
      <x:c r="AL70" s="13" t="n">
        <x:v>0.10884353741496598</x:v>
      </x:c>
      <x:c r="AM70" s="13" t="n">
        <x:v>0.07442748091603053</x:v>
      </x:c>
      <x:c r="AN70" s="13" t="n">
        <x:v>0.8522886170939294</x:v>
      </x:c>
      <x:c r="AO70" s="13" t="n">
        <x:v>0.405768824753604</x:v>
      </x:c>
      <x:c r="AP70" s="13" t="n">
        <x:v>0.03089641578106718</x:v>
      </x:c>
    </x:row>
    <x:row r="71" ht="15" hidden="0" customHeight="1">
      <x:c r="A71" s="2" t="str">
        <x:v>E70</x:v>
      </x:c>
      <x:c r="B71" s="2" t="str">
        <x:v>***科技有限公司</x:v>
      </x:c>
      <x:c r="C71" s="2" t="str">
        <x:v>有信贷记录</x:v>
      </x:c>
      <x:c r="D71" s="2" t="str">
        <x:v>B</x:v>
      </x:c>
      <x:c r="E71" s="2" t="str">
        <x:v>否</x:v>
      </x:c>
      <x:c r="F71" s="13" t="n">
        <x:v>1829</x:v>
      </x:c>
      <x:c r="G71" s="13" t="n">
        <x:v>1787</x:v>
      </x:c>
      <x:c r="H71" s="13" t="n">
        <x:v>42</x:v>
      </x:c>
      <x:c r="I71" s="13" t="n">
        <x:v>6</x:v>
      </x:c>
      <x:c r="J71" s="13" t="n">
        <x:v>6089341.9399999995</x:v>
      </x:c>
      <x:c r="K71" s="13" t="n">
        <x:v>6128526.1</x:v>
      </x:c>
      <x:c r="L71" s="13" t="n">
        <x:v>188</x:v>
      </x:c>
      <x:c r="M71" s="13" t="n">
        <x:v>0.022963367960634227</x:v>
      </x:c>
      <x:c r="N71" s="13" t="n">
        <x:v>0.003357582540570789</x:v>
      </x:c>
      <x:c r="O71" s="13" t="n">
        <x:v>0.07277149972031254</x:v>
      </x:c>
      <x:c r="P71" s="13" t="n">
        <x:v>0.2191913076783666</x:v>
      </x:c>
      <x:c r="Q71" s="13" t="n">
        <x:v>160245.84052631576</x:v>
      </x:c>
      <x:c r="R71" s="13" t="n">
        <x:v>1.0298565276703224</x:v>
      </x:c>
      <x:c r="S71" s="13" t="n">
        <x:v>0.028794814010242215</x:v>
      </x:c>
      <x:c r="T71" s="13" t="n">
        <x:v>38</x:v>
      </x:c>
      <x:c r="U71" s="13" t="n">
        <x:v>578</x:v>
      </x:c>
      <x:c r="V71" s="13" t="n">
        <x:v>469</x:v>
      </x:c>
      <x:c r="W71" s="13" t="n">
        <x:v>109</x:v>
      </x:c>
      <x:c r="X71" s="13" t="n">
        <x:v>14</x:v>
      </x:c>
      <x:c r="Y71" s="13" t="n">
        <x:v>10682038.48</x:v>
      </x:c>
      <x:c r="Z71" s="13" t="n">
        <x:v>11130033.08</x:v>
      </x:c>
      <x:c r="AA71" s="13" t="n">
        <x:v>59</x:v>
      </x:c>
      <x:c r="AB71" s="13" t="n">
        <x:v>0.18858131487889274</x:v>
      </x:c>
      <x:c r="AC71" s="13" t="n">
        <x:v>0.029850746268656716</x:v>
      </x:c>
      <x:c r="AD71" s="13" t="n">
        <x:v>0.1393211953194014</x:v>
      </x:c>
      <x:c r="AE71" s="13" t="n">
        <x:v>0.3276281610117191</x:v>
      </x:c>
      <x:c r="AF71" s="13" t="n">
        <x:v>281106.2757894737</x:v>
      </x:c>
      <x:c r="AG71" s="13" t="n">
        <x:v>1.1553575191440038</x:v>
      </x:c>
      <x:c r="AH71" s="13" t="n">
        <x:v>0.0005141275770175391</x:v>
      </x:c>
      <x:c r="AI71" s="13" t="n">
        <x:v>35</x:v>
      </x:c>
      <x:c r="AJ71" s="13" t="n">
        <x:v>4592696.540000001</x:v>
      </x:c>
      <x:c r="AK71" s="13" t="n">
        <x:v>0.550629639278664</x:v>
      </x:c>
      <x:c r="AL71" s="13" t="n">
        <x:v>0.06273369339426672</x:v>
      </x:c>
      <x:c r="AM71" s="13" t="n">
        <x:v>0.008865248226950355</x:v>
      </x:c>
      <x:c r="AN71" s="13" t="n">
        <x:v>0.10604634751985698</x:v>
      </x:c>
      <x:c r="AO71" s="13" t="n">
        <x:v>1.092607023407163</x:v>
      </x:c>
      <x:c r="AP71" s="13" t="n">
        <x:v>0.014654470793629876</x:v>
      </x:c>
    </x:row>
    <x:row r="72" ht="15" hidden="0" customHeight="1">
      <x:c r="A72" s="2" t="str">
        <x:v>E71</x:v>
      </x:c>
      <x:c r="B72" s="2" t="str">
        <x:v>***农业科技有限公司</x:v>
      </x:c>
      <x:c r="C72" s="2" t="str">
        <x:v>有信贷记录</x:v>
      </x:c>
      <x:c r="D72" s="2" t="str">
        <x:v>B</x:v>
      </x:c>
      <x:c r="E72" s="2" t="str">
        <x:v>否</x:v>
      </x:c>
      <x:c r="F72" s="13" t="n">
        <x:v>1259</x:v>
      </x:c>
      <x:c r="G72" s="13" t="n">
        <x:v>1205</x:v>
      </x:c>
      <x:c r="H72" s="13" t="n">
        <x:v>54</x:v>
      </x:c>
      <x:c r="I72" s="13" t="n">
        <x:v>14</x:v>
      </x:c>
      <x:c r="J72" s="13" t="n">
        <x:v>10004879.89</x:v>
      </x:c>
      <x:c r="K72" s="13" t="n">
        <x:v>12123425.29</x:v>
      </x:c>
      <x:c r="L72" s="13" t="n">
        <x:v>283</x:v>
      </x:c>
      <x:c r="M72" s="13" t="n">
        <x:v>0.04289118347895155</x:v>
      </x:c>
      <x:c r="N72" s="13" t="n">
        <x:v>0.011618257261410789</x:v>
      </x:c>
      <x:c r="O72" s="13" t="n">
        <x:v>0.3984773467366303</x:v>
      </x:c>
      <x:c r="P72" s="13" t="n">
        <x:v>0.5779855389367438</x:v>
      </x:c>
      <x:c r="Q72" s="13" t="n">
        <x:v>285853.7111428571</x:v>
      </x:c>
      <x:c r="R72" s="13" t="n">
        <x:v>2.9937536577224537</x:v>
      </x:c>
      <x:c r="S72" s="13" t="n">
        <x:v>-0.06640545205131157</x:v>
      </x:c>
      <x:c r="T72" s="13" t="n">
        <x:v>35</x:v>
      </x:c>
      <x:c r="U72" s="13" t="n">
        <x:v>375</x:v>
      </x:c>
      <x:c r="V72" s="13" t="n">
        <x:v>359</x:v>
      </x:c>
      <x:c r="W72" s="13" t="n">
        <x:v>16</x:v>
      </x:c>
      <x:c r="X72" s="13" t="n">
        <x:v>1</x:v>
      </x:c>
      <x:c r="Y72" s="13" t="n">
        <x:v>12227309.620000001</x:v>
      </x:c>
      <x:c r="Z72" s="13" t="n">
        <x:v>12302136.02</x:v>
      </x:c>
      <x:c r="AA72" s="13" t="n">
        <x:v>289</x:v>
      </x:c>
      <x:c r="AB72" s="13" t="n">
        <x:v>0.042666666666666665</x:v>
      </x:c>
      <x:c r="AC72" s="13" t="n">
        <x:v>0.002785515320334262</x:v>
      </x:c>
      <x:c r="AD72" s="13" t="n">
        <x:v>0.10104409320596129</x:v>
      </x:c>
      <x:c r="AE72" s="13" t="n">
        <x:v>0.3116529514685044</x:v>
      </x:c>
      <x:c r="AF72" s="13" t="n">
        <x:v>370524.533939394</x:v>
      </x:c>
      <x:c r="AG72" s="13" t="n">
        <x:v>2.122411997026468</x:v>
      </x:c>
      <x:c r="AH72" s="13" t="n">
        <x:v>-0.012898781634410397</x:v>
      </x:c>
      <x:c r="AI72" s="13" t="n">
        <x:v>17</x:v>
      </x:c>
      <x:c r="AJ72" s="13" t="n">
        <x:v>2222429.7300000004</x:v>
      </x:c>
      <x:c r="AK72" s="13" t="n">
        <x:v>0.985473195085027</x:v>
      </x:c>
      <x:c r="AL72" s="13" t="n">
        <x:v>0.042839657282741736</x:v>
      </x:c>
      <x:c r="AM72" s="13" t="n">
        <x:v>0.00959079283887468</x:v>
      </x:c>
      <x:c r="AN72" s="13" t="n">
        <x:v>0.2497607199712958</x:v>
      </x:c>
      <x:c r="AO72" s="13" t="n">
        <x:v>2.558082827374461</x:v>
      </x:c>
      <x:c r="AP72" s="13" t="n">
        <x:v>-0.039652116842860984</x:v>
      </x:c>
    </x:row>
    <x:row r="73" ht="15" hidden="0" customHeight="1">
      <x:c r="A73" s="2" t="str">
        <x:v>E72</x:v>
      </x:c>
      <x:c r="B73" s="2" t="str">
        <x:v>***图书有限公司</x:v>
      </x:c>
      <x:c r="C73" s="2" t="str">
        <x:v>有信贷记录</x:v>
      </x:c>
      <x:c r="D73" s="2" t="str">
        <x:v>C</x:v>
      </x:c>
      <x:c r="E73" s="2" t="str">
        <x:v>否</x:v>
      </x:c>
      <x:c r="F73" s="13" t="n">
        <x:v>117</x:v>
      </x:c>
      <x:c r="G73" s="13" t="n">
        <x:v>114</x:v>
      </x:c>
      <x:c r="H73" s="13" t="n">
        <x:v>3</x:v>
      </x:c>
      <x:c r="I73" s="13" t="n">
        <x:v>2</x:v>
      </x:c>
      <x:c r="J73" s="13" t="n">
        <x:v>1547014.77</x:v>
      </x:c>
      <x:c r="K73" s="13" t="n">
        <x:v>2479718.77</x:v>
      </x:c>
      <x:c r="L73" s="13" t="n">
        <x:v>54</x:v>
      </x:c>
      <x:c r="M73" s="13" t="n">
        <x:v>0.02564102564102564</x:v>
      </x:c>
      <x:c r="N73" s="13" t="n">
        <x:v>0.017543859649122806</x:v>
      </x:c>
      <x:c r="O73" s="13" t="n">
        <x:v>0.7231421382129443</x:v>
      </x:c>
      <x:c r="P73" s="13" t="n">
        <x:v>0.840478567656283</x:v>
      </x:c>
      <x:c r="Q73" s="13" t="n">
        <x:v>45500.4344117647</x:v>
      </x:c>
      <x:c r="R73" s="13" t="n">
        <x:v>2.18179253927674</x:v>
      </x:c>
      <x:c r="S73" s="13" t="n">
        <x:v>0.052880127603149286</x:v>
      </x:c>
      <x:c r="T73" s="13" t="n">
        <x:v>31</x:v>
      </x:c>
      <x:c r="U73" s="13" t="n">
        <x:v>248</x:v>
      </x:c>
      <x:c r="V73" s="13" t="n">
        <x:v>176</x:v>
      </x:c>
      <x:c r="W73" s="13" t="n">
        <x:v>72</x:v>
      </x:c>
      <x:c r="X73" s="13" t="n">
        <x:v>0</x:v>
      </x:c>
      <x:c r="Y73" s="13" t="n">
        <x:v>4441013.75</x:v>
      </x:c>
      <x:c r="Z73" s="13" t="n">
        <x:v>4441013.75</x:v>
      </x:c>
      <x:c r="AA73" s="13" t="n">
        <x:v>29</x:v>
      </x:c>
      <x:c r="AB73" s="13" t="n">
        <x:v>0.2903225806451613</x:v>
      </x:c>
      <x:c r="AC73" s="13" t="n">
        <x:v>0</x:v>
      </x:c>
      <x:c r="AD73" s="13" t="n">
        <x:v>0.12430821850386252</x:v>
      </x:c>
      <x:c r="AE73" s="13" t="n">
        <x:v>0.2786261943007945</x:v>
      </x:c>
      <x:c r="AF73" s="13" t="n">
        <x:v>130618.05147058827</x:v>
      </x:c>
      <x:c r="AG73" s="13" t="n">
        <x:v>1.6162834714133396</x:v>
      </x:c>
      <x:c r="AH73" s="13" t="n">
        <x:v>0.060455100744134266</x:v>
      </x:c>
      <x:c r="AI73" s="13" t="n">
        <x:v>18</x:v>
      </x:c>
      <x:c r="AJ73" s="13" t="n">
        <x:v>2893998.98</x:v>
      </x:c>
      <x:c r="AK73" s="13" t="n">
        <x:v>0.558367730791196</x:v>
      </x:c>
      <x:c r="AL73" s="13" t="n">
        <x:v>0.2054794520547945</x:v>
      </x:c>
      <x:c r="AM73" s="13" t="n">
        <x:v>0.006896551724137931</x:v>
      </x:c>
      <x:c r="AN73" s="13" t="n">
        <x:v>0.4237251783584034</x:v>
      </x:c>
      <x:c r="AO73" s="13" t="n">
        <x:v>1.8990380053450397</x:v>
      </x:c>
      <x:c r="AP73" s="13" t="n">
        <x:v>0.05666761417364177</x:v>
      </x:c>
    </x:row>
    <x:row r="74" ht="15" hidden="0" customHeight="1">
      <x:c r="A74" s="2" t="str">
        <x:v>E73</x:v>
      </x:c>
      <x:c r="B74" s="2" t="str">
        <x:v>***商贸有限责任公司</x:v>
      </x:c>
      <x:c r="C74" s="2" t="str">
        <x:v>有信贷记录</x:v>
      </x:c>
      <x:c r="D74" s="2" t="str">
        <x:v>C</x:v>
      </x:c>
      <x:c r="E74" s="2" t="str">
        <x:v>否</x:v>
      </x:c>
      <x:c r="F74" s="13" t="n">
        <x:v>606</x:v>
      </x:c>
      <x:c r="G74" s="13" t="n">
        <x:v>600</x:v>
      </x:c>
      <x:c r="H74" s="13" t="n">
        <x:v>6</x:v>
      </x:c>
      <x:c r="I74" s="13" t="n">
        <x:v>2</x:v>
      </x:c>
      <x:c r="J74" s="13" t="n">
        <x:v>855955.54</x:v>
      </x:c>
      <x:c r="K74" s="13" t="n">
        <x:v>884511.5399999999</x:v>
      </x:c>
      <x:c r="L74" s="13" t="n">
        <x:v>118</x:v>
      </x:c>
      <x:c r="M74" s="13" t="n">
        <x:v>0.009900990099009901</x:v>
      </x:c>
      <x:c r="N74" s="13" t="n">
        <x:v>0.0033333333333333335</x:v>
      </x:c>
      <x:c r="O74" s="13" t="n">
        <x:v>0.07880146706489694</x:v>
      </x:c>
      <x:c r="P74" s="13" t="n">
        <x:v>0.16072147571980802</x:v>
      </x:c>
      <x:c r="Q74" s="13" t="n">
        <x:v>22525.14578947369</x:v>
      </x:c>
      <x:c r="R74" s="13" t="n">
        <x:v>0.7045687614842312</x:v>
      </x:c>
      <x:c r="S74" s="13" t="n">
        <x:v>-0.0048597387811055446</x:v>
      </x:c>
      <x:c r="T74" s="13" t="n">
        <x:v>38</x:v>
      </x:c>
      <x:c r="U74" s="13" t="n">
        <x:v>236</x:v>
      </x:c>
      <x:c r="V74" s="13" t="n">
        <x:v>223</x:v>
      </x:c>
      <x:c r="W74" s="13" t="n">
        <x:v>13</x:v>
      </x:c>
      <x:c r="X74" s="13" t="n">
        <x:v>6</x:v>
      </x:c>
      <x:c r="Y74" s="13" t="n">
        <x:v>7130015.18</x:v>
      </x:c>
      <x:c r="Z74" s="13" t="n">
        <x:v>7803235.18</x:v>
      </x:c>
      <x:c r="AA74" s="13" t="n">
        <x:v>61</x:v>
      </x:c>
      <x:c r="AB74" s="13" t="n">
        <x:v>0.05508474576271186</x:v>
      </x:c>
      <x:c r="AC74" s="13" t="n">
        <x:v>0.026905829596412557</x:v>
      </x:c>
      <x:c r="AD74" s="13" t="n">
        <x:v>0.43842712380794596</x:v>
      </x:c>
      <x:c r="AE74" s="13" t="n">
        <x:v>0.6558519693366464</x:v>
      </x:c>
      <x:c r="AF74" s="13" t="n">
        <x:v>192703.11297297294</x:v>
      </x:c>
      <x:c r="AG74" s="13" t="n">
        <x:v>0.5413248163317177</x:v>
      </x:c>
      <x:c r="AH74" s="13" t="n">
        <x:v>-0.030398451372839985</x:v>
      </x:c>
      <x:c r="AI74" s="13" t="n">
        <x:v>37</x:v>
      </x:c>
      <x:c r="AJ74" s="13" t="n">
        <x:v>6274059.64</x:v>
      </x:c>
      <x:c r="AK74" s="13" t="n">
        <x:v>0.11335190079456248</x:v>
      </x:c>
      <x:c r="AL74" s="13" t="n">
        <x:v>0.022565320665083134</x:v>
      </x:c>
      <x:c r="AM74" s="13" t="n">
        <x:v>0.009720534629404616</x:v>
      </x:c>
      <x:c r="AN74" s="13" t="n">
        <x:v>0.25861429543642145</x:v>
      </x:c>
      <x:c r="AO74" s="13" t="n">
        <x:v>0.6229467889079745</x:v>
      </x:c>
      <x:c r="AP74" s="13" t="n">
        <x:v>-0.017629095076972766</x:v>
      </x:c>
    </x:row>
    <x:row r="75" ht="15" hidden="0" customHeight="1">
      <x:c r="A75" s="2" t="str">
        <x:v>E74</x:v>
      </x:c>
      <x:c r="B75" s="2" t="str">
        <x:v>***蔬菜专业合作社</x:v>
      </x:c>
      <x:c r="C75" s="2" t="str">
        <x:v>有信贷记录</x:v>
      </x:c>
      <x:c r="D75" s="2" t="str">
        <x:v>B</x:v>
      </x:c>
      <x:c r="E75" s="2" t="str">
        <x:v>否</x:v>
      </x:c>
      <x:c r="F75" s="13" t="n">
        <x:v>19</x:v>
      </x:c>
      <x:c r="G75" s="13" t="n">
        <x:v>19</x:v>
      </x:c>
      <x:c r="H75" s="13" t="n">
        <x:v>0</x:v>
      </x:c>
      <x:c r="I75" s="13" t="n">
        <x:v>0</x:v>
      </x:c>
      <x:c r="J75" s="13" t="n">
        <x:v>337315</x:v>
      </x:c>
      <x:c r="K75" s="13" t="n">
        <x:v>337315</x:v>
      </x:c>
      <x:c r="L75" s="13" t="n">
        <x:v>8</x:v>
      </x:c>
      <x:c r="M75" s="13" t="n">
        <x:v>0</x:v>
      </x:c>
      <x:c r="N75" s="13" t="n">
        <x:v>0</x:v>
      </x:c>
      <x:c r="O75" s="13" t="n">
        <x:v>0.3927836849394585</x:v>
      </x:c>
      <x:c r="P75" s="13" t="n">
        <x:v>0.5466700265330625</x:v>
      </x:c>
      <x:c r="Q75" s="13" t="n">
        <x:v>12493.148148148148</x:v>
      </x:c>
      <x:c r="R75" s="13" t="n">
        <x:v>3.0992196035601474</x:v>
      </x:c>
      <x:c r="S75" s="13" t="n">
        <x:v>0.17186412152985045</x:v>
      </x:c>
      <x:c r="T75" s="13" t="n">
        <x:v>8</x:v>
      </x:c>
      <x:c r="U75" s="13" t="n">
        <x:v>555</x:v>
      </x:c>
      <x:c r="V75" s="13" t="n">
        <x:v>512</x:v>
      </x:c>
      <x:c r="W75" s="13" t="n">
        <x:v>43</x:v>
      </x:c>
      <x:c r="X75" s="13" t="n">
        <x:v>14</x:v>
      </x:c>
      <x:c r="Y75" s="13" t="n">
        <x:v>3986839.75</x:v>
      </x:c>
      <x:c r="Z75" s="13" t="n">
        <x:v>4148275.55</x:v>
      </x:c>
      <x:c r="AA75" s="13" t="n">
        <x:v>22</x:v>
      </x:c>
      <x:c r="AB75" s="13" t="n">
        <x:v>0.07747747747747748</x:v>
      </x:c>
      <x:c r="AC75" s="13" t="n">
        <x:v>0.02734375</x:v>
      </x:c>
      <x:c r="AD75" s="13" t="n">
        <x:v>0.14387270819334624</x:v>
      </x:c>
      <x:c r="AE75" s="13" t="n">
        <x:v>0.27767805829581405</x:v>
      </x:c>
      <x:c r="AF75" s="13" t="n">
        <x:v>142387.13392857142</x:v>
      </x:c>
      <x:c r="AG75" s="13" t="n">
        <x:v>0.450828446829056</x:v>
      </x:c>
      <x:c r="AH75" s="13" t="n">
        <x:v>0.03155360326938501</x:v>
      </x:c>
      <x:c r="AI75" s="13" t="n">
        <x:v>28</x:v>
      </x:c>
      <x:c r="AJ75" s="13" t="n">
        <x:v>3649524.75</x:v>
      </x:c>
      <x:c r="AK75" s="13" t="n">
        <x:v>0.08131451152033523</x:v>
      </x:c>
      <x:c r="AL75" s="13" t="n">
        <x:v>0.07491289198606271</x:v>
      </x:c>
      <x:c r="AM75" s="13" t="n">
        <x:v>0.026365348399246705</x:v>
      </x:c>
      <x:c r="AN75" s="13" t="n">
        <x:v>0.2683281965664024</x:v>
      </x:c>
      <x:c r="AO75" s="13" t="n">
        <x:v>1.7750240251946017</x:v>
      </x:c>
      <x:c r="AP75" s="13" t="n">
        <x:v>0.10170886239961772</x:v>
      </x:c>
    </x:row>
    <x:row r="76" ht="15" hidden="0" customHeight="1">
      <x:c r="A76" s="2" t="str">
        <x:v>E75</x:v>
      </x:c>
      <x:c r="B76" s="2" t="str">
        <x:v>***酒店管理有限公司</x:v>
      </x:c>
      <x:c r="C76" s="2" t="str">
        <x:v>有信贷记录</x:v>
      </x:c>
      <x:c r="D76" s="2" t="str">
        <x:v>C</x:v>
      </x:c>
      <x:c r="E76" s="2" t="str">
        <x:v>否</x:v>
      </x:c>
      <x:c r="F76" s="13" t="n">
        <x:v>552</x:v>
      </x:c>
      <x:c r="G76" s="13" t="n">
        <x:v>538</x:v>
      </x:c>
      <x:c r="H76" s="13" t="n">
        <x:v>14</x:v>
      </x:c>
      <x:c r="I76" s="13" t="n">
        <x:v>2</x:v>
      </x:c>
      <x:c r="J76" s="13" t="n">
        <x:v>2721424.25</x:v>
      </x:c>
      <x:c r="K76" s="13" t="n">
        <x:v>2733624.25</x:v>
      </x:c>
      <x:c r="L76" s="13" t="n">
        <x:v>56</x:v>
      </x:c>
      <x:c r="M76" s="13" t="n">
        <x:v>0.025362318840579712</x:v>
      </x:c>
      <x:c r="N76" s="13" t="n">
        <x:v>0.0037174721189591076</x:v>
      </x:c>
      <x:c r="O76" s="13" t="n">
        <x:v>0.17890749724790922</x:v>
      </x:c>
      <x:c r="P76" s="13" t="n">
        <x:v>0.29504770452632617</x:v>
      </x:c>
      <x:c r="Q76" s="13" t="n">
        <x:v>80041.88970588235</x:v>
      </x:c>
      <x:c r="R76" s="13" t="n">
        <x:v>1.033877277777146</x:v>
      </x:c>
      <x:c r="S76" s="13" t="n">
        <x:v>0.006949044926245202</x:v>
      </x:c>
      <x:c r="T76" s="13" t="n">
        <x:v>33</x:v>
      </x:c>
      <x:c r="U76" s="13" t="n">
        <x:v>8317</x:v>
      </x:c>
      <x:c r="V76" s="13" t="n">
        <x:v>7766</x:v>
      </x:c>
      <x:c r="W76" s="13" t="n">
        <x:v>551</x:v>
      </x:c>
      <x:c r="X76" s="13" t="n">
        <x:v>10</x:v>
      </x:c>
      <x:c r="Y76" s="13" t="n">
        <x:v>5902843.800000001</x:v>
      </x:c>
      <x:c r="Z76" s="13" t="n">
        <x:v>5913605.800000001</x:v>
      </x:c>
      <x:c r="AA76" s="13" t="n">
        <x:v>2694.279999999999</x:v>
      </x:c>
      <x:c r="AB76" s="13" t="n">
        <x:v>0.06624984970542262</x:v>
      </x:c>
      <x:c r="AC76" s="13" t="n">
        <x:v>0.0012876641771825909</x:v>
      </x:c>
      <x:c r="AD76" s="13" t="n">
        <x:v>0.004886626984096743</x:v>
      </x:c>
      <x:c r="AE76" s="13" t="n">
        <x:v>0.03872459675956081</x:v>
      </x:c>
      <x:c r="AF76" s="13" t="n">
        <x:v>159536.3189189189</x:v>
      </x:c>
      <x:c r="AG76" s="13" t="n">
        <x:v>0.4068936533477132</x:v>
      </x:c>
      <x:c r="AH76" s="13" t="n">
        <x:v>-0.02293512323670145</x:v>
      </x:c>
      <x:c r="AI76" s="13" t="n">
        <x:v>37</x:v>
      </x:c>
      <x:c r="AJ76" s="13" t="n">
        <x:v>3181419.5500000007</x:v>
      </x:c>
      <x:c r="AK76" s="13" t="n">
        <x:v>0.46226014084334116</x:v>
      </x:c>
      <x:c r="AL76" s="13" t="n">
        <x:v>0.06370504002706055</x:v>
      </x:c>
      <x:c r="AM76" s="13" t="n">
        <x:v>0.001445086705202312</x:v>
      </x:c>
      <x:c r="AN76" s="13" t="n">
        <x:v>0.09083004114631396</x:v>
      </x:c>
      <x:c r="AO76" s="13" t="n">
        <x:v>0.7203854655624297</x:v>
      </x:c>
      <x:c r="AP76" s="13" t="n">
        <x:v>-0.007993039155228122</x:v>
      </x:c>
    </x:row>
    <x:row r="77" ht="15" hidden="0" customHeight="1">
      <x:c r="A77" s="2" t="str">
        <x:v>E76</x:v>
      </x:c>
      <x:c r="B77" s="2" t="str">
        <x:v>***信息科技有限公司</x:v>
      </x:c>
      <x:c r="C77" s="2" t="str">
        <x:v>有信贷记录</x:v>
      </x:c>
      <x:c r="D77" s="2" t="str">
        <x:v>B</x:v>
      </x:c>
      <x:c r="E77" s="2" t="str">
        <x:v>否</x:v>
      </x:c>
      <x:c r="F77" s="13" t="n">
        <x:v>350</x:v>
      </x:c>
      <x:c r="G77" s="13" t="n">
        <x:v>346</x:v>
      </x:c>
      <x:c r="H77" s="13" t="n">
        <x:v>4</x:v>
      </x:c>
      <x:c r="I77" s="13" t="n">
        <x:v>2</x:v>
      </x:c>
      <x:c r="J77" s="13" t="n">
        <x:v>929316.6100000001</x:v>
      </x:c>
      <x:c r="K77" s="13" t="n">
        <x:v>949264.6100000001</x:v>
      </x:c>
      <x:c r="L77" s="13" t="n">
        <x:v>102</x:v>
      </x:c>
      <x:c r="M77" s="13" t="n">
        <x:v>0.011428571428571429</x:v>
      </x:c>
      <x:c r="N77" s="13" t="n">
        <x:v>0.005780346820809248</x:v>
      </x:c>
      <x:c r="O77" s="13" t="n">
        <x:v>0.13528577590743335</x:v>
      </x:c>
      <x:c r="P77" s="13" t="n">
        <x:v>0.2515631547667199</x:v>
      </x:c>
      <x:c r="Q77" s="13" t="n">
        <x:v>25116.665135135136</x:v>
      </x:c>
      <x:c r="R77" s="13" t="n">
        <x:v>2.0924856710214677</x:v>
      </x:c>
      <x:c r="S77" s="13" t="n">
        <x:v>-0.03824836931762069</x:v>
      </x:c>
      <x:c r="T77" s="13" t="n">
        <x:v>34</x:v>
      </x:c>
      <x:c r="U77" s="13" t="n">
        <x:v>245</x:v>
      </x:c>
      <x:c r="V77" s="13" t="n">
        <x:v>223</x:v>
      </x:c>
      <x:c r="W77" s="13" t="n">
        <x:v>22</x:v>
      </x:c>
      <x:c r="X77" s="13" t="n">
        <x:v>1</x:v>
      </x:c>
      <x:c r="Y77" s="13" t="n">
        <x:v>4296997.8</x:v>
      </x:c>
      <x:c r="Z77" s="13" t="n">
        <x:v>4312597.8</x:v>
      </x:c>
      <x:c r="AA77" s="13" t="n">
        <x:v>73</x:v>
      </x:c>
      <x:c r="AB77" s="13" t="n">
        <x:v>0.08979591836734693</x:v>
      </x:c>
      <x:c r="AC77" s="13" t="n">
        <x:v>0.004484304932735426</x:v>
      </x:c>
      <x:c r="AD77" s="13" t="n">
        <x:v>0.09881435654280328</x:v>
      </x:c>
      <x:c r="AE77" s="13" t="n">
        <x:v>0.17577108628122012</x:v>
      </x:c>
      <x:c r="AF77" s="13" t="n">
        <x:v>116135.07567567567</x:v>
      </x:c>
      <x:c r="AG77" s="13" t="n">
        <x:v>1.1472959581216495</x:v>
      </x:c>
      <x:c r="AH77" s="13" t="n">
        <x:v>0.015209388056364218</x:v>
      </x:c>
      <x:c r="AI77" s="13" t="n">
        <x:v>36</x:v>
      </x:c>
      <x:c r="AJ77" s="13" t="n">
        <x:v>3367681.1899999995</x:v>
      </x:c>
      <x:c r="AK77" s="13" t="n">
        <x:v>0.22011433804469313</x:v>
      </x:c>
      <x:c r="AL77" s="13" t="n">
        <x:v>0.043697478991596636</x:v>
      </x:c>
      <x:c r="AM77" s="13" t="n">
        <x:v>0.005272407732864675</x:v>
      </x:c>
      <x:c r="AN77" s="13" t="n">
        <x:v>0.11705006622511832</x:v>
      </x:c>
      <x:c r="AO77" s="13" t="n">
        <x:v>1.6198908145715585</x:v>
      </x:c>
      <x:c r="AP77" s="13" t="n">
        <x:v>-0.011519490630628237</x:v>
      </x:c>
    </x:row>
    <x:row r="78" ht="15" hidden="0" customHeight="1">
      <x:c r="A78" s="2" t="str">
        <x:v>E77</x:v>
      </x:c>
      <x:c r="B78" s="2" t="str">
        <x:v>***机电设备有限公司</x:v>
      </x:c>
      <x:c r="C78" s="2" t="str">
        <x:v>有信贷记录</x:v>
      </x:c>
      <x:c r="D78" s="2" t="str">
        <x:v>C</x:v>
      </x:c>
      <x:c r="E78" s="2" t="str">
        <x:v>否</x:v>
      </x:c>
      <x:c r="F78" s="13" t="n">
        <x:v>54</x:v>
      </x:c>
      <x:c r="G78" s="13" t="n">
        <x:v>53</x:v>
      </x:c>
      <x:c r="H78" s="13" t="n">
        <x:v>1</x:v>
      </x:c>
      <x:c r="I78" s="13" t="n">
        <x:v>0</x:v>
      </x:c>
      <x:c r="J78" s="13" t="n">
        <x:v>807881</x:v>
      </x:c>
      <x:c r="K78" s="13" t="n">
        <x:v>807881</x:v>
      </x:c>
      <x:c r="L78" s="13" t="n">
        <x:v>16</x:v>
      </x:c>
      <x:c r="M78" s="13" t="n">
        <x:v>0.018518518518518517</x:v>
      </x:c>
      <x:c r="N78" s="13" t="n">
        <x:v>0</x:v>
      </x:c>
      <x:c r="O78" s="13" t="n">
        <x:v>0.9229216495907407</x:v>
      </x:c>
      <x:c r="P78" s="13" t="n">
        <x:v>0.9605375049048065</x:v>
      </x:c>
      <x:c r="Q78" s="13" t="n">
        <x:v>22441.13888888889</x:v>
      </x:c>
      <x:c r="R78" s="13" t="n">
        <x:v>2.0589416899836883</x:v>
      </x:c>
      <x:c r="S78" s="13" t="n">
        <x:v>-0.011792216101018466</x:v>
      </x:c>
      <x:c r="T78" s="13" t="n">
        <x:v>17</x:v>
      </x:c>
      <x:c r="U78" s="13" t="n">
        <x:v>258</x:v>
      </x:c>
      <x:c r="V78" s="13" t="n">
        <x:v>252</x:v>
      </x:c>
      <x:c r="W78" s="13" t="n">
        <x:v>6</x:v>
      </x:c>
      <x:c r="X78" s="13" t="n">
        <x:v>6</x:v>
      </x:c>
      <x:c r="Y78" s="13" t="n">
        <x:v>4576822.99</x:v>
      </x:c>
      <x:c r="Z78" s="13" t="n">
        <x:v>4689777.59</x:v>
      </x:c>
      <x:c r="AA78" s="13" t="n">
        <x:v>2</x:v>
      </x:c>
      <x:c r="AB78" s="13" t="n">
        <x:v>0.023255813953488372</x:v>
      </x:c>
      <x:c r="AC78" s="13" t="n">
        <x:v>0.023809523809523808</x:v>
      </x:c>
      <x:c r="AD78" s="13" t="n">
        <x:v>0.9822858713570419</x:v>
      </x:c>
      <x:c r="AE78" s="13" t="n">
        <x:v>0.9910603957224227</x:v>
      </x:c>
      <x:c r="AF78" s="13" t="n">
        <x:v>152560.76633333333</x:v>
      </x:c>
      <x:c r="AG78" s="13" t="n">
        <x:v>1.7438622743248413</x:v>
      </x:c>
      <x:c r="AH78" s="13" t="n">
        <x:v>0.006418135313274846</x:v>
      </x:c>
      <x:c r="AI78" s="13" t="n">
        <x:v>15</x:v>
      </x:c>
      <x:c r="AJ78" s="13" t="n">
        <x:v>3768941.99</x:v>
      </x:c>
      <x:c r="AK78" s="13" t="n">
        <x:v>0.17226424590424977</x:v>
      </x:c>
      <x:c r="AL78" s="13" t="n">
        <x:v>0.022435897435897436</x:v>
      </x:c>
      <x:c r="AM78" s="13" t="n">
        <x:v>0.019672131147540985</x:v>
      </x:c>
      <x:c r="AN78" s="13" t="n">
        <x:v>0.8522886170939294</x:v>
      </x:c>
      <x:c r="AO78" s="13" t="n">
        <x:v>1.901401982154265</x:v>
      </x:c>
      <x:c r="AP78" s="13" t="n">
        <x:v>-0.0026870403938718096</x:v>
      </x:c>
    </x:row>
    <x:row r="79" ht="15" hidden="0" customHeight="1">
      <x:c r="A79" s="2" t="str">
        <x:v>E78</x:v>
      </x:c>
      <x:c r="B79" s="2" t="str">
        <x:v>个体经营E78</x:v>
      </x:c>
      <x:c r="C79" s="2" t="str">
        <x:v>有信贷记录</x:v>
      </x:c>
      <x:c r="D79" s="2" t="str">
        <x:v>C</x:v>
      </x:c>
      <x:c r="E79" s="2" t="str">
        <x:v>否</x:v>
      </x:c>
      <x:c r="F79" s="13" t="n">
        <x:v>52</x:v>
      </x:c>
      <x:c r="G79" s="13" t="n">
        <x:v>52</x:v>
      </x:c>
      <x:c r="H79" s="13" t="n">
        <x:v>0</x:v>
      </x:c>
      <x:c r="I79" s="13" t="n">
        <x:v>0</x:v>
      </x:c>
      <x:c r="J79" s="13" t="n">
        <x:v>3748968.62</x:v>
      </x:c>
      <x:c r="K79" s="13" t="n">
        <x:v>3748968.62</x:v>
      </x:c>
      <x:c r="L79" s="13" t="n">
        <x:v>16</x:v>
      </x:c>
      <x:c r="M79" s="13" t="n">
        <x:v>0</x:v>
      </x:c>
      <x:c r="N79" s="13" t="n">
        <x:v>0</x:v>
      </x:c>
      <x:c r="O79" s="13" t="n">
        <x:v>0.3970480264600911</x:v>
      </x:c>
      <x:c r="P79" s="13" t="n">
        <x:v>0.6034866864263057</x:v>
      </x:c>
      <x:c r="Q79" s="13" t="n">
        <x:v>124965.62066666667</x:v>
      </x:c>
      <x:c r="R79" s="13" t="n">
        <x:v>0.9642622432326015</x:v>
      </x:c>
      <x:c r="S79" s="13" t="n">
        <x:v>-0.05508854608972144</x:v>
      </x:c>
      <x:c r="T79" s="13" t="n">
        <x:v>22</x:v>
      </x:c>
      <x:c r="U79" s="13" t="n">
        <x:v>268</x:v>
      </x:c>
      <x:c r="V79" s="13" t="n">
        <x:v>248</x:v>
      </x:c>
      <x:c r="W79" s="13" t="n">
        <x:v>20</x:v>
      </x:c>
      <x:c r="X79" s="13" t="n">
        <x:v>0</x:v>
      </x:c>
      <x:c r="Y79" s="13" t="n">
        <x:v>10039067.1</x:v>
      </x:c>
      <x:c r="Z79" s="13" t="n">
        <x:v>10039067.1</x:v>
      </x:c>
      <x:c r="AA79" s="13" t="n">
        <x:v>39</x:v>
      </x:c>
      <x:c r="AB79" s="13" t="n">
        <x:v>0.07462686567164178</x:v>
      </x:c>
      <x:c r="AC79" s="13" t="n">
        <x:v>0</x:v>
      </x:c>
      <x:c r="AD79" s="13" t="n">
        <x:v>0.2267167600212571</x:v>
      </x:c>
      <x:c r="AE79" s="13" t="n">
        <x:v>0.39947788375674864</x:v>
      </x:c>
      <x:c r="AF79" s="13" t="n">
        <x:v>313720.84687499993</x:v>
      </x:c>
      <x:c r="AG79" s="13" t="n">
        <x:v>0.6754600499689551</x:v>
      </x:c>
      <x:c r="AH79" s="13" t="n">
        <x:v>-0.05038996326707392</x:v>
      </x:c>
      <x:c r="AI79" s="13" t="n">
        <x:v>32</x:v>
      </x:c>
      <x:c r="AJ79" s="13" t="n">
        <x:v>6290098.4799999995</x:v>
      </x:c>
      <x:c r="AK79" s="13" t="n">
        <x:v>0.3734379482332576</x:v>
      </x:c>
      <x:c r="AL79" s="13" t="n">
        <x:v>0.0625</x:v>
      </x:c>
      <x:c r="AM79" s="13" t="n">
        <x:v>0</x:v>
      </x:c>
      <x:c r="AN79" s="13" t="n">
        <x:v>0.31188239324067407</x:v>
      </x:c>
      <x:c r="AO79" s="13" t="n">
        <x:v>0.8198611466007784</x:v>
      </x:c>
      <x:c r="AP79" s="13" t="n">
        <x:v>-0.052739254678397685</x:v>
      </x:c>
    </x:row>
    <x:row r="80" ht="15" hidden="0" customHeight="1">
      <x:c r="A80" s="2" t="str">
        <x:v>E79</x:v>
      </x:c>
      <x:c r="B80" s="2" t="str">
        <x:v>***鞋业有限公司</x:v>
      </x:c>
      <x:c r="C80" s="2" t="str">
        <x:v>有信贷记录</x:v>
      </x:c>
      <x:c r="D80" s="2" t="str">
        <x:v>B</x:v>
      </x:c>
      <x:c r="E80" s="2" t="str">
        <x:v>否</x:v>
      </x:c>
      <x:c r="F80" s="13" t="n">
        <x:v>154</x:v>
      </x:c>
      <x:c r="G80" s="13" t="n">
        <x:v>152</x:v>
      </x:c>
      <x:c r="H80" s="13" t="n">
        <x:v>2</x:v>
      </x:c>
      <x:c r="I80" s="13" t="n">
        <x:v>0</x:v>
      </x:c>
      <x:c r="J80" s="13" t="n">
        <x:v>3318032.58</x:v>
      </x:c>
      <x:c r="K80" s="13" t="n">
        <x:v>3318032.58</x:v>
      </x:c>
      <x:c r="L80" s="13" t="n">
        <x:v>46</x:v>
      </x:c>
      <x:c r="M80" s="13" t="n">
        <x:v>0.012987012987012988</x:v>
      </x:c>
      <x:c r="N80" s="13" t="n">
        <x:v>0</x:v>
      </x:c>
      <x:c r="O80" s="13" t="n">
        <x:v>0.5436362144180595</x:v>
      </x:c>
      <x:c r="P80" s="13" t="n">
        <x:v>0.7270677703833758</x:v>
      </x:c>
      <x:c r="Q80" s="13" t="n">
        <x:v>87316.64684210527</x:v>
      </x:c>
      <x:c r="R80" s="13" t="n">
        <x:v>0.6433931839508644</x:v>
      </x:c>
      <x:c r="S80" s="13" t="n">
        <x:v>-0.017389806651984224</x:v>
      </x:c>
      <x:c r="T80" s="13" t="n">
        <x:v>38</x:v>
      </x:c>
      <x:c r="U80" s="13" t="n">
        <x:v>86</x:v>
      </x:c>
      <x:c r="V80" s="13" t="n">
        <x:v>74</x:v>
      </x:c>
      <x:c r="W80" s="13" t="n">
        <x:v>12</x:v>
      </x:c>
      <x:c r="X80" s="13" t="n">
        <x:v>0</x:v>
      </x:c>
      <x:c r="Y80" s="13" t="n">
        <x:v>3497419.09</x:v>
      </x:c>
      <x:c r="Z80" s="13" t="n">
        <x:v>3497419.09</x:v>
      </x:c>
      <x:c r="AA80" s="13" t="n">
        <x:v>15</x:v>
      </x:c>
      <x:c r="AB80" s="13" t="n">
        <x:v>0.13953488372093023</x:v>
      </x:c>
      <x:c r="AC80" s="13" t="n">
        <x:v>0</x:v>
      </x:c>
      <x:c r="AD80" s="13" t="n">
        <x:v>0.24051506152988106</x:v>
      </x:c>
      <x:c r="AE80" s="13" t="n">
        <x:v>0.4372270095889481</x:v>
      </x:c>
      <x:c r="AF80" s="13" t="n">
        <x:v>99926.25971428571</x:v>
      </x:c>
      <x:c r="AG80" s="13" t="n">
        <x:v>1.0640181266173527</x:v>
      </x:c>
      <x:c r="AH80" s="13" t="n">
        <x:v>0.025444482441894043</x:v>
      </x:c>
      <x:c r="AI80" s="13" t="n">
        <x:v>24</x:v>
      </x:c>
      <x:c r="AJ80" s="13" t="n">
        <x:v>179386.50999999978</x:v>
      </x:c>
      <x:c r="AK80" s="13" t="n">
        <x:v>0.9487088892169337</x:v>
      </x:c>
      <x:c r="AL80" s="13" t="n">
        <x:v>0.058333333333333334</x:v>
      </x:c>
      <x:c r="AM80" s="13" t="n">
        <x:v>0</x:v>
      </x:c>
      <x:c r="AN80" s="13" t="n">
        <x:v>0.39207563797397027</x:v>
      </x:c>
      <x:c r="AO80" s="13" t="n">
        <x:v>0.8537056552841086</x:v>
      </x:c>
      <x:c r="AP80" s="13" t="n">
        <x:v>0.004027337894954909</x:v>
      </x:c>
    </x:row>
    <x:row r="81" ht="15" hidden="0" customHeight="1">
      <x:c r="A81" s="2" t="str">
        <x:v>E80</x:v>
      </x:c>
      <x:c r="B81" s="2" t="str">
        <x:v>***实业有限责任公司</x:v>
      </x:c>
      <x:c r="C81" s="2" t="str">
        <x:v>有信贷记录</x:v>
      </x:c>
      <x:c r="D81" s="2" t="str">
        <x:v>C</x:v>
      </x:c>
      <x:c r="E81" s="2" t="str">
        <x:v>否</x:v>
      </x:c>
      <x:c r="F81" s="13" t="n">
        <x:v>395</x:v>
      </x:c>
      <x:c r="G81" s="13" t="n">
        <x:v>390</x:v>
      </x:c>
      <x:c r="H81" s="13" t="n">
        <x:v>5</x:v>
      </x:c>
      <x:c r="I81" s="13" t="n">
        <x:v>0</x:v>
      </x:c>
      <x:c r="J81" s="13" t="n">
        <x:v>2600684.8200000003</x:v>
      </x:c>
      <x:c r="K81" s="13" t="n">
        <x:v>2600684.8200000003</x:v>
      </x:c>
      <x:c r="L81" s="13" t="n">
        <x:v>106</x:v>
      </x:c>
      <x:c r="M81" s="13" t="n">
        <x:v>0.012658227848101266</x:v>
      </x:c>
      <x:c r="N81" s="13" t="n">
        <x:v>0</x:v>
      </x:c>
      <x:c r="O81" s="13" t="n">
        <x:v>0.4000710846432577</x:v>
      </x:c>
      <x:c r="P81" s="13" t="n">
        <x:v>0.4577255924460697</x:v>
      </x:c>
      <x:c r="Q81" s="13" t="n">
        <x:v>76490.73</x:v>
      </x:c>
      <x:c r="R81" s="13" t="n">
        <x:v>3.1176163903463734</x:v>
      </x:c>
      <x:c r="S81" s="13" t="n">
        <x:v>-0.0379776698210574</x:v>
      </x:c>
      <x:c r="T81" s="13" t="n">
        <x:v>33</x:v>
      </x:c>
      <x:c r="U81" s="13" t="n">
        <x:v>48</x:v>
      </x:c>
      <x:c r="V81" s="13" t="n">
        <x:v>47</x:v>
      </x:c>
      <x:c r="W81" s="13" t="n">
        <x:v>1</x:v>
      </x:c>
      <x:c r="X81" s="13" t="n">
        <x:v>0</x:v>
      </x:c>
      <x:c r="Y81" s="13" t="n">
        <x:v>3779239.6700000004</x:v>
      </x:c>
      <x:c r="Z81" s="13" t="n">
        <x:v>3779239.6700000004</x:v>
      </x:c>
      <x:c r="AA81" s="13" t="n">
        <x:v>39</x:v>
      </x:c>
      <x:c r="AB81" s="13" t="n">
        <x:v>0.020833333333333332</x:v>
      </x:c>
      <x:c r="AC81" s="13" t="n">
        <x:v>0</x:v>
      </x:c>
      <x:c r="AD81" s="13" t="n">
        <x:v>0.06307460513513058</x:v>
      </x:c>
      <x:c r="AE81" s="13" t="n">
        <x:v>0.2130678179507996</x:v>
      </x:c>
      <x:c r="AF81" s="13" t="n">
        <x:v>107978.27628571428</x:v>
      </x:c>
      <x:c r="AG81" s="13" t="n">
        <x:v>2.6381329061966374</x:v>
      </x:c>
      <x:c r="AH81" s="13" t="n">
        <x:v>0.09932560627216971</x:v>
      </x:c>
      <x:c r="AI81" s="13" t="n">
        <x:v>8</x:v>
      </x:c>
      <x:c r="AJ81" s="13" t="n">
        <x:v>1178554.85</x:v>
      </x:c>
      <x:c r="AK81" s="13" t="n">
        <x:v>0.6881502754759132</x:v>
      </x:c>
      <x:c r="AL81" s="13" t="n">
        <x:v>0.013544018058690745</x:v>
      </x:c>
      <x:c r="AM81" s="13" t="n">
        <x:v>0</x:v>
      </x:c>
      <x:c r="AN81" s="13" t="n">
        <x:v>0.23157284488919413</x:v>
      </x:c>
      <x:c r="AO81" s="13" t="n">
        <x:v>2.877874648271505</x:v>
      </x:c>
      <x:c r="AP81" s="13" t="n">
        <x:v>0.030673968225556156</x:v>
      </x:c>
    </x:row>
    <x:row r="82" ht="15" hidden="0" customHeight="1">
      <x:c r="A82" s="2" t="str">
        <x:v>E81</x:v>
      </x:c>
      <x:c r="B82" s="2" t="str">
        <x:v>***机械设备有限公司</x:v>
      </x:c>
      <x:c r="C82" s="2" t="str">
        <x:v>有信贷记录</x:v>
      </x:c>
      <x:c r="D82" s="2" t="str">
        <x:v>A</x:v>
      </x:c>
      <x:c r="E82" s="2" t="str">
        <x:v>否</x:v>
      </x:c>
      <x:c r="F82" s="13" t="n">
        <x:v>211</x:v>
      </x:c>
      <x:c r="G82" s="13" t="n">
        <x:v>205</x:v>
      </x:c>
      <x:c r="H82" s="13" t="n">
        <x:v>6</x:v>
      </x:c>
      <x:c r="I82" s="13" t="n">
        <x:v>3</x:v>
      </x:c>
      <x:c r="J82" s="13" t="n">
        <x:v>2255424.5300000003</x:v>
      </x:c>
      <x:c r="K82" s="13" t="n">
        <x:v>2414570.17</x:v>
      </x:c>
      <x:c r="L82" s="13" t="n">
        <x:v>68</x:v>
      </x:c>
      <x:c r="M82" s="13" t="n">
        <x:v>0.02843601895734597</x:v>
      </x:c>
      <x:c r="N82" s="13" t="n">
        <x:v>0.014634146341463415</x:v>
      </x:c>
      <x:c r="O82" s="13" t="n">
        <x:v>0.4703261574877649</x:v>
      </x:c>
      <x:c r="P82" s="13" t="n">
        <x:v>0.6811643001453961</x:v>
      </x:c>
      <x:c r="Q82" s="13" t="n">
        <x:v>60957.41972972972</x:v>
      </x:c>
      <x:c r="R82" s="13" t="n">
        <x:v>0.819548051915051</x:v>
      </x:c>
      <x:c r="S82" s="13" t="n">
        <x:v>0.004231162655905797</x:v>
      </x:c>
      <x:c r="T82" s="13" t="n">
        <x:v>36</x:v>
      </x:c>
      <x:c r="U82" s="13" t="n">
        <x:v>649</x:v>
      </x:c>
      <x:c r="V82" s="13" t="n">
        <x:v>609</x:v>
      </x:c>
      <x:c r="W82" s="13" t="n">
        <x:v>40</x:v>
      </x:c>
      <x:c r="X82" s="13" t="n">
        <x:v>3</x:v>
      </x:c>
      <x:c r="Y82" s="13" t="n">
        <x:v>3910186.16</x:v>
      </x:c>
      <x:c r="Z82" s="13" t="n">
        <x:v>3932711.16</x:v>
      </x:c>
      <x:c r="AA82" s="13" t="n">
        <x:v>121</x:v>
      </x:c>
      <x:c r="AB82" s="13" t="n">
        <x:v>0.061633281972265024</x:v>
      </x:c>
      <x:c r="AC82" s="13" t="n">
        <x:v>0.0049261083743842365</x:v>
      </x:c>
      <x:c r="AD82" s="13" t="n">
        <x:v>0.047413501633771914</x:v>
      </x:c>
      <x:c r="AE82" s="13" t="n">
        <x:v>0.14199008706248337</x:v>
      </x:c>
      <x:c r="AF82" s="13" t="n">
        <x:v>105680.70702702703</x:v>
      </x:c>
      <x:c r="AG82" s="13" t="n">
        <x:v>0.46231586301059724</x:v>
      </x:c>
      <x:c r="AH82" s="13" t="n">
        <x:v>0.004829305450084548</x:v>
      </x:c>
      <x:c r="AI82" s="13" t="n">
        <x:v>37</x:v>
      </x:c>
      <x:c r="AJ82" s="13" t="n">
        <x:v>1654761.63</x:v>
      </x:c>
      <x:c r="AK82" s="13" t="n">
        <x:v>0.6139708897411117</x:v>
      </x:c>
      <x:c r="AL82" s="13" t="n">
        <x:v>0.053488372093023255</x:v>
      </x:c>
      <x:c r="AM82" s="13" t="n">
        <x:v>0.007371007371007371</x:v>
      </x:c>
      <x:c r="AN82" s="13" t="n">
        <x:v>0.2588698295607684</x:v>
      </x:c>
      <x:c r="AO82" s="13" t="n">
        <x:v>0.640931957462824</x:v>
      </x:c>
      <x:c r="AP82" s="13" t="n">
        <x:v>0.004530234052995172</x:v>
      </x:c>
    </x:row>
    <x:row r="83" ht="15" hidden="0" customHeight="1">
      <x:c r="A83" s="2" t="str">
        <x:v>E82</x:v>
      </x:c>
      <x:c r="B83" s="2" t="str">
        <x:v>***商贸有限公司</x:v>
      </x:c>
      <x:c r="C83" s="2" t="str">
        <x:v>有信贷记录</x:v>
      </x:c>
      <x:c r="D83" s="2" t="str">
        <x:v>D</x:v>
      </x:c>
      <x:c r="E83" s="2" t="str">
        <x:v>是</x:v>
      </x:c>
      <x:c r="F83" s="13" t="n">
        <x:v>315</x:v>
      </x:c>
      <x:c r="G83" s="13" t="n">
        <x:v>311</x:v>
      </x:c>
      <x:c r="H83" s="13" t="n">
        <x:v>4</x:v>
      </x:c>
      <x:c r="I83" s="13" t="n">
        <x:v>3</x:v>
      </x:c>
      <x:c r="J83" s="13" t="n">
        <x:v>1693976.72</x:v>
      </x:c>
      <x:c r="K83" s="13" t="n">
        <x:v>1694684.6</x:v>
      </x:c>
      <x:c r="L83" s="13" t="n">
        <x:v>68</x:v>
      </x:c>
      <x:c r="M83" s="13" t="n">
        <x:v>0.012698412698412698</x:v>
      </x:c>
      <x:c r="N83" s="13" t="n">
        <x:v>0.00964630225080386</x:v>
      </x:c>
      <x:c r="O83" s="13" t="n">
        <x:v>0.06818678898624388</x:v>
      </x:c>
      <x:c r="P83" s="13" t="n">
        <x:v>0.1921694750751851</x:v>
      </x:c>
      <x:c r="Q83" s="13" t="n">
        <x:v>45783.15459459459</x:v>
      </x:c>
      <x:c r="R83" s="13" t="n">
        <x:v>1.0227534966228182</x:v>
      </x:c>
      <x:c r="S83" s="13" t="n">
        <x:v>0.008998025228562516</x:v>
      </x:c>
      <x:c r="T83" s="13" t="n">
        <x:v>35</x:v>
      </x:c>
      <x:c r="U83" s="13" t="n">
        <x:v>343</x:v>
      </x:c>
      <x:c r="V83" s="13" t="n">
        <x:v>335</x:v>
      </x:c>
      <x:c r="W83" s="13" t="n">
        <x:v>8</x:v>
      </x:c>
      <x:c r="X83" s="13" t="n">
        <x:v>2</x:v>
      </x:c>
      <x:c r="Y83" s="13" t="n">
        <x:v>3401276.1799999997</x:v>
      </x:c>
      <x:c r="Z83" s="13" t="n">
        <x:v>3433971.4399999995</x:v>
      </x:c>
      <x:c r="AA83" s="13" t="n">
        <x:v>8</x:v>
      </x:c>
      <x:c r="AB83" s="13" t="n">
        <x:v>0.023323615160349854</x:v>
      </x:c>
      <x:c r="AC83" s="13" t="n">
        <x:v>0.005970149253731343</x:v>
      </x:c>
      <x:c r="AD83" s="13" t="n">
        <x:v>0.9544683481280435</x:v>
      </x:c>
      <x:c r="AE83" s="13" t="n">
        <x:v>0.9769197265076847</x:v>
      </x:c>
      <x:c r="AF83" s="13" t="n">
        <x:v>94479.8938888889</x:v>
      </x:c>
      <x:c r="AG83" s="13" t="n">
        <x:v>1.2980437635278372</x:v>
      </x:c>
      <x:c r="AH83" s="13" t="n">
        <x:v>0.007010275005060354</x:v>
      </x:c>
      <x:c r="AI83" s="13" t="n">
        <x:v>26</x:v>
      </x:c>
      <x:c r="AJ83" s="13" t="n">
        <x:v>1707299.4599999997</x:v>
      </x:c>
      <x:c r="AK83" s="13" t="n">
        <x:v>0.4935057351554444</x:v>
      </x:c>
      <x:c r="AL83" s="13" t="n">
        <x:v>0.0182370820668693</x:v>
      </x:c>
      <x:c r="AM83" s="13" t="n">
        <x:v>0.007739938080495356</x:v>
      </x:c>
      <x:c r="AN83" s="13" t="n">
        <x:v>0.5113275685571437</x:v>
      </x:c>
      <x:c r="AO83" s="13" t="n">
        <x:v>1.1603986300753277</x:v>
      </x:c>
      <x:c r="AP83" s="13" t="n">
        <x:v>0.008004150116811435</x:v>
      </x:c>
    </x:row>
    <x:row r="84" ht="15" hidden="0" customHeight="1">
      <x:c r="A84" s="2" t="str">
        <x:v>E83</x:v>
      </x:c>
      <x:c r="B84" s="2" t="str">
        <x:v>***社会福利院（***社会福利社会化服务中心）</x:v>
      </x:c>
      <x:c r="C84" s="2" t="str">
        <x:v>有信贷记录</x:v>
      </x:c>
      <x:c r="D84" s="2" t="str">
        <x:v>B</x:v>
      </x:c>
      <x:c r="E84" s="2" t="str">
        <x:v>否</x:v>
      </x:c>
      <x:c r="F84" s="13" t="n">
        <x:v>2890</x:v>
      </x:c>
      <x:c r="G84" s="13" t="n">
        <x:v>2699</x:v>
      </x:c>
      <x:c r="H84" s="13" t="n">
        <x:v>191</x:v>
      </x:c>
      <x:c r="I84" s="13" t="n">
        <x:v>54</x:v>
      </x:c>
      <x:c r="J84" s="13" t="n">
        <x:v>37570784.98</x:v>
      </x:c>
      <x:c r="K84" s="13" t="n">
        <x:v>38175265.32</x:v>
      </x:c>
      <x:c r="L84" s="13" t="n">
        <x:v>262</x:v>
      </x:c>
      <x:c r="M84" s="13" t="n">
        <x:v>0.06608996539792387</x:v>
      </x:c>
      <x:c r="N84" s="13" t="n">
        <x:v>0.020007410151908114</x:v>
      </x:c>
      <x:c r="O84" s="13" t="n">
        <x:v>0.05026488743408646</x:v>
      </x:c>
      <x:c r="P84" s="13" t="n">
        <x:v>0.16921567160964004</x:v>
      </x:c>
      <x:c r="Q84" s="13" t="n">
        <x:v>1043632.9161111112</x:v>
      </x:c>
      <x:c r="R84" s="13" t="n">
        <x:v>0.662735355942065</x:v>
      </x:c>
      <x:c r="S84" s="13" t="n">
        <x:v>0.03146561490833548</x:v>
      </x:c>
      <x:c r="T84" s="13" t="n">
        <x:v>35</x:v>
      </x:c>
      <x:c r="U84" s="13" t="n">
        <x:v>706</x:v>
      </x:c>
      <x:c r="V84" s="13" t="n">
        <x:v>649</x:v>
      </x:c>
      <x:c r="W84" s="13" t="n">
        <x:v>57</x:v>
      </x:c>
      <x:c r="X84" s="13" t="n">
        <x:v>3</x:v>
      </x:c>
      <x:c r="Y84" s="13" t="n">
        <x:v>3481120.81</x:v>
      </x:c>
      <x:c r="Z84" s="13" t="n">
        <x:v>3498760.81</x:v>
      </x:c>
      <x:c r="AA84" s="13" t="n">
        <x:v>186</x:v>
      </x:c>
      <x:c r="AB84" s="13" t="n">
        <x:v>0.08073654390934844</x:v>
      </x:c>
      <x:c r="AC84" s="13" t="n">
        <x:v>0.004622496147919877</x:v>
      </x:c>
      <x:c r="AD84" s="13" t="n">
        <x:v>0.03492203987852535</x:v>
      </x:c>
      <x:c r="AE84" s="13" t="n">
        <x:v>0.07699297397812113</x:v>
      </x:c>
      <x:c r="AF84" s="13" t="n">
        <x:v>94084.34621621622</x:v>
      </x:c>
      <x:c r="AG84" s="13" t="n">
        <x:v>1.9150629161599497</x:v>
      </x:c>
      <x:c r="AH84" s="13" t="n">
        <x:v>-0.019741339188589065</x:v>
      </x:c>
      <x:c r="AI84" s="13" t="n">
        <x:v>23</x:v>
      </x:c>
      <x:c r="AJ84" s="13" t="n">
        <x:v>-34089664.169999994</x:v>
      </x:c>
      <x:c r="AK84" s="13" t="n">
        <x:v>10.911081778122464</x:v>
      </x:c>
      <x:c r="AL84" s="13" t="n">
        <x:v>0.06896551724137931</x:v>
      </x:c>
      <x:c r="AM84" s="13" t="n">
        <x:v>0.017025089605734768</x:v>
      </x:c>
      <x:c r="AN84" s="13" t="n">
        <x:v>0.04259346365630591</x:v>
      </x:c>
      <x:c r="AO84" s="13" t="n">
        <x:v>1.2888991360510074</x:v>
      </x:c>
      <x:c r="AP84" s="13" t="n">
        <x:v>0.005862137859873207</x:v>
      </x:c>
    </x:row>
    <x:row r="85" ht="15" hidden="0" customHeight="1">
      <x:c r="A85" s="2" t="str">
        <x:v>E84</x:v>
      </x:c>
      <x:c r="B85" s="2" t="str">
        <x:v>***建材有限公司</x:v>
      </x:c>
      <x:c r="C85" s="2" t="str">
        <x:v>有信贷记录</x:v>
      </x:c>
      <x:c r="D85" s="2" t="str">
        <x:v>A</x:v>
      </x:c>
      <x:c r="E85" s="2" t="str">
        <x:v>否</x:v>
      </x:c>
      <x:c r="F85" s="13" t="n">
        <x:v>54</x:v>
      </x:c>
      <x:c r="G85" s="13" t="n">
        <x:v>53</x:v>
      </x:c>
      <x:c r="H85" s="13" t="n">
        <x:v>1</x:v>
      </x:c>
      <x:c r="I85" s="13" t="n">
        <x:v>0</x:v>
      </x:c>
      <x:c r="J85" s="13" t="n">
        <x:v>1658750.05</x:v>
      </x:c>
      <x:c r="K85" s="13" t="n">
        <x:v>1658750.05</x:v>
      </x:c>
      <x:c r="L85" s="13" t="n">
        <x:v>19</x:v>
      </x:c>
      <x:c r="M85" s="13" t="n">
        <x:v>0.018518518518518517</x:v>
      </x:c>
      <x:c r="N85" s="13" t="n">
        <x:v>0</x:v>
      </x:c>
      <x:c r="O85" s="13" t="n">
        <x:v>0.1254818681828775</x:v>
      </x:c>
      <x:c r="P85" s="13" t="n">
        <x:v>0.18990202894040606</x:v>
      </x:c>
      <x:c r="Q85" s="13" t="n">
        <x:v>44831.082432432435</x:v>
      </x:c>
      <x:c r="R85" s="13" t="n">
        <x:v>1.5697561198319399</x:v>
      </x:c>
      <x:c r="S85" s="13" t="n">
        <x:v>-0.01693339718124016</x:v>
      </x:c>
      <x:c r="T85" s="13" t="n">
        <x:v>18</x:v>
      </x:c>
      <x:c r="U85" s="13" t="n">
        <x:v>498</x:v>
      </x:c>
      <x:c r="V85" s="13" t="n">
        <x:v>445</x:v>
      </x:c>
      <x:c r="W85" s="13" t="n">
        <x:v>53</x:v>
      </x:c>
      <x:c r="X85" s="13" t="n">
        <x:v>6</x:v>
      </x:c>
      <x:c r="Y85" s="13" t="n">
        <x:v>5576905.35</x:v>
      </x:c>
      <x:c r="Z85" s="13" t="n">
        <x:v>5765461.41</x:v>
      </x:c>
      <x:c r="AA85" s="13" t="n">
        <x:v>35</x:v>
      </x:c>
      <x:c r="AB85" s="13" t="n">
        <x:v>0.10642570281124498</x:v>
      </x:c>
      <x:c r="AC85" s="13" t="n">
        <x:v>0.01348314606741573</x:v>
      </x:c>
      <x:c r="AD85" s="13" t="n">
        <x:v>0.08391824846030264</x:v>
      </x:c>
      <x:c r="AE85" s="13" t="n">
        <x:v>0.15090775536038145</x:v>
      </x:c>
      <x:c r="AF85" s="13" t="n">
        <x:v>150727.17162162162</x:v>
      </x:c>
      <x:c r="AG85" s="13" t="n">
        <x:v>0.8876031278117273</x:v>
      </x:c>
      <x:c r="AH85" s="13" t="n">
        <x:v>0.008975817848324625</x:v>
      </x:c>
      <x:c r="AI85" s="13" t="n">
        <x:v>32</x:v>
      </x:c>
      <x:c r="AJ85" s="13" t="n">
        <x:v>3918155.3</x:v>
      </x:c>
      <x:c r="AK85" s="13" t="n">
        <x:v>0.2877046487767576</x:v>
      </x:c>
      <x:c r="AL85" s="13" t="n">
        <x:v>0.09782608695652174</x:v>
      </x:c>
      <x:c r="AM85" s="13" t="n">
        <x:v>0.012048192771084338</x:v>
      </x:c>
      <x:c r="AN85" s="13" t="n">
        <x:v>0.10470005832159007</x:v>
      </x:c>
      <x:c r="AO85" s="13" t="n">
        <x:v>1.2286796238218336</x:v>
      </x:c>
      <x:c r="AP85" s="13" t="n">
        <x:v>-0.003978789666457768</x:v>
      </x:c>
    </x:row>
    <x:row r="86" ht="15" hidden="0" customHeight="1">
      <x:c r="A86" s="2" t="str">
        <x:v>E85</x:v>
      </x:c>
      <x:c r="B86" s="2" t="str">
        <x:v>***安防科技有限公司</x:v>
      </x:c>
      <x:c r="C86" s="2" t="str">
        <x:v>有信贷记录</x:v>
      </x:c>
      <x:c r="D86" s="2" t="str">
        <x:v>B</x:v>
      </x:c>
      <x:c r="E86" s="2" t="str">
        <x:v>否</x:v>
      </x:c>
      <x:c r="F86" s="13" t="n">
        <x:v>229</x:v>
      </x:c>
      <x:c r="G86" s="13" t="n">
        <x:v>228</x:v>
      </x:c>
      <x:c r="H86" s="13" t="n">
        <x:v>1</x:v>
      </x:c>
      <x:c r="I86" s="13" t="n">
        <x:v>1</x:v>
      </x:c>
      <x:c r="J86" s="13" t="n">
        <x:v>432211.42</x:v>
      </x:c>
      <x:c r="K86" s="13" t="n">
        <x:v>433008.84</x:v>
      </x:c>
      <x:c r="L86" s="13" t="n">
        <x:v>38</x:v>
      </x:c>
      <x:c r="M86" s="13" t="n">
        <x:v>0.004366812227074236</x:v>
      </x:c>
      <x:c r="N86" s="13" t="n">
        <x:v>0.0043859649122807015</x:v>
      </x:c>
      <x:c r="O86" s="13" t="n">
        <x:v>0.14653986568234514</x:v>
      </x:c>
      <x:c r="P86" s="13" t="n">
        <x:v>0.22655426619003896</x:v>
      </x:c>
      <x:c r="Q86" s="13" t="n">
        <x:v>13097.315757575756</x:v>
      </x:c>
      <x:c r="R86" s="13" t="n">
        <x:v>2.350624194264044</x:v>
      </x:c>
      <x:c r="S86" s="13" t="n">
        <x:v>-0.00048098473563753</x:v>
      </x:c>
      <x:c r="T86" s="13" t="n">
        <x:v>31</x:v>
      </x:c>
      <x:c r="U86" s="13" t="n">
        <x:v>293</x:v>
      </x:c>
      <x:c r="V86" s="13" t="n">
        <x:v>247</x:v>
      </x:c>
      <x:c r="W86" s="13" t="n">
        <x:v>46</x:v>
      </x:c>
      <x:c r="X86" s="13" t="n">
        <x:v>0</x:v>
      </x:c>
      <x:c r="Y86" s="13" t="n">
        <x:v>2739277</x:v>
      </x:c>
      <x:c r="Z86" s="13" t="n">
        <x:v>2739277</x:v>
      </x:c>
      <x:c r="AA86" s="13" t="n">
        <x:v>26</x:v>
      </x:c>
      <x:c r="AB86" s="13" t="n">
        <x:v>0.15699658703071673</x:v>
      </x:c>
      <x:c r="AC86" s="13" t="n">
        <x:v>0</x:v>
      </x:c>
      <x:c r="AD86" s="13" t="n">
        <x:v>0.14174672292890544</x:v>
      </x:c>
      <x:c r="AE86" s="13" t="n">
        <x:v>0.24016884747325662</x:v>
      </x:c>
      <x:c r="AF86" s="13" t="n">
        <x:v>74034.51351351352</x:v>
      </x:c>
      <x:c r="AG86" s="13" t="n">
        <x:v>1.2946191410219268</x:v>
      </x:c>
      <x:c r="AH86" s="13" t="n">
        <x:v>0.03015603874063565</x:v>
      </x:c>
      <x:c r="AI86" s="13" t="n">
        <x:v>37</x:v>
      </x:c>
      <x:c r="AJ86" s="13" t="n">
        <x:v>2307065.58</x:v>
      </x:c>
      <x:c r="AK86" s="13" t="n">
        <x:v>0.15807413416021815</x:v>
      </x:c>
      <x:c r="AL86" s="13" t="n">
        <x:v>0.09003831417624521</x:v>
      </x:c>
      <x:c r="AM86" s="13" t="n">
        <x:v>0.002105263157894737</x:v>
      </x:c>
      <x:c r="AN86" s="13" t="n">
        <x:v>0.14414329430562528</x:v>
      </x:c>
      <x:c r="AO86" s="13" t="n">
        <x:v>1.8226216676429852</x:v>
      </x:c>
      <x:c r="AP86" s="13" t="n">
        <x:v>0.01483752700249906</x:v>
      </x:c>
    </x:row>
    <x:row r="87" ht="15" hidden="0" customHeight="1">
      <x:c r="A87" s="2" t="str">
        <x:v>E86</x:v>
      </x:c>
      <x:c r="B87" s="2" t="str">
        <x:v>***地质工程勘察院***分院</x:v>
      </x:c>
      <x:c r="C87" s="2" t="str">
        <x:v>有信贷记录</x:v>
      </x:c>
      <x:c r="D87" s="2" t="str">
        <x:v>C</x:v>
      </x:c>
      <x:c r="E87" s="2" t="str">
        <x:v>否</x:v>
      </x:c>
      <x:c r="F87" s="13" t="n">
        <x:v>138</x:v>
      </x:c>
      <x:c r="G87" s="13" t="n">
        <x:v>137</x:v>
      </x:c>
      <x:c r="H87" s="13" t="n">
        <x:v>1</x:v>
      </x:c>
      <x:c r="I87" s="13" t="n">
        <x:v>1</x:v>
      </x:c>
      <x:c r="J87" s="13" t="n">
        <x:v>1741768.38</x:v>
      </x:c>
      <x:c r="K87" s="13" t="n">
        <x:v>1745966.38</x:v>
      </x:c>
      <x:c r="L87" s="13" t="n">
        <x:v>36</x:v>
      </x:c>
      <x:c r="M87" s="13" t="n">
        <x:v>0.007246376811594203</x:v>
      </x:c>
      <x:c r="N87" s="13" t="n">
        <x:v>0.0072992700729927005</x:v>
      </x:c>
      <x:c r="O87" s="13" t="n">
        <x:v>0.41880553254947434</x:v>
      </x:c>
      <x:c r="P87" s="13" t="n">
        <x:v>0.5757805485349609</x:v>
      </x:c>
      <x:c r="Q87" s="13" t="n">
        <x:v>54430.261875</x:v>
      </x:c>
      <x:c r="R87" s="13" t="n">
        <x:v>3.5845200877573973</x:v>
      </x:c>
      <x:c r="S87" s="13" t="n">
        <x:v>0.018543960740335305</x:v>
      </x:c>
      <x:c r="T87" s="13" t="n">
        <x:v>23</x:v>
      </x:c>
      <x:c r="U87" s="13" t="n">
        <x:v>22</x:v>
      </x:c>
      <x:c r="V87" s="13" t="n">
        <x:v>19</x:v>
      </x:c>
      <x:c r="W87" s="13" t="n">
        <x:v>3</x:v>
      </x:c>
      <x:c r="X87" s="13" t="n">
        <x:v>6</x:v>
      </x:c>
      <x:c r="Y87" s="13" t="n">
        <x:v>2229051.16</x:v>
      </x:c>
      <x:c r="Z87" s="13" t="n">
        <x:v>5498263.16</x:v>
      </x:c>
      <x:c r="AA87" s="13" t="n">
        <x:v>7</x:v>
      </x:c>
      <x:c r="AB87" s="13" t="n">
        <x:v>0.13636363636363635</x:v>
      </x:c>
      <x:c r="AC87" s="13" t="n">
        <x:v>0.17828116037106256</x:v>
      </x:c>
      <x:c r="AD87" s="13" t="n">
        <x:v>0.23158302271798364</x:v>
      </x:c>
      <x:c r="AE87" s="13" t="n">
        <x:v>0.38037466362377603</x:v>
      </x:c>
      <x:c r="AF87" s="13" t="n">
        <x:v>71904.87612903226</x:v>
      </x:c>
      <x:c r="AG87" s="13" t="n">
        <x:v>2.003115526561836</x:v>
      </x:c>
      <x:c r="AH87" s="13" t="n">
        <x:v>-0.045398932377753394</x:v>
      </x:c>
      <x:c r="AI87" s="13" t="n">
        <x:v>13</x:v>
      </x:c>
      <x:c r="AJ87" s="13" t="n">
        <x:v>487282.78000000026</x:v>
      </x:c>
      <x:c r="AK87" s="13" t="n">
        <x:v>0.3175487111460848</x:v>
      </x:c>
      <x:c r="AL87" s="13" t="n">
        <x:v>0.025</x:v>
      </x:c>
      <x:c r="AM87" s="13" t="n">
        <x:v>0.04487179487179487</x:v>
      </x:c>
      <x:c r="AN87" s="13" t="n">
        <x:v>0.325194277633729</x:v>
      </x:c>
      <x:c r="AO87" s="13" t="n">
        <x:v>2.7938178071596167</x:v>
      </x:c>
      <x:c r="AP87" s="13" t="n">
        <x:v>-0.013427485818709044</x:v>
      </x:c>
    </x:row>
    <x:row r="88" ht="15" hidden="0" customHeight="1">
      <x:c r="A88" s="2" t="str">
        <x:v>E87</x:v>
      </x:c>
      <x:c r="B88" s="2" t="str">
        <x:v>***实业有限责任公司</x:v>
      </x:c>
      <x:c r="C88" s="2" t="str">
        <x:v>有信贷记录</x:v>
      </x:c>
      <x:c r="D88" s="2" t="str">
        <x:v>C</x:v>
      </x:c>
      <x:c r="E88" s="2" t="str">
        <x:v>是</x:v>
      </x:c>
      <x:c r="F88" s="13" t="n">
        <x:v>379</x:v>
      </x:c>
      <x:c r="G88" s="13" t="n">
        <x:v>371</x:v>
      </x:c>
      <x:c r="H88" s="13" t="n">
        <x:v>8</x:v>
      </x:c>
      <x:c r="I88" s="13" t="n">
        <x:v>0</x:v>
      </x:c>
      <x:c r="J88" s="13" t="n">
        <x:v>1706273.9200000002</x:v>
      </x:c>
      <x:c r="K88" s="13" t="n">
        <x:v>1706273.9200000002</x:v>
      </x:c>
      <x:c r="L88" s="13" t="n">
        <x:v>82</x:v>
      </x:c>
      <x:c r="M88" s="13" t="n">
        <x:v>0.021108179419525065</x:v>
      </x:c>
      <x:c r="N88" s="13" t="n">
        <x:v>0</x:v>
      </x:c>
      <x:c r="O88" s="13" t="n">
        <x:v>0.08206424220446842</x:v>
      </x:c>
      <x:c r="P88" s="13" t="n">
        <x:v>0.16263106805266064</x:v>
      </x:c>
      <x:c r="Q88" s="13" t="n">
        <x:v>55041.09419354838</x:v>
      </x:c>
      <x:c r="R88" s="13" t="n">
        <x:v>1.194385836781783</x:v>
      </x:c>
      <x:c r="S88" s="13" t="n">
        <x:v>-0.04601427426435651</x:v>
      </x:c>
      <x:c r="T88" s="13" t="n">
        <x:v>31</x:v>
      </x:c>
      <x:c r="U88" s="13" t="n">
        <x:v>74</x:v>
      </x:c>
      <x:c r="V88" s="13" t="n">
        <x:v>71</x:v>
      </x:c>
      <x:c r="W88" s="13" t="n">
        <x:v>3</x:v>
      </x:c>
      <x:c r="X88" s="13" t="n">
        <x:v>0</x:v>
      </x:c>
      <x:c r="Y88" s="13" t="n">
        <x:v>4328051.6</x:v>
      </x:c>
      <x:c r="Z88" s="13" t="n">
        <x:v>4328051.6</x:v>
      </x:c>
      <x:c r="AA88" s="13" t="n">
        <x:v>13</x:v>
      </x:c>
      <x:c r="AB88" s="13" t="n">
        <x:v>0.04054054054054054</x:v>
      </x:c>
      <x:c r="AC88" s="13" t="n">
        <x:v>0</x:v>
      </x:c>
      <x:c r="AD88" s="13" t="n">
        <x:v>0.3408858101047195</x:v>
      </x:c>
      <x:c r="AE88" s="13" t="n">
        <x:v>0.5006906572001129</x:v>
      </x:c>
      <x:c r="AF88" s="13" t="n">
        <x:v>139614.56774193546</x:v>
      </x:c>
      <x:c r="AG88" s="13" t="n">
        <x:v>1.613783567293574</x:v>
      </x:c>
      <x:c r="AH88" s="13" t="n">
        <x:v>-0.01821882989449563</x:v>
      </x:c>
      <x:c r="AI88" s="13" t="n">
        <x:v>22</x:v>
      </x:c>
      <x:c r="AJ88" s="13" t="n">
        <x:v>2621777.6799999997</x:v>
      </x:c>
      <x:c r="AK88" s="13" t="n">
        <x:v>0.39423603914518945</x:v>
      </x:c>
      <x:c r="AL88" s="13" t="n">
        <x:v>0.024282560706401765</x:v>
      </x:c>
      <x:c r="AM88" s="13" t="n">
        <x:v>0</x:v>
      </x:c>
      <x:c r="AN88" s="13" t="n">
        <x:v>0.21147502615459396</x:v>
      </x:c>
      <x:c r="AO88" s="13" t="n">
        <x:v>1.4040847020376785</x:v>
      </x:c>
      <x:c r="AP88" s="13" t="n">
        <x:v>-0.03211655207942607</x:v>
      </x:c>
    </x:row>
    <x:row r="89" ht="15" hidden="0" customHeight="1">
      <x:c r="A89" s="2" t="str">
        <x:v>E88</x:v>
      </x:c>
      <x:c r="B89" s="2" t="str">
        <x:v>***贸易有限公司</x:v>
      </x:c>
      <x:c r="C89" s="2" t="str">
        <x:v>有信贷记录</x:v>
      </x:c>
      <x:c r="D89" s="2" t="str">
        <x:v>A</x:v>
      </x:c>
      <x:c r="E89" s="2" t="str">
        <x:v>否</x:v>
      </x:c>
      <x:c r="F89" s="13" t="n">
        <x:v>214</x:v>
      </x:c>
      <x:c r="G89" s="13" t="n">
        <x:v>214</x:v>
      </x:c>
      <x:c r="H89" s="13" t="n">
        <x:v>0</x:v>
      </x:c>
      <x:c r="I89" s="13" t="n">
        <x:v>0</x:v>
      </x:c>
      <x:c r="J89" s="13" t="n">
        <x:v>683458.4600000001</x:v>
      </x:c>
      <x:c r="K89" s="13" t="n">
        <x:v>683458.4600000001</x:v>
      </x:c>
      <x:c r="L89" s="13" t="n">
        <x:v>26</x:v>
      </x:c>
      <x:c r="M89" s="13" t="n">
        <x:v>0</x:v>
      </x:c>
      <x:c r="N89" s="13" t="n">
        <x:v>0</x:v>
      </x:c>
      <x:c r="O89" s="13" t="n">
        <x:v>0.4122467929126147</x:v>
      </x:c>
      <x:c r="P89" s="13" t="n">
        <x:v>0.5129207121088237</x:v>
      </x:c>
      <x:c r="Q89" s="13" t="n">
        <x:v>21358.076875</x:v>
      </x:c>
      <x:c r="R89" s="13" t="n">
        <x:v>1.212584229291783</x:v>
      </x:c>
      <x:c r="S89" s="13" t="n">
        <x:v>0.034273174274687894</x:v>
      </x:c>
      <x:c r="T89" s="13" t="n">
        <x:v>32</x:v>
      </x:c>
      <x:c r="U89" s="13" t="n">
        <x:v>400</x:v>
      </x:c>
      <x:c r="V89" s="13" t="n">
        <x:v>364</x:v>
      </x:c>
      <x:c r="W89" s="13" t="n">
        <x:v>36</x:v>
      </x:c>
      <x:c r="X89" s="13" t="n">
        <x:v>4</x:v>
      </x:c>
      <x:c r="Y89" s="13" t="n">
        <x:v>2721179.6500000004</x:v>
      </x:c>
      <x:c r="Z89" s="13" t="n">
        <x:v>2794034.69</x:v>
      </x:c>
      <x:c r="AA89" s="13" t="n">
        <x:v>91</x:v>
      </x:c>
      <x:c r="AB89" s="13" t="n">
        <x:v>0.09</x:v>
      </x:c>
      <x:c r="AC89" s="13" t="n">
        <x:v>0.01098901098901099</x:v>
      </x:c>
      <x:c r="AD89" s="13" t="n">
        <x:v>0.04346768992309741</x:v>
      </x:c>
      <x:c r="AE89" s="13" t="n">
        <x:v>0.12293870266872027</x:v>
      </x:c>
      <x:c r="AF89" s="13" t="n">
        <x:v>73545.39594594594</x:v>
      </x:c>
      <x:c r="AG89" s="13" t="n">
        <x:v>0.9891941409479341</x:v>
      </x:c>
      <x:c r="AH89" s="13" t="n">
        <x:v>0.043726208974463554</x:v>
      </x:c>
      <x:c r="AI89" s="13" t="n">
        <x:v>35</x:v>
      </x:c>
      <x:c r="AJ89" s="13" t="n">
        <x:v>2037721.1900000004</x:v>
      </x:c>
      <x:c r="AK89" s="13" t="n">
        <x:v>0.2446134482317397</x:v>
      </x:c>
      <x:c r="AL89" s="13" t="n">
        <x:v>0.05863192182410423</x:v>
      </x:c>
      <x:c r="AM89" s="13" t="n">
        <x:v>0.006920415224913495</x:v>
      </x:c>
      <x:c r="AN89" s="13" t="n">
        <x:v>0.22785724141785604</x:v>
      </x:c>
      <x:c r="AO89" s="13" t="n">
        <x:v>1.1008891851198586</x:v>
      </x:c>
      <x:c r="AP89" s="13" t="n">
        <x:v>0.03899969162457573</x:v>
      </x:c>
    </x:row>
    <x:row r="90" ht="15" hidden="0" customHeight="1">
      <x:c r="A90" s="2" t="str">
        <x:v>E89</x:v>
      </x:c>
      <x:c r="B90" s="2" t="str">
        <x:v>***物资有限公司</x:v>
      </x:c>
      <x:c r="C90" s="2" t="str">
        <x:v>有信贷记录</x:v>
      </x:c>
      <x:c r="D90" s="2" t="str">
        <x:v>A</x:v>
      </x:c>
      <x:c r="E90" s="2" t="str">
        <x:v>否</x:v>
      </x:c>
      <x:c r="F90" s="13" t="n">
        <x:v>65</x:v>
      </x:c>
      <x:c r="G90" s="13" t="n">
        <x:v>63</x:v>
      </x:c>
      <x:c r="H90" s="13" t="n">
        <x:v>2</x:v>
      </x:c>
      <x:c r="I90" s="13" t="n">
        <x:v>0</x:v>
      </x:c>
      <x:c r="J90" s="13" t="n">
        <x:v>2718420.6900000004</x:v>
      </x:c>
      <x:c r="K90" s="13" t="n">
        <x:v>2718420.6900000004</x:v>
      </x:c>
      <x:c r="L90" s="13" t="n">
        <x:v>12</x:v>
      </x:c>
      <x:c r="M90" s="13" t="n">
        <x:v>0.03076923076923077</x:v>
      </x:c>
      <x:c r="N90" s="13" t="n">
        <x:v>0</x:v>
      </x:c>
      <x:c r="O90" s="13" t="n">
        <x:v>0.9765675376364001</x:v>
      </x:c>
      <x:c r="P90" s="13" t="n">
        <x:v>0.9881973051051197</x:v>
      </x:c>
      <x:c r="Q90" s="13" t="n">
        <x:v>77669.16257142858</x:v>
      </x:c>
      <x:c r="R90" s="13" t="n">
        <x:v>4.84123861016109</x:v>
      </x:c>
      <x:c r="S90" s="13" t="n">
        <x:v>-0.16368305241029632</x:v>
      </x:c>
      <x:c r="T90" s="13" t="n">
        <x:v>16</x:v>
      </x:c>
      <x:c r="U90" s="13" t="n">
        <x:v>172</x:v>
      </x:c>
      <x:c r="V90" s="13" t="n">
        <x:v>165</x:v>
      </x:c>
      <x:c r="W90" s="13" t="n">
        <x:v>7</x:v>
      </x:c>
      <x:c r="X90" s="13" t="n">
        <x:v>0</x:v>
      </x:c>
      <x:c r="Y90" s="13" t="n">
        <x:v>2158396</x:v>
      </x:c>
      <x:c r="Z90" s="13" t="n">
        <x:v>2158396</x:v>
      </x:c>
      <x:c r="AA90" s="13" t="n">
        <x:v>25</x:v>
      </x:c>
      <x:c r="AB90" s="13" t="n">
        <x:v>0.040697674418604654</x:v>
      </x:c>
      <x:c r="AC90" s="13" t="n">
        <x:v>0</x:v>
      </x:c>
      <x:c r="AD90" s="13" t="n">
        <x:v>0.09461584035356593</x:v>
      </x:c>
      <x:c r="AE90" s="13" t="n">
        <x:v>0.19744662239922608</x:v>
      </x:c>
      <x:c r="AF90" s="13" t="n">
        <x:v>58335.02702702703</x:v>
      </x:c>
      <x:c r="AG90" s="13" t="n">
        <x:v>1.5683199351701587</x:v>
      </x:c>
      <x:c r="AH90" s="13" t="n">
        <x:v>0.013268497093504205</x:v>
      </x:c>
      <x:c r="AI90" s="13" t="n">
        <x:v>23</x:v>
      </x:c>
      <x:c r="AJ90" s="13" t="n">
        <x:v>-560024.6900000004</x:v>
      </x:c>
      <x:c r="AK90" s="13" t="n">
        <x:v>1.2594633653880007</x:v>
      </x:c>
      <x:c r="AL90" s="13" t="n">
        <x:v>0.0379746835443038</x:v>
      </x:c>
      <x:c r="AM90" s="13" t="n">
        <x:v>0</x:v>
      </x:c>
      <x:c r="AN90" s="13" t="n">
        <x:v>0.535591688994983</x:v>
      </x:c>
      <x:c r="AO90" s="13" t="n">
        <x:v>3.447861192699456</x:v>
      </x:c>
      <x:c r="AP90" s="13" t="n">
        <x:v>-0.07520727765839606</x:v>
      </x:c>
    </x:row>
    <x:row r="91" ht="15" hidden="0" customHeight="1">
      <x:c r="A91" s="2" t="str">
        <x:v>E90</x:v>
      </x:c>
      <x:c r="B91" s="2" t="str">
        <x:v>***文化传媒有限责任公司</x:v>
      </x:c>
      <x:c r="C91" s="2" t="str">
        <x:v>有信贷记录</x:v>
      </x:c>
      <x:c r="D91" s="2" t="str">
        <x:v>C</x:v>
      </x:c>
      <x:c r="E91" s="2" t="str">
        <x:v>否</x:v>
      </x:c>
      <x:c r="F91" s="13" t="n">
        <x:v>139</x:v>
      </x:c>
      <x:c r="G91" s="13" t="n">
        <x:v>135</x:v>
      </x:c>
      <x:c r="H91" s="13" t="n">
        <x:v>4</x:v>
      </x:c>
      <x:c r="I91" s="13" t="n">
        <x:v>0</x:v>
      </x:c>
      <x:c r="J91" s="13" t="n">
        <x:v>757788.5700000001</x:v>
      </x:c>
      <x:c r="K91" s="13" t="n">
        <x:v>757788.5700000001</x:v>
      </x:c>
      <x:c r="L91" s="13" t="n">
        <x:v>36</x:v>
      </x:c>
      <x:c r="M91" s="13" t="n">
        <x:v>0.02877697841726619</x:v>
      </x:c>
      <x:c r="N91" s="13" t="n">
        <x:v>0</x:v>
      </x:c>
      <x:c r="O91" s="13" t="n">
        <x:v>0.12043028794953416</x:v>
      </x:c>
      <x:c r="P91" s="13" t="n">
        <x:v>0.22139024873389154</x:v>
      </x:c>
      <x:c r="Q91" s="13" t="n">
        <x:v>22963.289999999997</x:v>
      </x:c>
      <x:c r="R91" s="13" t="n">
        <x:v>2.2173795501401177</x:v>
      </x:c>
      <x:c r="S91" s="13" t="n">
        <x:v>0.11067794667472065</x:v>
      </x:c>
      <x:c r="T91" s="13" t="n">
        <x:v>23</x:v>
      </x:c>
      <x:c r="U91" s="13" t="n">
        <x:v>261</x:v>
      </x:c>
      <x:c r="V91" s="13" t="n">
        <x:v>187</x:v>
      </x:c>
      <x:c r="W91" s="13" t="n">
        <x:v>74</x:v>
      </x:c>
      <x:c r="X91" s="13" t="n">
        <x:v>6</x:v>
      </x:c>
      <x:c r="Y91" s="13" t="n">
        <x:v>3443969.33</x:v>
      </x:c>
      <x:c r="Z91" s="13" t="n">
        <x:v>3692574.9299999997</x:v>
      </x:c>
      <x:c r="AA91" s="13" t="n">
        <x:v>54</x:v>
      </x:c>
      <x:c r="AB91" s="13" t="n">
        <x:v>0.2835249042145594</x:v>
      </x:c>
      <x:c r="AC91" s="13" t="n">
        <x:v>0.03208556149732621</x:v>
      </x:c>
      <x:c r="AD91" s="13" t="n">
        <x:v>0.3238791518411551</x:v>
      </x:c>
      <x:c r="AE91" s="13" t="n">
        <x:v>0.5060158955257815</x:v>
      </x:c>
      <x:c r="AF91" s="13" t="n">
        <x:v>104362.70696969697</x:v>
      </x:c>
      <x:c r="AG91" s="13" t="n">
        <x:v>1.3803760717421436</x:v>
      </x:c>
      <x:c r="AH91" s="13" t="n">
        <x:v>0.046065887949516486</x:v>
      </x:c>
      <x:c r="AI91" s="13" t="n">
        <x:v>32</x:v>
      </x:c>
      <x:c r="AJ91" s="13" t="n">
        <x:v>2686180.76</x:v>
      </x:c>
      <x:c r="AK91" s="13" t="n">
        <x:v>0.2052195512251934</x:v>
      </x:c>
      <x:c r="AL91" s="13" t="n">
        <x:v>0.195</x:v>
      </x:c>
      <x:c r="AM91" s="13" t="n">
        <x:v>0.018633540372670808</x:v>
      </x:c>
      <x:c r="AN91" s="13" t="n">
        <x:v>0.22215471989534463</x:v>
      </x:c>
      <x:c r="AO91" s="13" t="n">
        <x:v>1.7988778109411308</x:v>
      </x:c>
      <x:c r="AP91" s="13" t="n">
        <x:v>0.07837191731211857</x:v>
      </x:c>
    </x:row>
    <x:row r="92" ht="15" hidden="0" customHeight="1">
      <x:c r="A92" s="2" t="str">
        <x:v>E91</x:v>
      </x:c>
      <x:c r="B92" s="2" t="str">
        <x:v>***科技实业有限公司</x:v>
      </x:c>
      <x:c r="C92" s="2" t="str">
        <x:v>有信贷记录</x:v>
      </x:c>
      <x:c r="D92" s="2" t="str">
        <x:v>A</x:v>
      </x:c>
      <x:c r="E92" s="2" t="str">
        <x:v>否</x:v>
      </x:c>
      <x:c r="F92" s="13" t="n">
        <x:v>177</x:v>
      </x:c>
      <x:c r="G92" s="13" t="n">
        <x:v>168</x:v>
      </x:c>
      <x:c r="H92" s="13" t="n">
        <x:v>9</x:v>
      </x:c>
      <x:c r="I92" s="13" t="n">
        <x:v>1</x:v>
      </x:c>
      <x:c r="J92" s="13" t="n">
        <x:v>1493945.65</x:v>
      </x:c>
      <x:c r="K92" s="13" t="n">
        <x:v>1529945.65</x:v>
      </x:c>
      <x:c r="L92" s="13" t="n">
        <x:v>35</x:v>
      </x:c>
      <x:c r="M92" s="13" t="n">
        <x:v>0.05084745762711865</x:v>
      </x:c>
      <x:c r="N92" s="13" t="n">
        <x:v>0.005952380952380952</x:v>
      </x:c>
      <x:c r="O92" s="13" t="n">
        <x:v>0.17935334539661604</x:v>
      </x:c>
      <x:c r="P92" s="13" t="n">
        <x:v>0.37481527530079256</x:v>
      </x:c>
      <x:c r="Q92" s="13" t="n">
        <x:v>40376.90945945946</x:v>
      </x:c>
      <x:c r="R92" s="13" t="n">
        <x:v>0.7800452198898821</x:v>
      </x:c>
      <x:c r="S92" s="13" t="n">
        <x:v>-0.004697254419541539</x:v>
      </x:c>
      <x:c r="T92" s="13" t="n">
        <x:v>36</x:v>
      </x:c>
      <x:c r="U92" s="13" t="n">
        <x:v>129</x:v>
      </x:c>
      <x:c r="V92" s="13" t="n">
        <x:v>123</x:v>
      </x:c>
      <x:c r="W92" s="13" t="n">
        <x:v>6</x:v>
      </x:c>
      <x:c r="X92" s="13" t="n">
        <x:v>1</x:v>
      </x:c>
      <x:c r="Y92" s="13" t="n">
        <x:v>2694565.5</x:v>
      </x:c>
      <x:c r="Z92" s="13" t="n">
        <x:v>2711505.5</x:v>
      </x:c>
      <x:c r="AA92" s="13" t="n">
        <x:v>73</x:v>
      </x:c>
      <x:c r="AB92" s="13" t="n">
        <x:v>0.046511627906976744</x:v>
      </x:c>
      <x:c r="AC92" s="13" t="n">
        <x:v>0.008130081300813009</x:v>
      </x:c>
      <x:c r="AD92" s="13" t="n">
        <x:v>0.036464215254248894</x:v>
      </x:c>
      <x:c r="AE92" s="13" t="n">
        <x:v>0.10953324638286738</x:v>
      </x:c>
      <x:c r="AF92" s="13" t="n">
        <x:v>72826.0945945946</x:v>
      </x:c>
      <x:c r="AG92" s="13" t="n">
        <x:v>0.29606018348502655</x:v>
      </x:c>
      <x:c r="AH92" s="13" t="n">
        <x:v>0.007875518660501176</x:v>
      </x:c>
      <x:c r="AI92" s="13" t="n">
        <x:v>37</x:v>
      </x:c>
      <x:c r="AJ92" s="13" t="n">
        <x:v>1200619.85</x:v>
      </x:c>
      <x:c r="AK92" s="13" t="n">
        <x:v>0.564242134120694</x:v>
      </x:c>
      <x:c r="AL92" s="13" t="n">
        <x:v>0.049019607843137254</x:v>
      </x:c>
      <x:c r="AM92" s="13" t="n">
        <x:v>0.006872852233676976</x:v>
      </x:c>
      <x:c r="AN92" s="13" t="n">
        <x:v>0.10790878032543247</x:v>
      </x:c>
      <x:c r="AO92" s="13" t="n">
        <x:v>0.5380527016874543</x:v>
      </x:c>
      <x:c r="AP92" s="13" t="n">
        <x:v>0.0015891321204798184</x:v>
      </x:c>
    </x:row>
    <x:row r="93" ht="15" hidden="0" customHeight="1">
      <x:c r="A93" s="2" t="str">
        <x:v>E92</x:v>
      </x:c>
      <x:c r="B93" s="2" t="str">
        <x:v>***地质灾害防治有限公司</x:v>
      </x:c>
      <x:c r="C93" s="2" t="str">
        <x:v>有信贷记录</x:v>
      </x:c>
      <x:c r="D93" s="2" t="str">
        <x:v>C</x:v>
      </x:c>
      <x:c r="E93" s="2" t="str">
        <x:v>否</x:v>
      </x:c>
      <x:c r="F93" s="13" t="n">
        <x:v>213</x:v>
      </x:c>
      <x:c r="G93" s="13" t="n">
        <x:v>212</x:v>
      </x:c>
      <x:c r="H93" s="13" t="n">
        <x:v>1</x:v>
      </x:c>
      <x:c r="I93" s="13" t="n">
        <x:v>0</x:v>
      </x:c>
      <x:c r="J93" s="13" t="n">
        <x:v>159392.41</x:v>
      </x:c>
      <x:c r="K93" s="13" t="n">
        <x:v>159392.41</x:v>
      </x:c>
      <x:c r="L93" s="13" t="n">
        <x:v>89</x:v>
      </x:c>
      <x:c r="M93" s="13" t="n">
        <x:v>0.004694835680751174</x:v>
      </x:c>
      <x:c r="N93" s="13" t="n">
        <x:v>0</x:v>
      </x:c>
      <x:c r="O93" s="13" t="n">
        <x:v>0.05606064484991598</x:v>
      </x:c>
      <x:c r="P93" s="13" t="n">
        <x:v>0.1769218496664929</x:v>
      </x:c>
      <x:c r="Q93" s="13" t="n">
        <x:v>5141.69064516129</x:v>
      </x:c>
      <x:c r="R93" s="13" t="n">
        <x:v>1.2380574093923835</x:v>
      </x:c>
      <x:c r="S93" s="13" t="n">
        <x:v>0.0014547618672680314</x:v>
      </x:c>
      <x:c r="T93" s="13" t="n">
        <x:v>30</x:v>
      </x:c>
      <x:c r="U93" s="13" t="n">
        <x:v>39</x:v>
      </x:c>
      <x:c r="V93" s="13" t="n">
        <x:v>36</x:v>
      </x:c>
      <x:c r="W93" s="13" t="n">
        <x:v>3</x:v>
      </x:c>
      <x:c r="X93" s="13" t="n">
        <x:v>2</x:v>
      </x:c>
      <x:c r="Y93" s="13" t="n">
        <x:v>2275840</x:v>
      </x:c>
      <x:c r="Z93" s="13" t="n">
        <x:v>2527840</x:v>
      </x:c>
      <x:c r="AA93" s="13" t="n">
        <x:v>13</x:v>
      </x:c>
      <x:c r="AB93" s="13" t="n">
        <x:v>0.07692307692307693</x:v>
      </x:c>
      <x:c r="AC93" s="13" t="n">
        <x:v>0.05555555555555555</x:v>
      </x:c>
      <x:c r="AD93" s="13" t="n">
        <x:v>0.36811363572654754</x:v>
      </x:c>
      <x:c r="AE93" s="13" t="n">
        <x:v>0.5797835306032028</x:v>
      </x:c>
      <x:c r="AF93" s="13" t="n">
        <x:v>61509.18918918919</x:v>
      </x:c>
      <x:c r="AG93" s="13" t="n">
        <x:v>2.462191205094594</x:v>
      </x:c>
      <x:c r="AH93" s="13" t="n">
        <x:v>0.07734028247401728</x:v>
      </x:c>
      <x:c r="AI93" s="13" t="n">
        <x:v>12</x:v>
      </x:c>
      <x:c r="AJ93" s="13" t="n">
        <x:v>2116447.59</x:v>
      </x:c>
      <x:c r="AK93" s="13" t="n">
        <x:v>0.06305478590417113</x:v>
      </x:c>
      <x:c r="AL93" s="13" t="n">
        <x:v>0.015873015873015872</x:v>
      </x:c>
      <x:c r="AM93" s="13" t="n">
        <x:v>0.008064516129032258</x:v>
      </x:c>
      <x:c r="AN93" s="13" t="n">
        <x:v>0.21208714028823175</x:v>
      </x:c>
      <x:c r="AO93" s="13" t="n">
        <x:v>1.8501243072434888</x:v>
      </x:c>
      <x:c r="AP93" s="13" t="n">
        <x:v>0.03939752217064266</x:v>
      </x:c>
    </x:row>
    <x:row r="94" ht="15" hidden="0" customHeight="1">
      <x:c r="A94" s="2" t="str">
        <x:v>E93</x:v>
      </x:c>
      <x:c r="B94" s="2" t="str">
        <x:v>***电脑设计事务所</x:v>
      </x:c>
      <x:c r="C94" s="2" t="str">
        <x:v>有信贷记录</x:v>
      </x:c>
      <x:c r="D94" s="2" t="str">
        <x:v>B</x:v>
      </x:c>
      <x:c r="E94" s="2" t="str">
        <x:v>否</x:v>
      </x:c>
      <x:c r="F94" s="13" t="n">
        <x:v>213</x:v>
      </x:c>
      <x:c r="G94" s="13" t="n">
        <x:v>208</x:v>
      </x:c>
      <x:c r="H94" s="13" t="n">
        <x:v>5</x:v>
      </x:c>
      <x:c r="I94" s="13" t="n">
        <x:v>1</x:v>
      </x:c>
      <x:c r="J94" s="13" t="n">
        <x:v>302914.82999999996</x:v>
      </x:c>
      <x:c r="K94" s="13" t="n">
        <x:v>315214.82999999996</x:v>
      </x:c>
      <x:c r="L94" s="13" t="n">
        <x:v>66</x:v>
      </x:c>
      <x:c r="M94" s="13" t="n">
        <x:v>0.023474178403755867</x:v>
      </x:c>
      <x:c r="N94" s="13" t="n">
        <x:v>0.004807692307692308</x:v>
      </x:c>
      <x:c r="O94" s="13" t="n">
        <x:v>0.16133797597818983</x:v>
      </x:c>
      <x:c r="P94" s="13" t="n">
        <x:v>0.3710644578492706</x:v>
      </x:c>
      <x:c r="Q94" s="13" t="n">
        <x:v>9771.446129032256</x:v>
      </x:c>
      <x:c r="R94" s="13" t="n">
        <x:v>1.4374098518495961</x:v>
      </x:c>
      <x:c r="S94" s="13" t="n">
        <x:v>0.043749320147180144</x:v>
      </x:c>
      <x:c r="T94" s="13" t="n">
        <x:v>29</x:v>
      </x:c>
      <x:c r="U94" s="13" t="n">
        <x:v>148</x:v>
      </x:c>
      <x:c r="V94" s="13" t="n">
        <x:v>141</x:v>
      </x:c>
      <x:c r="W94" s="13" t="n">
        <x:v>7</x:v>
      </x:c>
      <x:c r="X94" s="13" t="n">
        <x:v>5</x:v>
      </x:c>
      <x:c r="Y94" s="13" t="n">
        <x:v>1520337</x:v>
      </x:c>
      <x:c r="Z94" s="13" t="n">
        <x:v>1609109</x:v>
      </x:c>
      <x:c r="AA94" s="13" t="n">
        <x:v>29</x:v>
      </x:c>
      <x:c r="AB94" s="13" t="n">
        <x:v>0.0472972972972973</x:v>
      </x:c>
      <x:c r="AC94" s="13" t="n">
        <x:v>0.03546099290780142</x:v>
      </x:c>
      <x:c r="AD94" s="13" t="n">
        <x:v>0.11480734557008494</x:v>
      </x:c>
      <x:c r="AE94" s="13" t="n">
        <x:v>0.21994905255020014</x:v>
      </x:c>
      <x:c r="AF94" s="13" t="n">
        <x:v>41090.18918918919</x:v>
      </x:c>
      <x:c r="AG94" s="13" t="n">
        <x:v>1.2226896161074157</x:v>
      </x:c>
      <x:c r="AH94" s="13" t="n">
        <x:v>0.03367511120485683</x:v>
      </x:c>
      <x:c r="AI94" s="13" t="n">
        <x:v>34</x:v>
      </x:c>
      <x:c r="AJ94" s="13" t="n">
        <x:v>1217422.17</x:v>
      </x:c>
      <x:c r="AK94" s="13" t="n">
        <x:v>0.1958940196096099</x:v>
      </x:c>
      <x:c r="AL94" s="13" t="n">
        <x:v>0.0332409972299169</x:v>
      </x:c>
      <x:c r="AM94" s="13" t="n">
        <x:v>0.017191977077363897</x:v>
      </x:c>
      <x:c r="AN94" s="13" t="n">
        <x:v>0.13807266077413738</x:v>
      </x:c>
      <x:c r="AO94" s="13" t="n">
        <x:v>1.3300497339785058</x:v>
      </x:c>
      <x:c r="AP94" s="13" t="n">
        <x:v>0.038712215676018485</x:v>
      </x:c>
    </x:row>
    <x:row r="95" ht="15" hidden="0" customHeight="1">
      <x:c r="A95" s="2" t="str">
        <x:v>E94</x:v>
      </x:c>
      <x:c r="B95" s="2" t="str">
        <x:v>***汽车美容有限公司</x:v>
      </x:c>
      <x:c r="C95" s="2" t="str">
        <x:v>有信贷记录</x:v>
      </x:c>
      <x:c r="D95" s="2" t="str">
        <x:v>C</x:v>
      </x:c>
      <x:c r="E95" s="2" t="str">
        <x:v>否</x:v>
      </x:c>
      <x:c r="F95" s="13" t="n">
        <x:v>4</x:v>
      </x:c>
      <x:c r="G95" s="13" t="n">
        <x:v>4</x:v>
      </x:c>
      <x:c r="H95" s="13" t="n">
        <x:v>0</x:v>
      </x:c>
      <x:c r="I95" s="13" t="n">
        <x:v>0</x:v>
      </x:c>
      <x:c r="J95" s="13" t="n">
        <x:v>16346</x:v>
      </x:c>
      <x:c r="K95" s="13" t="n">
        <x:v>16346</x:v>
      </x:c>
      <x:c r="L95" s="13" t="n">
        <x:v>4</x:v>
      </x:c>
      <x:c r="M95" s="13" t="n">
        <x:v>0</x:v>
      </x:c>
      <x:c r="N95" s="13" t="n">
        <x:v>0</x:v>
      </x:c>
      <x:c r="O95" s="13" t="n">
        <x:v>0.8950638125322719</x:v>
      </x:c>
      <x:c r="P95" s="13" t="n">
        <x:v>0.945552428728741</x:v>
      </x:c>
      <x:c r="Q95" s="13" t="n">
        <x:v>710.695652173913</x:v>
      </x:c>
      <x:c r="R95" s="13" t="n">
        <x:v>4.509049292006841</x:v>
      </x:c>
      <x:c r="S95" s="13" t="n">
        <x:v>-0.044522985884724316</x:v>
      </x:c>
      <x:c r="T95" s="13" t="n">
        <x:v>3</x:v>
      </x:c>
      <x:c r="U95" s="13" t="n">
        <x:v>196</x:v>
      </x:c>
      <x:c r="V95" s="13" t="n">
        <x:v>178</x:v>
      </x:c>
      <x:c r="W95" s="13" t="n">
        <x:v>18</x:v>
      </x:c>
      <x:c r="X95" s="13" t="n">
        <x:v>9</x:v>
      </x:c>
      <x:c r="Y95" s="13" t="n">
        <x:v>1084795.8900000001</x:v>
      </x:c>
      <x:c r="Z95" s="13" t="n">
        <x:v>1264795.8900000001</x:v>
      </x:c>
      <x:c r="AA95" s="13" t="n">
        <x:v>61</x:v>
      </x:c>
      <x:c r="AB95" s="13" t="n">
        <x:v>0.09183673469387756</x:v>
      </x:c>
      <x:c r="AC95" s="13" t="n">
        <x:v>0.05056179775280899</x:v>
      </x:c>
      <x:c r="AD95" s="13" t="n">
        <x:v>0.1397663799028288</x:v>
      </x:c>
      <x:c r="AE95" s="13" t="n">
        <x:v>0.22697417209349094</x:v>
      </x:c>
      <x:c r="AF95" s="13" t="n">
        <x:v>32872.60272727273</x:v>
      </x:c>
      <x:c r="AG95" s="13" t="n">
        <x:v>1.8836551357807463</x:v>
      </x:c>
      <x:c r="AH95" s="13" t="n">
        <x:v>0.06275555735976039</x:v>
      </x:c>
      <x:c r="AI95" s="13" t="n">
        <x:v>23</x:v>
      </x:c>
      <x:c r="AJ95" s="13" t="n">
        <x:v>1068449.8900000001</x:v>
      </x:c>
      <x:c r="AK95" s="13" t="n">
        <x:v>0.012923824412490766</x:v>
      </x:c>
      <x:c r="AL95" s="13" t="n">
        <x:v>0.09</x:v>
      </x:c>
      <x:c r="AM95" s="13" t="n">
        <x:v>0.04945054945054945</x:v>
      </x:c>
      <x:c r="AN95" s="13" t="n">
        <x:v>0.5174150962175503</x:v>
      </x:c>
      <x:c r="AO95" s="13" t="n">
        <x:v>3.1963522138937934</x:v>
      </x:c>
      <x:c r="AP95" s="13" t="n">
        <x:v>0.009116285737518038</x:v>
      </x:c>
    </x:row>
    <x:row r="96" ht="15" hidden="0" customHeight="1">
      <x:c r="A96" s="2" t="str">
        <x:v>E95</x:v>
      </x:c>
      <x:c r="B96" s="2" t="str">
        <x:v>***兰花店</x:v>
      </x:c>
      <x:c r="C96" s="2" t="str">
        <x:v>有信贷记录</x:v>
      </x:c>
      <x:c r="D96" s="2" t="str">
        <x:v>B</x:v>
      </x:c>
      <x:c r="E96" s="2" t="str">
        <x:v>否</x:v>
      </x:c>
      <x:c r="F96" s="13" t="n">
        <x:v>4</x:v>
      </x:c>
      <x:c r="G96" s="13" t="n">
        <x:v>4</x:v>
      </x:c>
      <x:c r="H96" s="13" t="n">
        <x:v>0</x:v>
      </x:c>
      <x:c r="I96" s="13" t="n">
        <x:v>0</x:v>
      </x:c>
      <x:c r="J96" s="13" t="n">
        <x:v>1138</x:v>
      </x:c>
      <x:c r="K96" s="13" t="n">
        <x:v>1138</x:v>
      </x:c>
      <x:c r="L96" s="13" t="n">
        <x:v>1</x:v>
      </x:c>
      <x:c r="M96" s="13" t="n">
        <x:v>0</x:v>
      </x:c>
      <x:c r="N96" s="13" t="n">
        <x:v>0</x:v>
      </x:c>
      <x:c r="O96" s="13" t="n">
        <x:v>1</x:v>
      </x:c>
      <x:c r="P96" s="13" t="n">
        <x:v>1</x:v>
      </x:c>
      <x:c r="Q96" s="13" t="n">
        <x:v>45.52</x:v>
      </x:c>
      <x:c r="R96" s="13" t="n">
        <x:v>2.911391956568605</x:v>
      </x:c>
      <x:c r="S96" s="13" t="n">
        <x:v>-0.06516155197910115</x:v>
      </x:c>
      <x:c r="T96" s="13" t="n">
        <x:v>3</x:v>
      </x:c>
      <x:c r="U96" s="13" t="n">
        <x:v>913</x:v>
      </x:c>
      <x:c r="V96" s="13" t="n">
        <x:v>864</x:v>
      </x:c>
      <x:c r="W96" s="13" t="n">
        <x:v>49</x:v>
      </x:c>
      <x:c r="X96" s="13" t="n">
        <x:v>0</x:v>
      </x:c>
      <x:c r="Y96" s="13" t="n">
        <x:v>2380080.45</x:v>
      </x:c>
      <x:c r="Z96" s="13" t="n">
        <x:v>2380080.45</x:v>
      </x:c>
      <x:c r="AA96" s="13" t="n">
        <x:v>489</x:v>
      </x:c>
      <x:c r="AB96" s="13" t="n">
        <x:v>0.05366922234392114</x:v>
      </x:c>
      <x:c r="AC96" s="13" t="n">
        <x:v>0</x:v>
      </x:c>
      <x:c r="AD96" s="13" t="n">
        <x:v>0.03414053093362807</x:v>
      </x:c>
      <x:c r="AE96" s="13" t="n">
        <x:v>0.1603391179487231</x:v>
      </x:c>
      <x:c r="AF96" s="13" t="n">
        <x:v>64326.49864864865</x:v>
      </x:c>
      <x:c r="AG96" s="13" t="n">
        <x:v>0.8183452642176934</x:v>
      </x:c>
      <x:c r="AH96" s="13" t="n">
        <x:v>-0.013025626485595423</x:v>
      </x:c>
      <x:c r="AI96" s="13" t="n">
        <x:v>35</x:v>
      </x:c>
      <x:c r="AJ96" s="13" t="n">
        <x:v>2378942.45</x:v>
      </x:c>
      <x:c r="AK96" s="13" t="n">
        <x:v>0.0004781350983324952</x:v>
      </x:c>
      <x:c r="AL96" s="13" t="n">
        <x:v>0.05343511450381679</x:v>
      </x:c>
      <x:c r="AM96" s="13" t="n">
        <x:v>0</x:v>
      </x:c>
      <x:c r="AN96" s="13" t="n">
        <x:v>0.517070265466814</x:v>
      </x:c>
      <x:c r="AO96" s="13" t="n">
        <x:v>1.864868610393149</x:v>
      </x:c>
      <x:c r="AP96" s="13" t="n">
        <x:v>-0.039093589232348284</x:v>
      </x:c>
    </x:row>
    <x:row r="97" ht="15" hidden="0" customHeight="1">
      <x:c r="A97" s="2" t="str">
        <x:v>E96</x:v>
      </x:c>
      <x:c r="B97" s="2" t="str">
        <x:v>***土地整理有限公司</x:v>
      </x:c>
      <x:c r="C97" s="2" t="str">
        <x:v>有信贷记录</x:v>
      </x:c>
      <x:c r="D97" s="2" t="str">
        <x:v>C</x:v>
      </x:c>
      <x:c r="E97" s="2" t="str">
        <x:v>否</x:v>
      </x:c>
      <x:c r="F97" s="13" t="n">
        <x:v>11</x:v>
      </x:c>
      <x:c r="G97" s="13" t="n">
        <x:v>11</x:v>
      </x:c>
      <x:c r="H97" s="13" t="n">
        <x:v>0</x:v>
      </x:c>
      <x:c r="I97" s="13" t="n">
        <x:v>0</x:v>
      </x:c>
      <x:c r="J97" s="13" t="n">
        <x:v>2435469.96</x:v>
      </x:c>
      <x:c r="K97" s="13" t="n">
        <x:v>2435469.96</x:v>
      </x:c>
      <x:c r="L97" s="13" t="n">
        <x:v>6</x:v>
      </x:c>
      <x:c r="M97" s="13" t="n">
        <x:v>0</x:v>
      </x:c>
      <x:c r="N97" s="13" t="n">
        <x:v>0</x:v>
      </x:c>
      <x:c r="O97" s="13" t="n">
        <x:v>0.9925939087894139</x:v>
      </x:c>
      <x:c r="P97" s="13" t="n">
        <x:v>0.9962865647499097</x:v>
      </x:c>
      <x:c r="Q97" s="13" t="n">
        <x:v>101477.915</x:v>
      </x:c>
      <x:c r="R97" s="13" t="n">
        <x:v>4.777269503111377</x:v>
      </x:c>
      <x:c r="S97" s="13" t="n">
        <x:v>-0.052654605684398906</x:v>
      </x:c>
      <x:c r="T97" s="13" t="n">
        <x:v>7</x:v>
      </x:c>
      <x:c r="U97" s="13" t="n">
        <x:v>20</x:v>
      </x:c>
      <x:c r="V97" s="13" t="n">
        <x:v>18</x:v>
      </x:c>
      <x:c r="W97" s="13" t="n">
        <x:v>2</x:v>
      </x:c>
      <x:c r="X97" s="13" t="n">
        <x:v>0</x:v>
      </x:c>
      <x:c r="Y97" s="13" t="n">
        <x:v>1481350</x:v>
      </x:c>
      <x:c r="Z97" s="13" t="n">
        <x:v>1481350</x:v>
      </x:c>
      <x:c r="AA97" s="13" t="n">
        <x:v>3</x:v>
      </x:c>
      <x:c r="AB97" s="13" t="n">
        <x:v>0.1</x:v>
      </x:c>
      <x:c r="AC97" s="13" t="n">
        <x:v>0</x:v>
      </x:c>
      <x:c r="AD97" s="13" t="n">
        <x:v>0.7469536998686117</x:v>
      </x:c>
      <x:c r="AE97" s="13" t="n">
        <x:v>0.8565497687919803</x:v>
      </x:c>
      <x:c r="AF97" s="13" t="n">
        <x:v>74067.5</x:v>
      </x:c>
      <x:c r="AG97" s="13" t="n">
        <x:v>2.7393616492846546</x:v>
      </x:c>
      <x:c r="AH97" s="13" t="n">
        <x:v>0.1360756728301767</x:v>
      </x:c>
      <x:c r="AI97" s="13" t="n">
        <x:v>4</x:v>
      </x:c>
      <x:c r="AJ97" s="13" t="n">
        <x:v>-954119.96</x:v>
      </x:c>
      <x:c r="AK97" s="13" t="n">
        <x:v>1.6440881358220532</x:v>
      </x:c>
      <x:c r="AL97" s="13" t="n">
        <x:v>0.06451612903225806</x:v>
      </x:c>
      <x:c r="AM97" s="13" t="n">
        <x:v>0</x:v>
      </x:c>
      <x:c r="AN97" s="13" t="n">
        <x:v>0.8522886170939294</x:v>
      </x:c>
      <x:c r="AO97" s="13" t="n">
        <x:v>3.447861192699456</x:v>
      </x:c>
      <x:c r="AP97" s="13" t="n">
        <x:v>0.076208968304495</x:v>
      </x:c>
    </x:row>
    <x:row r="98" ht="15" hidden="0" customHeight="1">
      <x:c r="A98" s="2" t="str">
        <x:v>E97</x:v>
      </x:c>
      <x:c r="B98" s="2" t="str">
        <x:v>***美工装饰部</x:v>
      </x:c>
      <x:c r="C98" s="2" t="str">
        <x:v>有信贷记录</x:v>
      </x:c>
      <x:c r="D98" s="2" t="str">
        <x:v>B</x:v>
      </x:c>
      <x:c r="E98" s="2" t="str">
        <x:v>否</x:v>
      </x:c>
      <x:c r="F98" s="13" t="n">
        <x:v>9</x:v>
      </x:c>
      <x:c r="G98" s="13" t="n">
        <x:v>9</x:v>
      </x:c>
      <x:c r="H98" s="13" t="n">
        <x:v>0</x:v>
      </x:c>
      <x:c r="I98" s="13" t="n">
        <x:v>0</x:v>
      </x:c>
      <x:c r="J98" s="13" t="n">
        <x:v>19880</x:v>
      </x:c>
      <x:c r="K98" s="13" t="n">
        <x:v>19880</x:v>
      </x:c>
      <x:c r="L98" s="13" t="n">
        <x:v>2</x:v>
      </x:c>
      <x:c r="M98" s="13" t="n">
        <x:v>0</x:v>
      </x:c>
      <x:c r="N98" s="13" t="n">
        <x:v>0</x:v>
      </x:c>
      <x:c r="O98" s="13" t="n">
        <x:v>0.9722277325927395</x:v>
      </x:c>
      <x:c r="P98" s="13" t="n">
        <x:v>0.9859154929577465</x:v>
      </x:c>
      <x:c r="Q98" s="13" t="n">
        <x:v>1169.4117647058824</x:v>
      </x:c>
      <x:c r="R98" s="13" t="n">
        <x:v>1.2786740110186563</x:v>
      </x:c>
      <x:c r="S98" s="13" t="n">
        <x:v>-0.023264587525130945</x:v>
      </x:c>
      <x:c r="T98" s="13" t="n">
        <x:v>9</x:v>
      </x:c>
      <x:c r="U98" s="13" t="n">
        <x:v>264</x:v>
      </x:c>
      <x:c r="V98" s="13" t="n">
        <x:v>255</x:v>
      </x:c>
      <x:c r="W98" s="13" t="n">
        <x:v>9</x:v>
      </x:c>
      <x:c r="X98" s="13" t="n">
        <x:v>4</x:v>
      </x:c>
      <x:c r="Y98" s="13" t="n">
        <x:v>1000542.9</x:v>
      </x:c>
      <x:c r="Z98" s="13" t="n">
        <x:v>1024162.9</x:v>
      </x:c>
      <x:c r="AA98" s="13" t="n">
        <x:v>67</x:v>
      </x:c>
      <x:c r="AB98" s="13" t="n">
        <x:v>0.03409090909090909</x:v>
      </x:c>
      <x:c r="AC98" s="13" t="n">
        <x:v>0.01568627450980392</x:v>
      </x:c>
      <x:c r="AD98" s="13" t="n">
        <x:v>0.11151899008411378</x:v>
      </x:c>
      <x:c r="AE98" s="13" t="n">
        <x:v>0.20779604494558435</x:v>
      </x:c>
      <x:c r="AF98" s="13" t="n">
        <x:v>52660.152631578945</x:v>
      </x:c>
      <x:c r="AG98" s="13" t="n">
        <x:v>0.7495549431514696</x:v>
      </x:c>
      <x:c r="AH98" s="13" t="n">
        <x:v>0.061542765099492996</x:v>
      </x:c>
      <x:c r="AI98" s="13" t="n">
        <x:v>19</x:v>
      </x:c>
      <x:c r="AJ98" s="13" t="n">
        <x:v>980662.9</x:v>
      </x:c>
      <x:c r="AK98" s="13" t="n">
        <x:v>0.019410974562737996</x:v>
      </x:c>
      <x:c r="AL98" s="13" t="n">
        <x:v>0.03296703296703297</x:v>
      </x:c>
      <x:c r="AM98" s="13" t="n">
        <x:v>0.015151515151515152</x:v>
      </x:c>
      <x:c r="AN98" s="13" t="n">
        <x:v>0.5418733613384267</x:v>
      </x:c>
      <x:c r="AO98" s="13" t="n">
        <x:v>1.014114477085063</x:v>
      </x:c>
      <x:c r="AP98" s="13" t="n">
        <x:v>0.019139088787181027</x:v>
      </x:c>
    </x:row>
    <x:row r="99" ht="15" hidden="0" customHeight="1">
      <x:c r="A99" s="2" t="str">
        <x:v>E98</x:v>
      </x:c>
      <x:c r="B99" s="2" t="str">
        <x:v>***文化传播有限公司</x:v>
      </x:c>
      <x:c r="C99" s="2" t="str">
        <x:v>有信贷记录</x:v>
      </x:c>
      <x:c r="D99" s="2" t="str">
        <x:v>B</x:v>
      </x:c>
      <x:c r="E99" s="2" t="str">
        <x:v>否</x:v>
      </x:c>
      <x:c r="F99" s="13" t="n">
        <x:v>51</x:v>
      </x:c>
      <x:c r="G99" s="13" t="n">
        <x:v>50</x:v>
      </x:c>
      <x:c r="H99" s="13" t="n">
        <x:v>1</x:v>
      </x:c>
      <x:c r="I99" s="13" t="n">
        <x:v>1</x:v>
      </x:c>
      <x:c r="J99" s="13" t="n">
        <x:v>209282.97999999998</x:v>
      </x:c>
      <x:c r="K99" s="13" t="n">
        <x:v>213276.97999999998</x:v>
      </x:c>
      <x:c r="L99" s="13" t="n">
        <x:v>27</x:v>
      </x:c>
      <x:c r="M99" s="13" t="n">
        <x:v>0.0196078431372549</x:v>
      </x:c>
      <x:c r="N99" s="13" t="n">
        <x:v>0.02</x:v>
      </x:c>
      <x:c r="O99" s="13" t="n">
        <x:v>0.26244662658752166</x:v>
      </x:c>
      <x:c r="P99" s="13" t="n">
        <x:v>0.4688738559595133</x:v>
      </x:c>
      <x:c r="Q99" s="13" t="n">
        <x:v>6751.063870967741</x:v>
      </x:c>
      <x:c r="R99" s="13" t="n">
        <x:v>2.7249117468761836</x:v>
      </x:c>
      <x:c r="S99" s="13" t="n">
        <x:v>0.08315232203783329</x:v>
      </x:c>
      <x:c r="T99" s="13" t="n">
        <x:v>20</x:v>
      </x:c>
      <x:c r="U99" s="13" t="n">
        <x:v>153</x:v>
      </x:c>
      <x:c r="V99" s="13" t="n">
        <x:v>133</x:v>
      </x:c>
      <x:c r="W99" s="13" t="n">
        <x:v>20</x:v>
      </x:c>
      <x:c r="X99" s="13" t="n">
        <x:v>6</x:v>
      </x:c>
      <x:c r="Y99" s="13" t="n">
        <x:v>1445110.8</x:v>
      </x:c>
      <x:c r="Z99" s="13" t="n">
        <x:v>1630434.7999999998</x:v>
      </x:c>
      <x:c r="AA99" s="13" t="n">
        <x:v>25</x:v>
      </x:c>
      <x:c r="AB99" s="13" t="n">
        <x:v>0.13071895424836602</x:v>
      </x:c>
      <x:c r="AC99" s="13" t="n">
        <x:v>0.045112781954887216</x:v>
      </x:c>
      <x:c r="AD99" s="13" t="n">
        <x:v>0.1671773396750808</x:v>
      </x:c>
      <x:c r="AE99" s="13" t="n">
        <x:v>0.2744948770720546</x:v>
      </x:c>
      <x:c r="AF99" s="13" t="n">
        <x:v>39057.04864864865</x:v>
      </x:c>
      <x:c r="AG99" s="13" t="n">
        <x:v>1.440977845508769</x:v>
      </x:c>
      <x:c r="AH99" s="13" t="n">
        <x:v>0.01835858362197473</x:v>
      </x:c>
      <x:c r="AI99" s="13" t="n">
        <x:v>31</x:v>
      </x:c>
      <x:c r="AJ99" s="13" t="n">
        <x:v>1235827.82</x:v>
      </x:c>
      <x:c r="AK99" s="13" t="n">
        <x:v>0.1308098796713612</x:v>
      </x:c>
      <x:c r="AL99" s="13" t="n">
        <x:v>0.10294117647058823</x:v>
      </x:c>
      <x:c r="AM99" s="13" t="n">
        <x:v>0.03825136612021858</x:v>
      </x:c>
      <x:c r="AN99" s="13" t="n">
        <x:v>0.21481198313130123</x:v>
      </x:c>
      <x:c r="AO99" s="13" t="n">
        <x:v>2.0829447961924763</x:v>
      </x:c>
      <x:c r="AP99" s="13" t="n">
        <x:v>0.05075545282990401</x:v>
      </x:c>
    </x:row>
    <x:row r="100" ht="15" hidden="0" customHeight="1">
      <x:c r="A100" s="2" t="str">
        <x:v>E99</x:v>
      </x:c>
      <x:c r="B100" s="2" t="str">
        <x:v>***建筑工程有限责任公司</x:v>
      </x:c>
      <x:c r="C100" s="2" t="str">
        <x:v>有信贷记录</x:v>
      </x:c>
      <x:c r="D100" s="2" t="str">
        <x:v>D</x:v>
      </x:c>
      <x:c r="E100" s="2" t="str">
        <x:v>是</x:v>
      </x:c>
      <x:c r="F100" s="13" t="n">
        <x:v>880</x:v>
      </x:c>
      <x:c r="G100" s="13" t="n">
        <x:v>871</x:v>
      </x:c>
      <x:c r="H100" s="13" t="n">
        <x:v>9</x:v>
      </x:c>
      <x:c r="I100" s="13" t="n">
        <x:v>11</x:v>
      </x:c>
      <x:c r="J100" s="13" t="n">
        <x:v>4536061.600000001</x:v>
      </x:c>
      <x:c r="K100" s="13" t="n">
        <x:v>4779930.4</x:v>
      </x:c>
      <x:c r="L100" s="13" t="n">
        <x:v>81</x:v>
      </x:c>
      <x:c r="M100" s="13" t="n">
        <x:v>0.010227272727272727</x:v>
      </x:c>
      <x:c r="N100" s="13" t="n">
        <x:v>0.012629161882893225</x:v>
      </x:c>
      <x:c r="O100" s="13" t="n">
        <x:v>0.2415305012626281</x:v>
      </x:c>
      <x:c r="P100" s="13" t="n">
        <x:v>0.46866020894362814</x:v>
      </x:c>
      <x:c r="Q100" s="13" t="n">
        <x:v>174463.90769230772</x:v>
      </x:c>
      <x:c r="R100" s="13" t="n">
        <x:v>2.542119817582092</x:v>
      </x:c>
      <x:c r="S100" s="13" t="n">
        <x:v>0.02627734383305342</x:v>
      </x:c>
      <x:c r="T100" s="13" t="n">
        <x:v>25</x:v>
      </x:c>
      <x:c r="U100" s="13" t="n">
        <x:v>9.440000000000001</x:v>
      </x:c>
      <x:c r="V100" s="13" t="n">
        <x:v>6.720000000000001</x:v>
      </x:c>
      <x:c r="W100" s="13" t="n">
        <x:v>3</x:v>
      </x:c>
      <x:c r="X100" s="13" t="n">
        <x:v>0</x:v>
      </x:c>
      <x:c r="Y100" s="13" t="n">
        <x:v>1235004.8</x:v>
      </x:c>
      <x:c r="Z100" s="13" t="n">
        <x:v>1235004.8</x:v>
      </x:c>
      <x:c r="AA100" s="13" t="n">
        <x:v>3</x:v>
      </x:c>
      <x:c r="AB100" s="13" t="n">
        <x:v>0.375</x:v>
      </x:c>
      <x:c r="AC100" s="13" t="n">
        <x:v>0</x:v>
      </x:c>
      <x:c r="AD100" s="13" t="n">
        <x:v>0.6063163449314594</x:v>
      </x:c>
      <x:c r="AE100" s="13" t="n">
        <x:v>0.730560561384053</x:v>
      </x:c>
      <x:c r="AF100" s="13" t="n">
        <x:v>68611.37777777779</x:v>
      </x:c>
      <x:c r="AG100" s="13" t="n">
        <x:v>1.9581074330877934</x:v>
      </x:c>
      <x:c r="AH100" s="13" t="n">
        <x:v>-0.06949984203618528</x:v>
      </x:c>
      <x:c r="AI100" s="13" t="n">
        <x:v>4</x:v>
      </x:c>
      <x:c r="AJ100" s="13" t="n">
        <x:v>-3301056.8000000007</x:v>
      </x:c>
      <x:c r="AK100" s="13" t="n">
        <x:v>3.8703739451053116</x:v>
      </x:c>
      <x:c r="AL100" s="13" t="n">
        <x:v>0.013513513513513514</x:v>
      </x:c>
      <x:c r="AM100" s="13" t="n">
        <x:v>0.012557077625570776</x:v>
      </x:c>
      <x:c r="AN100" s="13" t="n">
        <x:v>0.42392342309704373</x:v>
      </x:c>
      <x:c r="AO100" s="13" t="n">
        <x:v>2.2501136253349427</x:v>
      </x:c>
      <x:c r="AP100" s="13" t="n">
        <x:v>-0.021611249101565932</x:v>
      </x:c>
    </x:row>
    <x:row r="101" ht="15" hidden="0" customHeight="1">
      <x:c r="A101" s="2" t="str">
        <x:v>E100</x:v>
      </x:c>
      <x:c r="B101" s="2" t="str">
        <x:v>***装饰工程有限公司</x:v>
      </x:c>
      <x:c r="C101" s="2" t="str">
        <x:v>有信贷记录</x:v>
      </x:c>
      <x:c r="D101" s="2" t="str">
        <x:v>D</x:v>
      </x:c>
      <x:c r="E101" s="2" t="str">
        <x:v>是</x:v>
      </x:c>
      <x:c r="F101" s="13" t="n">
        <x:v>58</x:v>
      </x:c>
      <x:c r="G101" s="13" t="n">
        <x:v>58</x:v>
      </x:c>
      <x:c r="H101" s="13" t="n">
        <x:v>0</x:v>
      </x:c>
      <x:c r="I101" s="13" t="n">
        <x:v>0</x:v>
      </x:c>
      <x:c r="J101" s="13" t="n">
        <x:v>23323.02</x:v>
      </x:c>
      <x:c r="K101" s="13" t="n">
        <x:v>23323.02</x:v>
      </x:c>
      <x:c r="L101" s="13" t="n">
        <x:v>21</x:v>
      </x:c>
      <x:c r="M101" s="13" t="n">
        <x:v>0</x:v>
      </x:c>
      <x:c r="N101" s="13" t="n">
        <x:v>0</x:v>
      </x:c>
      <x:c r="O101" s="13" t="n">
        <x:v>0.12134763507256721</x:v>
      </x:c>
      <x:c r="P101" s="13" t="n">
        <x:v>0.2389055962735529</x:v>
      </x:c>
      <x:c r="Q101" s="13" t="n">
        <x:v>706.7581818181818</x:v>
      </x:c>
      <x:c r="R101" s="13" t="n">
        <x:v>1.555544718364199</x:v>
      </x:c>
      <x:c r="S101" s="13" t="n">
        <x:v>0.051318390711815313</x:v>
      </x:c>
      <x:c r="T101" s="13" t="n">
        <x:v>27</x:v>
      </x:c>
      <x:c r="U101" s="13" t="n">
        <x:v>99</x:v>
      </x:c>
      <x:c r="V101" s="13" t="n">
        <x:v>98</x:v>
      </x:c>
      <x:c r="W101" s="13" t="n">
        <x:v>1</x:v>
      </x:c>
      <x:c r="X101" s="13" t="n">
        <x:v>15</x:v>
      </x:c>
      <x:c r="Y101" s="13" t="n">
        <x:v>691489.21</x:v>
      </x:c>
      <x:c r="Z101" s="13" t="n">
        <x:v>948353.41</x:v>
      </x:c>
      <x:c r="AA101" s="13" t="n">
        <x:v>13</x:v>
      </x:c>
      <x:c r="AB101" s="13" t="n">
        <x:v>0.010101010101010102</x:v>
      </x:c>
      <x:c r="AC101" s="13" t="n">
        <x:v>0.15306122448979592</x:v>
      </x:c>
      <x:c r="AD101" s="13" t="n">
        <x:v>0.17043580339290926</x:v>
      </x:c>
      <x:c r="AE101" s="13" t="n">
        <x:v>0.25285169797617957</x:v>
      </x:c>
      <x:c r="AF101" s="13" t="n">
        <x:v>18688.89756756757</x:v>
      </x:c>
      <x:c r="AG101" s="13" t="n">
        <x:v>1.988869651597594</x:v>
      </x:c>
      <x:c r="AH101" s="13" t="n">
        <x:v>-0.014776802483774533</x:v>
      </x:c>
      <x:c r="AI101" s="13" t="n">
        <x:v>29</x:v>
      </x:c>
      <x:c r="AJ101" s="13" t="n">
        <x:v>668166.19</x:v>
      </x:c>
      <x:c r="AK101" s="13" t="n">
        <x:v>0.024593173551197518</x:v>
      </x:c>
      <x:c r="AL101" s="13" t="n">
        <x:v>0.006369426751592357</x:v>
      </x:c>
      <x:c r="AM101" s="13" t="n">
        <x:v>0.09615384615384616</x:v>
      </x:c>
      <x:c r="AN101" s="13" t="n">
        <x:v>0.14589171923273825</x:v>
      </x:c>
      <x:c r="AO101" s="13" t="n">
        <x:v>1.7722071849808967</x:v>
      </x:c>
      <x:c r="AP101" s="13" t="n">
        <x:v>0.01827079411402039</x:v>
      </x:c>
    </x:row>
    <x:row r="102" ht="15" hidden="0" customHeight="1">
      <x:c r="A102" s="2" t="str">
        <x:v>E101</x:v>
      </x:c>
      <x:c r="B102" s="2" t="str">
        <x:v>***灯饰工程有限公司</x:v>
      </x:c>
      <x:c r="C102" s="2" t="str">
        <x:v>有信贷记录</x:v>
      </x:c>
      <x:c r="D102" s="2" t="str">
        <x:v>D</x:v>
      </x:c>
      <x:c r="E102" s="2" t="str">
        <x:v>是</x:v>
      </x:c>
      <x:c r="F102" s="13" t="n">
        <x:v>16</x:v>
      </x:c>
      <x:c r="G102" s="13" t="n">
        <x:v>16</x:v>
      </x:c>
      <x:c r="H102" s="13" t="n">
        <x:v>0</x:v>
      </x:c>
      <x:c r="I102" s="13" t="n">
        <x:v>0</x:v>
      </x:c>
      <x:c r="J102" s="13" t="n">
        <x:v>53158</x:v>
      </x:c>
      <x:c r="K102" s="13" t="n">
        <x:v>53158</x:v>
      </x:c>
      <x:c r="L102" s="13" t="n">
        <x:v>6</x:v>
      </x:c>
      <x:c r="M102" s="13" t="n">
        <x:v>0</x:v>
      </x:c>
      <x:c r="N102" s="13" t="n">
        <x:v>0</x:v>
      </x:c>
      <x:c r="O102" s="13" t="n">
        <x:v>0.6109382119490051</x:v>
      </x:c>
      <x:c r="P102" s="13" t="n">
        <x:v>0.7612212649083864</x:v>
      </x:c>
      <x:c r="Q102" s="13" t="n">
        <x:v>3543.866666666667</x:v>
      </x:c>
      <x:c r="R102" s="13" t="n">
        <x:v>2.9034410139298874</x:v>
      </x:c>
      <x:c r="S102" s="13" t="n">
        <x:v>-0.1581515079036172</x:v>
      </x:c>
      <x:c r="T102" s="13" t="n">
        <x:v>12</x:v>
      </x:c>
      <x:c r="U102" s="13" t="n">
        <x:v>63</x:v>
      </x:c>
      <x:c r="V102" s="13" t="n">
        <x:v>32</x:v>
      </x:c>
      <x:c r="W102" s="13" t="n">
        <x:v>31</x:v>
      </x:c>
      <x:c r="X102" s="13" t="n">
        <x:v>0</x:v>
      </x:c>
      <x:c r="Y102" s="13" t="n">
        <x:v>392378</x:v>
      </x:c>
      <x:c r="Z102" s="13" t="n">
        <x:v>392378</x:v>
      </x:c>
      <x:c r="AA102" s="13" t="n">
        <x:v>2</x:v>
      </x:c>
      <x:c r="AB102" s="13" t="n">
        <x:v>0.49206349206349204</x:v>
      </x:c>
      <x:c r="AC102" s="13" t="n">
        <x:v>0</x:v>
      </x:c>
      <x:c r="AD102" s="13" t="n">
        <x:v>0.6201908804978975</x:v>
      </x:c>
      <x:c r="AE102" s="13" t="n">
        <x:v>0.7451437134599799</x:v>
      </x:c>
      <x:c r="AF102" s="13" t="n">
        <x:v>30182.923076923078</x:v>
      </x:c>
      <x:c r="AG102" s="13" t="n">
        <x:v>1.8044104939239183</x:v>
      </x:c>
      <x:c r="AH102" s="13" t="n">
        <x:v>-0.13083812038391127</x:v>
      </x:c>
      <x:c r="AI102" s="13" t="n">
        <x:v>4</x:v>
      </x:c>
      <x:c r="AJ102" s="13" t="n">
        <x:v>339220</x:v>
      </x:c>
      <x:c r="AK102" s="13" t="n">
        <x:v>0.13547650479894352</x:v>
      </x:c>
      <x:c r="AL102" s="13" t="n">
        <x:v>0.3550476190476188</x:v>
      </x:c>
      <x:c r="AM102" s="13" t="n">
        <x:v>0</x:v>
      </x:c>
      <x:c r="AN102" s="13" t="n">
        <x:v>0.6155645462234514</x:v>
      </x:c>
      <x:c r="AO102" s="13" t="n">
        <x:v>2.353925753926903</x:v>
      </x:c>
      <x:c r="AP102" s="13" t="n">
        <x:v>-0.14449481414376425</x:v>
      </x:c>
    </x:row>
    <x:row r="103" ht="15" hidden="0" customHeight="1">
      <x:c r="A103" s="2" t="str">
        <x:v>E102</x:v>
      </x:c>
      <x:c r="B103" s="2" t="str">
        <x:v>***大药房有限责任公司</x:v>
      </x:c>
      <x:c r="C103" s="2" t="str">
        <x:v>有信贷记录</x:v>
      </x:c>
      <x:c r="D103" s="2" t="str">
        <x:v>D</x:v>
      </x:c>
      <x:c r="E103" s="2" t="str">
        <x:v>是</x:v>
      </x:c>
      <x:c r="F103" s="13" t="n">
        <x:v>730</x:v>
      </x:c>
      <x:c r="G103" s="13" t="n">
        <x:v>710</x:v>
      </x:c>
      <x:c r="H103" s="13" t="n">
        <x:v>20</x:v>
      </x:c>
      <x:c r="I103" s="13" t="n">
        <x:v>7</x:v>
      </x:c>
      <x:c r="J103" s="13" t="n">
        <x:v>3658317.08</x:v>
      </x:c>
      <x:c r="K103" s="13" t="n">
        <x:v>3702483.96</x:v>
      </x:c>
      <x:c r="L103" s="13" t="n">
        <x:v>70</x:v>
      </x:c>
      <x:c r="M103" s="13" t="n">
        <x:v>0.0273972602739726</x:v>
      </x:c>
      <x:c r="N103" s="13" t="n">
        <x:v>0.009859154929577466</x:v>
      </x:c>
      <x:c r="O103" s="13" t="n">
        <x:v>0.1581436596137278</x:v>
      </x:c>
      <x:c r="P103" s="13" t="n">
        <x:v>0.30715414902162064</x:v>
      </x:c>
      <x:c r="Q103" s="13" t="n">
        <x:v>96271.50210526315</x:v>
      </x:c>
      <x:c r="R103" s="13" t="n">
        <x:v>0.4081393420419017</x:v>
      </x:c>
      <x:c r="S103" s="13" t="n">
        <x:v>-0.002796297512894326</x:v>
      </x:c>
      <x:c r="T103" s="13" t="n">
        <x:v>38</x:v>
      </x:c>
      <x:c r="U103" s="13" t="n">
        <x:v>177</x:v>
      </x:c>
      <x:c r="V103" s="13" t="n">
        <x:v>151</x:v>
      </x:c>
      <x:c r="W103" s="13" t="n">
        <x:v>26</x:v>
      </x:c>
      <x:c r="X103" s="13" t="n">
        <x:v>3</x:v>
      </x:c>
      <x:c r="Y103" s="13" t="n">
        <x:v>438885.1</x:v>
      </x:c>
      <x:c r="Z103" s="13" t="n">
        <x:v>501782.3</x:v>
      </x:c>
      <x:c r="AA103" s="13" t="n">
        <x:v>105</x:v>
      </x:c>
      <x:c r="AB103" s="13" t="n">
        <x:v>0.14689265536723164</x:v>
      </x:c>
      <x:c r="AC103" s="13" t="n">
        <x:v>0.019867549668874173</x:v>
      </x:c>
      <x:c r="AD103" s="13" t="n">
        <x:v>0.31606172060998833</x:v>
      </x:c>
      <x:c r="AE103" s="13" t="n">
        <x:v>0.5451950776262933</x:v>
      </x:c>
      <x:c r="AF103" s="13" t="n">
        <x:v>11549.607894736842</x:v>
      </x:c>
      <x:c r="AG103" s="13" t="n">
        <x:v>1.4790738844347544</x:v>
      </x:c>
      <x:c r="AH103" s="13" t="n">
        <x:v>0.013486170794768155</x:v>
      </x:c>
      <x:c r="AI103" s="13" t="n">
        <x:v>22</x:v>
      </x:c>
      <x:c r="AJ103" s="13" t="n">
        <x:v>-3219431.98</x:v>
      </x:c>
      <x:c r="AK103" s="13" t="n">
        <x:v>7.37866592743505</x:v>
      </x:c>
      <x:c r="AL103" s="13" t="n">
        <x:v>0.050716648291069456</x:v>
      </x:c>
      <x:c r="AM103" s="13" t="n">
        <x:v>0.011614401858304297</x:v>
      </x:c>
      <x:c r="AN103" s="13" t="n">
        <x:v>0.23710269011185808</x:v>
      </x:c>
      <x:c r="AO103" s="13" t="n">
        <x:v>0.9436066132383281</x:v>
      </x:c>
      <x:c r="AP103" s="13" t="n">
        <x:v>0.0053449366409369144</x:v>
      </x:c>
    </x:row>
    <x:row r="104" ht="15" hidden="0" customHeight="1">
      <x:c r="A104" s="2" t="str">
        <x:v>E103</x:v>
      </x:c>
      <x:c r="B104" s="2" t="str">
        <x:v>***科技有限公司</x:v>
      </x:c>
      <x:c r="C104" s="2" t="str">
        <x:v>有信贷记录</x:v>
      </x:c>
      <x:c r="D104" s="2" t="str">
        <x:v>D</x:v>
      </x:c>
      <x:c r="E104" s="2" t="str">
        <x:v>是</x:v>
      </x:c>
      <x:c r="F104" s="13" t="n">
        <x:v>172</x:v>
      </x:c>
      <x:c r="G104" s="13" t="n">
        <x:v>169</x:v>
      </x:c>
      <x:c r="H104" s="13" t="n">
        <x:v>3</x:v>
      </x:c>
      <x:c r="I104" s="13" t="n">
        <x:v>0</x:v>
      </x:c>
      <x:c r="J104" s="13" t="n">
        <x:v>738265.6100000001</x:v>
      </x:c>
      <x:c r="K104" s="13" t="n">
        <x:v>738265.6100000001</x:v>
      </x:c>
      <x:c r="L104" s="13" t="n">
        <x:v>66</x:v>
      </x:c>
      <x:c r="M104" s="13" t="n">
        <x:v>0.01744186046511628</x:v>
      </x:c>
      <x:c r="N104" s="13" t="n">
        <x:v>0</x:v>
      </x:c>
      <x:c r="O104" s="13" t="n">
        <x:v>0.11906687244407928</x:v>
      </x:c>
      <x:c r="P104" s="13" t="n">
        <x:v>0.2760950764048186</x:v>
      </x:c>
      <x:c r="Q104" s="13" t="n">
        <x:v>23070.8003125</x:v>
      </x:c>
      <x:c r="R104" s="13" t="n">
        <x:v>2.335677461231703</x:v>
      </x:c>
      <x:c r="S104" s="13" t="n">
        <x:v>0.09750140295342974</x:v>
      </x:c>
      <x:c r="T104" s="13" t="n">
        <x:v>28</x:v>
      </x:c>
      <x:c r="U104" s="13" t="n">
        <x:v>64</x:v>
      </x:c>
      <x:c r="V104" s="13" t="n">
        <x:v>54</x:v>
      </x:c>
      <x:c r="W104" s="13" t="n">
        <x:v>10</x:v>
      </x:c>
      <x:c r="X104" s="13" t="n">
        <x:v>2</x:v>
      </x:c>
      <x:c r="Y104" s="13" t="n">
        <x:v>1822451.77</x:v>
      </x:c>
      <x:c r="Z104" s="13" t="n">
        <x:v>1851202.07</x:v>
      </x:c>
      <x:c r="AA104" s="13" t="n">
        <x:v>20</x:v>
      </x:c>
      <x:c r="AB104" s="13" t="n">
        <x:v>0.15625</x:v>
      </x:c>
      <x:c r="AC104" s="13" t="n">
        <x:v>0.037037037037037035</x:v>
      </x:c>
      <x:c r="AD104" s="13" t="n">
        <x:v>0.26725700273519476</x:v>
      </x:c>
      <x:c r="AE104" s="13" t="n">
        <x:v>0.44778829034044887</x:v>
      </x:c>
      <x:c r="AF104" s="13" t="n">
        <x:v>79237.03347826087</x:v>
      </x:c>
      <x:c r="AG104" s="13" t="n">
        <x:v>2.5093244240662567</x:v>
      </x:c>
      <x:c r="AH104" s="13" t="n">
        <x:v>0.08334025387229654</x:v>
      </x:c>
      <x:c r="AI104" s="13" t="n">
        <x:v>15</x:v>
      </x:c>
      <x:c r="AJ104" s="13" t="n">
        <x:v>1084186.16</x:v>
      </x:c>
      <x:c r="AK104" s="13" t="n">
        <x:v>0.39880336240116654</x:v>
      </x:c>
      <x:c r="AL104" s="13" t="n">
        <x:v>0.05508474576271186</x:v>
      </x:c>
      <x:c r="AM104" s="13" t="n">
        <x:v>0.008968609865470852</x:v>
      </x:c>
      <x:c r="AN104" s="13" t="n">
        <x:v>0.193161937589637</x:v>
      </x:c>
      <x:c r="AO104" s="13" t="n">
        <x:v>2.4225009426489796</x:v>
      </x:c>
      <x:c r="AP104" s="13" t="n">
        <x:v>0.09042082841286314</x:v>
      </x:c>
    </x:row>
    <x:row r="105" ht="15" hidden="0" customHeight="1">
      <x:c r="A105" s="2" t="str">
        <x:v>E104</x:v>
      </x:c>
      <x:c r="B105" s="2" t="str">
        <x:v>***管理咨询有限责任公司</x:v>
      </x:c>
      <x:c r="C105" s="2" t="str">
        <x:v>有信贷记录</x:v>
      </x:c>
      <x:c r="D105" s="2" t="str">
        <x:v>C</x:v>
      </x:c>
      <x:c r="E105" s="2" t="str">
        <x:v>否</x:v>
      </x:c>
      <x:c r="F105" s="13" t="n">
        <x:v>2</x:v>
      </x:c>
      <x:c r="G105" s="13" t="n">
        <x:v>2</x:v>
      </x:c>
      <x:c r="H105" s="13" t="n">
        <x:v>0</x:v>
      </x:c>
      <x:c r="I105" s="13" t="n">
        <x:v>0</x:v>
      </x:c>
      <x:c r="J105" s="13" t="n">
        <x:v>560</x:v>
      </x:c>
      <x:c r="K105" s="13" t="n">
        <x:v>560</x:v>
      </x:c>
      <x:c r="L105" s="13" t="n">
        <x:v>1</x:v>
      </x:c>
      <x:c r="M105" s="13" t="n">
        <x:v>0</x:v>
      </x:c>
      <x:c r="N105" s="13" t="n">
        <x:v>0</x:v>
      </x:c>
      <x:c r="O105" s="13" t="n">
        <x:v>1</x:v>
      </x:c>
      <x:c r="P105" s="13" t="n">
        <x:v>1</x:v>
      </x:c>
      <x:c r="Q105" s="13" t="n">
        <x:v>280</x:v>
      </x:c>
      <x:c r="R105" s="13" t="n">
        <x:v>0.32422736494682114</x:v>
      </x:c>
      <x:c r="S105" s="13" t="n">
        <x:v>0</x:v>
      </x:c>
      <x:c r="T105" s="13" t="n">
        <x:v>2</x:v>
      </x:c>
      <x:c r="U105" s="13" t="n">
        <x:v>21</x:v>
      </x:c>
      <x:c r="V105" s="13" t="n">
        <x:v>19</x:v>
      </x:c>
      <x:c r="W105" s="13" t="n">
        <x:v>2</x:v>
      </x:c>
      <x:c r="X105" s="13" t="n">
        <x:v>1</x:v>
      </x:c>
      <x:c r="Y105" s="13" t="n">
        <x:v>270530</x:v>
      </x:c>
      <x:c r="Z105" s="13" t="n">
        <x:v>390930</x:v>
      </x:c>
      <x:c r="AA105" s="13" t="n">
        <x:v>10</x:v>
      </x:c>
      <x:c r="AB105" s="13" t="n">
        <x:v>0.09523809523809523</x:v>
      </x:c>
      <x:c r="AC105" s="13" t="n">
        <x:v>0.05263157894736842</x:v>
      </x:c>
      <x:c r="AD105" s="13" t="n">
        <x:v>0.27192333024164617</x:v>
      </x:c>
      <x:c r="AE105" s="13" t="n">
        <x:v>0.4619752896938071</x:v>
      </x:c>
      <x:c r="AF105" s="13" t="n">
        <x:v>18035.333333333332</x:v>
      </x:c>
      <x:c r="AG105" s="13" t="n">
        <x:v>1.1565325585014745</x:v>
      </x:c>
      <x:c r="AH105" s="13" t="n">
        <x:v>0.001546567320233759</x:v>
      </x:c>
      <x:c r="AI105" s="13" t="n">
        <x:v>9</x:v>
      </x:c>
      <x:c r="AJ105" s="13" t="n">
        <x:v>270250</x:v>
      </x:c>
      <x:c r="AK105" s="13" t="n">
        <x:v>0.000716240759215203</x:v>
      </x:c>
      <x:c r="AL105" s="13" t="n">
        <x:v>0.09090909090909091</x:v>
      </x:c>
      <x:c r="AM105" s="13" t="n">
        <x:v>0.05</x:v>
      </x:c>
      <x:c r="AN105" s="13" t="n">
        <x:v>0.6359616651208231</x:v>
      </x:c>
      <x:c r="AO105" s="13" t="n">
        <x:v>0.5782662792507373</x:v>
      </x:c>
      <x:c r="AP105" s="13" t="n">
        <x:v>0.0007732836601168795</x:v>
      </x:c>
    </x:row>
    <x:row r="106" ht="15" hidden="0" customHeight="1">
      <x:c r="A106" s="2" t="str">
        <x:v>E105</x:v>
      </x:c>
      <x:c r="B106" s="2" t="str">
        <x:v>***建材经营部</x:v>
      </x:c>
      <x:c r="C106" s="2" t="str">
        <x:v>有信贷记录</x:v>
      </x:c>
      <x:c r="D106" s="2" t="str">
        <x:v>C</x:v>
      </x:c>
      <x:c r="E106" s="2" t="str">
        <x:v>否</x:v>
      </x:c>
      <x:c r="F106" s="13" t="n">
        <x:v>6</x:v>
      </x:c>
      <x:c r="G106" s="13" t="n">
        <x:v>6</x:v>
      </x:c>
      <x:c r="H106" s="13" t="n">
        <x:v>0</x:v>
      </x:c>
      <x:c r="I106" s="13" t="n">
        <x:v>0</x:v>
      </x:c>
      <x:c r="J106" s="13" t="n">
        <x:v>8480</x:v>
      </x:c>
      <x:c r="K106" s="13" t="n">
        <x:v>8480</x:v>
      </x:c>
      <x:c r="L106" s="13" t="n">
        <x:v>4</x:v>
      </x:c>
      <x:c r="M106" s="13" t="n">
        <x:v>0</x:v>
      </x:c>
      <x:c r="N106" s="13" t="n">
        <x:v>0</x:v>
      </x:c>
      <x:c r="O106" s="13" t="n">
        <x:v>0.6423549305802777</x:v>
      </x:c>
      <x:c r="P106" s="13" t="n">
        <x:v>0.7924528301886793</x:v>
      </x:c>
      <x:c r="Q106" s="13" t="n">
        <x:v>446.3157894736842</x:v>
      </x:c>
      <x:c r="R106" s="13" t="n">
        <x:v>2.502561877098774</x:v>
      </x:c>
      <x:c r="S106" s="13" t="n">
        <x:v>-0.21625547045049248</x:v>
      </x:c>
      <x:c r="T106" s="13" t="n">
        <x:v>5</x:v>
      </x:c>
      <x:c r="U106" s="13" t="n">
        <x:v>122</x:v>
      </x:c>
      <x:c r="V106" s="13" t="n">
        <x:v>121</x:v>
      </x:c>
      <x:c r="W106" s="13" t="n">
        <x:v>1</x:v>
      </x:c>
      <x:c r="X106" s="13" t="n">
        <x:v>4</x:v>
      </x:c>
      <x:c r="Y106" s="13" t="n">
        <x:v>952563.89</x:v>
      </x:c>
      <x:c r="Z106" s="13" t="n">
        <x:v>1006606.47</x:v>
      </x:c>
      <x:c r="AA106" s="13" t="n">
        <x:v>101</x:v>
      </x:c>
      <x:c r="AB106" s="13" t="n">
        <x:v>0.00819672131147541</x:v>
      </x:c>
      <x:c r="AC106" s="13" t="n">
        <x:v>0.03305785123966942</x:v>
      </x:c>
      <x:c r="AD106" s="13" t="n">
        <x:v>0.026427401031680797</x:v>
      </x:c>
      <x:c r="AE106" s="13" t="n">
        <x:v>0.12551926076930542</x:v>
      </x:c>
      <x:c r="AF106" s="13" t="n">
        <x:v>31752.129666666668</x:v>
      </x:c>
      <x:c r="AG106" s="13" t="n">
        <x:v>0.9832840967934364</x:v>
      </x:c>
      <x:c r="AH106" s="13" t="n">
        <x:v>-0.06409911035866127</x:v>
      </x:c>
      <x:c r="AI106" s="13" t="n">
        <x:v>22</x:v>
      </x:c>
      <x:c r="AJ106" s="13" t="n">
        <x:v>944083.89</x:v>
      </x:c>
      <x:c r="AK106" s="13" t="n">
        <x:v>0.008424344818685689</x:v>
      </x:c>
      <x:c r="AL106" s="13" t="n">
        <x:v>0.0078125</x:v>
      </x:c>
      <x:c r="AM106" s="13" t="n">
        <x:v>0.031496062992125984</x:v>
      </x:c>
      <x:c r="AN106" s="13" t="n">
        <x:v>0.3343911658059793</x:v>
      </x:c>
      <x:c r="AO106" s="13" t="n">
        <x:v>1.7429229869461054</x:v>
      </x:c>
      <x:c r="AP106" s="13" t="n">
        <x:v>-0.14632887016078774</x:v>
      </x:c>
    </x:row>
    <x:row r="107" ht="15" hidden="0" customHeight="1">
      <x:c r="A107" s="2" t="str">
        <x:v>E106</x:v>
      </x:c>
      <x:c r="B107" s="2" t="str">
        <x:v>***财务管理有限公司</x:v>
      </x:c>
      <x:c r="C107" s="2" t="str">
        <x:v>有信贷记录</x:v>
      </x:c>
      <x:c r="D107" s="2" t="str">
        <x:v>B</x:v>
      </x:c>
      <x:c r="E107" s="2" t="str">
        <x:v>否</x:v>
      </x:c>
      <x:c r="F107" s="13" t="n">
        <x:v>36</x:v>
      </x:c>
      <x:c r="G107" s="13" t="n">
        <x:v>35</x:v>
      </x:c>
      <x:c r="H107" s="13" t="n">
        <x:v>1</x:v>
      </x:c>
      <x:c r="I107" s="13" t="n">
        <x:v>0</x:v>
      </x:c>
      <x:c r="J107" s="13" t="n">
        <x:v>52461.1</x:v>
      </x:c>
      <x:c r="K107" s="13" t="n">
        <x:v>52461.1</x:v>
      </x:c>
      <x:c r="L107" s="13" t="n">
        <x:v>19</x:v>
      </x:c>
      <x:c r="M107" s="13" t="n">
        <x:v>0.027777777777777776</x:v>
      </x:c>
      <x:c r="N107" s="13" t="n">
        <x:v>0</x:v>
      </x:c>
      <x:c r="O107" s="13" t="n">
        <x:v>0.3240644091034844</x:v>
      </x:c>
      <x:c r="P107" s="13" t="n">
        <x:v>0.5114265617762495</x:v>
      </x:c>
      <x:c r="Q107" s="13" t="n">
        <x:v>1748.7033333333334</x:v>
      </x:c>
      <x:c r="R107" s="13" t="n">
        <x:v>2.300449137177647</x:v>
      </x:c>
      <x:c r="S107" s="13" t="n">
        <x:v>-0.0392915189922935</x:v>
      </x:c>
      <x:c r="T107" s="13" t="n">
        <x:v>18</x:v>
      </x:c>
      <x:c r="U107" s="13" t="n">
        <x:v>153</x:v>
      </x:c>
      <x:c r="V107" s="13" t="n">
        <x:v>138</x:v>
      </x:c>
      <x:c r="W107" s="13" t="n">
        <x:v>15</x:v>
      </x:c>
      <x:c r="X107" s="13" t="n">
        <x:v>4</x:v>
      </x:c>
      <x:c r="Y107" s="13" t="n">
        <x:v>603677.86</x:v>
      </x:c>
      <x:c r="Z107" s="13" t="n">
        <x:v>648877.86</x:v>
      </x:c>
      <x:c r="AA107" s="13" t="n">
        <x:v>105</x:v>
      </x:c>
      <x:c r="AB107" s="13" t="n">
        <x:v>0.09803921568627451</x:v>
      </x:c>
      <x:c r="AC107" s="13" t="n">
        <x:v>0.028985507246376812</x:v>
      </x:c>
      <x:c r="AD107" s="13" t="n">
        <x:v>0.05662539748728868</x:v>
      </x:c>
      <x:c r="AE107" s="13" t="n">
        <x:v>0.2034281151155319</x:v>
      </x:c>
      <x:c r="AF107" s="13" t="n">
        <x:v>18293.268484848486</x:v>
      </x:c>
      <x:c r="AG107" s="13" t="n">
        <x:v>0.9108147587192273</x:v>
      </x:c>
      <x:c r="AH107" s="13" t="n">
        <x:v>0.024925104264947456</x:v>
      </x:c>
      <x:c r="AI107" s="13" t="n">
        <x:v>31</x:v>
      </x:c>
      <x:c r="AJ107" s="13" t="n">
        <x:v>551216.76</x:v>
      </x:c>
      <x:c r="AK107" s="13" t="n">
        <x:v>0.08084895977187435</x:v>
      </x:c>
      <x:c r="AL107" s="13" t="n">
        <x:v>0.08465608465608465</x:v>
      </x:c>
      <x:c r="AM107" s="13" t="n">
        <x:v>0.023121387283236993</x:v>
      </x:c>
      <x:c r="AN107" s="13" t="n">
        <x:v>0.19034490329538653</x:v>
      </x:c>
      <x:c r="AO107" s="13" t="n">
        <x:v>1.605631947948437</x:v>
      </x:c>
      <x:c r="AP107" s="13" t="n">
        <x:v>-0.007183207363673023</x:v>
      </x:c>
    </x:row>
    <x:row r="108" ht="15" hidden="0" customHeight="1">
      <x:c r="A108" s="2" t="str">
        <x:v>E107</x:v>
      </x:c>
      <x:c r="B108" s="2" t="str">
        <x:v>***科技有限公司</x:v>
      </x:c>
      <x:c r="C108" s="2" t="str">
        <x:v>有信贷记录</x:v>
      </x:c>
      <x:c r="D108" s="2" t="str">
        <x:v>D</x:v>
      </x:c>
      <x:c r="E108" s="2" t="str">
        <x:v>是</x:v>
      </x:c>
      <x:c r="F108" s="13" t="n">
        <x:v>9</x:v>
      </x:c>
      <x:c r="G108" s="13" t="n">
        <x:v>9</x:v>
      </x:c>
      <x:c r="H108" s="13" t="n">
        <x:v>0</x:v>
      </x:c>
      <x:c r="I108" s="13" t="n">
        <x:v>0</x:v>
      </x:c>
      <x:c r="J108" s="13" t="n">
        <x:v>110910</x:v>
      </x:c>
      <x:c r="K108" s="13" t="n">
        <x:v>110910</x:v>
      </x:c>
      <x:c r="L108" s="13" t="n">
        <x:v>7</x:v>
      </x:c>
      <x:c r="M108" s="13" t="n">
        <x:v>0</x:v>
      </x:c>
      <x:c r="N108" s="13" t="n">
        <x:v>0</x:v>
      </x:c>
      <x:c r="O108" s="13" t="n">
        <x:v>0.6822643917056007</x:v>
      </x:c>
      <x:c r="P108" s="13" t="n">
        <x:v>0.8060409340907042</x:v>
      </x:c>
      <x:c r="Q108" s="13" t="n">
        <x:v>3824.4827586206898</x:v>
      </x:c>
      <x:c r="R108" s="13" t="n">
        <x:v>3.567736511749187</x:v>
      </x:c>
      <x:c r="S108" s="13" t="n">
        <x:v>-0.05660690134856897</x:v>
      </x:c>
      <x:c r="T108" s="13" t="n">
        <x:v>7</x:v>
      </x:c>
      <x:c r="U108" s="13" t="n">
        <x:v>54</x:v>
      </x:c>
      <x:c r="V108" s="13" t="n">
        <x:v>34</x:v>
      </x:c>
      <x:c r="W108" s="13" t="n">
        <x:v>20</x:v>
      </x:c>
      <x:c r="X108" s="13" t="n">
        <x:v>0</x:v>
      </x:c>
      <x:c r="Y108" s="13" t="n">
        <x:v>834000</x:v>
      </x:c>
      <x:c r="Z108" s="13" t="n">
        <x:v>834000</x:v>
      </x:c>
      <x:c r="AA108" s="13" t="n">
        <x:v>4</x:v>
      </x:c>
      <x:c r="AB108" s="13" t="n">
        <x:v>0.37037037037037035</x:v>
      </x:c>
      <x:c r="AC108" s="13" t="n">
        <x:v>0</x:v>
      </x:c>
      <x:c r="AD108" s="13" t="n">
        <x:v>0.5662750375239377</x:v>
      </x:c>
      <x:c r="AE108" s="13" t="n">
        <x:v>0.7194244604316546</x:v>
      </x:c>
      <x:c r="AF108" s="13" t="n">
        <x:v>36260.86956521739</x:v>
      </x:c>
      <x:c r="AG108" s="13" t="n">
        <x:v>3.3389114300633955</x:v>
      </x:c>
      <x:c r="AH108" s="13" t="n">
        <x:v>0.13141759319816512</x:v>
      </x:c>
      <x:c r="AI108" s="13" t="n">
        <x:v>10</x:v>
      </x:c>
      <x:c r="AJ108" s="13" t="n">
        <x:v>723090</x:v>
      </x:c>
      <x:c r="AK108" s="13" t="n">
        <x:v>0.1329856115107912</x:v>
      </x:c>
      <x:c r="AL108" s="13" t="n">
        <x:v>0.31746031746031744</x:v>
      </x:c>
      <x:c r="AM108" s="13" t="n">
        <x:v>0</x:v>
      </x:c>
      <x:c r="AN108" s="13" t="n">
        <x:v>0.6242697146147692</x:v>
      </x:c>
      <x:c r="AO108" s="13" t="n">
        <x:v>3.447861192699456</x:v>
      </x:c>
      <x:c r="AP108" s="13" t="n">
        <x:v>0.03740534592479808</x:v>
      </x:c>
    </x:row>
    <x:row r="109" ht="15" hidden="0" customHeight="1">
      <x:c r="A109" s="2" t="str">
        <x:v>E108</x:v>
      </x:c>
      <x:c r="B109" s="2" t="str">
        <x:v>***商贸有限公司</x:v>
      </x:c>
      <x:c r="C109" s="2" t="str">
        <x:v>有信贷记录</x:v>
      </x:c>
      <x:c r="D109" s="2" t="str">
        <x:v>D</x:v>
      </x:c>
      <x:c r="E109" s="2" t="str">
        <x:v>是</x:v>
      </x:c>
      <x:c r="F109" s="13" t="n">
        <x:v>218</x:v>
      </x:c>
      <x:c r="G109" s="13" t="n">
        <x:v>218</x:v>
      </x:c>
      <x:c r="H109" s="13" t="n">
        <x:v>0</x:v>
      </x:c>
      <x:c r="I109" s="13" t="n">
        <x:v>4</x:v>
      </x:c>
      <x:c r="J109" s="13" t="n">
        <x:v>106222.95</x:v>
      </x:c>
      <x:c r="K109" s="13" t="n">
        <x:v>107228.01000000001</x:v>
      </x:c>
      <x:c r="L109" s="13" t="n">
        <x:v>70</x:v>
      </x:c>
      <x:c r="M109" s="13" t="n">
        <x:v>0</x:v>
      </x:c>
      <x:c r="N109" s="13" t="n">
        <x:v>0.01834862385321101</x:v>
      </x:c>
      <x:c r="O109" s="13" t="n">
        <x:v>0.07437748359220703</x:v>
      </x:c>
      <x:c r="P109" s="13" t="n">
        <x:v>0.1882437247506505</x:v>
      </x:c>
      <x:c r="Q109" s="13" t="n">
        <x:v>3934.1833333333334</x:v>
      </x:c>
      <x:c r="R109" s="13" t="n">
        <x:v>1.5413081750581434</x:v>
      </x:c>
      <x:c r="S109" s="13" t="n">
        <x:v>0.001403774061800986</x:v>
      </x:c>
      <x:c r="T109" s="13" t="n">
        <x:v>25</x:v>
      </x:c>
      <x:c r="U109" s="13" t="n">
        <x:v>33</x:v>
      </x:c>
      <x:c r="V109" s="13" t="n">
        <x:v>33</x:v>
      </x:c>
      <x:c r="W109" s="13" t="n">
        <x:v>0</x:v>
      </x:c>
      <x:c r="X109" s="13" t="n">
        <x:v>1</x:v>
      </x:c>
      <x:c r="Y109" s="13" t="n">
        <x:v>197215.26</x:v>
      </x:c>
      <x:c r="Z109" s="13" t="n">
        <x:v>197217.26</x:v>
      </x:c>
      <x:c r="AA109" s="13" t="n">
        <x:v>19</x:v>
      </x:c>
      <x:c r="AB109" s="13" t="n">
        <x:v>0</x:v>
      </x:c>
      <x:c r="AC109" s="13" t="n">
        <x:v>0.030303030303030304</x:v>
      </x:c>
      <x:c r="AD109" s="13" t="n">
        <x:v>0.2200411657691996</x:v>
      </x:c>
      <x:c r="AE109" s="13" t="n">
        <x:v>0.4257348469398672</x:v>
      </x:c>
      <x:c r="AF109" s="13" t="n">
        <x:v>12325.95375</x:v>
      </x:c>
      <x:c r="AG109" s="13" t="n">
        <x:v>1.9782045407927316</x:v>
      </x:c>
      <x:c r="AH109" s="13" t="n">
        <x:v>-0.12272136368685084</x:v>
      </x:c>
      <x:c r="AI109" s="13" t="n">
        <x:v>4</x:v>
      </x:c>
      <x:c r="AJ109" s="13" t="n">
        <x:v>90992.31000000001</x:v>
      </x:c>
      <x:c r="AK109" s="13" t="n">
        <x:v>0.5437049982339247</x:v>
      </x:c>
      <x:c r="AL109" s="13" t="n">
        <x:v>0.0014035087719298258</x:v>
      </x:c>
      <x:c r="AM109" s="13" t="n">
        <x:v>0.0199203187250996</x:v>
      </x:c>
      <x:c r="AN109" s="13" t="n">
        <x:v>0.1472093246807033</x:v>
      </x:c>
      <x:c r="AO109" s="13" t="n">
        <x:v>1.7597563579254376</x:v>
      </x:c>
      <x:c r="AP109" s="13" t="n">
        <x:v>-0.060658794812524924</x:v>
      </x:c>
    </x:row>
    <x:row r="110" ht="15" hidden="0" customHeight="1">
      <x:c r="A110" s="2" t="str">
        <x:v>E109</x:v>
      </x:c>
      <x:c r="B110" s="2" t="str">
        <x:v>***服饰有限公司</x:v>
      </x:c>
      <x:c r="C110" s="2" t="str">
        <x:v>有信贷记录</x:v>
      </x:c>
      <x:c r="D110" s="2" t="str">
        <x:v>D</x:v>
      </x:c>
      <x:c r="E110" s="2" t="str">
        <x:v>是</x:v>
      </x:c>
      <x:c r="F110" s="13" t="n">
        <x:v>10</x:v>
      </x:c>
      <x:c r="G110" s="13" t="n">
        <x:v>10</x:v>
      </x:c>
      <x:c r="H110" s="13" t="n">
        <x:v>0</x:v>
      </x:c>
      <x:c r="I110" s="13" t="n">
        <x:v>0</x:v>
      </x:c>
      <x:c r="J110" s="13" t="n">
        <x:v>3371</x:v>
      </x:c>
      <x:c r="K110" s="13" t="n">
        <x:v>3371</x:v>
      </x:c>
      <x:c r="L110" s="13" t="n">
        <x:v>7</x:v>
      </x:c>
      <x:c r="M110" s="13" t="n">
        <x:v>0</x:v>
      </x:c>
      <x:c r="N110" s="13" t="n">
        <x:v>0</x:v>
      </x:c>
      <x:c r="O110" s="13" t="n">
        <x:v>0.17926481485995555</x:v>
      </x:c>
      <x:c r="P110" s="13" t="n">
        <x:v>0.25304064075941857</x:v>
      </x:c>
      <x:c r="Q110" s="13" t="n">
        <x:v>160.52380952380952</x:v>
      </x:c>
      <x:c r="R110" s="13" t="n">
        <x:v>1.9063267603559948</x:v>
      </x:c>
      <x:c r="S110" s="13" t="n">
        <x:v>0.17261326934540813</x:v>
      </x:c>
      <x:c r="T110" s="13" t="n">
        <x:v>7</x:v>
      </x:c>
      <x:c r="U110" s="13" t="n">
        <x:v>33</x:v>
      </x:c>
      <x:c r="V110" s="13" t="n">
        <x:v>23</x:v>
      </x:c>
      <x:c r="W110" s="13" t="n">
        <x:v>10</x:v>
      </x:c>
      <x:c r="X110" s="13" t="n">
        <x:v>0</x:v>
      </x:c>
      <x:c r="Y110" s="13" t="n">
        <x:v>456807</x:v>
      </x:c>
      <x:c r="Z110" s="13" t="n">
        <x:v>456807</x:v>
      </x:c>
      <x:c r="AA110" s="13" t="n">
        <x:v>17</x:v>
      </x:c>
      <x:c r="AB110" s="13" t="n">
        <x:v>0.30303030303030304</x:v>
      </x:c>
      <x:c r="AC110" s="13" t="n">
        <x:v>0</x:v>
      </x:c>
      <x:c r="AD110" s="13" t="n">
        <x:v>0.15349648763854146</x:v>
      </x:c>
      <x:c r="AE110" s="13" t="n">
        <x:v>0.2914578804615516</x:v>
      </x:c>
      <x:c r="AF110" s="13" t="n">
        <x:v>18272.28</x:v>
      </x:c>
      <x:c r="AG110" s="13" t="n">
        <x:v>2.0481899725500825</x:v>
      </x:c>
      <x:c r="AH110" s="13" t="n">
        <x:v>0.1360756728301767</x:v>
      </x:c>
      <x:c r="AI110" s="13" t="n">
        <x:v>12</x:v>
      </x:c>
      <x:c r="AJ110" s="13" t="n">
        <x:v>453436</x:v>
      </x:c>
      <x:c r="AK110" s="13" t="n">
        <x:v>0.007379484114735529</x:v>
      </x:c>
      <x:c r="AL110" s="13" t="n">
        <x:v>0.23255813953488372</x:v>
      </x:c>
      <x:c r="AM110" s="13" t="n">
        <x:v>0</x:v>
      </x:c>
      <x:c r="AN110" s="13" t="n">
        <x:v>0.1663806512492485</x:v>
      </x:c>
      <x:c r="AO110" s="13" t="n">
        <x:v>1.9772583664530385</x:v>
      </x:c>
      <x:c r="AP110" s="13" t="n">
        <x:v>0.1467615396131856</x:v>
      </x:c>
    </x:row>
    <x:row r="111" ht="15" hidden="0" customHeight="1">
      <x:c r="A111" s="2" t="str">
        <x:v>E110</x:v>
      </x:c>
      <x:c r="B111" s="2" t="str">
        <x:v>***通讯器材经营部</x:v>
      </x:c>
      <x:c r="C111" s="2" t="str">
        <x:v>有信贷记录</x:v>
      </x:c>
      <x:c r="D111" s="2" t="str">
        <x:v>C</x:v>
      </x:c>
      <x:c r="E111" s="2" t="str">
        <x:v>否</x:v>
      </x:c>
      <x:c r="F111" s="13" t="n">
        <x:v>3</x:v>
      </x:c>
      <x:c r="G111" s="13" t="n">
        <x:v>3</x:v>
      </x:c>
      <x:c r="H111" s="13" t="n">
        <x:v>0</x:v>
      </x:c>
      <x:c r="I111" s="13" t="n">
        <x:v>0</x:v>
      </x:c>
      <x:c r="J111" s="13" t="n">
        <x:v>1040</x:v>
      </x:c>
      <x:c r="K111" s="13" t="n">
        <x:v>1040</x:v>
      </x:c>
      <x:c r="L111" s="13" t="n">
        <x:v>1</x:v>
      </x:c>
      <x:c r="M111" s="13" t="n">
        <x:v>0</x:v>
      </x:c>
      <x:c r="N111" s="13" t="n">
        <x:v>0</x:v>
      </x:c>
      <x:c r="O111" s="13" t="n">
        <x:v>1</x:v>
      </x:c>
      <x:c r="P111" s="13" t="n">
        <x:v>1</x:v>
      </x:c>
      <x:c r="Q111" s="13" t="n">
        <x:v>41.6</x:v>
      </x:c>
      <x:c r="R111" s="13" t="n">
        <x:v>2.8195219704108774</x:v>
      </x:c>
      <x:c r="S111" s="13" t="n">
        <x:v>-0.039201183431010304</x:v>
      </x:c>
      <x:c r="T111" s="13" t="n">
        <x:v>3</x:v>
      </x:c>
      <x:c r="U111" s="13" t="n">
        <x:v>83</x:v>
      </x:c>
      <x:c r="V111" s="13" t="n">
        <x:v>62</x:v>
      </x:c>
      <x:c r="W111" s="13" t="n">
        <x:v>21</x:v>
      </x:c>
      <x:c r="X111" s="13" t="n">
        <x:v>0</x:v>
      </x:c>
      <x:c r="Y111" s="13" t="n">
        <x:v>202827.51</x:v>
      </x:c>
      <x:c r="Z111" s="13" t="n">
        <x:v>202827.51</x:v>
      </x:c>
      <x:c r="AA111" s="13" t="n">
        <x:v>37</x:v>
      </x:c>
      <x:c r="AB111" s="13" t="n">
        <x:v>0.25301204819277107</x:v>
      </x:c>
      <x:c r="AC111" s="13" t="n">
        <x:v>0</x:v>
      </x:c>
      <x:c r="AD111" s="13" t="n">
        <x:v>0.1544117119662041</x:v>
      </x:c>
      <x:c r="AE111" s="13" t="n">
        <x:v>0.2800434221176408</x:v>
      </x:c>
      <x:c r="AF111" s="13" t="n">
        <x:v>7512.13</x:v>
      </x:c>
      <x:c r="AG111" s="13" t="n">
        <x:v>1.2758807890162727</x:v>
      </x:c>
      <x:c r="AH111" s="13" t="n">
        <x:v>-0.04952573676090849</x:v>
      </x:c>
      <x:c r="AI111" s="13" t="n">
        <x:v>21</x:v>
      </x:c>
      <x:c r="AJ111" s="13" t="n">
        <x:v>201787.51</x:v>
      </x:c>
      <x:c r="AK111" s="13" t="n">
        <x:v>0.005127509576979942</x:v>
      </x:c>
      <x:c r="AL111" s="13" t="n">
        <x:v>0.2441860465116279</x:v>
      </x:c>
      <x:c r="AM111" s="13" t="n">
        <x:v>0</x:v>
      </x:c>
      <x:c r="AN111" s="13" t="n">
        <x:v>0.577205855983102</x:v>
      </x:c>
      <x:c r="AO111" s="13" t="n">
        <x:v>2.0477013797135752</x:v>
      </x:c>
      <x:c r="AP111" s="13" t="n">
        <x:v>-0.0443634600959594</x:v>
      </x:c>
    </x:row>
    <x:row r="112" ht="15" hidden="0" customHeight="1">
      <x:c r="A112" s="2" t="str">
        <x:v>E111</x:v>
      </x:c>
      <x:c r="B112" s="2" t="str">
        <x:v>***科技有限公司</x:v>
      </x:c>
      <x:c r="C112" s="2" t="str">
        <x:v>有信贷记录</x:v>
      </x:c>
      <x:c r="D112" s="2" t="str">
        <x:v>D</x:v>
      </x:c>
      <x:c r="E112" s="2" t="str">
        <x:v>是</x:v>
      </x:c>
      <x:c r="F112" s="13" t="n">
        <x:v>278</x:v>
      </x:c>
      <x:c r="G112" s="13" t="n">
        <x:v>264</x:v>
      </x:c>
      <x:c r="H112" s="13" t="n">
        <x:v>14</x:v>
      </x:c>
      <x:c r="I112" s="13" t="n">
        <x:v>4</x:v>
      </x:c>
      <x:c r="J112" s="13" t="n">
        <x:v>529274.01</x:v>
      </x:c>
      <x:c r="K112" s="13" t="n">
        <x:v>1129274.01</x:v>
      </x:c>
      <x:c r="L112" s="13" t="n">
        <x:v>96</x:v>
      </x:c>
      <x:c r="M112" s="13" t="n">
        <x:v>0.050359712230215826</x:v>
      </x:c>
      <x:c r="N112" s="13" t="n">
        <x:v>0.015151515151515152</x:v>
      </x:c>
      <x:c r="O112" s="13" t="n">
        <x:v>0.1625895170320415</x:v>
      </x:c>
      <x:c r="P112" s="13" t="n">
        <x:v>0.29006246234250976</x:v>
      </x:c>
      <x:c r="Q112" s="13" t="n">
        <x:v>17073.35516129032</x:v>
      </x:c>
      <x:c r="R112" s="13" t="n">
        <x:v>1.6866057887995187</x:v>
      </x:c>
      <x:c r="S112" s="13" t="n">
        <x:v>0.01681754875758252</x:v>
      </x:c>
      <x:c r="T112" s="13" t="n">
        <x:v>30</x:v>
      </x:c>
      <x:c r="U112" s="13" t="n">
        <x:v>250</x:v>
      </x:c>
      <x:c r="V112" s="13" t="n">
        <x:v>204</x:v>
      </x:c>
      <x:c r="W112" s="13" t="n">
        <x:v>46</x:v>
      </x:c>
      <x:c r="X112" s="13" t="n">
        <x:v>28</x:v>
      </x:c>
      <x:c r="Y112" s="13" t="n">
        <x:v>879141.8</x:v>
      </x:c>
      <x:c r="Z112" s="13" t="n">
        <x:v>5054338.199999999</x:v>
      </x:c>
      <x:c r="AA112" s="13" t="n">
        <x:v>11</x:v>
      </x:c>
      <x:c r="AB112" s="13" t="n">
        <x:v>0.184</x:v>
      </x:c>
      <x:c r="AC112" s="13" t="n">
        <x:v>0.13725490196078433</x:v>
      </x:c>
      <x:c r="AD112" s="13" t="n">
        <x:v>0.36465431430562395</x:v>
      </x:c>
      <x:c r="AE112" s="13" t="n">
        <x:v>0.5539795496866434</x:v>
      </x:c>
      <x:c r="AF112" s="13" t="n">
        <x:v>29304.726666666666</x:v>
      </x:c>
      <x:c r="AG112" s="13" t="n">
        <x:v>1.3387663595481205</x:v>
      </x:c>
      <x:c r="AH112" s="13" t="n">
        <x:v>-0.0016622966944117913</x:v>
      </x:c>
      <x:c r="AI112" s="13" t="n">
        <x:v>30</x:v>
      </x:c>
      <x:c r="AJ112" s="13" t="n">
        <x:v>349867.79000000004</x:v>
      </x:c>
      <x:c r="AK112" s="13" t="n">
        <x:v>0.2234266812616536</x:v>
      </x:c>
      <x:c r="AL112" s="13" t="n">
        <x:v>0.11363636363636363</x:v>
      </x:c>
      <x:c r="AM112" s="13" t="n">
        <x:v>0.06837606837606838</x:v>
      </x:c>
      <x:c r="AN112" s="13" t="n">
        <x:v>0.26362191566883275</x:v>
      </x:c>
      <x:c r="AO112" s="13" t="n">
        <x:v>1.5126860741738195</x:v>
      </x:c>
      <x:c r="AP112" s="13" t="n">
        <x:v>0.007577626031585364</x:v>
      </x:c>
    </x:row>
    <x:row r="113" ht="15" hidden="0" customHeight="1">
      <x:c r="A113" s="2" t="str">
        <x:v>E112</x:v>
      </x:c>
      <x:c r="B113" s="2" t="str">
        <x:v>***机械设备有限公司</x:v>
      </x:c>
      <x:c r="C113" s="2" t="str">
        <x:v>有信贷记录</x:v>
      </x:c>
      <x:c r="D113" s="2" t="str">
        <x:v>D</x:v>
      </x:c>
      <x:c r="E113" s="2" t="str">
        <x:v>是</x:v>
      </x:c>
      <x:c r="F113" s="13" t="n">
        <x:v>106</x:v>
      </x:c>
      <x:c r="G113" s="13" t="n">
        <x:v>102</x:v>
      </x:c>
      <x:c r="H113" s="13" t="n">
        <x:v>4</x:v>
      </x:c>
      <x:c r="I113" s="13" t="n">
        <x:v>2</x:v>
      </x:c>
      <x:c r="J113" s="13" t="n">
        <x:v>920245.8899999999</x:v>
      </x:c>
      <x:c r="K113" s="13" t="n">
        <x:v>934545.8899999999</x:v>
      </x:c>
      <x:c r="L113" s="13" t="n">
        <x:v>25</x:v>
      </x:c>
      <x:c r="M113" s="13" t="n">
        <x:v>0.03773584905660377</x:v>
      </x:c>
      <x:c r="N113" s="13" t="n">
        <x:v>0.0196078431372549</x:v>
      </x:c>
      <x:c r="O113" s="13" t="n">
        <x:v>0.3103819959976823</x:v>
      </x:c>
      <x:c r="P113" s="13" t="n">
        <x:v>0.5366750904013927</x:v>
      </x:c>
      <x:c r="Q113" s="13" t="n">
        <x:v>31732.61689655172</x:v>
      </x:c>
      <x:c r="R113" s="13" t="n">
        <x:v>1.0680153381087083</x:v>
      </x:c>
      <x:c r="S113" s="13" t="n">
        <x:v>-0.04848018143746806</x:v>
      </x:c>
      <x:c r="T113" s="13" t="n">
        <x:v>26</x:v>
      </x:c>
      <x:c r="U113" s="13" t="n">
        <x:v>22</x:v>
      </x:c>
      <x:c r="V113" s="13" t="n">
        <x:v>16</x:v>
      </x:c>
      <x:c r="W113" s="13" t="n">
        <x:v>6</x:v>
      </x:c>
      <x:c r="X113" s="13" t="n">
        <x:v>1</x:v>
      </x:c>
      <x:c r="Y113" s="13" t="n">
        <x:v>1094803</x:v>
      </x:c>
      <x:c r="Z113" s="13" t="n">
        <x:v>1293414.06</x:v>
      </x:c>
      <x:c r="AA113" s="13" t="n">
        <x:v>2</x:v>
      </x:c>
      <x:c r="AB113" s="13" t="n">
        <x:v>0.2727272727272727</x:v>
      </x:c>
      <x:c r="AC113" s="13" t="n">
        <x:v>0.0625</x:v>
      </x:c>
      <x:c r="AD113" s="13" t="n">
        <x:v>0.9822858713570419</x:v>
      </x:c>
      <x:c r="AE113" s="13" t="n">
        <x:v>0.9910603957224227</x:v>
      </x:c>
      <x:c r="AF113" s="13" t="n">
        <x:v>52133.47619047619</x:v>
      </x:c>
      <x:c r="AG113" s="13" t="n">
        <x:v>1.3523007942572605</x:v>
      </x:c>
      <x:c r="AH113" s="13" t="n">
        <x:v>-0.03434328276411308</x:v>
      </x:c>
      <x:c r="AI113" s="13" t="n">
        <x:v>10</x:v>
      </x:c>
      <x:c r="AJ113" s="13" t="n">
        <x:v>174557.1100000001</x:v>
      </x:c>
      <x:c r="AK113" s="13" t="n">
        <x:v>0.7225419290710349</x:v>
      </x:c>
      <x:c r="AL113" s="13" t="n">
        <x:v>0.078125</x:v>
      </x:c>
      <x:c r="AM113" s="13" t="n">
        <x:v>0.025423728813559324</x:v>
      </x:c>
      <x:c r="AN113" s="13" t="n">
        <x:v>0.6514146249569511</x:v>
      </x:c>
      <x:c r="AO113" s="13" t="n">
        <x:v>1.2101580661829843</x:v>
      </x:c>
      <x:c r="AP113" s="13" t="n">
        <x:v>-0.04141173210079057</x:v>
      </x:c>
    </x:row>
    <x:row r="114" ht="15" hidden="0" customHeight="1">
      <x:c r="A114" s="2" t="str">
        <x:v>E113</x:v>
      </x:c>
      <x:c r="B114" s="2" t="str">
        <x:v>***美居科技有限公司</x:v>
      </x:c>
      <x:c r="C114" s="2" t="str">
        <x:v>有信贷记录</x:v>
      </x:c>
      <x:c r="D114" s="2" t="str">
        <x:v>D</x:v>
      </x:c>
      <x:c r="E114" s="2" t="str">
        <x:v>是</x:v>
      </x:c>
      <x:c r="F114" s="13" t="n">
        <x:v>104</x:v>
      </x:c>
      <x:c r="G114" s="13" t="n">
        <x:v>102</x:v>
      </x:c>
      <x:c r="H114" s="13" t="n">
        <x:v>2</x:v>
      </x:c>
      <x:c r="I114" s="13" t="n">
        <x:v>0</x:v>
      </x:c>
      <x:c r="J114" s="13" t="n">
        <x:v>1357580.73</x:v>
      </x:c>
      <x:c r="K114" s="13" t="n">
        <x:v>1357580.73</x:v>
      </x:c>
      <x:c r="L114" s="13" t="n">
        <x:v>35</x:v>
      </x:c>
      <x:c r="M114" s="13" t="n">
        <x:v>0.019230769230769232</x:v>
      </x:c>
      <x:c r="N114" s="13" t="n">
        <x:v>0</x:v>
      </x:c>
      <x:c r="O114" s="13" t="n">
        <x:v>0.4882788118407224</x:v>
      </x:c>
      <x:c r="P114" s="13" t="n">
        <x:v>0.6681053877363153</x:v>
      </x:c>
      <x:c r="Q114" s="13" t="n">
        <x:v>45252.691</x:v>
      </x:c>
      <x:c r="R114" s="13" t="n">
        <x:v>3.647859287690587</x:v>
      </x:c>
      <x:c r="S114" s="13" t="n">
        <x:v>-0.06446315535750181</x:v>
      </x:c>
      <x:c r="T114" s="13" t="n">
        <x:v>22</x:v>
      </x:c>
      <x:c r="U114" s="13" t="n">
        <x:v>47</x:v>
      </x:c>
      <x:c r="V114" s="13" t="n">
        <x:v>31</x:v>
      </x:c>
      <x:c r="W114" s="13" t="n">
        <x:v>16</x:v>
      </x:c>
      <x:c r="X114" s="13" t="n">
        <x:v>0</x:v>
      </x:c>
      <x:c r="Y114" s="13" t="n">
        <x:v>329500</x:v>
      </x:c>
      <x:c r="Z114" s="13" t="n">
        <x:v>329500</x:v>
      </x:c>
      <x:c r="AA114" s="13" t="n">
        <x:v>4</x:v>
      </x:c>
      <x:c r="AB114" s="13" t="n">
        <x:v>0.3404255319148936</x:v>
      </x:c>
      <x:c r="AC114" s="13" t="n">
        <x:v>0</x:v>
      </x:c>
      <x:c r="AD114" s="13" t="n">
        <x:v>0.4562783082842675</x:v>
      </x:c>
      <x:c r="AE114" s="13" t="n">
        <x:v>0.5948406676783005</x:v>
      </x:c>
      <x:c r="AF114" s="13" t="n">
        <x:v>16475</x:v>
      </x:c>
      <x:c r="AG114" s="13" t="n">
        <x:v>2.528338332019476</x:v>
      </x:c>
      <x:c r="AH114" s="13" t="n">
        <x:v>-0.12392894223418202</x:v>
      </x:c>
      <x:c r="AI114" s="13" t="n">
        <x:v>4</x:v>
      </x:c>
      <x:c r="AJ114" s="13" t="n">
        <x:v>-1028080.73</x:v>
      </x:c>
      <x:c r="AK114" s="13" t="n">
        <x:v>4.1201236115326125</x:v>
      </x:c>
      <x:c r="AL114" s="13" t="n">
        <x:v>0.11920529801324503</x:v>
      </x:c>
      <x:c r="AM114" s="13" t="n">
        <x:v>0</x:v>
      </x:c>
      <x:c r="AN114" s="13" t="n">
        <x:v>0.47227856006249497</x:v>
      </x:c>
      <x:c r="AO114" s="13" t="n">
        <x:v>3.0880988098550315</x:v>
      </x:c>
      <x:c r="AP114" s="13" t="n">
        <x:v>-0.09419604879584192</x:v>
      </x:c>
    </x:row>
    <x:row r="115" ht="15" hidden="0" customHeight="1">
      <x:c r="A115" s="2" t="str">
        <x:v>E114</x:v>
      </x:c>
      <x:c r="B115" s="2" t="str">
        <x:v>***食品有限责任公司</x:v>
      </x:c>
      <x:c r="C115" s="2" t="str">
        <x:v>有信贷记录</x:v>
      </x:c>
      <x:c r="D115" s="2" t="str">
        <x:v>D</x:v>
      </x:c>
      <x:c r="E115" s="2" t="str">
        <x:v>是</x:v>
      </x:c>
      <x:c r="F115" s="13" t="n">
        <x:v>76</x:v>
      </x:c>
      <x:c r="G115" s="13" t="n">
        <x:v>69</x:v>
      </x:c>
      <x:c r="H115" s="13" t="n">
        <x:v>7</x:v>
      </x:c>
      <x:c r="I115" s="13" t="n">
        <x:v>0</x:v>
      </x:c>
      <x:c r="J115" s="13" t="n">
        <x:v>644317</x:v>
      </x:c>
      <x:c r="K115" s="13" t="n">
        <x:v>644317</x:v>
      </x:c>
      <x:c r="L115" s="13" t="n">
        <x:v>20</x:v>
      </x:c>
      <x:c r="M115" s="13" t="n">
        <x:v>0.09210526315789473</x:v>
      </x:c>
      <x:c r="N115" s="13" t="n">
        <x:v>0</x:v>
      </x:c>
      <x:c r="O115" s="13" t="n">
        <x:v>0.1838579503529983</x:v>
      </x:c>
      <x:c r="P115" s="13" t="n">
        <x:v>0.2923995486693662</x:v>
      </x:c>
      <x:c r="Q115" s="13" t="n">
        <x:v>20134.90625</x:v>
      </x:c>
      <x:c r="R115" s="13" t="n">
        <x:v>1.773179413926206</x:v>
      </x:c>
      <x:c r="S115" s="13" t="n">
        <x:v>0.030062149923404852</x:v>
      </x:c>
      <x:c r="T115" s="13" t="n">
        <x:v>27</x:v>
      </x:c>
      <x:c r="U115" s="13" t="n">
        <x:v>75</x:v>
      </x:c>
      <x:c r="V115" s="13" t="n">
        <x:v>66</x:v>
      </x:c>
      <x:c r="W115" s="13" t="n">
        <x:v>9</x:v>
      </x:c>
      <x:c r="X115" s="13" t="n">
        <x:v>1</x:v>
      </x:c>
      <x:c r="Y115" s="13" t="n">
        <x:v>226217.64</x:v>
      </x:c>
      <x:c r="Z115" s="13" t="n">
        <x:v>235665.64</x:v>
      </x:c>
      <x:c r="AA115" s="13" t="n">
        <x:v>23</x:v>
      </x:c>
      <x:c r="AB115" s="13" t="n">
        <x:v>0.12</x:v>
      </x:c>
      <x:c r="AC115" s="13" t="n">
        <x:v>0.015151515151515152</x:v>
      </x:c>
      <x:c r="AD115" s="13" t="n">
        <x:v>0.08047287640443872</x:v>
      </x:c>
      <x:c r="AE115" s="13" t="n">
        <x:v>0.16363861952892242</x:v>
      </x:c>
      <x:c r="AF115" s="13" t="n">
        <x:v>6113.99027027027</x:v>
      </x:c>
      <x:c r="AG115" s="13" t="n">
        <x:v>1.3475509777941062</x:v>
      </x:c>
      <x:c r="AH115" s="13" t="n">
        <x:v>-0.030480639887550336</x:v>
      </x:c>
      <x:c r="AI115" s="13" t="n">
        <x:v>24</x:v>
      </x:c>
      <x:c r="AJ115" s="13" t="n">
        <x:v>-418099.36</x:v>
      </x:c>
      <x:c r="AK115" s="13" t="n">
        <x:v>2.734030298180071</x:v>
      </x:c>
      <x:c r="AL115" s="13" t="n">
        <x:v>0.10596026490066225</x:v>
      </x:c>
      <x:c r="AM115" s="13" t="n">
        <x:v>0.007407407407407408</x:v>
      </x:c>
      <x:c r="AN115" s="13" t="n">
        <x:v>0.1321654133787185</x:v>
      </x:c>
      <x:c r="AO115" s="13" t="n">
        <x:v>1.560365195860156</x:v>
      </x:c>
      <x:c r="AP115" s="13" t="n">
        <x:v>-0.00020924498207274163</x:v>
      </x:c>
    </x:row>
    <x:row r="116" ht="15" hidden="0" customHeight="1">
      <x:c r="A116" s="2" t="str">
        <x:v>E115</x:v>
      </x:c>
      <x:c r="B116" s="2" t="str">
        <x:v>***装饰工程有限公司</x:v>
      </x:c>
      <x:c r="C116" s="2" t="str">
        <x:v>有信贷记录</x:v>
      </x:c>
      <x:c r="D116" s="2" t="str">
        <x:v>D</x:v>
      </x:c>
      <x:c r="E116" s="2" t="str">
        <x:v>是</x:v>
      </x:c>
      <x:c r="F116" s="13" t="n">
        <x:v>2</x:v>
      </x:c>
      <x:c r="G116" s="13" t="n">
        <x:v>2</x:v>
      </x:c>
      <x:c r="H116" s="13" t="n">
        <x:v>0</x:v>
      </x:c>
      <x:c r="I116" s="13" t="n">
        <x:v>0</x:v>
      </x:c>
      <x:c r="J116" s="13" t="n">
        <x:v>560</x:v>
      </x:c>
      <x:c r="K116" s="13" t="n">
        <x:v>560</x:v>
      </x:c>
      <x:c r="L116" s="13" t="n">
        <x:v>2</x:v>
      </x:c>
      <x:c r="M116" s="13" t="n">
        <x:v>0</x:v>
      </x:c>
      <x:c r="N116" s="13" t="n">
        <x:v>0</x:v>
      </x:c>
      <x:c r="O116" s="13" t="n">
        <x:v>0.5</x:v>
      </x:c>
      <x:c r="P116" s="13" t="n">
        <x:v>0.5</x:v>
      </x:c>
      <x:c r="Q116" s="13" t="n">
        <x:v>38.35733333333334</x:v>
      </x:c>
      <x:c r="R116" s="13" t="n">
        <x:v>2.5495097567281024</x:v>
      </x:c>
      <x:c r="S116" s="13" t="n">
        <x:v>-1.0883905894593727e-17</x:v>
      </x:c>
      <x:c r="T116" s="13" t="n">
        <x:v>2</x:v>
      </x:c>
      <x:c r="U116" s="13" t="n">
        <x:v>9.440000000000001</x:v>
      </x:c>
      <x:c r="V116" s="13" t="n">
        <x:v>6.720000000000001</x:v>
      </x:c>
      <x:c r="W116" s="13" t="n">
        <x:v>2</x:v>
      </x:c>
      <x:c r="X116" s="13" t="n">
        <x:v>0</x:v>
      </x:c>
      <x:c r="Y116" s="13" t="n">
        <x:v>64155.65600000001</x:v>
      </x:c>
      <x:c r="Z116" s="13" t="n">
        <x:v>67271.656</x:v>
      </x:c>
      <x:c r="AA116" s="13" t="n">
        <x:v>4</x:v>
      </x:c>
      <x:c r="AB116" s="13" t="n">
        <x:v>0.3333333333333333</x:v>
      </x:c>
      <x:c r="AC116" s="13" t="n">
        <x:v>0</x:v>
      </x:c>
      <x:c r="AD116" s="13" t="n">
        <x:v>0.4502176145532789</x:v>
      </x:c>
      <x:c r="AE116" s="13" t="n">
        <x:v>0.6118881118881119</x:v>
      </x:c>
      <x:c r="AF116" s="13" t="n">
        <x:v>4085.714285714286</x:v>
      </x:c>
      <x:c r="AG116" s="13" t="n">
        <x:v>2.3028344716334495</x:v>
      </x:c>
      <x:c r="AH116" s="13" t="n">
        <x:v>0.1360756728301767</x:v>
      </x:c>
      <x:c r="AI116" s="13" t="n">
        <x:v>4</x:v>
      </x:c>
      <x:c r="AJ116" s="13" t="n">
        <x:v>56640</x:v>
      </x:c>
      <x:c r="AK116" s="13" t="n">
        <x:v>0.00979020979020962</x:v>
      </x:c>
      <x:c r="AL116" s="13" t="n">
        <x:v>0.25</x:v>
      </x:c>
      <x:c r="AM116" s="13" t="n">
        <x:v>0</x:v>
      </x:c>
      <x:c r="AN116" s="13" t="n">
        <x:v>0.47510880727663946</x:v>
      </x:c>
      <x:c r="AO116" s="13" t="n">
        <x:v>2.426172114180776</x:v>
      </x:c>
      <x:c r="AP116" s="13" t="n">
        <x:v>0.10984400215166759</x:v>
      </x:c>
    </x:row>
    <x:row r="117" ht="15" hidden="0" customHeight="1">
      <x:c r="A117" s="2" t="str">
        <x:v>E116</x:v>
      </x:c>
      <x:c r="B117" s="2" t="str">
        <x:v>***门窗有限公司</x:v>
      </x:c>
      <x:c r="C117" s="2" t="str">
        <x:v>有信贷记录</x:v>
      </x:c>
      <x:c r="D117" s="2" t="str">
        <x:v>D</x:v>
      </x:c>
      <x:c r="E117" s="2" t="str">
        <x:v>是</x:v>
      </x:c>
      <x:c r="F117" s="13" t="n">
        <x:v>10</x:v>
      </x:c>
      <x:c r="G117" s="13" t="n">
        <x:v>10</x:v>
      </x:c>
      <x:c r="H117" s="13" t="n">
        <x:v>0</x:v>
      </x:c>
      <x:c r="I117" s="13" t="n">
        <x:v>0</x:v>
      </x:c>
      <x:c r="J117" s="13" t="n">
        <x:v>2806.25</x:v>
      </x:c>
      <x:c r="K117" s="13" t="n">
        <x:v>2806.25</x:v>
      </x:c>
      <x:c r="L117" s="13" t="n">
        <x:v>8</x:v>
      </x:c>
      <x:c r="M117" s="13" t="n">
        <x:v>0</x:v>
      </x:c>
      <x:c r="N117" s="13" t="n">
        <x:v>0</x:v>
      </x:c>
      <x:c r="O117" s="13" t="n">
        <x:v>0.15307137563801768</x:v>
      </x:c>
      <x:c r="P117" s="13" t="n">
        <x:v>0.23839643652561246</x:v>
      </x:c>
      <x:c r="Q117" s="13" t="n">
        <x:v>140.3125</x:v>
      </x:c>
      <x:c r="R117" s="13" t="n">
        <x:v>1.5187460193361848</x:v>
      </x:c>
      <x:c r="S117" s="13" t="n">
        <x:v>0.07770383642793391</x:v>
      </x:c>
      <x:c r="T117" s="13" t="n">
        <x:v>7</x:v>
      </x:c>
      <x:c r="U117" s="13" t="n">
        <x:v>47</x:v>
      </x:c>
      <x:c r="V117" s="13" t="n">
        <x:v>43</x:v>
      </x:c>
      <x:c r="W117" s="13" t="n">
        <x:v>4</x:v>
      </x:c>
      <x:c r="X117" s="13" t="n">
        <x:v>0</x:v>
      </x:c>
      <x:c r="Y117" s="13" t="n">
        <x:v>238370.32</x:v>
      </x:c>
      <x:c r="Z117" s="13" t="n">
        <x:v>238370.32</x:v>
      </x:c>
      <x:c r="AA117" s="13" t="n">
        <x:v>25</x:v>
      </x:c>
      <x:c r="AB117" s="13" t="n">
        <x:v>0.0851063829787234</x:v>
      </x:c>
      <x:c r="AC117" s="13" t="n">
        <x:v>0</x:v>
      </x:c>
      <x:c r="AD117" s="13" t="n">
        <x:v>0.08963906870255182</x:v>
      </x:c>
      <x:c r="AE117" s="13" t="n">
        <x:v>0.1600414011274558</x:v>
      </x:c>
      <x:c r="AF117" s="13" t="n">
        <x:v>8828.53037037037</x:v>
      </x:c>
      <x:c r="AG117" s="13" t="n">
        <x:v>1.499292712482626</x:v>
      </x:c>
      <x:c r="AH117" s="13" t="n">
        <x:v>-0.020618478871836283</x:v>
      </x:c>
      <x:c r="AI117" s="13" t="n">
        <x:v>15</x:v>
      </x:c>
      <x:c r="AJ117" s="13" t="n">
        <x:v>235564.07</x:v>
      </x:c>
      <x:c r="AK117" s="13" t="n">
        <x:v>0.011772648541143831</x:v>
      </x:c>
      <x:c r="AL117" s="13" t="n">
        <x:v>0.07017543859649122</x:v>
      </x:c>
      <x:c r="AM117" s="13" t="n">
        <x:v>0</x:v>
      </x:c>
      <x:c r="AN117" s="13" t="n">
        <x:v>0.12135522217028474</x:v>
      </x:c>
      <x:c r="AO117" s="13" t="n">
        <x:v>1.5090193659094053</x:v>
      </x:c>
      <x:c r="AP117" s="13" t="n">
        <x:v>0.028542678778048815</x:v>
      </x:c>
    </x:row>
    <x:row r="118" ht="15" hidden="0" customHeight="1">
      <x:c r="A118" s="2" t="str">
        <x:v>E117</x:v>
      </x:c>
      <x:c r="B118" s="2" t="str">
        <x:v>***人力资源管理咨询有限公司</x:v>
      </x:c>
      <x:c r="C118" s="2" t="str">
        <x:v>有信贷记录</x:v>
      </x:c>
      <x:c r="D118" s="2" t="str">
        <x:v>D</x:v>
      </x:c>
      <x:c r="E118" s="2" t="str">
        <x:v>是</x:v>
      </x:c>
      <x:c r="F118" s="13" t="n">
        <x:v>4</x:v>
      </x:c>
      <x:c r="G118" s="13" t="n">
        <x:v>4</x:v>
      </x:c>
      <x:c r="H118" s="13" t="n">
        <x:v>0</x:v>
      </x:c>
      <x:c r="I118" s="13" t="n">
        <x:v>0</x:v>
      </x:c>
      <x:c r="J118" s="13" t="n">
        <x:v>7120</x:v>
      </x:c>
      <x:c r="K118" s="13" t="n">
        <x:v>7120</x:v>
      </x:c>
      <x:c r="L118" s="13" t="n">
        <x:v>3</x:v>
      </x:c>
      <x:c r="M118" s="13" t="n">
        <x:v>0</x:v>
      </x:c>
      <x:c r="N118" s="13" t="n">
        <x:v>0</x:v>
      </x:c>
      <x:c r="O118" s="13" t="n">
        <x:v>0.5585035033455372</x:v>
      </x:c>
      <x:c r="P118" s="13" t="n">
        <x:v>0.702247191011236</x:v>
      </x:c>
      <x:c r="Q118" s="13" t="n">
        <x:v>418.8235294117647</x:v>
      </x:c>
      <x:c r="R118" s="13" t="n">
        <x:v>2.3315732002029996</x:v>
      </x:c>
      <x:c r="S118" s="13" t="n">
        <x:v>0.0671816479399145</x:v>
      </x:c>
      <x:c r="T118" s="13" t="n">
        <x:v>4</x:v>
      </x:c>
      <x:c r="U118" s="13" t="n">
        <x:v>44</x:v>
      </x:c>
      <x:c r="V118" s="13" t="n">
        <x:v>26</x:v>
      </x:c>
      <x:c r="W118" s="13" t="n">
        <x:v>18</x:v>
      </x:c>
      <x:c r="X118" s="13" t="n">
        <x:v>0</x:v>
      </x:c>
      <x:c r="Y118" s="13" t="n">
        <x:v>525168</x:v>
      </x:c>
      <x:c r="Z118" s="13" t="n">
        <x:v>525168</x:v>
      </x:c>
      <x:c r="AA118" s="13" t="n">
        <x:v>2</x:v>
      </x:c>
      <x:c r="AB118" s="13" t="n">
        <x:v>0.4090909090909091</x:v>
      </x:c>
      <x:c r="AC118" s="13" t="n">
        <x:v>0</x:v>
      </x:c>
      <x:c r="AD118" s="13" t="n">
        <x:v>0.9822858713570419</x:v>
      </x:c>
      <x:c r="AE118" s="13" t="n">
        <x:v>0.9910603957224227</x:v>
      </x:c>
      <x:c r="AF118" s="13" t="n">
        <x:v>40397.53846153846</x:v>
      </x:c>
      <x:c r="AG118" s="13" t="n">
        <x:v>1.108658558302464</x:v>
      </x:c>
      <x:c r="AH118" s="13" t="n">
        <x:v>-0.14722911552630938</x:v>
      </x:c>
      <x:c r="AI118" s="13" t="n">
        <x:v>10</x:v>
      </x:c>
      <x:c r="AJ118" s="13" t="n">
        <x:v>518048</x:v>
      </x:c>
      <x:c r="AK118" s="13" t="n">
        <x:v>0.013557566340675719</x:v>
      </x:c>
      <x:c r="AL118" s="13" t="n">
        <x:v>0.3550476190476188</x:v>
      </x:c>
      <x:c r="AM118" s="13" t="n">
        <x:v>0</x:v>
      </x:c>
      <x:c r="AN118" s="13" t="n">
        <x:v>0.7792517516727686</x:v>
      </x:c>
      <x:c r="AO118" s="13" t="n">
        <x:v>1.7201158792527318</x:v>
      </x:c>
      <x:c r="AP118" s="13" t="n">
        <x:v>-0.08333720123884383</x:v>
      </x:c>
    </x:row>
    <x:row r="119" ht="15" hidden="0" customHeight="1">
      <x:c r="A119" s="2" t="str">
        <x:v>E118</x:v>
      </x:c>
      <x:c r="B119" s="2" t="str">
        <x:v>***体育用品有限公司</x:v>
      </x:c>
      <x:c r="C119" s="2" t="str">
        <x:v>有信贷记录</x:v>
      </x:c>
      <x:c r="D119" s="2" t="str">
        <x:v>D</x:v>
      </x:c>
      <x:c r="E119" s="2" t="str">
        <x:v>是</x:v>
      </x:c>
      <x:c r="F119" s="13" t="n">
        <x:v>29</x:v>
      </x:c>
      <x:c r="G119" s="13" t="n">
        <x:v>27</x:v>
      </x:c>
      <x:c r="H119" s="13" t="n">
        <x:v>2</x:v>
      </x:c>
      <x:c r="I119" s="13" t="n">
        <x:v>0</x:v>
      </x:c>
      <x:c r="J119" s="13" t="n">
        <x:v>67712.79000000001</x:v>
      </x:c>
      <x:c r="K119" s="13" t="n">
        <x:v>67712.79000000001</x:v>
      </x:c>
      <x:c r="L119" s="13" t="n">
        <x:v>9</x:v>
      </x:c>
      <x:c r="M119" s="13" t="n">
        <x:v>0.06896551724137931</x:v>
      </x:c>
      <x:c r="N119" s="13" t="n">
        <x:v>0</x:v>
      </x:c>
      <x:c r="O119" s="13" t="n">
        <x:v>0.35150815697631616</x:v>
      </x:c>
      <x:c r="P119" s="13" t="n">
        <x:v>0.49687806395217204</x:v>
      </x:c>
      <x:c r="Q119" s="13" t="n">
        <x:v>2116.0246875</x:v>
      </x:c>
      <x:c r="R119" s="13" t="n">
        <x:v>3.0165793414440003</x:v>
      </x:c>
      <x:c r="S119" s="13" t="n">
        <x:v>0.07909039257860269</x:v>
      </x:c>
      <x:c r="T119" s="13" t="n">
        <x:v>14</x:v>
      </x:c>
      <x:c r="U119" s="13" t="n">
        <x:v>144</x:v>
      </x:c>
      <x:c r="V119" s="13" t="n">
        <x:v>136</x:v>
      </x:c>
      <x:c r="W119" s="13" t="n">
        <x:v>8</x:v>
      </x:c>
      <x:c r="X119" s="13" t="n">
        <x:v>1</x:v>
      </x:c>
      <x:c r="Y119" s="13" t="n">
        <x:v>280941.2</x:v>
      </x:c>
      <x:c r="Z119" s="13" t="n">
        <x:v>281975.2</x:v>
      </x:c>
      <x:c r="AA119" s="13" t="n">
        <x:v>118</x:v>
      </x:c>
      <x:c r="AB119" s="13" t="n">
        <x:v>0.05555555555555555</x:v>
      </x:c>
      <x:c r="AC119" s="13" t="n">
        <x:v>0.007352941176470588</x:v>
      </x:c>
      <x:c r="AD119" s="13" t="n">
        <x:v>0.10417633788542648</x:v>
      </x:c>
      <x:c r="AE119" s="13" t="n">
        <x:v>0.24674155741355977</x:v>
      </x:c>
      <x:c r="AF119" s="13" t="n">
        <x:v>8026.891428571429</x:v>
      </x:c>
      <x:c r="AG119" s="13" t="n">
        <x:v>1.6257112497152482</x:v>
      </x:c>
      <x:c r="AH119" s="13" t="n">
        <x:v>-0.04100308073675528</x:v>
      </x:c>
      <x:c r="AI119" s="13" t="n">
        <x:v>30</x:v>
      </x:c>
      <x:c r="AJ119" s="13" t="n">
        <x:v>213228.41</x:v>
      </x:c>
      <x:c r="AK119" s="13" t="n">
        <x:v>0.24013739506169254</x:v>
      </x:c>
      <x:c r="AL119" s="13" t="n">
        <x:v>0.057803468208092484</x:v>
      </x:c>
      <x:c r="AM119" s="13" t="n">
        <x:v>0.006134969325153374</x:v>
      </x:c>
      <x:c r="AN119" s="13" t="n">
        <x:v>0.2278422474308713</x:v>
      </x:c>
      <x:c r="AO119" s="13" t="n">
        <x:v>2.3211452955796243</x:v>
      </x:c>
      <x:c r="AP119" s="13" t="n">
        <x:v>0.019043655920923705</x:v>
      </x:c>
    </x:row>
    <x:row r="120" ht="15" hidden="0" customHeight="1">
      <x:c r="A120" s="2" t="str">
        <x:v>E119</x:v>
      </x:c>
      <x:c r="B120" s="2" t="str">
        <x:v>***药房</x:v>
      </x:c>
      <x:c r="C120" s="2" t="str">
        <x:v>有信贷记录</x:v>
      </x:c>
      <x:c r="D120" s="2" t="str">
        <x:v>D</x:v>
      </x:c>
      <x:c r="E120" s="2" t="str">
        <x:v>是</x:v>
      </x:c>
      <x:c r="F120" s="13" t="n">
        <x:v>315</x:v>
      </x:c>
      <x:c r="G120" s="13" t="n">
        <x:v>314</x:v>
      </x:c>
      <x:c r="H120" s="13" t="n">
        <x:v>1</x:v>
      </x:c>
      <x:c r="I120" s="13" t="n">
        <x:v>1</x:v>
      </x:c>
      <x:c r="J120" s="13" t="n">
        <x:v>249734.83</x:v>
      </x:c>
      <x:c r="K120" s="13" t="n">
        <x:v>249812.83</x:v>
      </x:c>
      <x:c r="L120" s="13" t="n">
        <x:v>17</x:v>
      </x:c>
      <x:c r="M120" s="13" t="n">
        <x:v>0.0031746031746031746</x:v>
      </x:c>
      <x:c r="N120" s="13" t="n">
        <x:v>0.0031847133757961785</x:v>
      </x:c>
      <x:c r="O120" s="13" t="n">
        <x:v>0.16407953489760188</x:v>
      </x:c>
      <x:c r="P120" s="13" t="n">
        <x:v>0.24419318255191297</x:v>
      </x:c>
      <x:c r="Q120" s="13" t="n">
        <x:v>7804.2134375000005</x:v>
      </x:c>
      <x:c r="R120" s="13" t="n">
        <x:v>0.8084788395880776</x:v>
      </x:c>
      <x:c r="S120" s="13" t="n">
        <x:v>0.03379543675969371</x:v>
      </x:c>
      <x:c r="T120" s="13" t="n">
        <x:v>31</x:v>
      </x:c>
      <x:c r="U120" s="13" t="n">
        <x:v>21</x:v>
      </x:c>
      <x:c r="V120" s="13" t="n">
        <x:v>18</x:v>
      </x:c>
      <x:c r="W120" s="13" t="n">
        <x:v>3</x:v>
      </x:c>
      <x:c r="X120" s="13" t="n">
        <x:v>0</x:v>
      </x:c>
      <x:c r="Y120" s="13" t="n">
        <x:v>64155.65600000001</x:v>
      </x:c>
      <x:c r="Z120" s="13" t="n">
        <x:v>67271.656</x:v>
      </x:c>
      <x:c r="AA120" s="13" t="n">
        <x:v>17</x:v>
      </x:c>
      <x:c r="AB120" s="13" t="n">
        <x:v>0.14285714285714285</x:v>
      </x:c>
      <x:c r="AC120" s="13" t="n">
        <x:v>0</x:v>
      </x:c>
      <x:c r="AD120" s="13" t="n">
        <x:v>0.09667370592028429</x:v>
      </x:c>
      <x:c r="AE120" s="13" t="n">
        <x:v>0.19596102552936695</x:v>
      </x:c>
      <x:c r="AF120" s="13" t="n">
        <x:v>2593.1575457735244</x:v>
      </x:c>
      <x:c r="AG120" s="13" t="n">
        <x:v>1.7161583916565988</x:v>
      </x:c>
      <x:c r="AH120" s="13" t="n">
        <x:v>0.07571788870134175</x:v>
      </x:c>
      <x:c r="AI120" s="13" t="n">
        <x:v>9</x:v>
      </x:c>
      <x:c r="AJ120" s="13" t="n">
        <x:v>-212992.83</x:v>
      </x:c>
      <x:c r="AK120" s="13" t="n">
        <x:v>6.7991081051655655</x:v>
      </x:c>
      <x:c r="AL120" s="13" t="n">
        <x:v>0.011904761904761904</x:v>
      </x:c>
      <x:c r="AM120" s="13" t="n">
        <x:v>0.0030120481927710845</x:v>
      </x:c>
      <x:c r="AN120" s="13" t="n">
        <x:v>0.1303766204089431</x:v>
      </x:c>
      <x:c r="AO120" s="13" t="n">
        <x:v>1.2623186156223383</x:v>
      </x:c>
      <x:c r="AP120" s="13" t="n">
        <x:v>0.05475666273051773</x:v>
      </x:c>
    </x:row>
    <x:row r="121" ht="15" hidden="0" customHeight="1">
      <x:c r="A121" s="2" t="str">
        <x:v>E120</x:v>
      </x:c>
      <x:c r="B121" s="2" t="str">
        <x:v>***陈列广告有限公司</x:v>
      </x:c>
      <x:c r="C121" s="2" t="str">
        <x:v>有信贷记录</x:v>
      </x:c>
      <x:c r="D121" s="2" t="str">
        <x:v>D</x:v>
      </x:c>
      <x:c r="E121" s="2" t="str">
        <x:v>是</x:v>
      </x:c>
      <x:c r="F121" s="13" t="n">
        <x:v>36</x:v>
      </x:c>
      <x:c r="G121" s="13" t="n">
        <x:v>35</x:v>
      </x:c>
      <x:c r="H121" s="13" t="n">
        <x:v>1</x:v>
      </x:c>
      <x:c r="I121" s="13" t="n">
        <x:v>0</x:v>
      </x:c>
      <x:c r="J121" s="13" t="n">
        <x:v>19446.34</x:v>
      </x:c>
      <x:c r="K121" s="13" t="n">
        <x:v>19446.34</x:v>
      </x:c>
      <x:c r="L121" s="13" t="n">
        <x:v>16</x:v>
      </x:c>
      <x:c r="M121" s="13" t="n">
        <x:v>0.027777777777777776</x:v>
      </x:c>
      <x:c r="N121" s="13" t="n">
        <x:v>0</x:v>
      </x:c>
      <x:c r="O121" s="13" t="n">
        <x:v>0.34269541391307157</x:v>
      </x:c>
      <x:c r="P121" s="13" t="n">
        <x:v>0.5528032524372195</x:v>
      </x:c>
      <x:c r="Q121" s="13" t="n">
        <x:v>926.0161904761904</x:v>
      </x:c>
      <x:c r="R121" s="13" t="n">
        <x:v>2.484467774249283</x:v>
      </x:c>
      <x:c r="S121" s="13" t="n">
        <x:v>-0.1736273532937767</x:v>
      </x:c>
      <x:c r="T121" s="13" t="n">
        <x:v>12</x:v>
      </x:c>
      <x:c r="U121" s="13" t="n">
        <x:v>29</x:v>
      </x:c>
      <x:c r="V121" s="13" t="n">
        <x:v>9</x:v>
      </x:c>
      <x:c r="W121" s="13" t="n">
        <x:v>20</x:v>
      </x:c>
      <x:c r="X121" s="13" t="n">
        <x:v>0</x:v>
      </x:c>
      <x:c r="Y121" s="13" t="n">
        <x:v>196393.41999999998</x:v>
      </x:c>
      <x:c r="Z121" s="13" t="n">
        <x:v>196393.41999999998</x:v>
      </x:c>
      <x:c r="AA121" s="13" t="n">
        <x:v>26</x:v>
      </x:c>
      <x:c r="AB121" s="13" t="n">
        <x:v>0.6896551724137931</x:v>
      </x:c>
      <x:c r="AC121" s="13" t="n">
        <x:v>0</x:v>
      </x:c>
      <x:c r="AD121" s="13" t="n">
        <x:v>0.30542091856442954</x:v>
      </x:c>
      <x:c r="AE121" s="13" t="n">
        <x:v>0.3971619823108127</x:v>
      </x:c>
      <x:c r="AF121" s="13" t="n">
        <x:v>7553.593076923076</x:v>
      </x:c>
      <x:c r="AG121" s="13" t="n">
        <x:v>2.63497142769265</x:v>
      </x:c>
      <x:c r="AH121" s="13" t="n">
        <x:v>-0.027114636415909832</x:v>
      </x:c>
      <x:c r="AI121" s="13" t="n">
        <x:v>6</x:v>
      </x:c>
      <x:c r="AJ121" s="13" t="n">
        <x:v>176947.08</x:v>
      </x:c>
      <x:c r="AK121" s="13" t="n">
        <x:v>0.09901726850115398</x:v>
      </x:c>
      <x:c r="AL121" s="13" t="n">
        <x:v>0.3230769230769231</x:v>
      </x:c>
      <x:c r="AM121" s="13" t="n">
        <x:v>0</x:v>
      </x:c>
      <x:c r="AN121" s="13" t="n">
        <x:v>0.32405816623875056</x:v>
      </x:c>
      <x:c r="AO121" s="13" t="n">
        <x:v>2.5597196009709666</x:v>
      </x:c>
      <x:c r="AP121" s="13" t="n">
        <x:v>-0.10037099485484327</x:v>
      </x:c>
    </x:row>
    <x:row r="122" ht="15" hidden="0" customHeight="1">
      <x:c r="A122" s="2" t="str">
        <x:v>E121</x:v>
      </x:c>
      <x:c r="B122" s="2" t="str">
        <x:v>***药业连锁有限公司***药店</x:v>
      </x:c>
      <x:c r="C122" s="2" t="str">
        <x:v>有信贷记录</x:v>
      </x:c>
      <x:c r="D122" s="2" t="str">
        <x:v>D</x:v>
      </x:c>
      <x:c r="E122" s="2" t="str">
        <x:v>是</x:v>
      </x:c>
      <x:c r="F122" s="13" t="n">
        <x:v>50</x:v>
      </x:c>
      <x:c r="G122" s="13" t="n">
        <x:v>50</x:v>
      </x:c>
      <x:c r="H122" s="13" t="n">
        <x:v>0</x:v>
      </x:c>
      <x:c r="I122" s="13" t="n">
        <x:v>1</x:v>
      </x:c>
      <x:c r="J122" s="13" t="n">
        <x:v>1251119.88</x:v>
      </x:c>
      <x:c r="K122" s="13" t="n">
        <x:v>1255919.88</x:v>
      </x:c>
      <x:c r="L122" s="13" t="n">
        <x:v>11</x:v>
      </x:c>
      <x:c r="M122" s="13" t="n">
        <x:v>0</x:v>
      </x:c>
      <x:c r="N122" s="13" t="n">
        <x:v>0.02</x:v>
      </x:c>
      <x:c r="O122" s="13" t="n">
        <x:v>0.9653322090172383</x:v>
      </x:c>
      <x:c r="P122" s="13" t="n">
        <x:v>0.982448530076616</x:v>
      </x:c>
      <x:c r="Q122" s="13" t="n">
        <x:v>39097.49625</x:v>
      </x:c>
      <x:c r="R122" s="13" t="n">
        <x:v>0.7799513303477996</x:v>
      </x:c>
      <x:c r="S122" s="13" t="n">
        <x:v>-0.07652131561523196</x:v>
      </x:c>
      <x:c r="T122" s="13" t="n">
        <x:v>24</x:v>
      </x:c>
      <x:c r="U122" s="13" t="n">
        <x:v>186</x:v>
      </x:c>
      <x:c r="V122" s="13" t="n">
        <x:v>163</x:v>
      </x:c>
      <x:c r="W122" s="13" t="n">
        <x:v>23</x:v>
      </x:c>
      <x:c r="X122" s="13" t="n">
        <x:v>0</x:v>
      </x:c>
      <x:c r="Y122" s="13" t="n">
        <x:v>114287.54999999999</x:v>
      </x:c>
      <x:c r="Z122" s="13" t="n">
        <x:v>114287.54999999999</x:v>
      </x:c>
      <x:c r="AA122" s="13" t="n">
        <x:v>123</x:v>
      </x:c>
      <x:c r="AB122" s="13" t="n">
        <x:v>0.12365591397849462</x:v>
      </x:c>
      <x:c r="AC122" s="13" t="n">
        <x:v>0</x:v>
      </x:c>
      <x:c r="AD122" s="13" t="n">
        <x:v>0.0435382041350571</x:v>
      </x:c>
      <x:c r="AE122" s="13" t="n">
        <x:v>0.17826561160861354</x:v>
      </x:c>
      <x:c r="AF122" s="13" t="n">
        <x:v>4761.981250000001</x:v>
      </x:c>
      <x:c r="AG122" s="13" t="n">
        <x:v>0.7960697009762673</x:v>
      </x:c>
      <x:c r="AH122" s="13" t="n">
        <x:v>0.010837508661645267</x:v>
      </x:c>
      <x:c r="AI122" s="13" t="n">
        <x:v>24</x:v>
      </x:c>
      <x:c r="AJ122" s="13" t="n">
        <x:v>-1136832.3299999998</x:v>
      </x:c>
      <x:c r="AK122" s="13" t="n">
        <x:v>10.989122437220756</x:v>
      </x:c>
      <x:c r="AL122" s="13" t="n">
        <x:v>0.09745762711864407</x:v>
      </x:c>
      <x:c r="AM122" s="13" t="n">
        <x:v>0.004694835680751174</x:v>
      </x:c>
      <x:c r="AN122" s="13" t="n">
        <x:v>0.5044352065761477</x:v>
      </x:c>
      <x:c r="AO122" s="13" t="n">
        <x:v>0.7880105156620334</x:v>
      </x:c>
      <x:c r="AP122" s="13" t="n">
        <x:v>-0.03284190347679335</x:v>
      </x:c>
    </x:row>
    <x:row r="123" ht="15" hidden="0" customHeight="1">
      <x:c r="A123" s="2" t="str">
        <x:v>E122</x:v>
      </x:c>
      <x:c r="B123" s="2" t="str">
        <x:v>***商贸有限责任公司</x:v>
      </x:c>
      <x:c r="C123" s="2" t="str">
        <x:v>有信贷记录</x:v>
      </x:c>
      <x:c r="D123" s="2" t="str">
        <x:v>D</x:v>
      </x:c>
      <x:c r="E123" s="2" t="str">
        <x:v>是</x:v>
      </x:c>
      <x:c r="F123" s="13" t="n">
        <x:v>48</x:v>
      </x:c>
      <x:c r="G123" s="13" t="n">
        <x:v>47</x:v>
      </x:c>
      <x:c r="H123" s="13" t="n">
        <x:v>1</x:v>
      </x:c>
      <x:c r="I123" s="13" t="n">
        <x:v>1</x:v>
      </x:c>
      <x:c r="J123" s="13" t="n">
        <x:v>53746.259999999995</x:v>
      </x:c>
      <x:c r="K123" s="13" t="n">
        <x:v>64922.259999999995</x:v>
      </x:c>
      <x:c r="L123" s="13" t="n">
        <x:v>22</x:v>
      </x:c>
      <x:c r="M123" s="13" t="n">
        <x:v>0.020833333333333332</x:v>
      </x:c>
      <x:c r="N123" s="13" t="n">
        <x:v>0.02127659574468085</x:v>
      </x:c>
      <x:c r="O123" s="13" t="n">
        <x:v>0.2732453471513963</x:v>
      </x:c>
      <x:c r="P123" s="13" t="n">
        <x:v>0.3989540721472112</x:v>
      </x:c>
      <x:c r="Q123" s="13" t="n">
        <x:v>1679.5706249999998</x:v>
      </x:c>
      <x:c r="R123" s="13" t="n">
        <x:v>2.0813936760049763</x:v>
      </x:c>
      <x:c r="S123" s="13" t="n">
        <x:v>-0.043672044013046994</x:v>
      </x:c>
      <x:c r="T123" s="13" t="n">
        <x:v>19</x:v>
      </x:c>
      <x:c r="U123" s="13" t="n">
        <x:v>118</x:v>
      </x:c>
      <x:c r="V123" s="13" t="n">
        <x:v>102</x:v>
      </x:c>
      <x:c r="W123" s="13" t="n">
        <x:v>16</x:v>
      </x:c>
      <x:c r="X123" s="13" t="n">
        <x:v>8</x:v>
      </x:c>
      <x:c r="Y123" s="13" t="n">
        <x:v>64155.65600000001</x:v>
      </x:c>
      <x:c r="Z123" s="13" t="n">
        <x:v>67271.656</x:v>
      </x:c>
      <x:c r="AA123" s="13" t="n">
        <x:v>70</x:v>
      </x:c>
      <x:c r="AB123" s="13" t="n">
        <x:v>0.13559322033898305</x:v>
      </x:c>
      <x:c r="AC123" s="13" t="n">
        <x:v>0.0784313725490196</x:v>
      </x:c>
      <x:c r="AD123" s="13" t="n">
        <x:v>0.0695326837347435</x:v>
      </x:c>
      <x:c r="AE123" s="13" t="n">
        <x:v>0.1480553850519582</x:v>
      </x:c>
      <x:c r="AF123" s="13" t="n">
        <x:v>2593.1575457735244</x:v>
      </x:c>
      <x:c r="AG123" s="13" t="n">
        <x:v>1.4566769602590526</x:v>
      </x:c>
      <x:c r="AH123" s="13" t="n">
        <x:v>-0.07141749257061415</x:v>
      </x:c>
      <x:c r="AI123" s="13" t="n">
        <x:v>26</x:v>
      </x:c>
      <x:c r="AJ123" s="13" t="n">
        <x:v>6994.340000000011</x:v>
      </x:c>
      <x:c r="AK123" s="13" t="n">
        <x:v>1.0012593961190825</x:v>
      </x:c>
      <x:c r="AL123" s="13" t="n">
        <x:v>0.10240963855421686</x:v>
      </x:c>
      <x:c r="AM123" s="13" t="n">
        <x:v>0.06040268456375839</x:v>
      </x:c>
      <x:c r="AN123" s="13" t="n">
        <x:v>0.1713890154430699</x:v>
      </x:c>
      <x:c r="AO123" s="13" t="n">
        <x:v>1.7690353181320144</x:v>
      </x:c>
      <x:c r="AP123" s="13" t="n">
        <x:v>-0.05754476829183057</x:v>
      </x:c>
    </x:row>
    <x:row r="124" ht="15" hidden="0" customHeight="1">
      <x:c r="A124" s="2" t="str">
        <x:v>E123</x:v>
      </x:c>
      <x:c r="B124" s="2" t="str">
        <x:v>***创科技有限责任公司</x:v>
      </x:c>
      <x:c r="C124" s="2" t="str">
        <x:v>有信贷记录</x:v>
      </x:c>
      <x:c r="D124" s="2" t="str">
        <x:v>D</x:v>
      </x:c>
      <x:c r="E124" s="2" t="str">
        <x:v>是</x:v>
      </x:c>
      <x:c r="F124" s="13" t="n">
        <x:v>3</x:v>
      </x:c>
      <x:c r="G124" s="13" t="n">
        <x:v>3</x:v>
      </x:c>
      <x:c r="H124" s="13" t="n">
        <x:v>0</x:v>
      </x:c>
      <x:c r="I124" s="13" t="n">
        <x:v>0</x:v>
      </x:c>
      <x:c r="J124" s="13" t="n">
        <x:v>840</x:v>
      </x:c>
      <x:c r="K124" s="13" t="n">
        <x:v>840</x:v>
      </x:c>
      <x:c r="L124" s="13" t="n">
        <x:v>2</x:v>
      </x:c>
      <x:c r="M124" s="13" t="n">
        <x:v>0</x:v>
      </x:c>
      <x:c r="N124" s="13" t="n">
        <x:v>0</x:v>
      </x:c>
      <x:c r="O124" s="13" t="n">
        <x:v>0.5555555555555556</x:v>
      </x:c>
      <x:c r="P124" s="13" t="n">
        <x:v>0.6666666666666666</x:v>
      </x:c>
      <x:c r="Q124" s="13" t="n">
        <x:v>38.35733333333334</x:v>
      </x:c>
      <x:c r="R124" s="13" t="n">
        <x:v>2.708012801464725</x:v>
      </x:c>
      <x:c r="S124" s="13" t="n">
        <x:v>2.317634513930293e-17</x:v>
      </x:c>
      <x:c r="T124" s="13" t="n">
        <x:v>3</x:v>
      </x:c>
      <x:c r="U124" s="13" t="n">
        <x:v>65</x:v>
      </x:c>
      <x:c r="V124" s="13" t="n">
        <x:v>33</x:v>
      </x:c>
      <x:c r="W124" s="13" t="n">
        <x:v>32</x:v>
      </x:c>
      <x:c r="X124" s="13" t="n">
        <x:v>0</x:v>
      </x:c>
      <x:c r="Y124" s="13" t="n">
        <x:v>227559.7</x:v>
      </x:c>
      <x:c r="Z124" s="13" t="n">
        <x:v>227559.7</x:v>
      </x:c>
      <x:c r="AA124" s="13" t="n">
        <x:v>7</x:v>
      </x:c>
      <x:c r="AB124" s="13" t="n">
        <x:v>0.49230769230769234</x:v>
      </x:c>
      <x:c r="AC124" s="13" t="n">
        <x:v>0</x:v>
      </x:c>
      <x:c r="AD124" s="13" t="n">
        <x:v>0.42341615401921556</x:v>
      </x:c>
      <x:c r="AE124" s="13" t="n">
        <x:v>0.5888845872094225</x:v>
      </x:c>
      <x:c r="AF124" s="13" t="n">
        <x:v>6692.932352941178</x:v>
      </x:c>
      <x:c r="AG124" s="13" t="n">
        <x:v>3.407039552429552</x:v>
      </x:c>
      <x:c r="AH124" s="13" t="n">
        <x:v>-0.0067825010144751605</x:v>
      </x:c>
      <x:c r="AI124" s="13" t="n">
        <x:v>14</x:v>
      </x:c>
      <x:c r="AJ124" s="13" t="n">
        <x:v>226719.7</x:v>
      </x:c>
      <x:c r="AK124" s="13" t="n">
        <x:v>0.003691339020046152</x:v>
      </x:c>
      <x:c r="AL124" s="13" t="n">
        <x:v>0.3550476190476188</x:v>
      </x:c>
      <x:c r="AM124" s="13" t="n">
        <x:v>0</x:v>
      </x:c>
      <x:c r="AN124" s="13" t="n">
        <x:v>0.4894858547873856</x:v>
      </x:c>
      <x:c r="AO124" s="13" t="n">
        <x:v>3.0682832488996903</x:v>
      </x:c>
      <x:c r="AP124" s="13" t="n">
        <x:v>-0.0033912505072375685</x:v>
      </x:c>
    </x:row>
    <x:row r="125" ht="15" hidden="0" customHeight="1">
      <x:c r="A125" s="2" t="str">
        <x:v>E124</x:v>
      </x:c>
      <x:c r="B125" s="2" t="str">
        <x:v>个体经营E124 </x:v>
      </x:c>
      <x:c r="C125" s="2" t="str">
        <x:v>无信贷记录</x:v>
      </x:c>
      <x:c r="D125" s="2" t="str"/>
      <x:c r="E125" s="2" t="str"/>
      <x:c r="F125" s="13" t="n">
        <x:v>13379.719999999998</x:v>
      </x:c>
      <x:c r="G125" s="13" t="n">
        <x:v>13108.119999999995</x:v>
      </x:c>
      <x:c r="H125" s="13" t="n">
        <x:v>550</x:v>
      </x:c>
      <x:c r="I125" s="13" t="n">
        <x:v>149.75999999999976</x:v>
      </x:c>
      <x:c r="J125" s="13" t="n">
        <x:v>292218987.17319953</x:v>
      </x:c>
      <x:c r="K125" s="13" t="n">
        <x:v>294391831.53319967</x:v>
      </x:c>
      <x:c r="L125" s="13" t="n">
        <x:v>1422</x:v>
      </x:c>
      <x:c r="M125" s="13" t="n">
        <x:v>0.12331284819941417</x:v>
      </x:c>
      <x:c r="N125" s="13" t="n">
        <x:v>0.02240566037735849</x:v>
      </x:c>
      <x:c r="O125" s="13" t="n">
        <x:v>0.02939501306898939</x:v>
      </x:c>
      <x:c r="P125" s="13" t="n">
        <x:v>0.14461439378294808</x:v>
      </x:c>
      <x:c r="Q125" s="13" t="n">
        <x:v>7854353.69919828</x:v>
      </x:c>
      <x:c r="R125" s="13" t="n">
        <x:v>0.5837264089547443</x:v>
      </x:c>
      <x:c r="S125" s="13" t="n">
        <x:v>0.04650635968583834</x:v>
      </x:c>
      <x:c r="T125" s="13" t="n">
        <x:v>25</x:v>
      </x:c>
      <x:c r="U125" s="13" t="n">
        <x:v>1293</x:v>
      </x:c>
      <x:c r="V125" s="13" t="n">
        <x:v>1099</x:v>
      </x:c>
      <x:c r="W125" s="13" t="n">
        <x:v>194</x:v>
      </x:c>
      <x:c r="X125" s="13" t="n">
        <x:v>41</x:v>
      </x:c>
      <x:c r="Y125" s="13" t="n">
        <x:v>669003080.2907999</x:v>
      </x:c>
      <x:c r="Z125" s="13" t="n">
        <x:v>880804606.17</x:v>
      </x:c>
      <x:c r="AA125" s="13" t="n">
        <x:v>54</x:v>
      </x:c>
      <x:c r="AB125" s="13" t="n">
        <x:v>0.1500386697602475</x:v>
      </x:c>
      <x:c r="AC125" s="13" t="n">
        <x:v>0.0373066424021838</x:v>
      </x:c>
      <x:c r="AD125" s="13" t="n">
        <x:v>0.07352453907471611</x:v>
      </x:c>
      <x:c r="AE125" s="13" t="n">
        <x:v>0.17421077619839803</x:v>
      </x:c>
      <x:c r="AF125" s="13" t="n">
        <x:v>18351464.41321227</x:v>
      </x:c>
      <x:c r="AG125" s="13" t="n">
        <x:v>0.6394485338453969</x:v>
      </x:c>
      <x:c r="AH125" s="13" t="n">
        <x:v>0.04100101936067093</x:v>
      </x:c>
      <x:c r="AI125" s="13" t="n">
        <x:v>25</x:v>
      </x:c>
      <x:c r="AJ125" s="13" t="n">
        <x:v>-35765049.06000006</x:v>
      </x:c>
      <x:c r="AK125" s="13" t="n">
        <x:v>1.0073352282614574</x:v>
      </x:c>
      <x:c r="AL125" s="13" t="n">
        <x:v>0.12516039349871685</x:v>
      </x:c>
      <x:c r="AM125" s="13" t="n">
        <x:v>0.023406465807003604</x:v>
      </x:c>
      <x:c r="AN125" s="13" t="n">
        <x:v>0.05145977607185275</x:v>
      </x:c>
      <x:c r="AO125" s="13" t="n">
        <x:v>0.6115874714000706</x:v>
      </x:c>
      <x:c r="AP125" s="13" t="n">
        <x:v>0.04375368952325463</x:v>
      </x:c>
    </x:row>
    <x:row r="126" ht="15" hidden="0" customHeight="1">
      <x:c r="A126" s="2" t="str">
        <x:v>E125</x:v>
      </x:c>
      <x:c r="B126" s="2" t="str">
        <x:v>个体经营E125 </x:v>
      </x:c>
      <x:c r="C126" s="2" t="str">
        <x:v>无信贷记录</x:v>
      </x:c>
      <x:c r="D126" s="2" t="str"/>
      <x:c r="E126" s="2" t="str"/>
      <x:c r="F126" s="13" t="n">
        <x:v>13379.719999999998</x:v>
      </x:c>
      <x:c r="G126" s="13" t="n">
        <x:v>13108.119999999995</x:v>
      </x:c>
      <x:c r="H126" s="13" t="n">
        <x:v>550</x:v>
      </x:c>
      <x:c r="I126" s="13" t="n">
        <x:v>149.75999999999976</x:v>
      </x:c>
      <x:c r="J126" s="13" t="n">
        <x:v>292218987.17319953</x:v>
      </x:c>
      <x:c r="K126" s="13" t="n">
        <x:v>294391831.53319967</x:v>
      </x:c>
      <x:c r="L126" s="13" t="n">
        <x:v>1608.56</x:v>
      </x:c>
      <x:c r="M126" s="13" t="n">
        <x:v>0.12381703470031545</x:v>
      </x:c>
      <x:c r="N126" s="13" t="n">
        <x:v>0.022277227722772276</x:v>
      </x:c>
      <x:c r="O126" s="13" t="n">
        <x:v>0.01585890387603721</x:v>
      </x:c>
      <x:c r="P126" s="13" t="n">
        <x:v>0.10233596444617316</x:v>
      </x:c>
      <x:c r="Q126" s="13" t="n">
        <x:v>7854353.69919828</x:v>
      </x:c>
      <x:c r="R126" s="13" t="n">
        <x:v>0.7356870563408974</x:v>
      </x:c>
      <x:c r="S126" s="13" t="n">
        <x:v>0.052615634585258655</x:v>
      </x:c>
      <x:c r="T126" s="13" t="n">
        <x:v>36</x:v>
      </x:c>
      <x:c r="U126" s="13" t="n">
        <x:v>1595</x:v>
      </x:c>
      <x:c r="V126" s="13" t="n">
        <x:v>1380</x:v>
      </x:c>
      <x:c r="W126" s="13" t="n">
        <x:v>215</x:v>
      </x:c>
      <x:c r="X126" s="13" t="n">
        <x:v>42</x:v>
      </x:c>
      <x:c r="Y126" s="13" t="n">
        <x:v>669003080.2907999</x:v>
      </x:c>
      <x:c r="Z126" s="13" t="n">
        <x:v>1012686468.1095984</x:v>
      </x:c>
      <x:c r="AA126" s="13" t="n">
        <x:v>64</x:v>
      </x:c>
      <x:c r="AB126" s="13" t="n">
        <x:v>0.13479623824451412</x:v>
      </x:c>
      <x:c r="AC126" s="13" t="n">
        <x:v>0.030434782608695653</x:v>
      </x:c>
      <x:c r="AD126" s="13" t="n">
        <x:v>0.05958869318322667</x:v>
      </x:c>
      <x:c r="AE126" s="13" t="n">
        <x:v>0.16255232156052765</x:v>
      </x:c>
      <x:c r="AF126" s="13" t="n">
        <x:v>18351464.41321227</x:v>
      </x:c>
      <x:c r="AG126" s="13" t="n">
        <x:v>0.7236097188850178</x:v>
      </x:c>
      <x:c r="AH126" s="13" t="n">
        <x:v>0.04241114851425772</x:v>
      </x:c>
      <x:c r="AI126" s="13" t="n">
        <x:v>35</x:v>
      </x:c>
      <x:c r="AJ126" s="13" t="n">
        <x:v>23639301.349999905</x:v>
      </x:c>
      <x:c r="AK126" s="13" t="n">
        <x:v>0.9594409776935698</x:v>
      </x:c>
      <x:c r="AL126" s="13" t="n">
        <x:v>0.12461728282228214</x:v>
      </x:c>
      <x:c r="AM126" s="13" t="n">
        <x:v>0.02286489872624765</x:v>
      </x:c>
      <x:c r="AN126" s="13" t="n">
        <x:v>0.03772379852963194</x:v>
      </x:c>
      <x:c r="AO126" s="13" t="n">
        <x:v>0.7296483876129576</x:v>
      </x:c>
      <x:c r="AP126" s="13" t="n">
        <x:v>0.047513391549758185</x:v>
      </x:c>
    </x:row>
    <x:row r="127" ht="15" hidden="0" customHeight="1">
      <x:c r="A127" s="2" t="str">
        <x:v>E126</x:v>
      </x:c>
      <x:c r="B127" s="2" t="str">
        <x:v>个体经营E126 </x:v>
      </x:c>
      <x:c r="C127" s="2" t="str">
        <x:v>无信贷记录</x:v>
      </x:c>
      <x:c r="D127" s="2" t="str"/>
      <x:c r="E127" s="2" t="str"/>
      <x:c r="F127" s="13" t="n">
        <x:v>533</x:v>
      </x:c>
      <x:c r="G127" s="13" t="n">
        <x:v>515</x:v>
      </x:c>
      <x:c r="H127" s="13" t="n">
        <x:v>18</x:v>
      </x:c>
      <x:c r="I127" s="13" t="n">
        <x:v>3</x:v>
      </x:c>
      <x:c r="J127" s="13" t="n">
        <x:v>128818723.63</x:v>
      </x:c>
      <x:c r="K127" s="13" t="n">
        <x:v>129033779.99</x:v>
      </x:c>
      <x:c r="L127" s="13" t="n">
        <x:v>72</x:v>
      </x:c>
      <x:c r="M127" s="13" t="n">
        <x:v>0.03377110694183865</x:v>
      </x:c>
      <x:c r="N127" s="13" t="n">
        <x:v>0.005825242718446602</x:v>
      </x:c>
      <x:c r="O127" s="13" t="n">
        <x:v>0.2959809647970487</x:v>
      </x:c>
      <x:c r="P127" s="13" t="n">
        <x:v>0.4231506959203358</x:v>
      </x:c>
      <x:c r="Q127" s="13" t="n">
        <x:v>3578297.87861111</x:v>
      </x:c>
      <x:c r="R127" s="13" t="n">
        <x:v>0.7917223978771537</x:v>
      </x:c>
      <x:c r="S127" s="13" t="n">
        <x:v>0.038213930735914364</x:v>
      </x:c>
      <x:c r="T127" s="13" t="n">
        <x:v>36</x:v>
      </x:c>
      <x:c r="U127" s="13" t="n">
        <x:v>1516</x:v>
      </x:c>
      <x:c r="V127" s="13" t="n">
        <x:v>1264</x:v>
      </x:c>
      <x:c r="W127" s="13" t="n">
        <x:v>252</x:v>
      </x:c>
      <x:c r="X127" s="13" t="n">
        <x:v>32</x:v>
      </x:c>
      <x:c r="Y127" s="13" t="n">
        <x:v>538007376.38</x:v>
      </x:c>
      <x:c r="Z127" s="13" t="n">
        <x:v>573569899.72</x:v>
      </x:c>
      <x:c r="AA127" s="13" t="n">
        <x:v>149</x:v>
      </x:c>
      <x:c r="AB127" s="13" t="n">
        <x:v>0.1662269129287599</x:v>
      </x:c>
      <x:c r="AC127" s="13" t="n">
        <x:v>0.02531645569620253</x:v>
      </x:c>
      <x:c r="AD127" s="13" t="n">
        <x:v>0.062417407846749484</x:v>
      </x:c>
      <x:c r="AE127" s="13" t="n">
        <x:v>0.17824868165137261</x:v>
      </x:c>
      <x:c r="AF127" s="13" t="n">
        <x:v>14944649.343888888</x:v>
      </x:c>
      <x:c r="AG127" s="13" t="n">
        <x:v>0.6731765901655583</x:v>
      </x:c>
      <x:c r="AH127" s="13" t="n">
        <x:v>0.03929693533855011</x:v>
      </x:c>
      <x:c r="AI127" s="13" t="n">
        <x:v>36</x:v>
      </x:c>
      <x:c r="AJ127" s="13" t="n">
        <x:v>398719945.9707996</x:v>
      </x:c>
      <x:c r="AK127" s="13" t="n">
        <x:v>0.22496609402444323</x:v>
      </x:c>
      <x:c r="AL127" s="13" t="n">
        <x:v>0.13177159590043924</x:v>
      </x:c>
      <x:c r="AM127" s="13" t="n">
        <x:v>0.01967397414277684</x:v>
      </x:c>
      <x:c r="AN127" s="13" t="n">
        <x:v>0.1791991863218991</x:v>
      </x:c>
      <x:c r="AO127" s="13" t="n">
        <x:v>0.732449494021356</x:v>
      </x:c>
      <x:c r="AP127" s="13" t="n">
        <x:v>0.03875543303723224</x:v>
      </x:c>
    </x:row>
    <x:row r="128" ht="15" hidden="0" customHeight="1">
      <x:c r="A128" s="2" t="str">
        <x:v>E127</x:v>
      </x:c>
      <x:c r="B128" s="2" t="str">
        <x:v>个体经营E127 </x:v>
      </x:c>
      <x:c r="C128" s="2" t="str">
        <x:v>无信贷记录</x:v>
      </x:c>
      <x:c r="D128" s="2" t="str"/>
      <x:c r="E128" s="2" t="str"/>
      <x:c r="F128" s="13" t="n">
        <x:v>1450</x:v>
      </x:c>
      <x:c r="G128" s="13" t="n">
        <x:v>1424</x:v>
      </x:c>
      <x:c r="H128" s="13" t="n">
        <x:v>26</x:v>
      </x:c>
      <x:c r="I128" s="13" t="n">
        <x:v>2</x:v>
      </x:c>
      <x:c r="J128" s="13" t="n">
        <x:v>1765558.94</x:v>
      </x:c>
      <x:c r="K128" s="13" t="n">
        <x:v>1767638.94</x:v>
      </x:c>
      <x:c r="L128" s="13" t="n">
        <x:v>297</x:v>
      </x:c>
      <x:c r="M128" s="13" t="n">
        <x:v>0.01793103448275862</x:v>
      </x:c>
      <x:c r="N128" s="13" t="n">
        <x:v>0.0014044943820224719</x:v>
      </x:c>
      <x:c r="O128" s="13" t="n">
        <x:v>0.06343612990304914</x:v>
      </x:c>
      <x:c r="P128" s="13" t="n">
        <x:v>0.16971791761953378</x:v>
      </x:c>
      <x:c r="Q128" s="13" t="n">
        <x:v>50444.54114285714</x:v>
      </x:c>
      <x:c r="R128" s="13" t="n">
        <x:v>1.6272785441345055</x:v>
      </x:c>
      <x:c r="S128" s="13" t="n">
        <x:v>0.0535625000898305</x:v>
      </x:c>
      <x:c r="T128" s="13" t="n">
        <x:v>32</x:v>
      </x:c>
      <x:c r="U128" s="13" t="n">
        <x:v>4026</x:v>
      </x:c>
      <x:c r="V128" s="13" t="n">
        <x:v>3904</x:v>
      </x:c>
      <x:c r="W128" s="13" t="n">
        <x:v>122</x:v>
      </x:c>
      <x:c r="X128" s="13" t="n">
        <x:v>4</x:v>
      </x:c>
      <x:c r="Y128" s="13" t="n">
        <x:v>669003080.2907999</x:v>
      </x:c>
      <x:c r="Z128" s="13" t="n">
        <x:v>674253327.53</x:v>
      </x:c>
      <x:c r="AA128" s="13" t="n">
        <x:v>26</x:v>
      </x:c>
      <x:c r="AB128" s="13" t="n">
        <x:v>0.030303030303030304</x:v>
      </x:c>
      <x:c r="AC128" s="13" t="n">
        <x:v>0.0010245901639344263</x:v>
      </x:c>
      <x:c r="AD128" s="13" t="n">
        <x:v>0.1337747936642815</x:v>
      </x:c>
      <x:c r="AE128" s="13" t="n">
        <x:v>0.22384145962302984</x:v>
      </x:c>
      <x:c r="AF128" s="13" t="n">
        <x:v>18351464.41321227</x:v>
      </x:c>
      <x:c r="AG128" s="13" t="n">
        <x:v>0.794319371758695</x:v>
      </x:c>
      <x:c r="AH128" s="13" t="n">
        <x:v>-0.015680394894984878</x:v>
      </x:c>
      <x:c r="AI128" s="13" t="n">
        <x:v>36</x:v>
      </x:c>
      <x:c r="AJ128" s="13" t="n">
        <x:v>398719945.9707996</x:v>
      </x:c>
      <x:c r="AK128" s="13" t="n">
        <x:v>0.0026216243477439143</x:v>
      </x:c>
      <x:c r="AL128" s="13" t="n">
        <x:v>0.02702702702702703</x:v>
      </x:c>
      <x:c r="AM128" s="13" t="n">
        <x:v>0.0011261261261261261</x:v>
      </x:c>
      <x:c r="AN128" s="13" t="n">
        <x:v>0.09860546178366532</x:v>
      </x:c>
      <x:c r="AO128" s="13" t="n">
        <x:v>1.2107989579466003</x:v>
      </x:c>
      <x:c r="AP128" s="13" t="n">
        <x:v>0.018941052597422812</x:v>
      </x:c>
    </x:row>
    <x:row r="129" ht="15" hidden="0" customHeight="1">
      <x:c r="A129" s="2" t="str">
        <x:v>E128</x:v>
      </x:c>
      <x:c r="B129" s="2" t="str">
        <x:v>个体经营E128 </x:v>
      </x:c>
      <x:c r="C129" s="2" t="str">
        <x:v>无信贷记录</x:v>
      </x:c>
      <x:c r="D129" s="2" t="str"/>
      <x:c r="E129" s="2" t="str"/>
      <x:c r="F129" s="13" t="n">
        <x:v>3222</x:v>
      </x:c>
      <x:c r="G129" s="13" t="n">
        <x:v>3134</x:v>
      </x:c>
      <x:c r="H129" s="13" t="n">
        <x:v>88</x:v>
      </x:c>
      <x:c r="I129" s="13" t="n">
        <x:v>15</x:v>
      </x:c>
      <x:c r="J129" s="13" t="n">
        <x:v>9360499.950000001</x:v>
      </x:c>
      <x:c r="K129" s="13" t="n">
        <x:v>10112352.07</x:v>
      </x:c>
      <x:c r="L129" s="13" t="n">
        <x:v>533</x:v>
      </x:c>
      <x:c r="M129" s="13" t="n">
        <x:v>0.027312228429546864</x:v>
      </x:c>
      <x:c r="N129" s="13" t="n">
        <x:v>0.004786215698787492</x:v>
      </x:c>
      <x:c r="O129" s="13" t="n">
        <x:v>0.025959505264150983</x:v>
      </x:c>
      <x:c r="P129" s="13" t="n">
        <x:v>0.07209628333282506</x:v>
      </x:c>
      <x:c r="Q129" s="13" t="n">
        <x:v>301951.61129032256</x:v>
      </x:c>
      <x:c r="R129" s="13" t="n">
        <x:v>1.107517389801912</x:v>
      </x:c>
      <x:c r="S129" s="13" t="n">
        <x:v>0.02660208707868614</x:v>
      </x:c>
      <x:c r="T129" s="13" t="n">
        <x:v>31</x:v>
      </x:c>
      <x:c r="U129" s="13" t="n">
        <x:v>1255</x:v>
      </x:c>
      <x:c r="V129" s="13" t="n">
        <x:v>1161</x:v>
      </x:c>
      <x:c r="W129" s="13" t="n">
        <x:v>94</x:v>
      </x:c>
      <x:c r="X129" s="13" t="n">
        <x:v>0</x:v>
      </x:c>
      <x:c r="Y129" s="13" t="n">
        <x:v>250689218.79</x:v>
      </x:c>
      <x:c r="Z129" s="13" t="n">
        <x:v>250689218.79</x:v>
      </x:c>
      <x:c r="AA129" s="13" t="n">
        <x:v>8</x:v>
      </x:c>
      <x:c r="AB129" s="13" t="n">
        <x:v>0.0749003984063745</x:v>
      </x:c>
      <x:c r="AC129" s="13" t="n">
        <x:v>0</x:v>
      </x:c>
      <x:c r="AD129" s="13" t="n">
        <x:v>0.9524462050655</x:v>
      </x:c>
      <x:c r="AE129" s="13" t="n">
        <x:v>0.9758447200512735</x:v>
      </x:c>
      <x:c r="AF129" s="13" t="n">
        <x:v>6963589.410833334</x:v>
      </x:c>
      <x:c r="AG129" s="13" t="n">
        <x:v>1.4085090663229716</x:v>
      </x:c>
      <x:c r="AH129" s="13" t="n">
        <x:v>0.026797743664556402</x:v>
      </x:c>
      <x:c r="AI129" s="13" t="n">
        <x:v>33</x:v>
      </x:c>
      <x:c r="AJ129" s="13" t="n">
        <x:v>241328718.84</x:v>
      </x:c>
      <x:c r="AK129" s="13" t="n">
        <x:v>0.04033820089595087</x:v>
      </x:c>
      <x:c r="AL129" s="13" t="n">
        <x:v>0.04065222247040429</x:v>
      </x:c>
      <x:c r="AM129" s="13" t="n">
        <x:v>0.0034924330616996507</x:v>
      </x:c>
      <x:c r="AN129" s="13" t="n">
        <x:v>0.48920285516482553</x:v>
      </x:c>
      <x:c r="AO129" s="13" t="n">
        <x:v>1.2580132280624419</x:v>
      </x:c>
      <x:c r="AP129" s="13" t="n">
        <x:v>0.026699915371621273</x:v>
      </x:c>
    </x:row>
    <x:row r="130" ht="15" hidden="0" customHeight="1">
      <x:c r="A130" s="2" t="str">
        <x:v>E129</x:v>
      </x:c>
      <x:c r="B130" s="2" t="str">
        <x:v>个体经营E129 </x:v>
      </x:c>
      <x:c r="C130" s="2" t="str">
        <x:v>无信贷记录</x:v>
      </x:c>
      <x:c r="D130" s="2" t="str"/>
      <x:c r="E130" s="2" t="str"/>
      <x:c r="F130" s="13" t="n">
        <x:v>6326</x:v>
      </x:c>
      <x:c r="G130" s="13" t="n">
        <x:v>5928</x:v>
      </x:c>
      <x:c r="H130" s="13" t="n">
        <x:v>398</x:v>
      </x:c>
      <x:c r="I130" s="13" t="n">
        <x:v>29</x:v>
      </x:c>
      <x:c r="J130" s="13" t="n">
        <x:v>85577806.82</x:v>
      </x:c>
      <x:c r="K130" s="13" t="n">
        <x:v>88421244.62</x:v>
      </x:c>
      <x:c r="L130" s="13" t="n">
        <x:v>1373</x:v>
      </x:c>
      <x:c r="M130" s="13" t="n">
        <x:v>0.06291495415744547</x:v>
      </x:c>
      <x:c r="N130" s="13" t="n">
        <x:v>0.004892037786774629</x:v>
      </x:c>
      <x:c r="O130" s="13" t="n">
        <x:v>0.04293611134786823</x:v>
      </x:c>
      <x:c r="P130" s="13" t="n">
        <x:v>0.15371234660189065</x:v>
      </x:c>
      <x:c r="Q130" s="13" t="n">
        <x:v>2377161.3005555556</x:v>
      </x:c>
      <x:c r="R130" s="13" t="n">
        <x:v>0.9760192661713903</x:v>
      </x:c>
      <x:c r="S130" s="13" t="n">
        <x:v>-0.025448173256749838</x:v>
      </x:c>
      <x:c r="T130" s="13" t="n">
        <x:v>36</x:v>
      </x:c>
      <x:c r="U130" s="13" t="n">
        <x:v>5817</x:v>
      </x:c>
      <x:c r="V130" s="13" t="n">
        <x:v>5181</x:v>
      </x:c>
      <x:c r="W130" s="13" t="n">
        <x:v>636</x:v>
      </x:c>
      <x:c r="X130" s="13" t="n">
        <x:v>86</x:v>
      </x:c>
      <x:c r="Y130" s="13" t="n">
        <x:v>374399072.29999995</x:v>
      </x:c>
      <x:c r="Z130" s="13" t="n">
        <x:v>388511348.32</x:v>
      </x:c>
      <x:c r="AA130" s="13" t="n">
        <x:v>799</x:v>
      </x:c>
      <x:c r="AB130" s="13" t="n">
        <x:v>0.10933470861268695</x:v>
      </x:c>
      <x:c r="AC130" s="13" t="n">
        <x:v>0.016599112140513416</x:v>
      </x:c>
      <x:c r="AD130" s="13" t="n">
        <x:v>0.010703010402562487</x:v>
      </x:c>
      <x:c r="AE130" s="13" t="n">
        <x:v>0.04298458738004464</x:v>
      </x:c>
      <x:c r="AF130" s="13" t="n">
        <x:v>10399974.230555557</x:v>
      </x:c>
      <x:c r="AG130" s="13" t="n">
        <x:v>0.575401536821687</x:v>
      </x:c>
      <x:c r="AH130" s="13" t="n">
        <x:v>-0.007807709490726273</x:v>
      </x:c>
      <x:c r="AI130" s="13" t="n">
        <x:v>36</x:v>
      </x:c>
      <x:c r="AJ130" s="13" t="n">
        <x:v>288821265.47999996</x:v>
      </x:c>
      <x:c r="AK130" s="13" t="n">
        <x:v>0.22758986321081992</x:v>
      </x:c>
      <x:c r="AL130" s="13" t="n">
        <x:v>0.08515193938894837</x:v>
      </x:c>
      <x:c r="AM130" s="13" t="n">
        <x:v>0.010351966873706004</x:v>
      </x:c>
      <x:c r="AN130" s="13" t="n">
        <x:v>0.02681956087521536</x:v>
      </x:c>
      <x:c r="AO130" s="13" t="n">
        <x:v>0.7757104014965387</x:v>
      </x:c>
      <x:c r="AP130" s="13" t="n">
        <x:v>-0.016627941373738055</x:v>
      </x:c>
    </x:row>
    <x:row r="131" ht="15" hidden="0" customHeight="1">
      <x:c r="A131" s="2" t="str">
        <x:v>E130</x:v>
      </x:c>
      <x:c r="B131" s="2" t="str">
        <x:v>个体经营E130 </x:v>
      </x:c>
      <x:c r="C131" s="2" t="str">
        <x:v>无信贷记录</x:v>
      </x:c>
      <x:c r="D131" s="2" t="str"/>
      <x:c r="E131" s="2" t="str"/>
      <x:c r="F131" s="13" t="n">
        <x:v>3251</x:v>
      </x:c>
      <x:c r="G131" s="13" t="n">
        <x:v>3123</x:v>
      </x:c>
      <x:c r="H131" s="13" t="n">
        <x:v>128</x:v>
      </x:c>
      <x:c r="I131" s="13" t="n">
        <x:v>18</x:v>
      </x:c>
      <x:c r="J131" s="13" t="n">
        <x:v>77406976.12</x:v>
      </x:c>
      <x:c r="K131" s="13" t="n">
        <x:v>78332392.28</x:v>
      </x:c>
      <x:c r="L131" s="13" t="n">
        <x:v>520</x:v>
      </x:c>
      <x:c r="M131" s="13" t="n">
        <x:v>0.03937250076899416</x:v>
      </x:c>
      <x:c r="N131" s="13" t="n">
        <x:v>0.005763688760806916</x:v>
      </x:c>
      <x:c r="O131" s="13" t="n">
        <x:v>0.04461509468494275</x:v>
      </x:c>
      <x:c r="P131" s="13" t="n">
        <x:v>0.13212924690214758</x:v>
      </x:c>
      <x:c r="Q131" s="13" t="n">
        <x:v>2496999.229677419</x:v>
      </x:c>
      <x:c r="R131" s="13" t="n">
        <x:v>1.5465538714447737</x:v>
      </x:c>
      <x:c r="S131" s="13" t="n">
        <x:v>0.1200190045713861</x:v>
      </x:c>
      <x:c r="T131" s="13" t="n">
        <x:v>31</x:v>
      </x:c>
      <x:c r="U131" s="13" t="n">
        <x:v>1382</x:v>
      </x:c>
      <x:c r="V131" s="13" t="n">
        <x:v>1321</x:v>
      </x:c>
      <x:c r="W131" s="13" t="n">
        <x:v>61</x:v>
      </x:c>
      <x:c r="X131" s="13" t="n">
        <x:v>21</x:v>
      </x:c>
      <x:c r="Y131" s="13" t="n">
        <x:v>120144422.13</x:v>
      </x:c>
      <x:c r="Z131" s="13" t="n">
        <x:v>124146034.13</x:v>
      </x:c>
      <x:c r="AA131" s="13" t="n">
        <x:v>14</x:v>
      </x:c>
      <x:c r="AB131" s="13" t="n">
        <x:v>0.04413892908827786</x:v>
      </x:c>
      <x:c r="AC131" s="13" t="n">
        <x:v>0.015897047691143074</x:v>
      </x:c>
      <x:c r="AD131" s="13" t="n">
        <x:v>0.7656296210641086</x:v>
      </x:c>
      <x:c r="AE131" s="13" t="n">
        <x:v>0.8710639092728625</x:v>
      </x:c>
      <x:c r="AF131" s="13" t="n">
        <x:v>4004814.071</x:v>
      </x:c>
      <x:c r="AG131" s="13" t="n">
        <x:v>1.7730741577246172</x:v>
      </x:c>
      <x:c r="AH131" s="13" t="n">
        <x:v>0.11716436618905002</x:v>
      </x:c>
      <x:c r="AI131" s="13" t="n">
        <x:v>22</x:v>
      </x:c>
      <x:c r="AJ131" s="13" t="n">
        <x:v>42737446.00999999</x:v>
      </x:c>
      <x:c r="AK131" s="13" t="n">
        <x:v>0.6309697513009069</x:v>
      </x:c>
      <x:c r="AL131" s="13" t="n">
        <x:v>0.04079430174832722</x:v>
      </x:c>
      <x:c r="AM131" s="13" t="n">
        <x:v>0.008775877587758775</x:v>
      </x:c>
      <x:c r="AN131" s="13" t="n">
        <x:v>0.40512235787452566</x:v>
      </x:c>
      <x:c r="AO131" s="13" t="n">
        <x:v>1.6598140145846956</x:v>
      </x:c>
      <x:c r="AP131" s="13" t="n">
        <x:v>0.11859168538021805</x:v>
      </x:c>
    </x:row>
    <x:row r="132" ht="15" hidden="0" customHeight="1">
      <x:c r="A132" s="2" t="str">
        <x:v>E131</x:v>
      </x:c>
      <x:c r="B132" s="2" t="str">
        <x:v>个体经营E131 </x:v>
      </x:c>
      <x:c r="C132" s="2" t="str">
        <x:v>无信贷记录</x:v>
      </x:c>
      <x:c r="D132" s="2" t="str"/>
      <x:c r="E132" s="2" t="str"/>
      <x:c r="F132" s="13" t="n">
        <x:v>7077</x:v>
      </x:c>
      <x:c r="G132" s="13" t="n">
        <x:v>6527</x:v>
      </x:c>
      <x:c r="H132" s="13" t="n">
        <x:v>550</x:v>
      </x:c>
      <x:c r="I132" s="13" t="n">
        <x:v>130</x:v>
      </x:c>
      <x:c r="J132" s="13" t="n">
        <x:v>125103670.24</x:v>
      </x:c>
      <x:c r="K132" s="13" t="n">
        <x:v>130138254.88</x:v>
      </x:c>
      <x:c r="L132" s="13" t="n">
        <x:v>910</x:v>
      </x:c>
      <x:c r="M132" s="13" t="n">
        <x:v>0.07771654655927653</x:v>
      </x:c>
      <x:c r="N132" s="13" t="n">
        <x:v>0.019917266738164546</x:v>
      </x:c>
      <x:c r="O132" s="13" t="n">
        <x:v>0.06288906393385504</x:v>
      </x:c>
      <x:c r="P132" s="13" t="n">
        <x:v>0.22253256758901455</x:v>
      </x:c>
      <x:c r="Q132" s="13" t="n">
        <x:v>3475101.9511111113</x:v>
      </x:c>
      <x:c r="R132" s="13" t="n">
        <x:v>1.130893214119648</x:v>
      </x:c>
      <x:c r="S132" s="13" t="n">
        <x:v>0.009213045585495981</x:v>
      </x:c>
      <x:c r="T132" s="13" t="n">
        <x:v>36</x:v>
      </x:c>
      <x:c r="U132" s="13" t="n">
        <x:v>3336</x:v>
      </x:c>
      <x:c r="V132" s="13" t="n">
        <x:v>3097</x:v>
      </x:c>
      <x:c r="W132" s="13" t="n">
        <x:v>239</x:v>
      </x:c>
      <x:c r="X132" s="13" t="n">
        <x:v>42</x:v>
      </x:c>
      <x:c r="Y132" s="13" t="n">
        <x:v>241760597.37</x:v>
      </x:c>
      <x:c r="Z132" s="13" t="n">
        <x:v>246959854.71</x:v>
      </x:c>
      <x:c r="AA132" s="13" t="n">
        <x:v>826</x:v>
      </x:c>
      <x:c r="AB132" s="13" t="n">
        <x:v>0.07164268585131894</x:v>
      </x:c>
      <x:c r="AC132" s="13" t="n">
        <x:v>0.013561511139812722</x:v>
      </x:c>
      <x:c r="AD132" s="13" t="n">
        <x:v>0.009677477552675708</x:v>
      </x:c>
      <x:c r="AE132" s="13" t="n">
        <x:v>0.037357691236228376</x:v>
      </x:c>
      <x:c r="AF132" s="13" t="n">
        <x:v>6715572.149166666</x:v>
      </x:c>
      <x:c r="AG132" s="13" t="n">
        <x:v>0.3806614339261747</x:v>
      </x:c>
      <x:c r="AH132" s="13" t="n">
        <x:v>0.006149468490871172</x:v>
      </x:c>
      <x:c r="AI132" s="13" t="n">
        <x:v>36</x:v>
      </x:c>
      <x:c r="AJ132" s="13" t="n">
        <x:v>116656927.13000001</x:v>
      </x:c>
      <x:c r="AK132" s="13" t="n">
        <x:v>0.5269611736402208</x:v>
      </x:c>
      <x:c r="AL132" s="13" t="n">
        <x:v>0.07577067127628925</x:v>
      </x:c>
      <x:c r="AM132" s="13" t="n">
        <x:v>0.017871986699916874</x:v>
      </x:c>
      <x:c r="AN132" s="13" t="n">
        <x:v>0.03628327074326537</x:v>
      </x:c>
      <x:c r="AO132" s="13" t="n">
        <x:v>0.7557773240229113</x:v>
      </x:c>
      <x:c r="AP132" s="13" t="n">
        <x:v>0.0076812570381835765</x:v>
      </x:c>
    </x:row>
    <x:row r="133" ht="15" hidden="0" customHeight="1">
      <x:c r="A133" s="2" t="str">
        <x:v>E132</x:v>
      </x:c>
      <x:c r="B133" s="2" t="str">
        <x:v>个体经营E132 </x:v>
      </x:c>
      <x:c r="C133" s="2" t="str">
        <x:v>无信贷记录</x:v>
      </x:c>
      <x:c r="D133" s="2" t="str"/>
      <x:c r="E133" s="2" t="str"/>
      <x:c r="F133" s="13" t="n">
        <x:v>5159</x:v>
      </x:c>
      <x:c r="G133" s="13" t="n">
        <x:v>5050</x:v>
      </x:c>
      <x:c r="H133" s="13" t="n">
        <x:v>109</x:v>
      </x:c>
      <x:c r="I133" s="13" t="n">
        <x:v>10</x:v>
      </x:c>
      <x:c r="J133" s="13" t="n">
        <x:v>70171887.8</x:v>
      </x:c>
      <x:c r="K133" s="13" t="n">
        <x:v>71328514.36</x:v>
      </x:c>
      <x:c r="L133" s="13" t="n">
        <x:v>682</x:v>
      </x:c>
      <x:c r="M133" s="13" t="n">
        <x:v>0.021128125605737545</x:v>
      </x:c>
      <x:c r="N133" s="13" t="n">
        <x:v>0.0019801980198019802</x:v>
      </x:c>
      <x:c r="O133" s="13" t="n">
        <x:v>0.07142378351840878</x:v>
      </x:c>
      <x:c r="P133" s="13" t="n">
        <x:v>0.2248750046726755</x:v>
      </x:c>
      <x:c r="Q133" s="13" t="n">
        <x:v>2263609.2838709676</x:v>
      </x:c>
      <x:c r="R133" s="13" t="n">
        <x:v>0.722358195160648</x:v>
      </x:c>
      <x:c r="S133" s="13" t="n">
        <x:v>0.020964550621652204</x:v>
      </x:c>
      <x:c r="T133" s="13" t="n">
        <x:v>31</x:v>
      </x:c>
      <x:c r="U133" s="13" t="n">
        <x:v>1798</x:v>
      </x:c>
      <x:c r="V133" s="13" t="n">
        <x:v>1659</x:v>
      </x:c>
      <x:c r="W133" s="13" t="n">
        <x:v>139</x:v>
      </x:c>
      <x:c r="X133" s="13" t="n">
        <x:v>8</x:v>
      </x:c>
      <x:c r="Y133" s="13" t="n">
        <x:v>221026234.73999995</x:v>
      </x:c>
      <x:c r="Z133" s="13" t="n">
        <x:v>226278037.94</x:v>
      </x:c>
      <x:c r="AA133" s="13" t="n">
        <x:v>99</x:v>
      </x:c>
      <x:c r="AB133" s="13" t="n">
        <x:v>0.07730812013348165</x:v>
      </x:c>
      <x:c r="AC133" s="13" t="n">
        <x:v>0.004822182037371911</x:v>
      </x:c>
      <x:c r="AD133" s="13" t="n">
        <x:v>0.026332123383524718</x:v>
      </x:c>
      <x:c r="AE133" s="13" t="n">
        <x:v>0.07115989862113616</x:v>
      </x:c>
      <x:c r="AF133" s="13" t="n">
        <x:v>6500771.61</x:v>
      </x:c>
      <x:c r="AG133" s="13" t="n">
        <x:v>0.6691773770312863</x:v>
      </x:c>
      <x:c r="AH133" s="13" t="n">
        <x:v>0.01257956549700184</x:v>
      </x:c>
      <x:c r="AI133" s="13" t="n">
        <x:v>34</x:v>
      </x:c>
      <x:c r="AJ133" s="13" t="n">
        <x:v>150854346.93999994</x:v>
      </x:c>
      <x:c r="AK133" s="13" t="n">
        <x:v>0.3152250877255419</x:v>
      </x:c>
      <x:c r="AL133" s="13" t="n">
        <x:v>0.035647549230990366</x:v>
      </x:c>
      <x:c r="AM133" s="13" t="n">
        <x:v>0.002682963183782978</x:v>
      </x:c>
      <x:c r="AN133" s="13" t="n">
        <x:v>0.04887795345096675</x:v>
      </x:c>
      <x:c r="AO133" s="13" t="n">
        <x:v>0.6957677860959672</x:v>
      </x:c>
      <x:c r="AP133" s="13" t="n">
        <x:v>0.016772058059327022</x:v>
      </x:c>
    </x:row>
    <x:row r="134" ht="15" hidden="0" customHeight="1">
      <x:c r="A134" s="2" t="str">
        <x:v>E133</x:v>
      </x:c>
      <x:c r="B134" s="2" t="str">
        <x:v>个体经营E133 </x:v>
      </x:c>
      <x:c r="C134" s="2" t="str">
        <x:v>无信贷记录</x:v>
      </x:c>
      <x:c r="D134" s="2" t="str"/>
      <x:c r="E134" s="2" t="str"/>
      <x:c r="F134" s="13" t="n">
        <x:v>1645</x:v>
      </x:c>
      <x:c r="G134" s="13" t="n">
        <x:v>1599</x:v>
      </x:c>
      <x:c r="H134" s="13" t="n">
        <x:v>46</x:v>
      </x:c>
      <x:c r="I134" s="13" t="n">
        <x:v>2</x:v>
      </x:c>
      <x:c r="J134" s="13" t="n">
        <x:v>40659032.04</x:v>
      </x:c>
      <x:c r="K134" s="13" t="n">
        <x:v>40659807.04</x:v>
      </x:c>
      <x:c r="L134" s="13" t="n">
        <x:v>283</x:v>
      </x:c>
      <x:c r="M134" s="13" t="n">
        <x:v>0.02796352583586626</x:v>
      </x:c>
      <x:c r="N134" s="13" t="n">
        <x:v>0.0012507817385866166</x:v>
      </x:c>
      <x:c r="O134" s="13" t="n">
        <x:v>0.06980302972608228</x:v>
      </x:c>
      <x:c r="P134" s="13" t="n">
        <x:v>0.18021236531672433</x:v>
      </x:c>
      <x:c r="Q134" s="13" t="n">
        <x:v>1232091.88</x:v>
      </x:c>
      <x:c r="R134" s="13" t="n">
        <x:v>1.3411350497729633</x:v>
      </x:c>
      <x:c r="S134" s="13" t="n">
        <x:v>0.034397075557362836</x:v>
      </x:c>
      <x:c r="T134" s="13" t="n">
        <x:v>32</x:v>
      </x:c>
      <x:c r="U134" s="13" t="n">
        <x:v>170</x:v>
      </x:c>
      <x:c r="V134" s="13" t="n">
        <x:v>140</x:v>
      </x:c>
      <x:c r="W134" s="13" t="n">
        <x:v>30</x:v>
      </x:c>
      <x:c r="X134" s="13" t="n">
        <x:v>3</x:v>
      </x:c>
      <x:c r="Y134" s="13" t="n">
        <x:v>117064664.86</x:v>
      </x:c>
      <x:c r="Z134" s="13" t="n">
        <x:v>121864664.86</x:v>
      </x:c>
      <x:c r="AA134" s="13" t="n">
        <x:v>9</x:v>
      </x:c>
      <x:c r="AB134" s="13" t="n">
        <x:v>0.17647058823529413</x:v>
      </x:c>
      <x:c r="AC134" s="13" t="n">
        <x:v>0.02142857142857143</x:v>
      </x:c>
      <x:c r="AD134" s="13" t="n">
        <x:v>0.45631708764999973</x:v>
      </x:c>
      <x:c r="AE134" s="13" t="n">
        <x:v>0.6250550962209407</x:v>
      </x:c>
      <x:c r="AF134" s="13" t="n">
        <x:v>3251796.2461111117</x:v>
      </x:c>
      <x:c r="AG134" s="13" t="n">
        <x:v>1.8516013843117145</x:v>
      </x:c>
      <x:c r="AH134" s="13" t="n">
        <x:v>0.01947997287815682</x:v>
      </x:c>
      <x:c r="AI134" s="13" t="n">
        <x:v>20</x:v>
      </x:c>
      <x:c r="AJ134" s="13" t="n">
        <x:v>76405632.82</x:v>
      </x:c>
      <x:c r="AK134" s="13" t="n">
        <x:v>0.33364722322677054</x:v>
      </x:c>
      <x:c r="AL134" s="13" t="n">
        <x:v>0.0418732782369146</x:v>
      </x:c>
      <x:c r="AM134" s="13" t="n">
        <x:v>0.002875215641173088</x:v>
      </x:c>
      <x:c r="AN134" s="13" t="n">
        <x:v>0.263060058688041</x:v>
      </x:c>
      <x:c r="AO134" s="13" t="n">
        <x:v>1.5963682170423388</x:v>
      </x:c>
      <x:c r="AP134" s="13" t="n">
        <x:v>0.02693852421775983</x:v>
      </x:c>
    </x:row>
    <x:row r="135" ht="15" hidden="0" customHeight="1">
      <x:c r="A135" s="2" t="str">
        <x:v>E134</x:v>
      </x:c>
      <x:c r="B135" s="2" t="str">
        <x:v>***工程咨询有限公司</x:v>
      </x:c>
      <x:c r="C135" s="2" t="str">
        <x:v>无信贷记录</x:v>
      </x:c>
      <x:c r="D135" s="2" t="str"/>
      <x:c r="E135" s="2" t="str"/>
      <x:c r="F135" s="13" t="n">
        <x:v>1695</x:v>
      </x:c>
      <x:c r="G135" s="13" t="n">
        <x:v>1664</x:v>
      </x:c>
      <x:c r="H135" s="13" t="n">
        <x:v>31</x:v>
      </x:c>
      <x:c r="I135" s="13" t="n">
        <x:v>7</x:v>
      </x:c>
      <x:c r="J135" s="13" t="n">
        <x:v>4295229.39</x:v>
      </x:c>
      <x:c r="K135" s="13" t="n">
        <x:v>4303115.369999999</x:v>
      </x:c>
      <x:c r="L135" s="13" t="n">
        <x:v>583</x:v>
      </x:c>
      <x:c r="M135" s="13" t="n">
        <x:v>0.018289085545722714</x:v>
      </x:c>
      <x:c r="N135" s="13" t="n">
        <x:v>0.004206730769230769</x:v>
      </x:c>
      <x:c r="O135" s="13" t="n">
        <x:v>0.12122744903342586</x:v>
      </x:c>
      <x:c r="P135" s="13" t="n">
        <x:v>0.32883152747075894</x:v>
      </x:c>
      <x:c r="Q135" s="13" t="n">
        <x:v>116087.28081081083</x:v>
      </x:c>
      <x:c r="R135" s="13" t="n">
        <x:v>2.2713293265696017</x:v>
      </x:c>
      <x:c r="S135" s="13" t="n">
        <x:v>0.08105630104454677</x:v>
      </x:c>
      <x:c r="T135" s="13" t="n">
        <x:v>36</x:v>
      </x:c>
      <x:c r="U135" s="13" t="n">
        <x:v>3070</x:v>
      </x:c>
      <x:c r="V135" s="13" t="n">
        <x:v>2835</x:v>
      </x:c>
      <x:c r="W135" s="13" t="n">
        <x:v>235</x:v>
      </x:c>
      <x:c r="X135" s="13" t="n">
        <x:v>58</x:v>
      </x:c>
      <x:c r="Y135" s="13" t="n">
        <x:v>130184400.25</x:v>
      </x:c>
      <x:c r="Z135" s="13" t="n">
        <x:v>136342986.89</x:v>
      </x:c>
      <x:c r="AA135" s="13" t="n">
        <x:v>1762</x:v>
      </x:c>
      <x:c r="AB135" s="13" t="n">
        <x:v>0.07654723127035831</x:v>
      </x:c>
      <x:c r="AC135" s="13" t="n">
        <x:v>0.020458553791887126</x:v>
      </x:c>
      <x:c r="AD135" s="13" t="n">
        <x:v>0.007614751794333865</x:v>
      </x:c>
      <x:c r="AE135" s="13" t="n">
        <x:v>0.0704910635979687</x:v>
      </x:c>
      <x:c r="AF135" s="13" t="n">
        <x:v>3518497.304054054</x:v>
      </x:c>
      <x:c r="AG135" s="13" t="n">
        <x:v>0.7873998991248903</x:v>
      </x:c>
      <x:c r="AH135" s="13" t="n">
        <x:v>0.049928296234475075</x:v>
      </x:c>
      <x:c r="AI135" s="13" t="n">
        <x:v>37</x:v>
      </x:c>
      <x:c r="AJ135" s="13" t="n">
        <x:v>125889170.86</x:v>
      </x:c>
      <x:c r="AK135" s="13" t="n">
        <x:v>0.03156095863934465</x:v>
      </x:c>
      <x:c r="AL135" s="13" t="n">
        <x:v>0.055823714585519414</x:v>
      </x:c>
      <x:c r="AM135" s="13" t="n">
        <x:v>0.014447655034452101</x:v>
      </x:c>
      <x:c r="AN135" s="13" t="n">
        <x:v>0.06442110041387986</x:v>
      </x:c>
      <x:c r="AO135" s="13" t="n">
        <x:v>1.529364612847246</x:v>
      </x:c>
      <x:c r="AP135" s="13" t="n">
        <x:v>0.06549229863951092</x:v>
      </x:c>
    </x:row>
    <x:row r="136" ht="15" hidden="0" customHeight="1">
      <x:c r="A136" s="2" t="str">
        <x:v>E135</x:v>
      </x:c>
      <x:c r="B136" s="2" t="str">
        <x:v>***建设工程有限公司</x:v>
      </x:c>
      <x:c r="C136" s="2" t="str">
        <x:v>无信贷记录</x:v>
      </x:c>
      <x:c r="D136" s="2" t="str"/>
      <x:c r="E136" s="2" t="str"/>
      <x:c r="F136" s="13" t="n">
        <x:v>2891</x:v>
      </x:c>
      <x:c r="G136" s="13" t="n">
        <x:v>2847</x:v>
      </x:c>
      <x:c r="H136" s="13" t="n">
        <x:v>44</x:v>
      </x:c>
      <x:c r="I136" s="13" t="n">
        <x:v>5</x:v>
      </x:c>
      <x:c r="J136" s="13" t="n">
        <x:v>26380957.44</x:v>
      </x:c>
      <x:c r="K136" s="13" t="n">
        <x:v>26998383.840000004</x:v>
      </x:c>
      <x:c r="L136" s="13" t="n">
        <x:v>366</x:v>
      </x:c>
      <x:c r="M136" s="13" t="n">
        <x:v>0.015219647180906262</x:v>
      </x:c>
      <x:c r="N136" s="13" t="n">
        <x:v>0.0017562346329469617</x:v>
      </x:c>
      <x:c r="O136" s="13" t="n">
        <x:v>0.04998646826789812</x:v>
      </x:c>
      <x:c r="P136" s="13" t="n">
        <x:v>0.12733962226681195</x:v>
      </x:c>
      <x:c r="Q136" s="13" t="n">
        <x:v>824404.9199999999</x:v>
      </x:c>
      <x:c r="R136" s="13" t="n">
        <x:v>1.3497269618308458</x:v>
      </x:c>
      <x:c r="S136" s="13" t="n">
        <x:v>0.10855164064753542</x:v>
      </x:c>
      <x:c r="T136" s="13" t="n">
        <x:v>31</x:v>
      </x:c>
      <x:c r="U136" s="13" t="n">
        <x:v>413</x:v>
      </x:c>
      <x:c r="V136" s="13" t="n">
        <x:v>367</x:v>
      </x:c>
      <x:c r="W136" s="13" t="n">
        <x:v>46</x:v>
      </x:c>
      <x:c r="X136" s="13" t="n">
        <x:v>14</x:v>
      </x:c>
      <x:c r="Y136" s="13" t="n">
        <x:v>143295880.13</x:v>
      </x:c>
      <x:c r="Z136" s="13" t="n">
        <x:v>159861561.73</x:v>
      </x:c>
      <x:c r="AA136" s="13" t="n">
        <x:v>78</x:v>
      </x:c>
      <x:c r="AB136" s="13" t="n">
        <x:v>0.11138014527845036</x:v>
      </x:c>
      <x:c r="AC136" s="13" t="n">
        <x:v>0.03814713896457766</x:v>
      </x:c>
      <x:c r="AD136" s="13" t="n">
        <x:v>0.09620457721580168</x:v>
      </x:c>
      <x:c r="AE136" s="13" t="n">
        <x:v>0.2307385490346917</x:v>
      </x:c>
      <x:c r="AF136" s="13" t="n">
        <x:v>3872861.625135136</x:v>
      </x:c>
      <x:c r="AG136" s="13" t="n">
        <x:v>0.8667642932241203</x:v>
      </x:c>
      <x:c r="AH136" s="13" t="n">
        <x:v>0.025926141787934138</x:v>
      </x:c>
      <x:c r="AI136" s="13" t="n">
        <x:v>35</x:v>
      </x:c>
      <x:c r="AJ136" s="13" t="n">
        <x:v>116914922.69</x:v>
      </x:c>
      <x:c r="AK136" s="13" t="n">
        <x:v>0.16888602580775003</x:v>
      </x:c>
      <x:c r="AL136" s="13" t="n">
        <x:v>0.027239709443099273</x:v>
      </x:c>
      <x:c r="AM136" s="13" t="n">
        <x:v>0.005911636589919104</x:v>
      </x:c>
      <x:c r="AN136" s="13" t="n">
        <x:v>0.0730955227418499</x:v>
      </x:c>
      <x:c r="AO136" s="13" t="n">
        <x:v>1.108245627527483</x:v>
      </x:c>
      <x:c r="AP136" s="13" t="n">
        <x:v>0.06723889121773478</x:v>
      </x:c>
    </x:row>
    <x:row r="137" ht="15" hidden="0" customHeight="1">
      <x:c r="A137" s="2" t="str">
        <x:v>E136</x:v>
      </x:c>
      <x:c r="B137" s="2" t="str">
        <x:v>***机械有限责任公司</x:v>
      </x:c>
      <x:c r="C137" s="2" t="str">
        <x:v>无信贷记录</x:v>
      </x:c>
      <x:c r="D137" s="2" t="str"/>
      <x:c r="E137" s="2" t="str"/>
      <x:c r="F137" s="13" t="n">
        <x:v>1288</x:v>
      </x:c>
      <x:c r="G137" s="13" t="n">
        <x:v>1286</x:v>
      </x:c>
      <x:c r="H137" s="13" t="n">
        <x:v>2</x:v>
      </x:c>
      <x:c r="I137" s="13" t="n">
        <x:v>1</x:v>
      </x:c>
      <x:c r="J137" s="13" t="n">
        <x:v>132110009.25</x:v>
      </x:c>
      <x:c r="K137" s="13" t="n">
        <x:v>132115098.75</x:v>
      </x:c>
      <x:c r="L137" s="13" t="n">
        <x:v>16</x:v>
      </x:c>
      <x:c r="M137" s="13" t="n">
        <x:v>0.0015527950310559005</x:v>
      </x:c>
      <x:c r="N137" s="13" t="n">
        <x:v>0.0007776049766718507</x:v>
      </x:c>
      <x:c r="O137" s="13" t="n">
        <x:v>0.9993843103765173</x:v>
      </x:c>
      <x:c r="P137" s="13" t="n">
        <x:v>0.9996920961314424</x:v>
      </x:c>
      <x:c r="Q137" s="13" t="n">
        <x:v>4403666.975</x:v>
      </x:c>
      <x:c r="R137" s="13" t="n">
        <x:v>1.0504224914096572</x:v>
      </x:c>
      <x:c r="S137" s="13" t="n">
        <x:v>0.03422372190518823</x:v>
      </x:c>
      <x:c r="T137" s="13" t="n">
        <x:v>28</x:v>
      </x:c>
      <x:c r="U137" s="13" t="n">
        <x:v>1355</x:v>
      </x:c>
      <x:c r="V137" s="13" t="n">
        <x:v>1284</x:v>
      </x:c>
      <x:c r="W137" s="13" t="n">
        <x:v>71</x:v>
      </x:c>
      <x:c r="X137" s="13" t="n">
        <x:v>4</x:v>
      </x:c>
      <x:c r="Y137" s="13" t="n">
        <x:v>134565225</x:v>
      </x:c>
      <x:c r="Z137" s="13" t="n">
        <x:v>135273225</x:v>
      </x:c>
      <x:c r="AA137" s="13" t="n">
        <x:v>4</x:v>
      </x:c>
      <x:c r="AB137" s="13" t="n">
        <x:v>0.05239852398523985</x:v>
      </x:c>
      <x:c r="AC137" s="13" t="n">
        <x:v>0.003115264797507788</x:v>
      </x:c>
      <x:c r="AD137" s="13" t="n">
        <x:v>0.6423019325181604</x:v>
      </x:c>
      <x:c r="AE137" s="13" t="n">
        <x:v>0.7887687308408593</x:v>
      </x:c>
      <x:c r="AF137" s="13" t="n">
        <x:v>4485507.5</x:v>
      </x:c>
      <x:c r="AG137" s="13" t="n">
        <x:v>1.0013715588757137</x:v>
      </x:c>
      <x:c r="AH137" s="13" t="n">
        <x:v>0.03777537689408579</x:v>
      </x:c>
      <x:c r="AI137" s="13" t="n">
        <x:v>28</x:v>
      </x:c>
      <x:c r="AJ137" s="13" t="n">
        <x:v>2455215.75</x:v>
      </x:c>
      <x:c r="AK137" s="13" t="n">
        <x:v>0.9766537224938638</x:v>
      </x:c>
      <x:c r="AL137" s="13" t="n">
        <x:v>0.027620128641695045</x:v>
      </x:c>
      <x:c r="AM137" s="13" t="n">
        <x:v>0.0019455252918287938</x:v>
      </x:c>
      <x:c r="AN137" s="13" t="n">
        <x:v>0.8208431214473388</x:v>
      </x:c>
      <x:c r="AO137" s="13" t="n">
        <x:v>1.0258970251426853</x:v>
      </x:c>
      <x:c r="AP137" s="13" t="n">
        <x:v>0.03599954939963701</x:v>
      </x:c>
    </x:row>
    <x:row r="138" ht="15" hidden="0" customHeight="1">
      <x:c r="A138" s="2" t="str">
        <x:v>E137</x:v>
      </x:c>
      <x:c r="B138" s="2" t="str">
        <x:v>***建设工程有限公司</x:v>
      </x:c>
      <x:c r="C138" s="2" t="str">
        <x:v>无信贷记录</x:v>
      </x:c>
      <x:c r="D138" s="2" t="str"/>
      <x:c r="E138" s="2" t="str"/>
      <x:c r="F138" s="13" t="n">
        <x:v>3281</x:v>
      </x:c>
      <x:c r="G138" s="13" t="n">
        <x:v>3141</x:v>
      </x:c>
      <x:c r="H138" s="13" t="n">
        <x:v>140</x:v>
      </x:c>
      <x:c r="I138" s="13" t="n">
        <x:v>37</x:v>
      </x:c>
      <x:c r="J138" s="13" t="n">
        <x:v>108301441.78</x:v>
      </x:c>
      <x:c r="K138" s="13" t="n">
        <x:v>114625108</x:v>
      </x:c>
      <x:c r="L138" s="13" t="n">
        <x:v>679</x:v>
      </x:c>
      <x:c r="M138" s="13" t="n">
        <x:v>0.04266991770801585</x:v>
      </x:c>
      <x:c r="N138" s="13" t="n">
        <x:v>0.01177968799745304</x:v>
      </x:c>
      <x:c r="O138" s="13" t="n">
        <x:v>0.03803058810326477</x:v>
      </x:c>
      <x:c r="P138" s="13" t="n">
        <x:v>0.08724092107289443</x:v>
      </x:c>
      <x:c r="Q138" s="13" t="n">
        <x:v>2927065.994054054</x:v>
      </x:c>
      <x:c r="R138" s="13" t="n">
        <x:v>0.9566368292116411</x:v>
      </x:c>
      <x:c r="S138" s="13" t="n">
        <x:v>0.021389982530658217</x:v>
      </x:c>
      <x:c r="T138" s="13" t="n">
        <x:v>37</x:v>
      </x:c>
      <x:c r="U138" s="13" t="n">
        <x:v>254</x:v>
      </x:c>
      <x:c r="V138" s="13" t="n">
        <x:v>231</x:v>
      </x:c>
      <x:c r="W138" s="13" t="n">
        <x:v>23</x:v>
      </x:c>
      <x:c r="X138" s="13" t="n">
        <x:v>6</x:v>
      </x:c>
      <x:c r="Y138" s="13" t="n">
        <x:v>153538073.10000002</x:v>
      </x:c>
      <x:c r="Z138" s="13" t="n">
        <x:v>161278073.12</x:v>
      </x:c>
      <x:c r="AA138" s="13" t="n">
        <x:v>26</x:v>
      </x:c>
      <x:c r="AB138" s="13" t="n">
        <x:v>0.09055118110236221</x:v>
      </x:c>
      <x:c r="AC138" s="13" t="n">
        <x:v>0.025974025974025976</x:v>
      </x:c>
      <x:c r="AD138" s="13" t="n">
        <x:v>0.14024247880594554</x:v>
      </x:c>
      <x:c r="AE138" s="13" t="n">
        <x:v>0.27052989867715255</x:v>
      </x:c>
      <x:c r="AF138" s="13" t="n">
        <x:v>4149677.651351352</x:v>
      </x:c>
      <x:c r="AG138" s="13" t="n">
        <x:v>1.2707446487785947</x:v>
      </x:c>
      <x:c r="AH138" s="13" t="n">
        <x:v>0.02518202398881087</x:v>
      </x:c>
      <x:c r="AI138" s="13" t="n">
        <x:v>30</x:v>
      </x:c>
      <x:c r="AJ138" s="13" t="n">
        <x:v>45236631.32000002</x:v>
      </x:c>
      <x:c r="AK138" s="13" t="n">
        <x:v>0.7107296471400203</x:v>
      </x:c>
      <x:c r="AL138" s="13" t="n">
        <x:v>0.04611032531824611</x:v>
      </x:c>
      <x:c r="AM138" s="13" t="n">
        <x:v>0.012752075919335706</x:v>
      </x:c>
      <x:c r="AN138" s="13" t="n">
        <x:v>0.08913653345460515</x:v>
      </x:c>
      <x:c r="AO138" s="13" t="n">
        <x:v>1.1136907389951178</x:v>
      </x:c>
      <x:c r="AP138" s="13" t="n">
        <x:v>0.023286003259734546</x:v>
      </x:c>
    </x:row>
    <x:row r="139" ht="15" hidden="0" customHeight="1">
      <x:c r="A139" s="2" t="str">
        <x:v>E138</x:v>
      </x:c>
      <x:c r="B139" s="2" t="str">
        <x:v>个体经营E138 </x:v>
      </x:c>
      <x:c r="C139" s="2" t="str">
        <x:v>无信贷记录</x:v>
      </x:c>
      <x:c r="D139" s="2" t="str"/>
      <x:c r="E139" s="2" t="str"/>
      <x:c r="F139" s="13" t="n">
        <x:v>520</x:v>
      </x:c>
      <x:c r="G139" s="13" t="n">
        <x:v>512</x:v>
      </x:c>
      <x:c r="H139" s="13" t="n">
        <x:v>8</x:v>
      </x:c>
      <x:c r="I139" s="13" t="n">
        <x:v>25</x:v>
      </x:c>
      <x:c r="J139" s="13" t="n">
        <x:v>23875015.509999998</x:v>
      </x:c>
      <x:c r="K139" s="13" t="n">
        <x:v>23892099.349999998</x:v>
      </x:c>
      <x:c r="L139" s="13" t="n">
        <x:v>54</x:v>
      </x:c>
      <x:c r="M139" s="13" t="n">
        <x:v>0.015384615384615385</x:v>
      </x:c>
      <x:c r="N139" s="13" t="n">
        <x:v>0.04853794642857142</x:v>
      </x:c>
      <x:c r="O139" s="13" t="n">
        <x:v>0.17248558942173775</x:v>
      </x:c>
      <x:c r="P139" s="13" t="n">
        <x:v>0.2655451455754975</x:v>
      </x:c>
      <x:c r="Q139" s="13" t="n">
        <x:v>663194.8752777777</x:v>
      </x:c>
      <x:c r="R139" s="13" t="n">
        <x:v>1.362754316912057</x:v>
      </x:c>
      <x:c r="S139" s="13" t="n">
        <x:v>0.027861138669194572</x:v>
      </x:c>
      <x:c r="T139" s="13" t="n">
        <x:v>36</x:v>
      </x:c>
      <x:c r="U139" s="13" t="n">
        <x:v>1492</x:v>
      </x:c>
      <x:c r="V139" s="13" t="n">
        <x:v>1439</x:v>
      </x:c>
      <x:c r="W139" s="13" t="n">
        <x:v>53</x:v>
      </x:c>
      <x:c r="X139" s="13" t="n">
        <x:v>12</x:v>
      </x:c>
      <x:c r="Y139" s="13" t="n">
        <x:v>124141305.95</x:v>
      </x:c>
      <x:c r="Z139" s="13" t="n">
        <x:v>125692305.95</x:v>
      </x:c>
      <x:c r="AA139" s="13" t="n">
        <x:v>121</x:v>
      </x:c>
      <x:c r="AB139" s="13" t="n">
        <x:v>0.035522788203753354</x:v>
      </x:c>
      <x:c r="AC139" s="13" t="n">
        <x:v>0.008339124391938846</x:v>
      </x:c>
      <x:c r="AD139" s="13" t="n">
        <x:v>0.04238802967956257</x:v>
      </x:c>
      <x:c r="AE139" s="13" t="n">
        <x:v>0.10157773702615407</x:v>
      </x:c>
      <x:c r="AF139" s="13" t="n">
        <x:v>3448369.609722222</x:v>
      </x:c>
      <x:c r="AG139" s="13" t="n">
        <x:v>0.6036636773997888</x:v>
      </x:c>
      <x:c r="AH139" s="13" t="n">
        <x:v>0.03252558317370523</x:v>
      </x:c>
      <x:c r="AI139" s="13" t="n">
        <x:v>36</x:v>
      </x:c>
      <x:c r="AJ139" s="13" t="n">
        <x:v>100266290.44</x:v>
      </x:c>
      <x:c r="AK139" s="13" t="n">
        <x:v>0.19008402439131158</x:v>
      </x:c>
      <x:c r="AL139" s="13" t="n">
        <x:v>0.030318091451292245</x:v>
      </x:c>
      <x:c r="AM139" s="13" t="n">
        <x:v>0.018964633521271142</x:v>
      </x:c>
      <x:c r="AN139" s="13" t="n">
        <x:v>0.10743680955065016</x:v>
      </x:c>
      <x:c r="AO139" s="13" t="n">
        <x:v>0.9832089971559229</x:v>
      </x:c>
      <x:c r="AP139" s="13" t="n">
        <x:v>0.030193360921449898</x:v>
      </x:c>
    </x:row>
    <x:row r="140" ht="15" hidden="0" customHeight="1">
      <x:c r="A140" s="2" t="str">
        <x:v>E139</x:v>
      </x:c>
      <x:c r="B140" s="2" t="str">
        <x:v>个体经营E139 </x:v>
      </x:c>
      <x:c r="C140" s="2" t="str">
        <x:v>无信贷记录</x:v>
      </x:c>
      <x:c r="D140" s="2" t="str"/>
      <x:c r="E140" s="2" t="str"/>
      <x:c r="F140" s="13" t="n">
        <x:v>472</x:v>
      </x:c>
      <x:c r="G140" s="13" t="n">
        <x:v>457</x:v>
      </x:c>
      <x:c r="H140" s="13" t="n">
        <x:v>15</x:v>
      </x:c>
      <x:c r="I140" s="13" t="n">
        <x:v>2</x:v>
      </x:c>
      <x:c r="J140" s="13" t="n">
        <x:v>1294008.95</x:v>
      </x:c>
      <x:c r="K140" s="13" t="n">
        <x:v>1306350.95</x:v>
      </x:c>
      <x:c r="L140" s="13" t="n">
        <x:v>77</x:v>
      </x:c>
      <x:c r="M140" s="13" t="n">
        <x:v>0.03177966101694915</x:v>
      </x:c>
      <x:c r="N140" s="13" t="n">
        <x:v>0.00437636761487965</x:v>
      </x:c>
      <x:c r="O140" s="13" t="n">
        <x:v>0.07742325260536333</x:v>
      </x:c>
      <x:c r="P140" s="13" t="n">
        <x:v>0.13712088623658136</x:v>
      </x:c>
      <x:c r="Q140" s="13" t="n">
        <x:v>35944.69305555555</x:v>
      </x:c>
      <x:c r="R140" s="13" t="n">
        <x:v>1.2450171109800579</x:v>
      </x:c>
      <x:c r="S140" s="13" t="n">
        <x:v>0.025809056355488892</x:v>
      </x:c>
      <x:c r="T140" s="13" t="n">
        <x:v>36</x:v>
      </x:c>
      <x:c r="U140" s="13" t="n">
        <x:v>11455.639999999989</x:v>
      </x:c>
      <x:c r="V140" s="13" t="n">
        <x:v>10722.759999999987</x:v>
      </x:c>
      <x:c r="W140" s="13" t="n">
        <x:v>613</x:v>
      </x:c>
      <x:c r="X140" s="13" t="n">
        <x:v>32</x:v>
      </x:c>
      <x:c r="Y140" s="13" t="n">
        <x:v>197108305.55</x:v>
      </x:c>
      <x:c r="Z140" s="13" t="n">
        <x:v>198566456.93</x:v>
      </x:c>
      <x:c r="AA140" s="13" t="n">
        <x:v>169</x:v>
      </x:c>
      <x:c r="AB140" s="13" t="n">
        <x:v>0.04780845421931056</x:v>
      </x:c>
      <x:c r="AC140" s="13" t="n">
        <x:v>0.002621017282332705</x:v>
      </x:c>
      <x:c r="AD140" s="13" t="n">
        <x:v>0.10622973718530591</x:v>
      </x:c>
      <x:c r="AE140" s="13" t="n">
        <x:v>0.2846040921197596</x:v>
      </x:c>
      <x:c r="AF140" s="13" t="n">
        <x:v>5475230.709722221</x:v>
      </x:c>
      <x:c r="AG140" s="13" t="n">
        <x:v>0.41262862632197933</x:v>
      </x:c>
      <x:c r="AH140" s="13" t="n">
        <x:v>-0.013354211589972208</x:v>
      </x:c>
      <x:c r="AI140" s="13" t="n">
        <x:v>36</x:v>
      </x:c>
      <x:c r="AJ140" s="13" t="n">
        <x:v>195814296.60000002</x:v>
      </x:c>
      <x:c r="AK140" s="13" t="n">
        <x:v>0.006578910507833272</x:v>
      </x:c>
      <x:c r="AL140" s="13" t="n">
        <x:v>0.04723935610049646</x:v>
      </x:c>
      <x:c r="AM140" s="13" t="n">
        <x:v>0.0026843518079898944</x:v>
      </x:c>
      <x:c r="AN140" s="13" t="n">
        <x:v>0.09182649489533462</x:v>
      </x:c>
      <x:c r="AO140" s="13" t="n">
        <x:v>0.8288228686510186</x:v>
      </x:c>
      <x:c r="AP140" s="13" t="n">
        <x:v>0.006227422382758342</x:v>
      </x:c>
    </x:row>
    <x:row r="141" ht="15" hidden="0" customHeight="1">
      <x:c r="A141" s="2" t="str">
        <x:v>E140</x:v>
      </x:c>
      <x:c r="B141" s="2" t="str">
        <x:v>***建筑工程有限公司</x:v>
      </x:c>
      <x:c r="C141" s="2" t="str">
        <x:v>无信贷记录</x:v>
      </x:c>
      <x:c r="D141" s="2" t="str"/>
      <x:c r="E141" s="2" t="str"/>
      <x:c r="F141" s="13" t="n">
        <x:v>2074</x:v>
      </x:c>
      <x:c r="G141" s="13" t="n">
        <x:v>2023</x:v>
      </x:c>
      <x:c r="H141" s="13" t="n">
        <x:v>51</x:v>
      </x:c>
      <x:c r="I141" s="13" t="n">
        <x:v>17</x:v>
      </x:c>
      <x:c r="J141" s="13" t="n">
        <x:v>7398424.6899999995</x:v>
      </x:c>
      <x:c r="K141" s="13" t="n">
        <x:v>9209032.83</x:v>
      </x:c>
      <x:c r="L141" s="13" t="n">
        <x:v>564</x:v>
      </x:c>
      <x:c r="M141" s="13" t="n">
        <x:v>0.02459016393442623</x:v>
      </x:c>
      <x:c r="N141" s="13" t="n">
        <x:v>0.008403361344537815</x:v>
      </x:c>
      <x:c r="O141" s="13" t="n">
        <x:v>0.12010151498216151</x:v>
      </x:c>
      <x:c r="P141" s="13" t="n">
        <x:v>0.23779560573029254</x:v>
      </x:c>
      <x:c r="Q141" s="13" t="n">
        <x:v>205511.79694444442</x:v>
      </x:c>
      <x:c r="R141" s="13" t="n">
        <x:v>1.5913717808018595</x:v>
      </x:c>
      <x:c r="S141" s="13" t="n">
        <x:v>0.05098787272548473</x:v>
      </x:c>
      <x:c r="T141" s="13" t="n">
        <x:v>36</x:v>
      </x:c>
      <x:c r="U141" s="13" t="n">
        <x:v>845</x:v>
      </x:c>
      <x:c r="V141" s="13" t="n">
        <x:v>726</x:v>
      </x:c>
      <x:c r="W141" s="13" t="n">
        <x:v>119</x:v>
      </x:c>
      <x:c r="X141" s="13" t="n">
        <x:v>22</x:v>
      </x:c>
      <x:c r="Y141" s="13" t="n">
        <x:v>188193665.98</x:v>
      </x:c>
      <x:c r="Z141" s="13" t="n">
        <x:v>196294104.92000002</x:v>
      </x:c>
      <x:c r="AA141" s="13" t="n">
        <x:v>20</x:v>
      </x:c>
      <x:c r="AB141" s="13" t="n">
        <x:v>0.1408284023668639</x:v>
      </x:c>
      <x:c r="AC141" s="13" t="n">
        <x:v>0.030303030303030304</x:v>
      </x:c>
      <x:c r="AD141" s="13" t="n">
        <x:v>0.13528243226283204</x:v>
      </x:c>
      <x:c r="AE141" s="13" t="n">
        <x:v>0.21882065789752397</x:v>
      </x:c>
      <x:c r="AF141" s="13" t="n">
        <x:v>5086315.296756757</x:v>
      </x:c>
      <x:c r="AG141" s="13" t="n">
        <x:v>0.8085629192837771</x:v>
      </x:c>
      <x:c r="AH141" s="13" t="n">
        <x:v>-0.003000158513213754</x:v>
      </x:c>
      <x:c r="AI141" s="13" t="n">
        <x:v>36</x:v>
      </x:c>
      <x:c r="AJ141" s="13" t="n">
        <x:v>180795241.29</x:v>
      </x:c>
      <x:c r="AK141" s="13" t="n">
        <x:v>0.04691446456710025</x:v>
      </x:c>
      <x:c r="AL141" s="13" t="n">
        <x:v>0.05823912298732443</x:v>
      </x:c>
      <x:c r="AM141" s="13" t="n">
        <x:v>0.014186977082575483</x:v>
      </x:c>
      <x:c r="AN141" s="13" t="n">
        <x:v>0.1276919736224968</x:v>
      </x:c>
      <x:c r="AO141" s="13" t="n">
        <x:v>1.1999673500428183</x:v>
      </x:c>
      <x:c r="AP141" s="13" t="n">
        <x:v>0.02399385710613549</x:v>
      </x:c>
    </x:row>
    <x:row r="142" ht="15" hidden="0" customHeight="1">
      <x:c r="A142" s="2" t="str">
        <x:v>E141</x:v>
      </x:c>
      <x:c r="B142" s="2" t="str">
        <x:v>***食品有限公司</x:v>
      </x:c>
      <x:c r="C142" s="2" t="str">
        <x:v>无信贷记录</x:v>
      </x:c>
      <x:c r="D142" s="2" t="str"/>
      <x:c r="E142" s="2" t="str"/>
      <x:c r="F142" s="13" t="n">
        <x:v>1413</x:v>
      </x:c>
      <x:c r="G142" s="13" t="n">
        <x:v>1357</x:v>
      </x:c>
      <x:c r="H142" s="13" t="n">
        <x:v>56</x:v>
      </x:c>
      <x:c r="I142" s="13" t="n">
        <x:v>3</x:v>
      </x:c>
      <x:c r="J142" s="13" t="n">
        <x:v>41048444.16</x:v>
      </x:c>
      <x:c r="K142" s="13" t="n">
        <x:v>41098530.16</x:v>
      </x:c>
      <x:c r="L142" s="13" t="n">
        <x:v>209</x:v>
      </x:c>
      <x:c r="M142" s="13" t="n">
        <x:v>0.039631988676574664</x:v>
      </x:c>
      <x:c r="N142" s="13" t="n">
        <x:v>0.002210759027266028</x:v>
      </x:c>
      <x:c r="O142" s="13" t="n">
        <x:v>0.05489300642638903</x:v>
      </x:c>
      <x:c r="P142" s="13" t="n">
        <x:v>0.11308531015358336</x:v>
      </x:c>
      <x:c r="Q142" s="13" t="n">
        <x:v>1140234.5599999998</x:v>
      </x:c>
      <x:c r="R142" s="13" t="n">
        <x:v>0.9680248782034583</x:v>
      </x:c>
      <x:c r="S142" s="13" t="n">
        <x:v>0.05318694610527333</x:v>
      </x:c>
      <x:c r="T142" s="13" t="n">
        <x:v>36</x:v>
      </x:c>
      <x:c r="U142" s="13" t="n">
        <x:v>4740</x:v>
      </x:c>
      <x:c r="V142" s="13" t="n">
        <x:v>4458</x:v>
      </x:c>
      <x:c r="W142" s="13" t="n">
        <x:v>282</x:v>
      </x:c>
      <x:c r="X142" s="13" t="n">
        <x:v>144</x:v>
      </x:c>
      <x:c r="Y142" s="13" t="n">
        <x:v>161840043.63</x:v>
      </x:c>
      <x:c r="Z142" s="13" t="n">
        <x:v>170014392.05</x:v>
      </x:c>
      <x:c r="AA142" s="13" t="n">
        <x:v>1191</x:v>
      </x:c>
      <x:c r="AB142" s="13" t="n">
        <x:v>0.05949367088607595</x:v>
      </x:c>
      <x:c r="AC142" s="13" t="n">
        <x:v>0.03230148048452221</x:v>
      </x:c>
      <x:c r="AD142" s="13" t="n">
        <x:v>0.01576966530048874</x:v>
      </x:c>
      <x:c r="AE142" s="13" t="n">
        <x:v>0.07329197575423732</x:v>
      </x:c>
      <x:c r="AF142" s="13" t="n">
        <x:v>4624001.246571428</x:v>
      </x:c>
      <x:c r="AG142" s="13" t="n">
        <x:v>0.42523176604814894</x:v>
      </x:c>
      <x:c r="AH142" s="13" t="n">
        <x:v>0.019123317357512718</x:v>
      </x:c>
      <x:c r="AI142" s="13" t="n">
        <x:v>35</x:v>
      </x:c>
      <x:c r="AJ142" s="13" t="n">
        <x:v>120791599.47</x:v>
      </x:c>
      <x:c r="AK142" s="13" t="n">
        <x:v>0.24173559464255953</x:v>
      </x:c>
      <x:c r="AL142" s="13" t="n">
        <x:v>0.05493255322606858</x:v>
      </x:c>
      <x:c r="AM142" s="13" t="n">
        <x:v>0.02527944969905417</x:v>
      </x:c>
      <x:c r="AN142" s="13" t="n">
        <x:v>0.03533133586343888</x:v>
      </x:c>
      <x:c r="AO142" s="13" t="n">
        <x:v>0.6966283221258036</x:v>
      </x:c>
      <x:c r="AP142" s="13" t="n">
        <x:v>0.03615513173139302</x:v>
      </x:c>
    </x:row>
    <x:row r="143" ht="15" hidden="0" customHeight="1">
      <x:c r="A143" s="2" t="str">
        <x:v>E142</x:v>
      </x:c>
      <x:c r="B143" s="2" t="str">
        <x:v>***运业有限公司</x:v>
      </x:c>
      <x:c r="C143" s="2" t="str">
        <x:v>无信贷记录</x:v>
      </x:c>
      <x:c r="D143" s="2" t="str"/>
      <x:c r="E143" s="2" t="str"/>
      <x:c r="F143" s="13" t="n">
        <x:v>727</x:v>
      </x:c>
      <x:c r="G143" s="13" t="n">
        <x:v>704</x:v>
      </x:c>
      <x:c r="H143" s="13" t="n">
        <x:v>23</x:v>
      </x:c>
      <x:c r="I143" s="13" t="n">
        <x:v>11</x:v>
      </x:c>
      <x:c r="J143" s="13" t="n">
        <x:v>55999811.83</x:v>
      </x:c>
      <x:c r="K143" s="13" t="n">
        <x:v>57306919.91</x:v>
      </x:c>
      <x:c r="L143" s="13" t="n">
        <x:v>96</x:v>
      </x:c>
      <x:c r="M143" s="13" t="n">
        <x:v>0.03163686382393398</x:v>
      </x:c>
      <x:c r="N143" s="13" t="n">
        <x:v>0.015625</x:v>
      </x:c>
      <x:c r="O143" s="13" t="n">
        <x:v>0.23992970790182364</x:v>
      </x:c>
      <x:c r="P143" s="13" t="n">
        <x:v>0.4305351109211271</x:v>
      </x:c>
      <x:c r="Q143" s="13" t="n">
        <x:v>1513508.4278378382</x:v>
      </x:c>
      <x:c r="R143" s="13" t="n">
        <x:v>1.0779844746322873</x:v>
      </x:c>
      <x:c r="S143" s="13" t="n">
        <x:v>0.06389116056873607</x:v>
      </x:c>
      <x:c r="T143" s="13" t="n">
        <x:v>37</x:v>
      </x:c>
      <x:c r="U143" s="13" t="n">
        <x:v>1476</x:v>
      </x:c>
      <x:c r="V143" s="13" t="n">
        <x:v>1366</x:v>
      </x:c>
      <x:c r="W143" s="13" t="n">
        <x:v>110</x:v>
      </x:c>
      <x:c r="X143" s="13" t="n">
        <x:v>10</x:v>
      </x:c>
      <x:c r="Y143" s="13" t="n">
        <x:v>106758632.44</x:v>
      </x:c>
      <x:c r="Z143" s="13" t="n">
        <x:v>107736027</x:v>
      </x:c>
      <x:c r="AA143" s="13" t="n">
        <x:v>75</x:v>
      </x:c>
      <x:c r="AB143" s="13" t="n">
        <x:v>0.07452574525745258</x:v>
      </x:c>
      <x:c r="AC143" s="13" t="n">
        <x:v>0.007320644216691069</x:v>
      </x:c>
      <x:c r="AD143" s="13" t="n">
        <x:v>0.30102469340193905</x:v>
      </x:c>
      <x:c r="AE143" s="13" t="n">
        <x:v>0.4312348943404048</x:v>
      </x:c>
      <x:c r="AF143" s="13" t="n">
        <x:v>2885368.4443243244</x:v>
      </x:c>
      <x:c r="AG143" s="13" t="n">
        <x:v>0.6136135059322547</x:v>
      </x:c>
      <x:c r="AH143" s="13" t="n">
        <x:v>0.051802212339714215</x:v>
      </x:c>
      <x:c r="AI143" s="13" t="n">
        <x:v>37</x:v>
      </x:c>
      <x:c r="AJ143" s="13" t="n">
        <x:v>50758820.61</x:v>
      </x:c>
      <x:c r="AK143" s="13" t="n">
        <x:v>0.5319197440796661</x:v>
      </x:c>
      <x:c r="AL143" s="13" t="n">
        <x:v>0.060372219700408535</x:v>
      </x:c>
      <x:c r="AM143" s="13" t="n">
        <x:v>0.010144927536231883</x:v>
      </x:c>
      <x:c r="AN143" s="13" t="n">
        <x:v>0.27047720065188136</x:v>
      </x:c>
      <x:c r="AO143" s="13" t="n">
        <x:v>0.845798990282271</x:v>
      </x:c>
      <x:c r="AP143" s="13" t="n">
        <x:v>0.057846686454225145</x:v>
      </x:c>
    </x:row>
    <x:row r="144" ht="15" hidden="0" customHeight="1">
      <x:c r="A144" s="2" t="str">
        <x:v>E143</x:v>
      </x:c>
      <x:c r="B144" s="2" t="str">
        <x:v>***电子科技有限公司</x:v>
      </x:c>
      <x:c r="C144" s="2" t="str">
        <x:v>无信贷记录</x:v>
      </x:c>
      <x:c r="D144" s="2" t="str"/>
      <x:c r="E144" s="2" t="str"/>
      <x:c r="F144" s="13" t="n">
        <x:v>3714</x:v>
      </x:c>
      <x:c r="G144" s="13" t="n">
        <x:v>3579</x:v>
      </x:c>
      <x:c r="H144" s="13" t="n">
        <x:v>135</x:v>
      </x:c>
      <x:c r="I144" s="13" t="n">
        <x:v>43</x:v>
      </x:c>
      <x:c r="J144" s="13" t="n">
        <x:v>36308552.33</x:v>
      </x:c>
      <x:c r="K144" s="13" t="n">
        <x:v>36937647.03</x:v>
      </x:c>
      <x:c r="L144" s="13" t="n">
        <x:v>601</x:v>
      </x:c>
      <x:c r="M144" s="13" t="n">
        <x:v>0.036348949919224556</x:v>
      </x:c>
      <x:c r="N144" s="13" t="n">
        <x:v>0.012014529198100027</x:v>
      </x:c>
      <x:c r="O144" s="13" t="n">
        <x:v>0.0827176179322379</x:v>
      </x:c>
      <x:c r="P144" s="13" t="n">
        <x:v>0.2423914564110772</x:v>
      </x:c>
      <x:c r="Q144" s="13" t="n">
        <x:v>955488.2192105263</x:v>
      </x:c>
      <x:c r="R144" s="13" t="n">
        <x:v>0.8968877431241832</x:v>
      </x:c>
      <x:c r="S144" s="13" t="n">
        <x:v>0.03817661790830281</x:v>
      </x:c>
      <x:c r="T144" s="13" t="n">
        <x:v>38</x:v>
      </x:c>
      <x:c r="U144" s="13" t="n">
        <x:v>1150</x:v>
      </x:c>
      <x:c r="V144" s="13" t="n">
        <x:v>1099</x:v>
      </x:c>
      <x:c r="W144" s="13" t="n">
        <x:v>51</x:v>
      </x:c>
      <x:c r="X144" s="13" t="n">
        <x:v>21</x:v>
      </x:c>
      <x:c r="Y144" s="13" t="n">
        <x:v>102948526.85999998</x:v>
      </x:c>
      <x:c r="Z144" s="13" t="n">
        <x:v>106136928.85999998</x:v>
      </x:c>
      <x:c r="AA144" s="13" t="n">
        <x:v>77</x:v>
      </x:c>
      <x:c r="AB144" s="13" t="n">
        <x:v>0.04434782608695652</x:v>
      </x:c>
      <x:c r="AC144" s="13" t="n">
        <x:v>0.01910828025477707</x:v>
      </x:c>
      <x:c r="AD144" s="13" t="n">
        <x:v>0.38744802797497907</x:v>
      </x:c>
      <x:c r="AE144" s="13" t="n">
        <x:v>0.5943532630684034</x:v>
      </x:c>
      <x:c r="AF144" s="13" t="n">
        <x:v>2709171.7594736842</x:v>
      </x:c>
      <x:c r="AG144" s="13" t="n">
        <x:v>1.2350433424444607</x:v>
      </x:c>
      <x:c r="AH144" s="13" t="n">
        <x:v>0.07183559000436777</x:v>
      </x:c>
      <x:c r="AI144" s="13" t="n">
        <x:v>35</x:v>
      </x:c>
      <x:c r="AJ144" s="13" t="n">
        <x:v>66639974.52999999</x:v>
      </x:c>
      <x:c r="AK144" s="13" t="n">
        <x:v>0.3480188038860879</x:v>
      </x:c>
      <x:c r="AL144" s="13" t="n">
        <x:v>0.038240131578947366</x:v>
      </x:c>
      <x:c r="AM144" s="13" t="n">
        <x:v>0.013681060282171868</x:v>
      </x:c>
      <x:c r="AN144" s="13" t="n">
        <x:v>0.2350828229536085</x:v>
      </x:c>
      <x:c r="AO144" s="13" t="n">
        <x:v>1.065965542784322</x:v>
      </x:c>
      <x:c r="AP144" s="13" t="n">
        <x:v>0.05500610395633529</x:v>
      </x:c>
    </x:row>
    <x:row r="145" ht="15" hidden="0" customHeight="1">
      <x:c r="A145" s="2" t="str">
        <x:v>E144</x:v>
      </x:c>
      <x:c r="B145" s="2" t="str">
        <x:v>***劳务有限公司</x:v>
      </x:c>
      <x:c r="C145" s="2" t="str">
        <x:v>无信贷记录</x:v>
      </x:c>
      <x:c r="D145" s="2" t="str"/>
      <x:c r="E145" s="2" t="str"/>
      <x:c r="F145" s="13" t="n">
        <x:v>2478</x:v>
      </x:c>
      <x:c r="G145" s="13" t="n">
        <x:v>2434</x:v>
      </x:c>
      <x:c r="H145" s="13" t="n">
        <x:v>44</x:v>
      </x:c>
      <x:c r="I145" s="13" t="n">
        <x:v>11</x:v>
      </x:c>
      <x:c r="J145" s="13" t="n">
        <x:v>9341618.740000002</x:v>
      </x:c>
      <x:c r="K145" s="13" t="n">
        <x:v>9933235.56</x:v>
      </x:c>
      <x:c r="L145" s="13" t="n">
        <x:v>673</x:v>
      </x:c>
      <x:c r="M145" s="13" t="n">
        <x:v>0.01775625504439064</x:v>
      </x:c>
      <x:c r="N145" s="13" t="n">
        <x:v>0.0045193097781429745</x:v>
      </x:c>
      <x:c r="O145" s="13" t="n">
        <x:v>0.06957021859773192</x:v>
      </x:c>
      <x:c r="P145" s="13" t="n">
        <x:v>0.2013442637013231</x:v>
      </x:c>
      <x:c r="Q145" s="13" t="n">
        <x:v>311387.29133333336</x:v>
      </x:c>
      <x:c r="R145" s="13" t="n">
        <x:v>2.0618367927695562</x:v>
      </x:c>
      <x:c r="S145" s="13" t="n">
        <x:v>0.11172501948217446</x:v>
      </x:c>
      <x:c r="T145" s="13" t="n">
        <x:v>30</x:v>
      </x:c>
      <x:c r="U145" s="13" t="n">
        <x:v>1360</x:v>
      </x:c>
      <x:c r="V145" s="13" t="n">
        <x:v>1245</x:v>
      </x:c>
      <x:c r="W145" s="13" t="n">
        <x:v>115</x:v>
      </x:c>
      <x:c r="X145" s="13" t="n">
        <x:v>58</x:v>
      </x:c>
      <x:c r="Y145" s="13" t="n">
        <x:v>109445317.3</x:v>
      </x:c>
      <x:c r="Z145" s="13" t="n">
        <x:v>120626037.29999998</x:v>
      </x:c>
      <x:c r="AA145" s="13" t="n">
        <x:v>34</x:v>
      </x:c>
      <x:c r="AB145" s="13" t="n">
        <x:v>0.08455882352941177</x:v>
      </x:c>
      <x:c r="AC145" s="13" t="n">
        <x:v>0.046586345381526104</x:v>
      </x:c>
      <x:c r="AD145" s="13" t="n">
        <x:v>0.1272307447608591</x:v>
      </x:c>
      <x:c r="AE145" s="13" t="n">
        <x:v>0.26147920304764916</x:v>
      </x:c>
      <x:c r="AF145" s="13" t="n">
        <x:v>3648177.2433333327</x:v>
      </x:c>
      <x:c r="AG145" s="13" t="n">
        <x:v>1.0759987768764936</x:v>
      </x:c>
      <x:c r="AH145" s="13" t="n">
        <x:v>0.090414452023443</x:v>
      </x:c>
      <x:c r="AI145" s="13" t="n">
        <x:v>26</x:v>
      </x:c>
      <x:c r="AJ145" s="13" t="n">
        <x:v>100103698.56</x:v>
      </x:c>
      <x:c r="AK145" s="13" t="n">
        <x:v>0.08234735868256862</x:v>
      </x:c>
      <x:c r="AL145" s="13" t="n">
        <x:v>0.04142782699322564</x:v>
      </x:c>
      <x:c r="AM145" s="13" t="n">
        <x:v>0.018755096493612396</x:v>
      </x:c>
      <x:c r="AN145" s="13" t="n">
        <x:v>0.09840048167929552</x:v>
      </x:c>
      <x:c r="AO145" s="13" t="n">
        <x:v>1.568917784823025</x:v>
      </x:c>
      <x:c r="AP145" s="13" t="n">
        <x:v>0.10106973575280873</x:v>
      </x:c>
    </x:row>
    <x:row r="146" ht="15" hidden="0" customHeight="1">
      <x:c r="A146" s="2" t="str">
        <x:v>E145</x:v>
      </x:c>
      <x:c r="B146" s="2" t="str">
        <x:v>***工贸有限公司</x:v>
      </x:c>
      <x:c r="C146" s="2" t="str">
        <x:v>无信贷记录</x:v>
      </x:c>
      <x:c r="D146" s="2" t="str"/>
      <x:c r="E146" s="2" t="str"/>
      <x:c r="F146" s="13" t="n">
        <x:v>2988</x:v>
      </x:c>
      <x:c r="G146" s="13" t="n">
        <x:v>2916</x:v>
      </x:c>
      <x:c r="H146" s="13" t="n">
        <x:v>72</x:v>
      </x:c>
      <x:c r="I146" s="13" t="n">
        <x:v>18</x:v>
      </x:c>
      <x:c r="J146" s="13" t="n">
        <x:v>129021774.38</x:v>
      </x:c>
      <x:c r="K146" s="13" t="n">
        <x:v>130016099.80000001</x:v>
      </x:c>
      <x:c r="L146" s="13" t="n">
        <x:v>378</x:v>
      </x:c>
      <x:c r="M146" s="13" t="n">
        <x:v>0.024096385542168676</x:v>
      </x:c>
      <x:c r="N146" s="13" t="n">
        <x:v>0.006172839506172839</x:v>
      </x:c>
      <x:c r="O146" s="13" t="n">
        <x:v>0.15319527702446467</x:v>
      </x:c>
      <x:c r="P146" s="13" t="n">
        <x:v>0.35627326601286036</x:v>
      </x:c>
      <x:c r="Q146" s="13" t="n">
        <x:v>3487074.9832432433</x:v>
      </x:c>
      <x:c r="R146" s="13" t="n">
        <x:v>0.6027389433422382</x:v>
      </x:c>
      <x:c r="S146" s="13" t="n">
        <x:v>0.013254861014049726</x:v>
      </x:c>
      <x:c r="T146" s="13" t="n">
        <x:v>37</x:v>
      </x:c>
      <x:c r="U146" s="13" t="n">
        <x:v>4271</x:v>
      </x:c>
      <x:c r="V146" s="13" t="n">
        <x:v>3844</x:v>
      </x:c>
      <x:c r="W146" s="13" t="n">
        <x:v>427</x:v>
      </x:c>
      <x:c r="X146" s="13" t="n">
        <x:v>80</x:v>
      </x:c>
      <x:c r="Y146" s="13" t="n">
        <x:v>134038527.75999999</x:v>
      </x:c>
      <x:c r="Z146" s="13" t="n">
        <x:v>139272838.14</x:v>
      </x:c>
      <x:c r="AA146" s="13" t="n">
        <x:v>412</x:v>
      </x:c>
      <x:c r="AB146" s="13" t="n">
        <x:v>0.09997658627955983</x:v>
      </x:c>
      <x:c r="AC146" s="13" t="n">
        <x:v>0.02081165452653486</x:v>
      </x:c>
      <x:c r="AD146" s="13" t="n">
        <x:v>0.08835289822016486</x:v>
      </x:c>
      <x:c r="AE146" s="13" t="n">
        <x:v>0.2429497863466172</x:v>
      </x:c>
      <x:c r="AF146" s="13" t="n">
        <x:v>3622662.912432433</x:v>
      </x:c>
      <x:c r="AG146" s="13" t="n">
        <x:v>0.38987443267162664</x:v>
      </x:c>
      <x:c r="AH146" s="13" t="n">
        <x:v>0.014191837992340499</x:v>
      </x:c>
      <x:c r="AI146" s="13" t="n">
        <x:v>37</x:v>
      </x:c>
      <x:c r="AJ146" s="13" t="n">
        <x:v>5016753.379999995</x:v>
      </x:c>
      <x:c r="AK146" s="13" t="n">
        <x:v>0.9335352214859375</x:v>
      </x:c>
      <x:c r="AL146" s="13" t="n">
        <x:v>0.06874225099876016</x:v>
      </x:c>
      <x:c r="AM146" s="13" t="n">
        <x:v>0.014497041420118343</x:v>
      </x:c>
      <x:c r="AN146" s="13" t="n">
        <x:v>0.12077408762231476</x:v>
      </x:c>
      <x:c r="AO146" s="13" t="n">
        <x:v>0.49630668800693245</x:v>
      </x:c>
      <x:c r="AP146" s="13" t="n">
        <x:v>0.013723349503195113</x:v>
      </x:c>
    </x:row>
    <x:row r="147" ht="15" hidden="0" customHeight="1">
      <x:c r="A147" s="2" t="str">
        <x:v>E146</x:v>
      </x:c>
      <x:c r="B147" s="2" t="str">
        <x:v>***基础建设工程有限公司</x:v>
      </x:c>
      <x:c r="C147" s="2" t="str">
        <x:v>无信贷记录</x:v>
      </x:c>
      <x:c r="D147" s="2" t="str"/>
      <x:c r="E147" s="2" t="str"/>
      <x:c r="F147" s="13" t="n">
        <x:v>3250</x:v>
      </x:c>
      <x:c r="G147" s="13" t="n">
        <x:v>3170</x:v>
      </x:c>
      <x:c r="H147" s="13" t="n">
        <x:v>80</x:v>
      </x:c>
      <x:c r="I147" s="13" t="n">
        <x:v>8</x:v>
      </x:c>
      <x:c r="J147" s="13" t="n">
        <x:v>137328170.11</x:v>
      </x:c>
      <x:c r="K147" s="13" t="n">
        <x:v>138501853.52999997</x:v>
      </x:c>
      <x:c r="L147" s="13" t="n">
        <x:v>386</x:v>
      </x:c>
      <x:c r="M147" s="13" t="n">
        <x:v>0.024615384615384615</x:v>
      </x:c>
      <x:c r="N147" s="13" t="n">
        <x:v>0.002523659305993691</x:v>
      </x:c>
      <x:c r="O147" s="13" t="n">
        <x:v>0.39517940024010473</x:v>
      </x:c>
      <x:c r="P147" s="13" t="n">
        <x:v>0.6174913049916351</x:v>
      </x:c>
      <x:c r="Q147" s="13" t="n">
        <x:v>3711572.1651351354</x:v>
      </x:c>
      <x:c r="R147" s="13" t="n">
        <x:v>1.0483560545599262</x:v>
      </x:c>
      <x:c r="S147" s="13" t="n">
        <x:v>0.015591043589969739</x:v>
      </x:c>
      <x:c r="T147" s="13" t="n">
        <x:v>37</x:v>
      </x:c>
      <x:c r="U147" s="13" t="n">
        <x:v>1612</x:v>
      </x:c>
      <x:c r="V147" s="13" t="n">
        <x:v>1416</x:v>
      </x:c>
      <x:c r="W147" s="13" t="n">
        <x:v>196</x:v>
      </x:c>
      <x:c r="X147" s="13" t="n">
        <x:v>32</x:v>
      </x:c>
      <x:c r="Y147" s="13" t="n">
        <x:v>143116532.44</x:v>
      </x:c>
      <x:c r="Z147" s="13" t="n">
        <x:v>149497055.72</x:v>
      </x:c>
      <x:c r="AA147" s="13" t="n">
        <x:v>65</x:v>
      </x:c>
      <x:c r="AB147" s="13" t="n">
        <x:v>0.12158808933002481</x:v>
      </x:c>
      <x:c r="AC147" s="13" t="n">
        <x:v>0.022598870056497175</x:v>
      </x:c>
      <x:c r="AD147" s="13" t="n">
        <x:v>0.08104587184231853</x:v>
      </x:c>
      <x:c r="AE147" s="13" t="n">
        <x:v>0.2168315144661633</x:v>
      </x:c>
      <x:c r="AF147" s="13" t="n">
        <x:v>3868014.390270271</x:v>
      </x:c>
      <x:c r="AG147" s="13" t="n">
        <x:v>0.6574286464287873</x:v>
      </x:c>
      <x:c r="AH147" s="13" t="n">
        <x:v>0.008881260353142446</x:v>
      </x:c>
      <x:c r="AI147" s="13" t="n">
        <x:v>36</x:v>
      </x:c>
      <x:c r="AJ147" s="13" t="n">
        <x:v>5788362.329999983</x:v>
      </x:c>
      <x:c r="AK147" s="13" t="n">
        <x:v>0.926452048590218</x:v>
      </x:c>
      <x:c r="AL147" s="13" t="n">
        <x:v>0.05676676264911559</x:v>
      </x:c>
      <x:c r="AM147" s="13" t="n">
        <x:v>0.00872219799389446</x:v>
      </x:c>
      <x:c r="AN147" s="13" t="n">
        <x:v>0.23811263604121163</x:v>
      </x:c>
      <x:c r="AO147" s="13" t="n">
        <x:v>0.8528923504943567</x:v>
      </x:c>
      <x:c r="AP147" s="13" t="n">
        <x:v>0.012236151971556093</x:v>
      </x:c>
    </x:row>
    <x:row r="148" ht="15" hidden="0" customHeight="1">
      <x:c r="A148" s="2" t="str">
        <x:v>E147</x:v>
      </x:c>
      <x:c r="B148" s="2" t="str">
        <x:v>***装饰工程有限责任公司</x:v>
      </x:c>
      <x:c r="C148" s="2" t="str">
        <x:v>无信贷记录</x:v>
      </x:c>
      <x:c r="D148" s="2" t="str"/>
      <x:c r="E148" s="2" t="str"/>
      <x:c r="F148" s="13" t="n">
        <x:v>5991</x:v>
      </x:c>
      <x:c r="G148" s="13" t="n">
        <x:v>5603</x:v>
      </x:c>
      <x:c r="H148" s="13" t="n">
        <x:v>388</x:v>
      </x:c>
      <x:c r="I148" s="13" t="n">
        <x:v>62</x:v>
      </x:c>
      <x:c r="J148" s="13" t="n">
        <x:v>156403712.07999998</x:v>
      </x:c>
      <x:c r="K148" s="13" t="n">
        <x:v>159733909.24</x:v>
      </x:c>
      <x:c r="L148" s="13" t="n">
        <x:v>744</x:v>
      </x:c>
      <x:c r="M148" s="13" t="n">
        <x:v>0.06476381238524453</x:v>
      </x:c>
      <x:c r="N148" s="13" t="n">
        <x:v>0.011065500624665358</x:v>
      </x:c>
      <x:c r="O148" s="13" t="n">
        <x:v>0.046885689049467785</x:v>
      </x:c>
      <x:c r="P148" s="13" t="n">
        <x:v>0.15980083109121057</x:v>
      </x:c>
      <x:c r="Q148" s="13" t="n">
        <x:v>4227127.353513513</x:v>
      </x:c>
      <x:c r="R148" s="13" t="n">
        <x:v>0.6385259562611161</x:v>
      </x:c>
      <x:c r="S148" s="13" t="n">
        <x:v>0.01370266018702136</x:v>
      </x:c>
      <x:c r="T148" s="13" t="n">
        <x:v>37</x:v>
      </x:c>
      <x:c r="U148" s="13" t="n">
        <x:v>2371</x:v>
      </x:c>
      <x:c r="V148" s="13" t="n">
        <x:v>2314</x:v>
      </x:c>
      <x:c r="W148" s="13" t="n">
        <x:v>57</x:v>
      </x:c>
      <x:c r="X148" s="13" t="n">
        <x:v>24</x:v>
      </x:c>
      <x:c r="Y148" s="13" t="n">
        <x:v>199817103.33</x:v>
      </x:c>
      <x:c r="Z148" s="13" t="n">
        <x:v>202654229.19</x:v>
      </x:c>
      <x:c r="AA148" s="13" t="n">
        <x:v>150</x:v>
      </x:c>
      <x:c r="AB148" s="13" t="n">
        <x:v>0.024040489245044285</x:v>
      </x:c>
      <x:c r="AC148" s="13" t="n">
        <x:v>0.010371650821089023</x:v>
      </x:c>
      <x:c r="AD148" s="13" t="n">
        <x:v>0.06022827821858959</x:v>
      </x:c>
      <x:c r="AE148" s="13" t="n">
        <x:v>0.11025625988318907</x:v>
      </x:c>
      <x:c r="AF148" s="13" t="n">
        <x:v>5400462.252162161</x:v>
      </x:c>
      <x:c r="AG148" s="13" t="n">
        <x:v>0.752957135674735</x:v>
      </x:c>
      <x:c r="AH148" s="13" t="n">
        <x:v>-0.006607871213203402</x:v>
      </x:c>
      <x:c r="AI148" s="13" t="n">
        <x:v>36</x:v>
      </x:c>
      <x:c r="AJ148" s="13" t="n">
        <x:v>43413391.25000003</x:v>
      </x:c>
      <x:c r="AK148" s="13" t="n">
        <x:v>0.7882091080874521</x:v>
      </x:c>
      <x:c r="AL148" s="13" t="n">
        <x:v>0.0532169337479072</x:v>
      </x:c>
      <x:c r="AM148" s="13" t="n">
        <x:v>0.010862700517872931</x:v>
      </x:c>
      <x:c r="AN148" s="13" t="n">
        <x:v>0.053556983634028686</x:v>
      </x:c>
      <x:c r="AO148" s="13" t="n">
        <x:v>0.6957415459679255</x:v>
      </x:c>
      <x:c r="AP148" s="13" t="n">
        <x:v>0.003547394486908979</x:v>
      </x:c>
    </x:row>
    <x:row r="149" ht="15" hidden="0" customHeight="1">
      <x:c r="A149" s="2" t="str">
        <x:v>E148</x:v>
      </x:c>
      <x:c r="B149" s="2" t="str">
        <x:v>***商贸有限公司</x:v>
      </x:c>
      <x:c r="C149" s="2" t="str">
        <x:v>无信贷记录</x:v>
      </x:c>
      <x:c r="D149" s="2" t="str"/>
      <x:c r="E149" s="2" t="str"/>
      <x:c r="F149" s="13" t="n">
        <x:v>546</x:v>
      </x:c>
      <x:c r="G149" s="13" t="n">
        <x:v>511</x:v>
      </x:c>
      <x:c r="H149" s="13" t="n">
        <x:v>35</x:v>
      </x:c>
      <x:c r="I149" s="13" t="n">
        <x:v>2</x:v>
      </x:c>
      <x:c r="J149" s="13" t="n">
        <x:v>30231101.330000002</x:v>
      </x:c>
      <x:c r="K149" s="13" t="n">
        <x:v>30246691.730000004</x:v>
      </x:c>
      <x:c r="L149" s="13" t="n">
        <x:v>134</x:v>
      </x:c>
      <x:c r="M149" s="13" t="n">
        <x:v>0.0641025641025641</x:v>
      </x:c>
      <x:c r="N149" s="13" t="n">
        <x:v>0.003913894324853229</x:v>
      </x:c>
      <x:c r="O149" s="13" t="n">
        <x:v>0.4685830554494186</x:v>
      </x:c>
      <x:c r="P149" s="13" t="n">
        <x:v>0.6765057611145231</x:v>
      </x:c>
      <x:c r="Q149" s="13" t="n">
        <x:v>817056.7927027027</x:v>
      </x:c>
      <x:c r="R149" s="13" t="n">
        <x:v>2.1818797573410023</x:v>
      </x:c>
      <x:c r="S149" s="13" t="n">
        <x:v>-0.05104018220904012</x:v>
      </x:c>
      <x:c r="T149" s="13" t="n">
        <x:v>36</x:v>
      </x:c>
      <x:c r="U149" s="13" t="n">
        <x:v>281</x:v>
      </x:c>
      <x:c r="V149" s="13" t="n">
        <x:v>270</x:v>
      </x:c>
      <x:c r="W149" s="13" t="n">
        <x:v>11</x:v>
      </x:c>
      <x:c r="X149" s="13" t="n">
        <x:v>1</x:v>
      </x:c>
      <x:c r="Y149" s="13" t="n">
        <x:v>84596595.28999999</x:v>
      </x:c>
      <x:c r="Z149" s="13" t="n">
        <x:v>86009235.28999999</x:v>
      </x:c>
      <x:c r="AA149" s="13" t="n">
        <x:v>189</x:v>
      </x:c>
      <x:c r="AB149" s="13" t="n">
        <x:v>0.03914590747330961</x:v>
      </x:c>
      <x:c r="AC149" s="13" t="n">
        <x:v>0.003703703703703704</x:v>
      </x:c>
      <x:c r="AD149" s="13" t="n">
        <x:v>0.011142776869875115</x:v>
      </x:c>
      <x:c r="AE149" s="13" t="n">
        <x:v>0.06485536095271566</x:v>
      </x:c>
      <x:c r="AF149" s="13" t="n">
        <x:v>4229829.7645</x:v>
      </x:c>
      <x:c r="AG149" s="13" t="n">
        <x:v>1.0910182739927317</x:v>
      </x:c>
      <x:c r="AH149" s="13" t="n">
        <x:v>0.04650838614323594</x:v>
      </x:c>
      <x:c r="AI149" s="13" t="n">
        <x:v>17</x:v>
      </x:c>
      <x:c r="AJ149" s="13" t="n">
        <x:v>54365493.95999999</x:v>
      </x:c>
      <x:c r="AK149" s="13" t="n">
        <x:v>0.3516679531914951</x:v>
      </x:c>
      <x:c r="AL149" s="13" t="n">
        <x:v>0.05562273276904474</x:v>
      </x:c>
      <x:c r="AM149" s="13" t="n">
        <x:v>0.0038412291933418692</x:v>
      </x:c>
      <x:c r="AN149" s="13" t="n">
        <x:v>0.23986291615964686</x:v>
      </x:c>
      <x:c r="AO149" s="13" t="n">
        <x:v>1.636449015666867</x:v>
      </x:c>
      <x:c r="AP149" s="13" t="n">
        <x:v>-0.0022658980329020896</x:v>
      </x:c>
    </x:row>
    <x:row r="150" ht="15" hidden="0" customHeight="1">
      <x:c r="A150" s="2" t="str">
        <x:v>E149</x:v>
      </x:c>
      <x:c r="B150" s="2" t="str">
        <x:v>***建筑劳务有限公司</x:v>
      </x:c>
      <x:c r="C150" s="2" t="str">
        <x:v>无信贷记录</x:v>
      </x:c>
      <x:c r="D150" s="2" t="str"/>
      <x:c r="E150" s="2" t="str"/>
      <x:c r="F150" s="13" t="n">
        <x:v>293</x:v>
      </x:c>
      <x:c r="G150" s="13" t="n">
        <x:v>285</x:v>
      </x:c>
      <x:c r="H150" s="13" t="n">
        <x:v>8</x:v>
      </x:c>
      <x:c r="I150" s="13" t="n">
        <x:v>0</x:v>
      </x:c>
      <x:c r="J150" s="13" t="n">
        <x:v>637449.94</x:v>
      </x:c>
      <x:c r="K150" s="13" t="n">
        <x:v>637449.94</x:v>
      </x:c>
      <x:c r="L150" s="13" t="n">
        <x:v>111</x:v>
      </x:c>
      <x:c r="M150" s="13" t="n">
        <x:v>0.027303754266211604</x:v>
      </x:c>
      <x:c r="N150" s="13" t="n">
        <x:v>0</x:v>
      </x:c>
      <x:c r="O150" s="13" t="n">
        <x:v>0.20314668206974235</x:v>
      </x:c>
      <x:c r="P150" s="13" t="n">
        <x:v>0.37400583958012457</x:v>
      </x:c>
      <x:c r="Q150" s="13" t="n">
        <x:v>18212.855428571427</x:v>
      </x:c>
      <x:c r="R150" s="13" t="n">
        <x:v>1.5350792124680113</x:v>
      </x:c>
      <x:c r="S150" s="13" t="n">
        <x:v>0.007047799875615149</x:v>
      </x:c>
      <x:c r="T150" s="13" t="n">
        <x:v>34</x:v>
      </x:c>
      <x:c r="U150" s="13" t="n">
        <x:v>1226</x:v>
      </x:c>
      <x:c r="V150" s="13" t="n">
        <x:v>1147</x:v>
      </x:c>
      <x:c r="W150" s="13" t="n">
        <x:v>79</x:v>
      </x:c>
      <x:c r="X150" s="13" t="n">
        <x:v>32</x:v>
      </x:c>
      <x:c r="Y150" s="13" t="n">
        <x:v>107157946.66</x:v>
      </x:c>
      <x:c r="Z150" s="13" t="n">
        <x:v>113466620.72</x:v>
      </x:c>
      <x:c r="AA150" s="13" t="n">
        <x:v>10</x:v>
      </x:c>
      <x:c r="AB150" s="13" t="n">
        <x:v>0.06443719412724307</x:v>
      </x:c>
      <x:c r="AC150" s="13" t="n">
        <x:v>0.02789886660854403</x:v>
      </x:c>
      <x:c r="AD150" s="13" t="n">
        <x:v>0.2324426136955416</x:v>
      </x:c>
      <x:c r="AE150" s="13" t="n">
        <x:v>0.3705624906531543</x:v>
      </x:c>
      <x:c r="AF150" s="13" t="n">
        <x:v>3247210.504848485</x:v>
      </x:c>
      <x:c r="AG150" s="13" t="n">
        <x:v>1.1391108243945527</x:v>
      </x:c>
      <x:c r="AH150" s="13" t="n">
        <x:v>0.028084518603702677</x:v>
      </x:c>
      <x:c r="AI150" s="13" t="n">
        <x:v>25</x:v>
      </x:c>
      <x:c r="AJ150" s="13" t="n">
        <x:v>106520496.72</x:v>
      </x:c>
      <x:c r="AK150" s="13" t="n">
        <x:v>0.005617951217327837</x:v>
      </x:c>
      <x:c r="AL150" s="13" t="n">
        <x:v>0.05727452271231073</x:v>
      </x:c>
      <x:c r="AM150" s="13" t="n">
        <x:v>0.0223463687150838</x:v>
      </x:c>
      <x:c r="AN150" s="13" t="n">
        <x:v>0.21779464788264197</x:v>
      </x:c>
      <x:c r="AO150" s="13" t="n">
        <x:v>1.337095018431282</x:v>
      </x:c>
      <x:c r="AP150" s="13" t="n">
        <x:v>0.017566159239658912</x:v>
      </x:c>
    </x:row>
    <x:row r="151" ht="15" hidden="0" customHeight="1">
      <x:c r="A151" s="2" t="str">
        <x:v>E150</x:v>
      </x:c>
      <x:c r="B151" s="2" t="str">
        <x:v>***建设工程有限公司</x:v>
      </x:c>
      <x:c r="C151" s="2" t="str">
        <x:v>无信贷记录</x:v>
      </x:c>
      <x:c r="D151" s="2" t="str"/>
      <x:c r="E151" s="2" t="str"/>
      <x:c r="F151" s="13" t="n">
        <x:v>3379</x:v>
      </x:c>
      <x:c r="G151" s="13" t="n">
        <x:v>3268</x:v>
      </x:c>
      <x:c r="H151" s="13" t="n">
        <x:v>111</x:v>
      </x:c>
      <x:c r="I151" s="13" t="n">
        <x:v>16</x:v>
      </x:c>
      <x:c r="J151" s="13" t="n">
        <x:v>88299286.07</x:v>
      </x:c>
      <x:c r="K151" s="13" t="n">
        <x:v>89433069.83</x:v>
      </x:c>
      <x:c r="L151" s="13" t="n">
        <x:v>465</x:v>
      </x:c>
      <x:c r="M151" s="13" t="n">
        <x:v>0.0328499556081681</x:v>
      </x:c>
      <x:c r="N151" s="13" t="n">
        <x:v>0.004895960832313341</x:v>
      </x:c>
      <x:c r="O151" s="13" t="n">
        <x:v>0.03539940650908068</x:v>
      </x:c>
      <x:c r="P151" s="13" t="n">
        <x:v>0.09655600569693651</x:v>
      </x:c>
      <x:c r="Q151" s="13" t="n">
        <x:v>2386467.191081081</x:v>
      </x:c>
      <x:c r="R151" s="13" t="n">
        <x:v>1.1811238903766237</x:v>
      </x:c>
      <x:c r="S151" s="13" t="n">
        <x:v>0.04900038546664602</x:v>
      </x:c>
      <x:c r="T151" s="13" t="n">
        <x:v>37</x:v>
      </x:c>
      <x:c r="U151" s="13" t="n">
        <x:v>464</x:v>
      </x:c>
      <x:c r="V151" s="13" t="n">
        <x:v>410</x:v>
      </x:c>
      <x:c r="W151" s="13" t="n">
        <x:v>54</x:v>
      </x:c>
      <x:c r="X151" s="13" t="n">
        <x:v>1</x:v>
      </x:c>
      <x:c r="Y151" s="13" t="n">
        <x:v>123275429.29999998</x:v>
      </x:c>
      <x:c r="Z151" s="13" t="n">
        <x:v>123278696.29999998</x:v>
      </x:c>
      <x:c r="AA151" s="13" t="n">
        <x:v>135</x:v>
      </x:c>
      <x:c r="AB151" s="13" t="n">
        <x:v>0.11637931034482758</x:v>
      </x:c>
      <x:c r="AC151" s="13" t="n">
        <x:v>0.0024390243902439024</x:v>
      </x:c>
      <x:c r="AD151" s="13" t="n">
        <x:v>0.0756486875945195</x:v>
      </x:c>
      <x:c r="AE151" s="13" t="n">
        <x:v>0.15341078684006168</x:v>
      </x:c>
      <x:c r="AF151" s="13" t="n">
        <x:v>3331768.3594594593</x:v>
      </x:c>
      <x:c r="AG151" s="13" t="n">
        <x:v>0.8355091313399323</x:v>
      </x:c>
      <x:c r="AH151" s="13" t="n">
        <x:v>0.03844841248506606</x:v>
      </x:c>
      <x:c r="AI151" s="13" t="n">
        <x:v>36</x:v>
      </x:c>
      <x:c r="AJ151" s="13" t="n">
        <x:v>34976143.22999999</x:v>
      </x:c>
      <x:c r="AK151" s="13" t="n">
        <x:v>0.7254543770674189</x:v>
      </x:c>
      <x:c r="AL151" s="13" t="n">
        <x:v>0.0429352068696331</x:v>
      </x:c>
      <x:c r="AM151" s="13" t="n">
        <x:v>0.004622077215878194</x:v>
      </x:c>
      <x:c r="AN151" s="13" t="n">
        <x:v>0.055524047051800085</x:v>
      </x:c>
      <x:c r="AO151" s="13" t="n">
        <x:v>1.0083165108582781</x:v>
      </x:c>
      <x:c r="AP151" s="13" t="n">
        <x:v>0.04372439897585604</x:v>
      </x:c>
    </x:row>
    <x:row r="152" ht="15" hidden="0" customHeight="1">
      <x:c r="A152" s="2" t="str">
        <x:v>E151</x:v>
      </x:c>
      <x:c r="B152" s="2" t="str">
        <x:v>***路桥工程有限公司</x:v>
      </x:c>
      <x:c r="C152" s="2" t="str">
        <x:v>无信贷记录</x:v>
      </x:c>
      <x:c r="D152" s="2" t="str"/>
      <x:c r="E152" s="2" t="str"/>
      <x:c r="F152" s="13" t="n">
        <x:v>801</x:v>
      </x:c>
      <x:c r="G152" s="13" t="n">
        <x:v>781</x:v>
      </x:c>
      <x:c r="H152" s="13" t="n">
        <x:v>20</x:v>
      </x:c>
      <x:c r="I152" s="13" t="n">
        <x:v>1</x:v>
      </x:c>
      <x:c r="J152" s="13" t="n">
        <x:v>11855142.48</x:v>
      </x:c>
      <x:c r="K152" s="13" t="n">
        <x:v>11855502.48</x:v>
      </x:c>
      <x:c r="L152" s="13" t="n">
        <x:v>174</x:v>
      </x:c>
      <x:c r="M152" s="13" t="n">
        <x:v>0.024968789013732832</x:v>
      </x:c>
      <x:c r="N152" s="13" t="n">
        <x:v>0.0012804097311139564</x:v>
      </x:c>
      <x:c r="O152" s="13" t="n">
        <x:v>0.2848651039870801</x:v>
      </x:c>
      <x:c r="P152" s="13" t="n">
        <x:v>0.4428876387869475</x:v>
      </x:c>
      <x:c r="Q152" s="13" t="n">
        <x:v>338718.3565714286</x:v>
      </x:c>
      <x:c r="R152" s="13" t="n">
        <x:v>2.8811234267428487</x:v>
      </x:c>
      <x:c r="S152" s="13" t="n">
        <x:v>-0.007979596441349351</x:v>
      </x:c>
      <x:c r="T152" s="13" t="n">
        <x:v>31</x:v>
      </x:c>
      <x:c r="U152" s="13" t="n">
        <x:v>148</x:v>
      </x:c>
      <x:c r="V152" s="13" t="n">
        <x:v>140</x:v>
      </x:c>
      <x:c r="W152" s="13" t="n">
        <x:v>8</x:v>
      </x:c>
      <x:c r="X152" s="13" t="n">
        <x:v>0</x:v>
      </x:c>
      <x:c r="Y152" s="13" t="n">
        <x:v>108831139.14</x:v>
      </x:c>
      <x:c r="Z152" s="13" t="n">
        <x:v>108831139.14</x:v>
      </x:c>
      <x:c r="AA152" s="13" t="n">
        <x:v>5</x:v>
      </x:c>
      <x:c r="AB152" s="13" t="n">
        <x:v>0.05405405405405406</x:v>
      </x:c>
      <x:c r="AC152" s="13" t="n">
        <x:v>0</x:v>
      </x:c>
      <x:c r="AD152" s="13" t="n">
        <x:v>0.2726857001985589</x:v>
      </x:c>
      <x:c r="AE152" s="13" t="n">
        <x:v>0.3742435018309044</x:v>
      </x:c>
      <x:c r="AF152" s="13" t="n">
        <x:v>4030782.931111112</x:v>
      </x:c>
      <x:c r="AG152" s="13" t="n">
        <x:v>1.0227275372875015</x:v>
      </x:c>
      <x:c r="AH152" s="13" t="n">
        <x:v>0.04382927179363547</x:v>
      </x:c>
      <x:c r="AI152" s="13" t="n">
        <x:v>23</x:v>
      </x:c>
      <x:c r="AJ152" s="13" t="n">
        <x:v>96975996.66</x:v>
      </x:c>
      <x:c r="AK152" s="13" t="n">
        <x:v>0.1089348377099051</x:v>
      </x:c>
      <x:c r="AL152" s="13" t="n">
        <x:v>0.029504741833508957</x:v>
      </x:c>
      <x:c r="AM152" s="13" t="n">
        <x:v>0.0010857763300760044</x:v>
      </x:c>
      <x:c r="AN152" s="13" t="n">
        <x:v>0.2787754020928195</x:v>
      </x:c>
      <x:c r="AO152" s="13" t="n">
        <x:v>1.951925482015175</x:v>
      </x:c>
      <x:c r="AP152" s="13" t="n">
        <x:v>0.01792483767614306</x:v>
      </x:c>
    </x:row>
    <x:row r="153" ht="15" hidden="0" customHeight="1">
      <x:c r="A153" s="2" t="str">
        <x:v>E152</x:v>
      </x:c>
      <x:c r="B153" s="2" t="str">
        <x:v>***运贸有限责任公司</x:v>
      </x:c>
      <x:c r="C153" s="2" t="str">
        <x:v>无信贷记录</x:v>
      </x:c>
      <x:c r="D153" s="2" t="str"/>
      <x:c r="E153" s="2" t="str"/>
      <x:c r="F153" s="13" t="n">
        <x:v>912</x:v>
      </x:c>
      <x:c r="G153" s="13" t="n">
        <x:v>891</x:v>
      </x:c>
      <x:c r="H153" s="13" t="n">
        <x:v>21</x:v>
      </x:c>
      <x:c r="I153" s="13" t="n">
        <x:v>23</x:v>
      </x:c>
      <x:c r="J153" s="13" t="n">
        <x:v>6604612.96</x:v>
      </x:c>
      <x:c r="K153" s="13" t="n">
        <x:v>7110254.16</x:v>
      </x:c>
      <x:c r="L153" s="13" t="n">
        <x:v>149</x:v>
      </x:c>
      <x:c r="M153" s="13" t="n">
        <x:v>0.023026315789473683</x:v>
      </x:c>
      <x:c r="N153" s="13" t="n">
        <x:v>0.025813692480359147</x:v>
      </x:c>
      <x:c r="O153" s="13" t="n">
        <x:v>0.1936830812428398</x:v>
      </x:c>
      <x:c r="P153" s="13" t="n">
        <x:v>0.38111689667082166</x:v>
      </x:c>
      <x:c r="Q153" s="13" t="n">
        <x:v>178503.052972973</x:v>
      </x:c>
      <x:c r="R153" s="13" t="n">
        <x:v>0.7083217443062308</x:v>
      </x:c>
      <x:c r="S153" s="13" t="n">
        <x:v>0.04697342499404027</x:v>
      </x:c>
      <x:c r="T153" s="13" t="n">
        <x:v>37</x:v>
      </x:c>
      <x:c r="U153" s="13" t="n">
        <x:v>1525</x:v>
      </x:c>
      <x:c r="V153" s="13" t="n">
        <x:v>1488</x:v>
      </x:c>
      <x:c r="W153" s="13" t="n">
        <x:v>37</x:v>
      </x:c>
      <x:c r="X153" s="13" t="n">
        <x:v>9</x:v>
      </x:c>
      <x:c r="Y153" s="13" t="n">
        <x:v>126597588.96</x:v>
      </x:c>
      <x:c r="Z153" s="13" t="n">
        <x:v>127978147.36</x:v>
      </x:c>
      <x:c r="AA153" s="13" t="n">
        <x:v>15</x:v>
      </x:c>
      <x:c r="AB153" s="13" t="n">
        <x:v>0.024262295081967214</x:v>
      </x:c>
      <x:c r="AC153" s="13" t="n">
        <x:v>0.006048387096774193</x:v>
      </x:c>
      <x:c r="AD153" s="13" t="n">
        <x:v>0.6967396620747455</x:v>
      </x:c>
      <x:c r="AE153" s="13" t="n">
        <x:v>0.8251144539775122</x:v>
      </x:c>
      <x:c r="AF153" s="13" t="n">
        <x:v>3421556.458378379</x:v>
      </x:c>
      <x:c r="AG153" s="13" t="n">
        <x:v>0.30316622925269815</x:v>
      </x:c>
      <x:c r="AH153" s="13" t="n">
        <x:v>0.026274743204739444</x:v>
      </x:c>
      <x:c r="AI153" s="13" t="n">
        <x:v>37</x:v>
      </x:c>
      <x:c r="AJ153" s="13" t="n">
        <x:v>119992976</x:v>
      </x:c>
      <x:c r="AK153" s="13" t="n">
        <x:v>0.05555834575413094</x:v>
      </x:c>
      <x:c r="AL153" s="13" t="n">
        <x:v>0.02379975379565039</x:v>
      </x:c>
      <x:c r="AM153" s="13" t="n">
        <x:v>0.013451029844472467</x:v>
      </x:c>
      <x:c r="AN153" s="13" t="n">
        <x:v>0.44521137165879265</x:v>
      </x:c>
      <x:c r="AO153" s="13" t="n">
        <x:v>0.5057439867794645</x:v>
      </x:c>
      <x:c r="AP153" s="13" t="n">
        <x:v>0.03662408409938986</x:v>
      </x:c>
    </x:row>
    <x:row r="154" ht="15" hidden="0" customHeight="1">
      <x:c r="A154" s="2" t="str">
        <x:v>E153</x:v>
      </x:c>
      <x:c r="B154" s="2" t="str">
        <x:v>个体经营E153 </x:v>
      </x:c>
      <x:c r="C154" s="2" t="str">
        <x:v>无信贷记录</x:v>
      </x:c>
      <x:c r="D154" s="2" t="str"/>
      <x:c r="E154" s="2" t="str"/>
      <x:c r="F154" s="13" t="n">
        <x:v>71</x:v>
      </x:c>
      <x:c r="G154" s="13" t="n">
        <x:v>71</x:v>
      </x:c>
      <x:c r="H154" s="13" t="n">
        <x:v>0</x:v>
      </x:c>
      <x:c r="I154" s="13" t="n">
        <x:v>0</x:v>
      </x:c>
      <x:c r="J154" s="13" t="n">
        <x:v>93077</x:v>
      </x:c>
      <x:c r="K154" s="13" t="n">
        <x:v>93077</x:v>
      </x:c>
      <x:c r="L154" s="13" t="n">
        <x:v>33</x:v>
      </x:c>
      <x:c r="M154" s="13" t="n">
        <x:v>0</x:v>
      </x:c>
      <x:c r="N154" s="13" t="n">
        <x:v>0</x:v>
      </x:c>
      <x:c r="O154" s="13" t="n">
        <x:v>0.42977045110868506</x:v>
      </x:c>
      <x:c r="P154" s="13" t="n">
        <x:v>0.6446275664234988</x:v>
      </x:c>
      <x:c r="Q154" s="13" t="n">
        <x:v>3324.1785714285716</x:v>
      </x:c>
      <x:c r="R154" s="13" t="n">
        <x:v>3.382568555766511</x:v>
      </x:c>
      <x:c r="S154" s="13" t="n">
        <x:v>-0.03707744632146854</x:v>
      </x:c>
      <x:c r="T154" s="13" t="n">
        <x:v>18</x:v>
      </x:c>
      <x:c r="U154" s="13" t="n">
        <x:v>355</x:v>
      </x:c>
      <x:c r="V154" s="13" t="n">
        <x:v>280</x:v>
      </x:c>
      <x:c r="W154" s="13" t="n">
        <x:v>75</x:v>
      </x:c>
      <x:c r="X154" s="13" t="n">
        <x:v>1</x:v>
      </x:c>
      <x:c r="Y154" s="13" t="n">
        <x:v>254667102.28</x:v>
      </x:c>
      <x:c r="Z154" s="13" t="n">
        <x:v>256439442.28</x:v>
      </x:c>
      <x:c r="AA154" s="13" t="n">
        <x:v>6</x:v>
      </x:c>
      <x:c r="AB154" s="13" t="n">
        <x:v>0.2112676056338028</x:v>
      </x:c>
      <x:c r="AC154" s="13" t="n">
        <x:v>0.0035714285714285713</x:v>
      </x:c>
      <x:c r="AD154" s="13" t="n">
        <x:v>0.49690775937284803</x:v>
      </x:c>
      <x:c r="AE154" s="13" t="n">
        <x:v>0.5496014026816968</x:v>
      </x:c>
      <x:c r="AF154" s="13" t="n">
        <x:v>7074086.174444444</x:v>
      </x:c>
      <x:c r="AG154" s="13" t="n">
        <x:v>1.262861510624101</x:v>
      </x:c>
      <x:c r="AH154" s="13" t="n">
        <x:v>-0.051619901141823805</x:v>
      </x:c>
      <x:c r="AI154" s="13" t="n">
        <x:v>29</x:v>
      </x:c>
      <x:c r="AJ154" s="13" t="n">
        <x:v>254574025.28</x:v>
      </x:c>
      <x:c r="AK154" s="13" t="n">
        <x:v>0.00036295898623259166</x:v>
      </x:c>
      <x:c r="AL154" s="13" t="n">
        <x:v>0.176056338028169</x:v>
      </x:c>
      <x:c r="AM154" s="13" t="n">
        <x:v>0.002849002849002849</x:v>
      </x:c>
      <x:c r="AN154" s="13" t="n">
        <x:v>0.46333910524076655</x:v>
      </x:c>
      <x:c r="AO154" s="13" t="n">
        <x:v>2.322715033195306</x:v>
      </x:c>
      <x:c r="AP154" s="13" t="n">
        <x:v>-0.04434867373164617</x:v>
      </x:c>
    </x:row>
    <x:row r="155" ht="15" hidden="0" customHeight="1">
      <x:c r="A155" s="2" t="str">
        <x:v>E154</x:v>
      </x:c>
      <x:c r="B155" s="2" t="str">
        <x:v>***汽车销售服务有限公司</x:v>
      </x:c>
      <x:c r="C155" s="2" t="str">
        <x:v>无信贷记录</x:v>
      </x:c>
      <x:c r="D155" s="2" t="str"/>
      <x:c r="E155" s="2" t="str"/>
      <x:c r="F155" s="13" t="n">
        <x:v>2696</x:v>
      </x:c>
      <x:c r="G155" s="13" t="n">
        <x:v>2657</x:v>
      </x:c>
      <x:c r="H155" s="13" t="n">
        <x:v>39</x:v>
      </x:c>
      <x:c r="I155" s="13" t="n">
        <x:v>53</x:v>
      </x:c>
      <x:c r="J155" s="13" t="n">
        <x:v>141657840.55</x:v>
      </x:c>
      <x:c r="K155" s="13" t="n">
        <x:v>152871927.91</x:v>
      </x:c>
      <x:c r="L155" s="13" t="n">
        <x:v>301</x:v>
      </x:c>
      <x:c r="M155" s="13" t="n">
        <x:v>0.014465875370919881</x:v>
      </x:c>
      <x:c r="N155" s="13" t="n">
        <x:v>0.019947308995107264</x:v>
      </x:c>
      <x:c r="O155" s="13" t="n">
        <x:v>0.3894844300550297</x:v>
      </x:c>
      <x:c r="P155" s="13" t="n">
        <x:v>0.558986342151116</x:v>
      </x:c>
      <x:c r="Q155" s="13" t="n">
        <x:v>4721928.018333333</x:v>
      </x:c>
      <x:c r="R155" s="13" t="n">
        <x:v>0.4451605381410408</x:v>
      </x:c>
      <x:c r="S155" s="13" t="n">
        <x:v>0.023183608424745452</x:v>
      </x:c>
      <x:c r="T155" s="13" t="n">
        <x:v>30</x:v>
      </x:c>
      <x:c r="U155" s="13" t="n">
        <x:v>1923</x:v>
      </x:c>
      <x:c r="V155" s="13" t="n">
        <x:v>1816</x:v>
      </x:c>
      <x:c r="W155" s="13" t="n">
        <x:v>107</x:v>
      </x:c>
      <x:c r="X155" s="13" t="n">
        <x:v>23</x:v>
      </x:c>
      <x:c r="Y155" s="13" t="n">
        <x:v>85776316.48</x:v>
      </x:c>
      <x:c r="Z155" s="13" t="n">
        <x:v>86551100.32</x:v>
      </x:c>
      <x:c r="AA155" s="13" t="n">
        <x:v>309</x:v>
      </x:c>
      <x:c r="AB155" s="13" t="n">
        <x:v>0.05564222568902756</x:v>
      </x:c>
      <x:c r="AC155" s="13" t="n">
        <x:v>0.012665198237885462</x:v>
      </x:c>
      <x:c r="AD155" s="13" t="n">
        <x:v>0.3625303355234127</x:v>
      </x:c>
      <x:c r="AE155" s="13" t="n">
        <x:v>0.5797772623857037</x:v>
      </x:c>
      <x:c r="AF155" s="13" t="n">
        <x:v>2859210.549333333</x:v>
      </x:c>
      <x:c r="AG155" s="13" t="n">
        <x:v>0.6096085648006633</x:v>
      </x:c>
      <x:c r="AH155" s="13" t="n">
        <x:v>0.04993142379871541</x:v>
      </x:c>
      <x:c r="AI155" s="13" t="n">
        <x:v>30</x:v>
      </x:c>
      <x:c r="AJ155" s="13" t="n">
        <x:v>-55881524.07000001</x:v>
      </x:c>
      <x:c r="AK155" s="13" t="n">
        <x:v>1.7662620965510103</x:v>
      </x:c>
      <x:c r="AL155" s="13" t="n">
        <x:v>0.031608573284260665</x:v>
      </x:c>
      <x:c r="AM155" s="13" t="n">
        <x:v>0.016990833892242343</x:v>
      </x:c>
      <x:c r="AN155" s="13" t="n">
        <x:v>0.3760073827892212</x:v>
      </x:c>
      <x:c r="AO155" s="13" t="n">
        <x:v>0.5273845514708521</x:v>
      </x:c>
      <x:c r="AP155" s="13" t="n">
        <x:v>0.03655751611173043</x:v>
      </x:c>
    </x:row>
    <x:row r="156" ht="15" hidden="0" customHeight="1">
      <x:c r="A156" s="2" t="str">
        <x:v>E155</x:v>
      </x:c>
      <x:c r="B156" s="2" t="str">
        <x:v>个体经营E155 </x:v>
      </x:c>
      <x:c r="C156" s="2" t="str">
        <x:v>无信贷记录</x:v>
      </x:c>
      <x:c r="D156" s="2" t="str"/>
      <x:c r="E156" s="2" t="str"/>
      <x:c r="F156" s="13" t="n">
        <x:v>417</x:v>
      </x:c>
      <x:c r="G156" s="13" t="n">
        <x:v>398</x:v>
      </x:c>
      <x:c r="H156" s="13" t="n">
        <x:v>19</x:v>
      </x:c>
      <x:c r="I156" s="13" t="n">
        <x:v>7</x:v>
      </x:c>
      <x:c r="J156" s="13" t="n">
        <x:v>85664767.68</x:v>
      </x:c>
      <x:c r="K156" s="13" t="n">
        <x:v>87173267.68</x:v>
      </x:c>
      <x:c r="L156" s="13" t="n">
        <x:v>50</x:v>
      </x:c>
      <x:c r="M156" s="13" t="n">
        <x:v>0.045563549160671464</x:v>
      </x:c>
      <x:c r="N156" s="13" t="n">
        <x:v>0.017587939698492462</x:v>
      </x:c>
      <x:c r="O156" s="13" t="n">
        <x:v>0.1645491899855947</x:v>
      </x:c>
      <x:c r="P156" s="13" t="n">
        <x:v>0.24662580894547004</x:v>
      </x:c>
      <x:c r="Q156" s="13" t="n">
        <x:v>3426590.7071999996</x:v>
      </x:c>
      <x:c r="R156" s="13" t="n">
        <x:v>0.6461203432142817</x:v>
      </x:c>
      <x:c r="S156" s="13" t="n">
        <x:v>0.029566164277706718</x:v>
      </x:c>
      <x:c r="T156" s="13" t="n">
        <x:v>25</x:v>
      </x:c>
      <x:c r="U156" s="13" t="n">
        <x:v>1083</x:v>
      </x:c>
      <x:c r="V156" s="13" t="n">
        <x:v>1045</x:v>
      </x:c>
      <x:c r="W156" s="13" t="n">
        <x:v>38</x:v>
      </x:c>
      <x:c r="X156" s="13" t="n">
        <x:v>9</x:v>
      </x:c>
      <x:c r="Y156" s="13" t="n">
        <x:v>90483422.85</x:v>
      </x:c>
      <x:c r="Z156" s="13" t="n">
        <x:v>91688182.85</x:v>
      </x:c>
      <x:c r="AA156" s="13" t="n">
        <x:v>57</x:v>
      </x:c>
      <x:c r="AB156" s="13" t="n">
        <x:v>0.03508771929824561</x:v>
      </x:c>
      <x:c r="AC156" s="13" t="n">
        <x:v>0.00861244019138756</x:v>
      </x:c>
      <x:c r="AD156" s="13" t="n">
        <x:v>0.07535240557025595</x:v>
      </x:c>
      <x:c r="AE156" s="13" t="n">
        <x:v>0.14705268531777868</x:v>
      </x:c>
      <x:c r="AF156" s="13" t="n">
        <x:v>3619336.914</x:v>
      </x:c>
      <x:c r="AG156" s="13" t="n">
        <x:v>0.5740949753755128</x:v>
      </x:c>
      <x:c r="AH156" s="13" t="n">
        <x:v>0.04665689916014181</x:v>
      </x:c>
      <x:c r="AI156" s="13" t="n">
        <x:v>25</x:v>
      </x:c>
      <x:c r="AJ156" s="13" t="n">
        <x:v>4818655.169999987</x:v>
      </x:c>
      <x:c r="AK156" s="13" t="n">
        <x:v>0.950757938158876</x:v>
      </x:c>
      <x:c r="AL156" s="13" t="n">
        <x:v>0.038</x:v>
      </x:c>
      <x:c r="AM156" s="13" t="n">
        <x:v>0.011088011088011088</x:v>
      </x:c>
      <x:c r="AN156" s="13" t="n">
        <x:v>0.11995079777792533</x:v>
      </x:c>
      <x:c r="AO156" s="13" t="n">
        <x:v>0.6101076592948973</x:v>
      </x:c>
      <x:c r="AP156" s="13" t="n">
        <x:v>0.038111531718924264</x:v>
      </x:c>
    </x:row>
    <x:row r="157" ht="15" hidden="0" customHeight="1">
      <x:c r="A157" s="2" t="str">
        <x:v>E156</x:v>
      </x:c>
      <x:c r="B157" s="2" t="str">
        <x:v>个体经营E156 </x:v>
      </x:c>
      <x:c r="C157" s="2" t="str">
        <x:v>无信贷记录</x:v>
      </x:c>
      <x:c r="D157" s="2" t="str"/>
      <x:c r="E157" s="2" t="str"/>
      <x:c r="F157" s="13" t="n">
        <x:v>611</x:v>
      </x:c>
      <x:c r="G157" s="13" t="n">
        <x:v>592</x:v>
      </x:c>
      <x:c r="H157" s="13" t="n">
        <x:v>19</x:v>
      </x:c>
      <x:c r="I157" s="13" t="n">
        <x:v>11</x:v>
      </x:c>
      <x:c r="J157" s="13" t="n">
        <x:v>2237785.6</x:v>
      </x:c>
      <x:c r="K157" s="13" t="n">
        <x:v>2388015.5</x:v>
      </x:c>
      <x:c r="L157" s="13" t="n">
        <x:v>153</x:v>
      </x:c>
      <x:c r="M157" s="13" t="n">
        <x:v>0.031096563011456628</x:v>
      </x:c>
      <x:c r="N157" s="13" t="n">
        <x:v>0.018581081081081082</x:v>
      </x:c>
      <x:c r="O157" s="13" t="n">
        <x:v>0.1968080516024781</x:v>
      </x:c>
      <x:c r="P157" s="13" t="n">
        <x:v>0.40998058848445496</x:v>
      </x:c>
      <x:c r="Q157" s="13" t="n">
        <x:v>67811.68484848485</x:v>
      </x:c>
      <x:c r="R157" s="13" t="n">
        <x:v>1.9409887656235383</x:v>
      </x:c>
      <x:c r="S157" s="13" t="n">
        <x:v>0.061324866930899946</x:v>
      </x:c>
      <x:c r="T157" s="13" t="n">
        <x:v>32</x:v>
      </x:c>
      <x:c r="U157" s="13" t="n">
        <x:v>444</x:v>
      </x:c>
      <x:c r="V157" s="13" t="n">
        <x:v>384</x:v>
      </x:c>
      <x:c r="W157" s="13" t="n">
        <x:v>60</x:v>
      </x:c>
      <x:c r="X157" s="13" t="n">
        <x:v>28</x:v>
      </x:c>
      <x:c r="Y157" s="13" t="n">
        <x:v>158652307.98</x:v>
      </x:c>
      <x:c r="Z157" s="13" t="n">
        <x:v>198042232.14</x:v>
      </x:c>
      <x:c r="AA157" s="13" t="n">
        <x:v>34</x:v>
      </x:c>
      <x:c r="AB157" s="13" t="n">
        <x:v>0.13513513513513514</x:v>
      </x:c>
      <x:c r="AC157" s="13" t="n">
        <x:v>0.07291666666666667</x:v>
      </x:c>
      <x:c r="AD157" s="13" t="n">
        <x:v>0.1785394683299874</x:v>
      </x:c>
      <x:c r="AE157" s="13" t="n">
        <x:v>0.36002421922611233</x:v>
      </x:c>
      <x:c r="AF157" s="13" t="n">
        <x:v>4407008.555000001</x:v>
      </x:c>
      <x:c r="AG157" s="13" t="n">
        <x:v>1.5577175212647145</x:v>
      </x:c>
      <x:c r="AH157" s="13" t="n">
        <x:v>-0.03371482179298647</x:v>
      </x:c>
      <x:c r="AI157" s="13" t="n">
        <x:v>34</x:v>
      </x:c>
      <x:c r="AJ157" s="13" t="n">
        <x:v>156414522.38</x:v>
      </x:c>
      <x:c r="AK157" s="13" t="n">
        <x:v>0.01205811242478758</x:v>
      </x:c>
      <x:c r="AL157" s="13" t="n">
        <x:v>0.07488151658767772</x:v>
      </x:c>
      <x:c r="AM157" s="13" t="n">
        <x:v>0.039959016393442626</x:v>
      </x:c>
      <x:c r="AN157" s="13" t="n">
        <x:v>0.18767375996623276</x:v>
      </x:c>
      <x:c r="AO157" s="13" t="n">
        <x:v>1.7493531434441265</x:v>
      </x:c>
      <x:c r="AP157" s="13" t="n">
        <x:v>0.01380502256895674</x:v>
      </x:c>
    </x:row>
    <x:row r="158" ht="15" hidden="0" customHeight="1">
      <x:c r="A158" s="2" t="str">
        <x:v>E157</x:v>
      </x:c>
      <x:c r="B158" s="2" t="str">
        <x:v>***环境设备工程有限公司</x:v>
      </x:c>
      <x:c r="C158" s="2" t="str">
        <x:v>无信贷记录</x:v>
      </x:c>
      <x:c r="D158" s="2" t="str"/>
      <x:c r="E158" s="2" t="str"/>
      <x:c r="F158" s="13" t="n">
        <x:v>1553</x:v>
      </x:c>
      <x:c r="G158" s="13" t="n">
        <x:v>1472</x:v>
      </x:c>
      <x:c r="H158" s="13" t="n">
        <x:v>81</x:v>
      </x:c>
      <x:c r="I158" s="13" t="n">
        <x:v>12</x:v>
      </x:c>
      <x:c r="J158" s="13" t="n">
        <x:v>53073477.29</x:v>
      </x:c>
      <x:c r="K158" s="13" t="n">
        <x:v>54369939.99</x:v>
      </x:c>
      <x:c r="L158" s="13" t="n">
        <x:v>309</x:v>
      </x:c>
      <x:c r="M158" s="13" t="n">
        <x:v>0.05215711526078558</x:v>
      </x:c>
      <x:c r="N158" s="13" t="n">
        <x:v>0.008152173913043478</x:v>
      </x:c>
      <x:c r="O158" s="13" t="n">
        <x:v>0.05134501252197296</x:v>
      </x:c>
      <x:c r="P158" s="13" t="n">
        <x:v>0.12448643499045363</x:v>
      </x:c>
      <x:c r="Q158" s="13" t="n">
        <x:v>1434418.3051351348</x:v>
      </x:c>
      <x:c r="R158" s="13" t="n">
        <x:v>1.6716378936010021</x:v>
      </x:c>
      <x:c r="S158" s="13" t="n">
        <x:v>0.0866716389448781</x:v>
      </x:c>
      <x:c r="T158" s="13" t="n">
        <x:v>37</x:v>
      </x:c>
      <x:c r="U158" s="13" t="n">
        <x:v>999</x:v>
      </x:c>
      <x:c r="V158" s="13" t="n">
        <x:v>918</x:v>
      </x:c>
      <x:c r="W158" s="13" t="n">
        <x:v>81</x:v>
      </x:c>
      <x:c r="X158" s="13" t="n">
        <x:v>75</x:v>
      </x:c>
      <x:c r="Y158" s="13" t="n">
        <x:v>72361142.94</x:v>
      </x:c>
      <x:c r="Z158" s="13" t="n">
        <x:v>86223945</x:v>
      </x:c>
      <x:c r="AA158" s="13" t="n">
        <x:v>91</x:v>
      </x:c>
      <x:c r="AB158" s="13" t="n">
        <x:v>0.08108108108108109</x:v>
      </x:c>
      <x:c r="AC158" s="13" t="n">
        <x:v>0.08169934640522876</x:v>
      </x:c>
      <x:c r="AD158" s="13" t="n">
        <x:v>0.20792767599640463</x:v>
      </x:c>
      <x:c r="AE158" s="13" t="n">
        <x:v>0.41955265442795503</x:v>
      </x:c>
      <x:c r="AF158" s="13" t="n">
        <x:v>1955706.565945946</x:v>
      </x:c>
      <x:c r="AG158" s="13" t="n">
        <x:v>1.721574116949788</x:v>
      </x:c>
      <x:c r="AH158" s="13" t="n">
        <x:v>0.06456345204832135</x:v>
      </x:c>
      <x:c r="AI158" s="13" t="n">
        <x:v>34</x:v>
      </x:c>
      <x:c r="AJ158" s="13" t="n">
        <x:v>19287665.65</x:v>
      </x:c>
      <x:c r="AK158" s="13" t="n">
        <x:v>0.6305666017717004</x:v>
      </x:c>
      <x:c r="AL158" s="13" t="n">
        <x:v>0.06347962382445141</x:v>
      </x:c>
      <x:c r="AM158" s="13" t="n">
        <x:v>0.036401673640167366</x:v>
      </x:c>
      <x:c r="AN158" s="13" t="n">
        <x:v>0.1296363442591888</x:v>
      </x:c>
      <x:c r="AO158" s="13" t="n">
        <x:v>1.696606005275395</x:v>
      </x:c>
      <x:c r="AP158" s="13" t="n">
        <x:v>0.07561754549659973</x:v>
      </x:c>
    </x:row>
    <x:row r="159" ht="15" hidden="0" customHeight="1">
      <x:c r="A159" s="2" t="str">
        <x:v>E158</x:v>
      </x:c>
      <x:c r="B159" s="2" t="str">
        <x:v>***装饰工程有限公司</x:v>
      </x:c>
      <x:c r="C159" s="2" t="str">
        <x:v>无信贷记录</x:v>
      </x:c>
      <x:c r="D159" s="2" t="str"/>
      <x:c r="E159" s="2" t="str"/>
      <x:c r="F159" s="13" t="n">
        <x:v>1174</x:v>
      </x:c>
      <x:c r="G159" s="13" t="n">
        <x:v>1099</x:v>
      </x:c>
      <x:c r="H159" s="13" t="n">
        <x:v>75</x:v>
      </x:c>
      <x:c r="I159" s="13" t="n">
        <x:v>13</x:v>
      </x:c>
      <x:c r="J159" s="13" t="n">
        <x:v>64966054.260000005</x:v>
      </x:c>
      <x:c r="K159" s="13" t="n">
        <x:v>66618750.120000005</x:v>
      </x:c>
      <x:c r="L159" s="13" t="n">
        <x:v>306</x:v>
      </x:c>
      <x:c r="M159" s="13" t="n">
        <x:v>0.06388415672913117</x:v>
      </x:c>
      <x:c r="N159" s="13" t="n">
        <x:v>0.011828935395814377</x:v>
      </x:c>
      <x:c r="O159" s="13" t="n">
        <x:v>0.8167148548992093</x:v>
      </x:c>
      <x:c r="P159" s="13" t="n">
        <x:v>0.9033816502350194</x:v>
      </x:c>
      <x:c r="Q159" s="13" t="n">
        <x:v>2095679.1696774194</x:v>
      </x:c>
      <x:c r="R159" s="13" t="n">
        <x:v>1.506227813820912</x:v>
      </x:c>
      <x:c r="S159" s="13" t="n">
        <x:v>0.03118922584386609</x:v>
      </x:c>
      <x:c r="T159" s="13" t="n">
        <x:v>31</x:v>
      </x:c>
      <x:c r="U159" s="13" t="n">
        <x:v>986</x:v>
      </x:c>
      <x:c r="V159" s="13" t="n">
        <x:v>859</x:v>
      </x:c>
      <x:c r="W159" s="13" t="n">
        <x:v>127</x:v>
      </x:c>
      <x:c r="X159" s="13" t="n">
        <x:v>0</x:v>
      </x:c>
      <x:c r="Y159" s="13" t="n">
        <x:v>84867711.88</x:v>
      </x:c>
      <x:c r="Z159" s="13" t="n">
        <x:v>84867711.88</x:v>
      </x:c>
      <x:c r="AA159" s="13" t="n">
        <x:v>10</x:v>
      </x:c>
      <x:c r="AB159" s="13" t="n">
        <x:v>0.12880324543610547</x:v>
      </x:c>
      <x:c r="AC159" s="13" t="n">
        <x:v>0</x:v>
      </x:c>
      <x:c r="AD159" s="13" t="n">
        <x:v>0.17857265211461465</x:v>
      </x:c>
      <x:c r="AE159" s="13" t="n">
        <x:v>0.25561388199877083</x:v>
      </x:c>
      <x:c r="AF159" s="13" t="n">
        <x:v>2926472.8234482757</x:v>
      </x:c>
      <x:c r="AG159" s="13" t="n">
        <x:v>1.5422063416821352</x:v>
      </x:c>
      <x:c r="AH159" s="13" t="n">
        <x:v>0.018939604170428167</x:v>
      </x:c>
      <x:c r="AI159" s="13" t="n">
        <x:v>28</x:v>
      </x:c>
      <x:c r="AJ159" s="13" t="n">
        <x:v>19901657.61999999</x:v>
      </x:c>
      <x:c r="AK159" s="13" t="n">
        <x:v>0.7849716770283216</x:v>
      </x:c>
      <x:c r="AL159" s="13" t="n">
        <x:v>0.09351851851851851</x:v>
      </x:c>
      <x:c r="AM159" s="13" t="n">
        <x:v>0.006639427987742594</x:v>
      </x:c>
      <x:c r="AN159" s="13" t="n">
        <x:v>0.4976437535069119</x:v>
      </x:c>
      <x:c r="AO159" s="13" t="n">
        <x:v>1.5242170777515236</x:v>
      </x:c>
      <x:c r="AP159" s="13" t="n">
        <x:v>0.02506441500714713</x:v>
      </x:c>
    </x:row>
    <x:row r="160" ht="15" hidden="0" customHeight="1">
      <x:c r="A160" s="2" t="str">
        <x:v>E159</x:v>
      </x:c>
      <x:c r="B160" s="2" t="str">
        <x:v>个体经营E159 </x:v>
      </x:c>
      <x:c r="C160" s="2" t="str">
        <x:v>无信贷记录</x:v>
      </x:c>
      <x:c r="D160" s="2" t="str"/>
      <x:c r="E160" s="2" t="str"/>
      <x:c r="F160" s="13" t="n">
        <x:v>4684</x:v>
      </x:c>
      <x:c r="G160" s="13" t="n">
        <x:v>4472</x:v>
      </x:c>
      <x:c r="H160" s="13" t="n">
        <x:v>212</x:v>
      </x:c>
      <x:c r="I160" s="13" t="n">
        <x:v>13</x:v>
      </x:c>
      <x:c r="J160" s="13" t="n">
        <x:v>69981490.31</x:v>
      </x:c>
      <x:c r="K160" s="13" t="n">
        <x:v>70471088.14999999</x:v>
      </x:c>
      <x:c r="L160" s="13" t="n">
        <x:v>1042</x:v>
      </x:c>
      <x:c r="M160" s="13" t="n">
        <x:v>0.04526046114432109</x:v>
      </x:c>
      <x:c r="N160" s="13" t="n">
        <x:v>0.0029069767441860465</x:v>
      </x:c>
      <x:c r="O160" s="13" t="n">
        <x:v>0.03896813080507431</x:v>
      </x:c>
      <x:c r="P160" s="13" t="n">
        <x:v>0.13764935741239862</x:v>
      </x:c>
      <x:c r="Q160" s="13" t="n">
        <x:v>2257467.4293548395</x:v>
      </x:c>
      <x:c r="R160" s="13" t="n">
        <x:v>0.7896156570400658</x:v>
      </x:c>
      <x:c r="S160" s="13" t="n">
        <x:v>-0.004399014821795095</x:v>
      </x:c>
      <x:c r="T160" s="13" t="n">
        <x:v>31</x:v>
      </x:c>
      <x:c r="U160" s="13" t="n">
        <x:v>253</x:v>
      </x:c>
      <x:c r="V160" s="13" t="n">
        <x:v>233</x:v>
      </x:c>
      <x:c r="W160" s="13" t="n">
        <x:v>20</x:v>
      </x:c>
      <x:c r="X160" s="13" t="n">
        <x:v>2</x:v>
      </x:c>
      <x:c r="Y160" s="13" t="n">
        <x:v>112083125.72</x:v>
      </x:c>
      <x:c r="Z160" s="13" t="n">
        <x:v>115547245.72</x:v>
      </x:c>
      <x:c r="AA160" s="13" t="n">
        <x:v>81</x:v>
      </x:c>
      <x:c r="AB160" s="13" t="n">
        <x:v>0.07905138339920949</x:v>
      </x:c>
      <x:c r="AC160" s="13" t="n">
        <x:v>0.008583690987124463</x:v>
      </x:c>
      <x:c r="AD160" s="13" t="n">
        <x:v>0.043303256123152334</x:v>
      </x:c>
      <x:c r="AE160" s="13" t="n">
        <x:v>0.1239376798708171</x:v>
      </x:c>
      <x:c r="AF160" s="13" t="n">
        <x:v>3113420.1588888895</x:v>
      </x:c>
      <x:c r="AG160" s="13" t="n">
        <x:v>0.7131177257027734</x:v>
      </x:c>
      <x:c r="AH160" s="13" t="n">
        <x:v>0.002996897779681577</x:v>
      </x:c>
      <x:c r="AI160" s="13" t="n">
        <x:v>35</x:v>
      </x:c>
      <x:c r="AJ160" s="13" t="n">
        <x:v>42101635.41</x:v>
      </x:c>
      <x:c r="AK160" s="13" t="n">
        <x:v>0.609889813563961</x:v>
      </x:c>
      <x:c r="AL160" s="13" t="n">
        <x:v>0.04699210046586996</x:v>
      </x:c>
      <x:c r="AM160" s="13" t="n">
        <x:v>0.003188097768331562</x:v>
      </x:c>
      <x:c r="AN160" s="13" t="n">
        <x:v>0.04113569346411332</x:v>
      </x:c>
      <x:c r="AO160" s="13" t="n">
        <x:v>0.7513666913714196</x:v>
      </x:c>
      <x:c r="AP160" s="13" t="n">
        <x:v>-0.000701058521056759</x:v>
      </x:c>
    </x:row>
    <x:row r="161" ht="15" hidden="0" customHeight="1">
      <x:c r="A161" s="2" t="str">
        <x:v>E160</x:v>
      </x:c>
      <x:c r="B161" s="2" t="str">
        <x:v>***钢结构工程有限公司</x:v>
      </x:c>
      <x:c r="C161" s="2" t="str">
        <x:v>无信贷记录</x:v>
      </x:c>
      <x:c r="D161" s="2" t="str"/>
      <x:c r="E161" s="2" t="str"/>
      <x:c r="F161" s="13" t="n">
        <x:v>2470</x:v>
      </x:c>
      <x:c r="G161" s="13" t="n">
        <x:v>2387</x:v>
      </x:c>
      <x:c r="H161" s="13" t="n">
        <x:v>83</x:v>
      </x:c>
      <x:c r="I161" s="13" t="n">
        <x:v>8</x:v>
      </x:c>
      <x:c r="J161" s="13" t="n">
        <x:v>103960096.33</x:v>
      </x:c>
      <x:c r="K161" s="13" t="n">
        <x:v>104438104.75</x:v>
      </x:c>
      <x:c r="L161" s="13" t="n">
        <x:v>424</x:v>
      </x:c>
      <x:c r="M161" s="13" t="n">
        <x:v>0.03360323886639676</x:v>
      </x:c>
      <x:c r="N161" s="13" t="n">
        <x:v>0.0033514872224549644</x:v>
      </x:c>
      <x:c r="O161" s="13" t="n">
        <x:v>0.08117510386400541</x:v>
      </x:c>
      <x:c r="P161" s="13" t="n">
        <x:v>0.23122395391802625</x:v>
      </x:c>
      <x:c r="Q161" s="13" t="n">
        <x:v>2809732.3332432434</x:v>
      </x:c>
      <x:c r="R161" s="13" t="n">
        <x:v>0.785814793465799</x:v>
      </x:c>
      <x:c r="S161" s="13" t="n">
        <x:v>0.018125394565032142</x:v>
      </x:c>
      <x:c r="T161" s="13" t="n">
        <x:v>37</x:v>
      </x:c>
      <x:c r="U161" s="13" t="n">
        <x:v>2123</x:v>
      </x:c>
      <x:c r="V161" s="13" t="n">
        <x:v>1789</x:v>
      </x:c>
      <x:c r="W161" s="13" t="n">
        <x:v>334</x:v>
      </x:c>
      <x:c r="X161" s="13" t="n">
        <x:v>66</x:v>
      </x:c>
      <x:c r="Y161" s="13" t="n">
        <x:v>156483696.99</x:v>
      </x:c>
      <x:c r="Z161" s="13" t="n">
        <x:v>167713651.65</x:v>
      </x:c>
      <x:c r="AA161" s="13" t="n">
        <x:v>68</x:v>
      </x:c>
      <x:c r="AB161" s="13" t="n">
        <x:v>0.15732454074422986</x:v>
      </x:c>
      <x:c r="AC161" s="13" t="n">
        <x:v>0.0368921185019564</x:v>
      </x:c>
      <x:c r="AD161" s="13" t="n">
        <x:v>0.17377293400313973</x:v>
      </x:c>
      <x:c r="AE161" s="13" t="n">
        <x:v>0.3745769639021511</x:v>
      </x:c>
      <x:c r="AF161" s="13" t="n">
        <x:v>4229289.107837837</x:v>
      </x:c>
      <x:c r="AG161" s="13" t="n">
        <x:v>0.7898467790617447</x:v>
      </x:c>
      <x:c r="AH161" s="13" t="n">
        <x:v>0.006246480208112768</x:v>
      </x:c>
      <x:c r="AI161" s="13" t="n">
        <x:v>37</x:v>
      </x:c>
      <x:c r="AJ161" s="13" t="n">
        <x:v>52523600.66000001</x:v>
      </x:c>
      <x:c r="AK161" s="13" t="n">
        <x:v>0.6227167778085881</x:v>
      </x:c>
      <x:c r="AL161" s="13" t="n">
        <x:v>0.09079033311561072</x:v>
      </x:c>
      <x:c r="AM161" s="13" t="n">
        <x:v>0.017720306513409962</x:v>
      </x:c>
      <x:c r="AN161" s="13" t="n">
        <x:v>0.12747401893357257</x:v>
      </x:c>
      <x:c r="AO161" s="13" t="n">
        <x:v>0.7878307862637719</x:v>
      </x:c>
      <x:c r="AP161" s="13" t="n">
        <x:v>0.012185937386572455</x:v>
      </x:c>
    </x:row>
    <x:row r="162" ht="15" hidden="0" customHeight="1">
      <x:c r="A162" s="2" t="str">
        <x:v>E161</x:v>
      </x:c>
      <x:c r="B162" s="2" t="str">
        <x:v>***建筑劳务有限责任公司</x:v>
      </x:c>
      <x:c r="C162" s="2" t="str">
        <x:v>无信贷记录</x:v>
      </x:c>
      <x:c r="D162" s="2" t="str"/>
      <x:c r="E162" s="2" t="str"/>
      <x:c r="F162" s="13" t="n">
        <x:v>248</x:v>
      </x:c>
      <x:c r="G162" s="13" t="n">
        <x:v>246</x:v>
      </x:c>
      <x:c r="H162" s="13" t="n">
        <x:v>2</x:v>
      </x:c>
      <x:c r="I162" s="13" t="n">
        <x:v>0</x:v>
      </x:c>
      <x:c r="J162" s="13" t="n">
        <x:v>963190.5599999999</x:v>
      </x:c>
      <x:c r="K162" s="13" t="n">
        <x:v>963190.5599999999</x:v>
      </x:c>
      <x:c r="L162" s="13" t="n">
        <x:v>140</x:v>
      </x:c>
      <x:c r="M162" s="13" t="n">
        <x:v>0.008064516129032258</x:v>
      </x:c>
      <x:c r="N162" s="13" t="n">
        <x:v>0</x:v>
      </x:c>
      <x:c r="O162" s="13" t="n">
        <x:v>0.15419721221824578</x:v>
      </x:c>
      <x:c r="P162" s="13" t="n">
        <x:v>0.34250750962509435</x:v>
      </x:c>
      <x:c r="Q162" s="13" t="n">
        <x:v>26755.293333333335</x:v>
      </x:c>
      <x:c r="R162" s="13" t="n">
        <x:v>2.2170563298358337</x:v>
      </x:c>
      <x:c r="S162" s="13" t="n">
        <x:v>0.0065091080027187545</x:v>
      </x:c>
      <x:c r="T162" s="13" t="n">
        <x:v>34</x:v>
      </x:c>
      <x:c r="U162" s="13" t="n">
        <x:v>289</x:v>
      </x:c>
      <x:c r="V162" s="13" t="n">
        <x:v>238</x:v>
      </x:c>
      <x:c r="W162" s="13" t="n">
        <x:v>51</x:v>
      </x:c>
      <x:c r="X162" s="13" t="n">
        <x:v>3</x:v>
      </x:c>
      <x:c r="Y162" s="13" t="n">
        <x:v>160131891.88</x:v>
      </x:c>
      <x:c r="Z162" s="13" t="n">
        <x:v>166131891.88</x:v>
      </x:c>
      <x:c r="AA162" s="13" t="n">
        <x:v>29</x:v>
      </x:c>
      <x:c r="AB162" s="13" t="n">
        <x:v>0.17647058823529413</x:v>
      </x:c>
      <x:c r="AC162" s="13" t="n">
        <x:v>0.012605042016806723</x:v>
      </x:c>
      <x:c r="AD162" s="13" t="n">
        <x:v>0.08826133768314866</x:v>
      </x:c>
      <x:c r="AE162" s="13" t="n">
        <x:v>0.17427882553046142</x:v>
      </x:c>
      <x:c r="AF162" s="13" t="n">
        <x:v>4327888.96972973</x:v>
      </x:c>
      <x:c r="AG162" s="13" t="n">
        <x:v>1.0307125160177137</x:v>
      </x:c>
      <x:c r="AH162" s="13" t="n">
        <x:v>-0.004037198132878764</x:v>
      </x:c>
      <x:c r="AI162" s="13" t="n">
        <x:v>32</x:v>
      </x:c>
      <x:c r="AJ162" s="13" t="n">
        <x:v>159168701.32</x:v>
      </x:c>
      <x:c r="AK162" s="13" t="n">
        <x:v>0.005797746291216196</x:v>
      </x:c>
      <x:c r="AL162" s="13" t="n">
        <x:v>0.09869646182495345</x:v>
      </x:c>
      <x:c r="AM162" s="13" t="n">
        <x:v>0.006198347107438017</x:v>
      </x:c>
      <x:c r="AN162" s="13" t="n">
        <x:v>0.12122927495069721</x:v>
      </x:c>
      <x:c r="AO162" s="13" t="n">
        <x:v>1.6238844229267737</x:v>
      </x:c>
      <x:c r="AP162" s="13" t="n">
        <x:v>0.0012359549349199952</x:v>
      </x:c>
    </x:row>
    <x:row r="163" ht="15" hidden="0" customHeight="1">
      <x:c r="A163" s="2" t="str">
        <x:v>E162</x:v>
      </x:c>
      <x:c r="B163" s="2" t="str">
        <x:v>***网络信息安全有限公司</x:v>
      </x:c>
      <x:c r="C163" s="2" t="str">
        <x:v>无信贷记录</x:v>
      </x:c>
      <x:c r="D163" s="2" t="str"/>
      <x:c r="E163" s="2" t="str"/>
      <x:c r="F163" s="13" t="n">
        <x:v>10363</x:v>
      </x:c>
      <x:c r="G163" s="13" t="n">
        <x:v>9820</x:v>
      </x:c>
      <x:c r="H163" s="13" t="n">
        <x:v>543</x:v>
      </x:c>
      <x:c r="I163" s="13" t="n">
        <x:v>149.75999999999976</x:v>
      </x:c>
      <x:c r="J163" s="13" t="n">
        <x:v>143322878.65</x:v>
      </x:c>
      <x:c r="K163" s="13" t="n">
        <x:v>172951726.05</x:v>
      </x:c>
      <x:c r="L163" s="13" t="n">
        <x:v>1286</x:v>
      </x:c>
      <x:c r="M163" s="13" t="n">
        <x:v>0.05239795426034932</x:v>
      </x:c>
      <x:c r="N163" s="13" t="n">
        <x:v>0.02433808553971487</x:v>
      </x:c>
      <x:c r="O163" s="13" t="n">
        <x:v>0.051558204985436715</x:v>
      </x:c>
      <x:c r="P163" s="13" t="n">
        <x:v>0.13053546672019467</x:v>
      </x:c>
      <x:c r="Q163" s="13" t="n">
        <x:v>3771654.701315788</x:v>
      </x:c>
      <x:c r="R163" s="13" t="n">
        <x:v>0.7441722796849743</x:v>
      </x:c>
      <x:c r="S163" s="13" t="n">
        <x:v>0.03352086746201451</x:v>
      </x:c>
      <x:c r="T163" s="13" t="n">
        <x:v>38</x:v>
      </x:c>
      <x:c r="U163" s="13" t="n">
        <x:v>511</x:v>
      </x:c>
      <x:c r="V163" s="13" t="n">
        <x:v>471</x:v>
      </x:c>
      <x:c r="W163" s="13" t="n">
        <x:v>40</x:v>
      </x:c>
      <x:c r="X163" s="13" t="n">
        <x:v>30</x:v>
      </x:c>
      <x:c r="Y163" s="13" t="n">
        <x:v>151252079.29</x:v>
      </x:c>
      <x:c r="Z163" s="13" t="n">
        <x:v>198120519.29000002</x:v>
      </x:c>
      <x:c r="AA163" s="13" t="n">
        <x:v>100</x:v>
      </x:c>
      <x:c r="AB163" s="13" t="n">
        <x:v>0.07827788649706457</x:v>
      </x:c>
      <x:c r="AC163" s="13" t="n">
        <x:v>0.06369426751592357</x:v>
      </x:c>
      <x:c r="AD163" s="13" t="n">
        <x:v>0.06548144827242497</x:v>
      </x:c>
      <x:c r="AE163" s="13" t="n">
        <x:v>0.13785822436706374</x:v>
      </x:c>
      <x:c r="AF163" s="13" t="n">
        <x:v>4087894.0348648652</x:v>
      </x:c>
      <x:c r="AG163" s="13" t="n">
        <x:v>1.5415258346851566</x:v>
      </x:c>
      <x:c r="AH163" s="13" t="n">
        <x:v>0.06818571992740156</x:v>
      </x:c>
      <x:c r="AI163" s="13" t="n">
        <x:v>36</x:v>
      </x:c>
      <x:c r="AJ163" s="13" t="n">
        <x:v>7929200.639999986</x:v>
      </x:c>
      <x:c r="AK163" s="13" t="n">
        <x:v>0.8729622084062931</x:v>
      </x:c>
      <x:c r="AL163" s="13" t="n">
        <x:v>0.05361412543682178</x:v>
      </x:c>
      <x:c r="AM163" s="13" t="n">
        <x:v>0.026139345058789232</x:v>
      </x:c>
      <x:c r="AN163" s="13" t="n">
        <x:v>0.05851982662893084</x:v>
      </x:c>
      <x:c r="AO163" s="13" t="n">
        <x:v>1.1428490571850656</x:v>
      </x:c>
      <x:c r="AP163" s="13" t="n">
        <x:v>0.050853293694708035</x:v>
      </x:c>
    </x:row>
    <x:row r="164" ht="15" hidden="0" customHeight="1">
      <x:c r="A164" s="2" t="str">
        <x:v>E163</x:v>
      </x:c>
      <x:c r="B164" s="2" t="str">
        <x:v>***物流有限公司</x:v>
      </x:c>
      <x:c r="C164" s="2" t="str">
        <x:v>无信贷记录</x:v>
      </x:c>
      <x:c r="D164" s="2" t="str"/>
      <x:c r="E164" s="2" t="str"/>
      <x:c r="F164" s="13" t="n">
        <x:v>2633</x:v>
      </x:c>
      <x:c r="G164" s="13" t="n">
        <x:v>2576</x:v>
      </x:c>
      <x:c r="H164" s="13" t="n">
        <x:v>57</x:v>
      </x:c>
      <x:c r="I164" s="13" t="n">
        <x:v>10</x:v>
      </x:c>
      <x:c r="J164" s="13" t="n">
        <x:v>83366658.57</x:v>
      </x:c>
      <x:c r="K164" s="13" t="n">
        <x:v>83757148.81</x:v>
      </x:c>
      <x:c r="L164" s="13" t="n">
        <x:v>267</x:v>
      </x:c>
      <x:c r="M164" s="13" t="n">
        <x:v>0.02164830991264717</x:v>
      </x:c>
      <x:c r="N164" s="13" t="n">
        <x:v>0.0038819875776397515</x:v>
      </x:c>
      <x:c r="O164" s="13" t="n">
        <x:v>0.12764941673903166</x:v>
      </x:c>
      <x:c r="P164" s="13" t="n">
        <x:v>0.24117344354477674</x:v>
      </x:c>
      <x:c r="Q164" s="13" t="n">
        <x:v>2193859.436052631</x:v>
      </x:c>
      <x:c r="R164" s="13" t="n">
        <x:v>1.2937338694679632</x:v>
      </x:c>
      <x:c r="S164" s="13" t="n">
        <x:v>-0.019774606086516856</x:v>
      </x:c>
      <x:c r="T164" s="13" t="n">
        <x:v>38</x:v>
      </x:c>
      <x:c r="U164" s="13" t="n">
        <x:v>1092</x:v>
      </x:c>
      <x:c r="V164" s="13" t="n">
        <x:v>928</x:v>
      </x:c>
      <x:c r="W164" s="13" t="n">
        <x:v>164</x:v>
      </x:c>
      <x:c r="X164" s="13" t="n">
        <x:v>9</x:v>
      </x:c>
      <x:c r="Y164" s="13" t="n">
        <x:v>143533515.20999998</x:v>
      </x:c>
      <x:c r="Z164" s="13" t="n">
        <x:v>150607486.29</x:v>
      </x:c>
      <x:c r="AA164" s="13" t="n">
        <x:v>24</x:v>
      </x:c>
      <x:c r="AB164" s="13" t="n">
        <x:v>0.15018315018315018</x:v>
      </x:c>
      <x:c r="AC164" s="13" t="n">
        <x:v>0.009698275862068966</x:v>
      </x:c>
      <x:c r="AD164" s="13" t="n">
        <x:v>0.5803665106266542</x:v>
      </x:c>
      <x:c r="AE164" s="13" t="n">
        <x:v>0.7419736510629201</x:v>
      </x:c>
      <x:c r="AF164" s="13" t="n">
        <x:v>3879284.1948648645</x:v>
      </x:c>
      <x:c r="AG164" s="13" t="n">
        <x:v>0.91980829743517</x:v>
      </x:c>
      <x:c r="AH164" s="13" t="n">
        <x:v>-0.009298422700702889</x:v>
      </x:c>
      <x:c r="AI164" s="13" t="n">
        <x:v>36</x:v>
      </x:c>
      <x:c r="AJ164" s="13" t="n">
        <x:v>60166856.639999986</x:v>
      </x:c>
      <x:c r="AK164" s="13" t="n">
        <x:v>0.5561287215744554</x:v>
      </x:c>
      <x:c r="AL164" s="13" t="n">
        <x:v>0.05932885906040269</x:v>
      </x:c>
      <x:c r="AM164" s="13" t="n">
        <x:v>0.005422374429223744</x:v>
      </x:c>
      <x:c r="AN164" s="13" t="n">
        <x:v>0.35400796368284293</x:v>
      </x:c>
      <x:c r="AO164" s="13" t="n">
        <x:v>1.1067710834515667</x:v>
      </x:c>
      <x:c r="AP164" s="13" t="n">
        <x:v>-0.014536514393609873</x:v>
      </x:c>
    </x:row>
    <x:row r="165" ht="15" hidden="0" customHeight="1">
      <x:c r="A165" s="2" t="str">
        <x:v>E164</x:v>
      </x:c>
      <x:c r="B165" s="2" t="str">
        <x:v>个体经营E164 </x:v>
      </x:c>
      <x:c r="C165" s="2" t="str">
        <x:v>无信贷记录</x:v>
      </x:c>
      <x:c r="D165" s="2" t="str"/>
      <x:c r="E165" s="2" t="str"/>
      <x:c r="F165" s="13" t="n">
        <x:v>4194</x:v>
      </x:c>
      <x:c r="G165" s="13" t="n">
        <x:v>4099</x:v>
      </x:c>
      <x:c r="H165" s="13" t="n">
        <x:v>95</x:v>
      </x:c>
      <x:c r="I165" s="13" t="n">
        <x:v>37</x:v>
      </x:c>
      <x:c r="J165" s="13" t="n">
        <x:v>75769207.94000001</x:v>
      </x:c>
      <x:c r="K165" s="13" t="n">
        <x:v>79568946.08</x:v>
      </x:c>
      <x:c r="L165" s="13" t="n">
        <x:v>504</x:v>
      </x:c>
      <x:c r="M165" s="13" t="n">
        <x:v>0.022651406771578446</x:v>
      </x:c>
      <x:c r="N165" s="13" t="n">
        <x:v>0.009026591851671139</x:v>
      </x:c>
      <x:c r="O165" s="13" t="n">
        <x:v>0.1998358439170451</x:v>
      </x:c>
      <x:c r="P165" s="13" t="n">
        <x:v>0.43153928940414593</x:v>
      </x:c>
      <x:c r="Q165" s="13" t="n">
        <x:v>2104700.220555556</x:v>
      </x:c>
      <x:c r="R165" s="13" t="n">
        <x:v>1.119851106840487</x:v>
      </x:c>
      <x:c r="S165" s="13" t="n">
        <x:v>0.020103779593114962</x:v>
      </x:c>
      <x:c r="T165" s="13" t="n">
        <x:v>36</x:v>
      </x:c>
      <x:c r="U165" s="13" t="n">
        <x:v>1661</x:v>
      </x:c>
      <x:c r="V165" s="13" t="n">
        <x:v>1453</x:v>
      </x:c>
      <x:c r="W165" s="13" t="n">
        <x:v>208</x:v>
      </x:c>
      <x:c r="X165" s="13" t="n">
        <x:v>21</x:v>
      </x:c>
      <x:c r="Y165" s="13" t="n">
        <x:v>130739232.16</x:v>
      </x:c>
      <x:c r="Z165" s="13" t="n">
        <x:v>134577835.5</x:v>
      </x:c>
      <x:c r="AA165" s="13" t="n">
        <x:v>86</x:v>
      </x:c>
      <x:c r="AB165" s="13" t="n">
        <x:v>0.12522576760987358</x:v>
      </x:c>
      <x:c r="AC165" s="13" t="n">
        <x:v>0.014452856159669649</x:v>
      </x:c>
      <x:c r="AD165" s="13" t="n">
        <x:v>0.04037184904413224</x:v>
      </x:c>
      <x:c r="AE165" s="13" t="n">
        <x:v>0.1092701424819691</x:v>
      </x:c>
      <x:c r="AF165" s="13" t="n">
        <x:v>3631645.3377777776</x:v>
      </x:c>
      <x:c r="AG165" s="13" t="n">
        <x:v>0.7548440779018137</x:v>
      </x:c>
      <x:c r="AH165" s="13" t="n">
        <x:v>0.015689590555148798</x:v>
      </x:c>
      <x:c r="AI165" s="13" t="n">
        <x:v>36</x:v>
      </x:c>
      <x:c r="AJ165" s="13" t="n">
        <x:v>54970024.219999984</x:v>
      </x:c>
      <x:c r="AK165" s="13" t="n">
        <x:v>0.5912485201175642</x:v>
      </x:c>
      <x:c r="AL165" s="13" t="n">
        <x:v>0.05175064047822374</x:v>
      </x:c>
      <x:c r="AM165" s="13" t="n">
        <x:v>0.010446685878962535</x:v>
      </x:c>
      <x:c r="AN165" s="13" t="n">
        <x:v>0.12010384648058867</x:v>
      </x:c>
      <x:c r="AO165" s="13" t="n">
        <x:v>0.9373475923711504</x:v>
      </x:c>
      <x:c r="AP165" s="13" t="n">
        <x:v>0.01789668507413188</x:v>
      </x:c>
    </x:row>
    <x:row r="166" ht="15" hidden="0" customHeight="1">
      <x:c r="A166" s="2" t="str">
        <x:v>E165</x:v>
      </x:c>
      <x:c r="B166" s="2" t="str">
        <x:v>***文化传媒股份有限公司</x:v>
      </x:c>
      <x:c r="C166" s="2" t="str">
        <x:v>无信贷记录</x:v>
      </x:c>
      <x:c r="D166" s="2" t="str"/>
      <x:c r="E166" s="2" t="str"/>
      <x:c r="F166" s="13" t="n">
        <x:v>4325</x:v>
      </x:c>
      <x:c r="G166" s="13" t="n">
        <x:v>4147</x:v>
      </x:c>
      <x:c r="H166" s="13" t="n">
        <x:v>178</x:v>
      </x:c>
      <x:c r="I166" s="13" t="n">
        <x:v>48</x:v>
      </x:c>
      <x:c r="J166" s="13" t="n">
        <x:v>92982086.56</x:v>
      </x:c>
      <x:c r="K166" s="13" t="n">
        <x:v>98914209.75999999</x:v>
      </x:c>
      <x:c r="L166" s="13" t="n">
        <x:v>928</x:v>
      </x:c>
      <x:c r="M166" s="13" t="n">
        <x:v>0.04115606936416185</x:v>
      </x:c>
      <x:c r="N166" s="13" t="n">
        <x:v>0.011574632264287437</x:v>
      </x:c>
      <x:c r="O166" s="13" t="n">
        <x:v>0.07310670401137334</x:v>
      </x:c>
      <x:c r="P166" s="13" t="n">
        <x:v>0.23383095731259876</x:v>
      </x:c>
      <x:c r="Q166" s="13" t="n">
        <x:v>2513029.3664864865</x:v>
      </x:c>
      <x:c r="R166" s="13" t="n">
        <x:v>0.6386162362898339</x:v>
      </x:c>
      <x:c r="S166" s="13" t="n">
        <x:v>-0.01218403058014393</x:v>
      </x:c>
      <x:c r="T166" s="13" t="n">
        <x:v>37</x:v>
      </x:c>
      <x:c r="U166" s="13" t="n">
        <x:v>2606</x:v>
      </x:c>
      <x:c r="V166" s="13" t="n">
        <x:v>2346</x:v>
      </x:c>
      <x:c r="W166" s="13" t="n">
        <x:v>260</x:v>
      </x:c>
      <x:c r="X166" s="13" t="n">
        <x:v>114</x:v>
      </x:c>
      <x:c r="Y166" s="13" t="n">
        <x:v>122519457.39</x:v>
      </x:c>
      <x:c r="Z166" s="13" t="n">
        <x:v>133112020.78999999</x:v>
      </x:c>
      <x:c r="AA166" s="13" t="n">
        <x:v>255</x:v>
      </x:c>
      <x:c r="AB166" s="13" t="n">
        <x:v>0.0997697620874904</x:v>
      </x:c>
      <x:c r="AC166" s="13" t="n">
        <x:v>0.04859335038363171</x:v>
      </x:c>
      <x:c r="AD166" s="13" t="n">
        <x:v>0.03999672645585545</x:v>
      </x:c>
      <x:c r="AE166" s="13" t="n">
        <x:v>0.15100063751349801</x:v>
      </x:c>
      <x:c r="AF166" s="13" t="n">
        <x:v>3311336.6862162165</x:v>
      </x:c>
      <x:c r="AG166" s="13" t="n">
        <x:v>0.49036950234354504</x:v>
      </x:c>
      <x:c r="AH166" s="13" t="n">
        <x:v>-0.00997684408295902</x:v>
      </x:c>
      <x:c r="AI166" s="13" t="n">
        <x:v>37</x:v>
      </x:c>
      <x:c r="AJ166" s="13" t="n">
        <x:v>29537370.83</x:v>
      </x:c>
      <x:c r="AK166" s="13" t="n">
        <x:v>0.7430899867116351</x:v>
      </x:c>
      <x:c r="AL166" s="13" t="n">
        <x:v>0.06319434425046891</x:v>
      </x:c>
      <x:c r="AM166" s="13" t="n">
        <x:v>0.024949946095795473</x:v>
      </x:c>
      <x:c r="AN166" s="13" t="n">
        <x:v>0.056551715233614394</x:v>
      </x:c>
      <x:c r="AO166" s="13" t="n">
        <x:v>0.5644928693166895</x:v>
      </x:c>
      <x:c r="AP166" s="13" t="n">
        <x:v>-0.011080437331551476</x:v>
      </x:c>
    </x:row>
    <x:row r="167" ht="15" hidden="0" customHeight="1">
      <x:c r="A167" s="2" t="str">
        <x:v>E166</x:v>
      </x:c>
      <x:c r="B167" s="2" t="str">
        <x:v>***建筑工程有限公司</x:v>
      </x:c>
      <x:c r="C167" s="2" t="str">
        <x:v>无信贷记录</x:v>
      </x:c>
      <x:c r="D167" s="2" t="str"/>
      <x:c r="E167" s="2" t="str"/>
      <x:c r="F167" s="13" t="n">
        <x:v>171</x:v>
      </x:c>
      <x:c r="G167" s="13" t="n">
        <x:v>168</x:v>
      </x:c>
      <x:c r="H167" s="13" t="n">
        <x:v>3</x:v>
      </x:c>
      <x:c r="I167" s="13" t="n">
        <x:v>0</x:v>
      </x:c>
      <x:c r="J167" s="13" t="n">
        <x:v>3190440.61</x:v>
      </x:c>
      <x:c r="K167" s="13" t="n">
        <x:v>3190440.61</x:v>
      </x:c>
      <x:c r="L167" s="13" t="n">
        <x:v>74</x:v>
      </x:c>
      <x:c r="M167" s="13" t="n">
        <x:v>0.017543859649122806</x:v>
      </x:c>
      <x:c r="N167" s="13" t="n">
        <x:v>0</x:v>
      </x:c>
      <x:c r="O167" s="13" t="n">
        <x:v>0.25006524440031125</x:v>
      </x:c>
      <x:c r="P167" s="13" t="n">
        <x:v>0.47015449693639644</x:v>
      </x:c>
      <x:c r="Q167" s="13" t="n">
        <x:v>86228.12459459458</x:v>
      </x:c>
      <x:c r="R167" s="13" t="n">
        <x:v>3.304946480405695</x:v>
      </x:c>
      <x:c r="S167" s="13" t="n">
        <x:v>0.13648495318039994</x:v>
      </x:c>
      <x:c r="T167" s="13" t="n">
        <x:v>29</x:v>
      </x:c>
      <x:c r="U167" s="13" t="n">
        <x:v>1572</x:v>
      </x:c>
      <x:c r="V167" s="13" t="n">
        <x:v>1397</x:v>
      </x:c>
      <x:c r="W167" s="13" t="n">
        <x:v>175</x:v>
      </x:c>
      <x:c r="X167" s="13" t="n">
        <x:v>258</x:v>
      </x:c>
      <x:c r="Y167" s="13" t="n">
        <x:v>81444081.39</x:v>
      </x:c>
      <x:c r="Z167" s="13" t="n">
        <x:v>131694081.39</x:v>
      </x:c>
      <x:c r="AA167" s="13" t="n">
        <x:v>50</x:v>
      </x:c>
      <x:c r="AB167" s="13" t="n">
        <x:v>0.11132315521628498</x:v>
      </x:c>
      <x:c r="AC167" s="13" t="n">
        <x:v>0.17828116037106256</x:v>
      </x:c>
      <x:c r="AD167" s="13" t="n">
        <x:v>0.5023103919833336</x:v>
      </x:c>
      <x:c r="AE167" s="13" t="n">
        <x:v>0.6989683896833778</x:v>
      </x:c>
      <x:c r="AF167" s="13" t="n">
        <x:v>2201191.388918919</x:v>
      </x:c>
      <x:c r="AG167" s="13" t="n">
        <x:v>1.7919144941313372</x:v>
      </x:c>
      <x:c r="AH167" s="13" t="n">
        <x:v>0.056374071858806975</x:v>
      </x:c>
      <x:c r="AI167" s="13" t="n">
        <x:v>29</x:v>
      </x:c>
      <x:c r="AJ167" s="13" t="n">
        <x:v>78253640.78</x:v>
      </x:c>
      <x:c r="AK167" s="13" t="n">
        <x:v>0.02422615030474909</x:v>
      </x:c>
      <x:c r="AL167" s="13" t="n">
        <x:v>0.102122776821572</x:v>
      </x:c>
      <x:c r="AM167" s="13" t="n">
        <x:v>0.103076923076923</x:v>
      </x:c>
      <x:c r="AN167" s="13" t="n">
        <x:v>0.37618781819182245</x:v>
      </x:c>
      <x:c r="AO167" s="13" t="n">
        <x:v>2.548430487268516</x:v>
      </x:c>
      <x:c r="AP167" s="13" t="n">
        <x:v>0.09642951251960345</x:v>
      </x:c>
    </x:row>
    <x:row r="168" ht="15" hidden="0" customHeight="1">
      <x:c r="A168" s="2" t="str">
        <x:v>E167</x:v>
      </x:c>
      <x:c r="B168" s="2" t="str">
        <x:v>***体育文化股份有限公司</x:v>
      </x:c>
      <x:c r="C168" s="2" t="str">
        <x:v>无信贷记录</x:v>
      </x:c>
      <x:c r="D168" s="2" t="str"/>
      <x:c r="E168" s="2" t="str"/>
      <x:c r="F168" s="13" t="n">
        <x:v>7298</x:v>
      </x:c>
      <x:c r="G168" s="13" t="n">
        <x:v>7071</x:v>
      </x:c>
      <x:c r="H168" s="13" t="n">
        <x:v>227</x:v>
      </x:c>
      <x:c r="I168" s="13" t="n">
        <x:v>97</x:v>
      </x:c>
      <x:c r="J168" s="13" t="n">
        <x:v>158300709.57999998</x:v>
      </x:c>
      <x:c r="K168" s="13" t="n">
        <x:v>160998816.38</x:v>
      </x:c>
      <x:c r="L168" s="13" t="n">
        <x:v>1101</x:v>
      </x:c>
      <x:c r="M168" s="13" t="n">
        <x:v>0.031104412167717182</x:v>
      </x:c>
      <x:c r="N168" s="13" t="n">
        <x:v>0.013718003111299676</x:v>
      </x:c>
      <x:c r="O168" s="13" t="n">
        <x:v>0.10993148670075634</x:v>
      </x:c>
      <x:c r="P168" s="13" t="n">
        <x:v>0.2632802182219372</x:v>
      </x:c>
      <x:c r="Q168" s="13" t="n">
        <x:v>4278397.556216216</x:v>
      </x:c>
      <x:c r="R168" s="13" t="n">
        <x:v>0.32422736494682114</x:v>
      </x:c>
      <x:c r="S168" s="13" t="n">
        <x:v>-0.0030986467662939346</x:v>
      </x:c>
      <x:c r="T168" s="13" t="n">
        <x:v>37</x:v>
      </x:c>
      <x:c r="U168" s="13" t="n">
        <x:v>4979</x:v>
      </x:c>
      <x:c r="V168" s="13" t="n">
        <x:v>4642</x:v>
      </x:c>
      <x:c r="W168" s="13" t="n">
        <x:v>337</x:v>
      </x:c>
      <x:c r="X168" s="13" t="n">
        <x:v>91</x:v>
      </x:c>
      <x:c r="Y168" s="13" t="n">
        <x:v>137839213.28</x:v>
      </x:c>
      <x:c r="Z168" s="13" t="n">
        <x:v>140506873.4</x:v>
      </x:c>
      <x:c r="AA168" s="13" t="n">
        <x:v>2578</x:v>
      </x:c>
      <x:c r="AB168" s="13" t="n">
        <x:v>0.06768427395059248</x:v>
      </x:c>
      <x:c r="AC168" s="13" t="n">
        <x:v>0.01960361912968548</x:v>
      </x:c>
      <x:c r="AD168" s="13" t="n">
        <x:v>0.0774085150763341</x:v>
      </x:c>
      <x:c r="AE168" s="13" t="n">
        <x:v>0.18628828089772295</x:v>
      </x:c>
      <x:c r="AF168" s="13" t="n">
        <x:v>3725384.142702703</x:v>
      </x:c>
      <x:c r="AG168" s="13" t="n">
        <x:v>0.3723669426949848</x:v>
      </x:c>
      <x:c r="AH168" s="13" t="n">
        <x:v>0.004043254928399388</x:v>
      </x:c>
      <x:c r="AI168" s="13" t="n">
        <x:v>37</x:v>
      </x:c>
      <x:c r="AJ168" s="13" t="n">
        <x:v>-20461496.299999982</x:v>
      </x:c>
      <x:c r="AK168" s="13" t="n">
        <x:v>1.1458429931869796</x:v>
      </x:c>
      <x:c r="AL168" s="13" t="n">
        <x:v>0.04593956178219435</x:v>
      </x:c>
      <x:c r="AM168" s="13" t="n">
        <x:v>0.0160505421326731</x:v>
      </x:c>
      <x:c r="AN168" s="13" t="n">
        <x:v>0.09367000088854521</x:v>
      </x:c>
      <x:c r="AO168" s="13" t="n">
        <x:v>0.35185067339818643</x:v>
      </x:c>
      <x:c r="AP168" s="13" t="n">
        <x:v>0.0004723040810527268</x:v>
      </x:c>
    </x:row>
    <x:row r="169" ht="15" hidden="0" customHeight="1">
      <x:c r="A169" s="2" t="str">
        <x:v>E168</x:v>
      </x:c>
      <x:c r="B169" s="2" t="str">
        <x:v>***建材有限公司</x:v>
      </x:c>
      <x:c r="C169" s="2" t="str">
        <x:v>无信贷记录</x:v>
      </x:c>
      <x:c r="D169" s="2" t="str"/>
      <x:c r="E169" s="2" t="str"/>
      <x:c r="F169" s="13" t="n">
        <x:v>461</x:v>
      </x:c>
      <x:c r="G169" s="13" t="n">
        <x:v>461</x:v>
      </x:c>
      <x:c r="H169" s="13" t="n">
        <x:v>0</x:v>
      </x:c>
      <x:c r="I169" s="13" t="n">
        <x:v>0</x:v>
      </x:c>
      <x:c r="J169" s="13" t="n">
        <x:v>1481109.26</x:v>
      </x:c>
      <x:c r="K169" s="13" t="n">
        <x:v>1481109.26</x:v>
      </x:c>
      <x:c r="L169" s="13" t="n">
        <x:v>8</x:v>
      </x:c>
      <x:c r="M169" s="13" t="n">
        <x:v>0</x:v>
      </x:c>
      <x:c r="N169" s="13" t="n">
        <x:v>0</x:v>
      </x:c>
      <x:c r="O169" s="13" t="n">
        <x:v>0.4968425109004489</x:v>
      </x:c>
      <x:c r="P169" s="13" t="n">
        <x:v>0.5806912448849317</x:v>
      </x:c>
      <x:c r="Q169" s="13" t="n">
        <x:v>59244.3704</x:v>
      </x:c>
      <x:c r="R169" s="13" t="n">
        <x:v>1.7859978996995514</x:v>
      </x:c>
      <x:c r="S169" s="13" t="n">
        <x:v>0.1441334857258348</x:v>
      </x:c>
      <x:c r="T169" s="13" t="n">
        <x:v>11</x:v>
      </x:c>
      <x:c r="U169" s="13" t="n">
        <x:v>415</x:v>
      </x:c>
      <x:c r="V169" s="13" t="n">
        <x:v>399</x:v>
      </x:c>
      <x:c r="W169" s="13" t="n">
        <x:v>16</x:v>
      </x:c>
      <x:c r="X169" s="13" t="n">
        <x:v>0</x:v>
      </x:c>
      <x:c r="Y169" s="13" t="n">
        <x:v>92949996.96000001</x:v>
      </x:c>
      <x:c r="Z169" s="13" t="n">
        <x:v>92949996.96000001</x:v>
      </x:c>
      <x:c r="AA169" s="13" t="n">
        <x:v>12</x:v>
      </x:c>
      <x:c r="AB169" s="13" t="n">
        <x:v>0.03855421686746988</x:v>
      </x:c>
      <x:c r="AC169" s="13" t="n">
        <x:v>0</x:v>
      </x:c>
      <x:c r="AD169" s="13" t="n">
        <x:v>0.41055590521870805</x:v>
      </x:c>
      <x:c r="AE169" s="13" t="n">
        <x:v>0.5900339813201001</x:v>
      </x:c>
      <x:c r="AF169" s="13" t="n">
        <x:v>2816666.5745454542</x:v>
      </x:c>
      <x:c r="AG169" s="13" t="n">
        <x:v>0.8190216966930121</x:v>
      </x:c>
      <x:c r="AH169" s="13" t="n">
        <x:v>0.03392349974293038</x:v>
      </x:c>
      <x:c r="AI169" s="13" t="n">
        <x:v>29</x:v>
      </x:c>
      <x:c r="AJ169" s="13" t="n">
        <x:v>91468887.7</x:v>
      </x:c>
      <x:c r="AK169" s="13" t="n">
        <x:v>0.01593447346359117</x:v>
      </x:c>
      <x:c r="AL169" s="13" t="n">
        <x:v>0.0182648401826484</x:v>
      </x:c>
      <x:c r="AM169" s="13" t="n">
        <x:v>0</x:v>
      </x:c>
      <x:c r="AN169" s="13" t="n">
        <x:v>0.4536992080595785</x:v>
      </x:c>
      <x:c r="AO169" s="13" t="n">
        <x:v>1.3025097981962817</x:v>
      </x:c>
      <x:c r="AP169" s="13" t="n">
        <x:v>0.08902849273438258</x:v>
      </x:c>
    </x:row>
    <x:row r="170" ht="15" hidden="0" customHeight="1">
      <x:c r="A170" s="2" t="str">
        <x:v>E169</x:v>
      </x:c>
      <x:c r="B170" s="2" t="str">
        <x:v>***建筑设计有限公司</x:v>
      </x:c>
      <x:c r="C170" s="2" t="str">
        <x:v>无信贷记录</x:v>
      </x:c>
      <x:c r="D170" s="2" t="str"/>
      <x:c r="E170" s="2" t="str"/>
      <x:c r="F170" s="13" t="n">
        <x:v>6036</x:v>
      </x:c>
      <x:c r="G170" s="13" t="n">
        <x:v>5811</x:v>
      </x:c>
      <x:c r="H170" s="13" t="n">
        <x:v>225</x:v>
      </x:c>
      <x:c r="I170" s="13" t="n">
        <x:v>28</x:v>
      </x:c>
      <x:c r="J170" s="13" t="n">
        <x:v>79325640.35</x:v>
      </x:c>
      <x:c r="K170" s="13" t="n">
        <x:v>79767561.11</x:v>
      </x:c>
      <x:c r="L170" s="13" t="n">
        <x:v>1023</x:v>
      </x:c>
      <x:c r="M170" s="13" t="n">
        <x:v>0.037276341948310136</x:v>
      </x:c>
      <x:c r="N170" s="13" t="n">
        <x:v>0.004818447771467906</x:v>
      </x:c>
      <x:c r="O170" s="13" t="n">
        <x:v>0.036099019589291306</x:v>
      </x:c>
      <x:c r="P170" s="13" t="n">
        <x:v>0.09530277589303118</x:v>
      </x:c>
      <x:c r="Q170" s="13" t="n">
        <x:v>2143936.2256756756</x:v>
      </x:c>
      <x:c r="R170" s="13" t="n">
        <x:v>1.4744844406056627</x:v>
      </x:c>
      <x:c r="S170" s="13" t="n">
        <x:v>0.07765200044694348</x:v>
      </x:c>
      <x:c r="T170" s="13" t="n">
        <x:v>37</x:v>
      </x:c>
      <x:c r="U170" s="13" t="n">
        <x:v>1490</x:v>
      </x:c>
      <x:c r="V170" s="13" t="n">
        <x:v>1410</x:v>
      </x:c>
      <x:c r="W170" s="13" t="n">
        <x:v>80</x:v>
      </x:c>
      <x:c r="X170" s="13" t="n">
        <x:v>30</x:v>
      </x:c>
      <x:c r="Y170" s="13" t="n">
        <x:v>122056560.78</x:v>
      </x:c>
      <x:c r="Z170" s="13" t="n">
        <x:v>126772132.53999999</x:v>
      </x:c>
      <x:c r="AA170" s="13" t="n">
        <x:v>175</x:v>
      </x:c>
      <x:c r="AB170" s="13" t="n">
        <x:v>0.053691275167785234</x:v>
      </x:c>
      <x:c r="AC170" s="13" t="n">
        <x:v>0.02127659574468085</x:v>
      </x:c>
      <x:c r="AD170" s="13" t="n">
        <x:v>0.0441498371341744</x:v>
      </x:c>
      <x:c r="AE170" s="13" t="n">
        <x:v>0.11368567910974103</x:v>
      </x:c>
      <x:c r="AF170" s="13" t="n">
        <x:v>3298825.9670270267</x:v>
      </x:c>
      <x:c r="AG170" s="13" t="n">
        <x:v>0.8593135174375609</x:v>
      </x:c>
      <x:c r="AH170" s="13" t="n">
        <x:v>0.04610658272302687</x:v>
      </x:c>
      <x:c r="AI170" s="13" t="n">
        <x:v>37</x:v>
      </x:c>
      <x:c r="AJ170" s="13" t="n">
        <x:v>42730920.43000001</x:v>
      </x:c>
      <x:c r="AK170" s="13" t="n">
        <x:v>0.6292199989996319</x:v>
      </x:c>
      <x:c r="AL170" s="13" t="n">
        <x:v>0.04052617592346532</x:v>
      </x:c>
      <x:c r="AM170" s="13" t="n">
        <x:v>0.008032128514056224</x:v>
      </x:c>
      <x:c r="AN170" s="13" t="n">
        <x:v>0.040124428361732856</x:v>
      </x:c>
      <x:c r="AO170" s="13" t="n">
        <x:v>1.1668989790216118</x:v>
      </x:c>
      <x:c r="AP170" s="13" t="n">
        <x:v>0.061879291584985174</x:v>
      </x:c>
    </x:row>
    <x:row r="171" ht="15" hidden="0" customHeight="1">
      <x:c r="A171" s="2" t="str">
        <x:v>E170</x:v>
      </x:c>
      <x:c r="B171" s="2" t="str">
        <x:v>***建筑劳务有限公司</x:v>
      </x:c>
      <x:c r="C171" s="2" t="str">
        <x:v>无信贷记录</x:v>
      </x:c>
      <x:c r="D171" s="2" t="str"/>
      <x:c r="E171" s="2" t="str"/>
      <x:c r="F171" s="13" t="n">
        <x:v>1330</x:v>
      </x:c>
      <x:c r="G171" s="13" t="n">
        <x:v>1247</x:v>
      </x:c>
      <x:c r="H171" s="13" t="n">
        <x:v>83</x:v>
      </x:c>
      <x:c r="I171" s="13" t="n">
        <x:v>55</x:v>
      </x:c>
      <x:c r="J171" s="13" t="n">
        <x:v>33888320.12</x:v>
      </x:c>
      <x:c r="K171" s="13" t="n">
        <x:v>35757483.839999996</x:v>
      </x:c>
      <x:c r="L171" s="13" t="n">
        <x:v>234</x:v>
      </x:c>
      <x:c r="M171" s="13" t="n">
        <x:v>0.062406015037593986</x:v>
      </x:c>
      <x:c r="N171" s="13" t="n">
        <x:v>0.044105854049719326</x:v>
      </x:c>
      <x:c r="O171" s="13" t="n">
        <x:v>0.0944525484736342</x:v>
      </x:c>
      <x:c r="P171" s="13" t="n">
        <x:v>0.24702253154958004</x:v>
      </x:c>
      <x:c r="Q171" s="13" t="n">
        <x:v>915900.5437837837</x:v>
      </x:c>
      <x:c r="R171" s="13" t="n">
        <x:v>1.2752316519058433</x:v>
      </x:c>
      <x:c r="S171" s="13" t="n">
        <x:v>0.06688729041573312</x:v>
      </x:c>
      <x:c r="T171" s="13" t="n">
        <x:v>34</x:v>
      </x:c>
      <x:c r="U171" s="13" t="n">
        <x:v>796</x:v>
      </x:c>
      <x:c r="V171" s="13" t="n">
        <x:v>786</x:v>
      </x:c>
      <x:c r="W171" s="13" t="n">
        <x:v>10</x:v>
      </x:c>
      <x:c r="X171" s="13" t="n">
        <x:v>15</x:v>
      </x:c>
      <x:c r="Y171" s="13" t="n">
        <x:v>77865595.4</x:v>
      </x:c>
      <x:c r="Z171" s="13" t="n">
        <x:v>80955565.4</x:v>
      </x:c>
      <x:c r="AA171" s="13" t="n">
        <x:v>11</x:v>
      </x:c>
      <x:c r="AB171" s="13" t="n">
        <x:v>0.01256281407035176</x:v>
      </x:c>
      <x:c r="AC171" s="13" t="n">
        <x:v>0.019083969465648856</x:v>
      </x:c>
      <x:c r="AD171" s="13" t="n">
        <x:v>0.1738676172172227</x:v>
      </x:c>
      <x:c r="AE171" s="13" t="n">
        <x:v>0.28534530042328626</x:v>
      </x:c>
      <x:c r="AF171" s="13" t="n">
        <x:v>2104475.5513513517</x:v>
      </x:c>
      <x:c r="AG171" s="13" t="n">
        <x:v>1.048465188131838</x:v>
      </x:c>
      <x:c r="AH171" s="13" t="n">
        <x:v>0.04086342228178261</x:v>
      </x:c>
      <x:c r="AI171" s="13" t="n">
        <x:v>27</x:v>
      </x:c>
      <x:c r="AJ171" s="13" t="n">
        <x:v>43977275.28000001</x:v>
      </x:c>
      <x:c r="AK171" s="13" t="n">
        <x:v>0.44169271949770106</x:v>
      </x:c>
      <x:c r="AL171" s="13" t="n">
        <x:v>0.04374412041392286</x:v>
      </x:c>
      <x:c r="AM171" s="13" t="n">
        <x:v>0.03443187407771766</x:v>
      </x:c>
      <x:c r="AN171" s="13" t="n">
        <x:v>0.13416008284542844</x:v>
      </x:c>
      <x:c r="AO171" s="13" t="n">
        <x:v>1.1618484200188406</x:v>
      </x:c>
      <x:c r="AP171" s="13" t="n">
        <x:v>0.05387535634875786</x:v>
      </x:c>
    </x:row>
    <x:row r="172" ht="15" hidden="0" customHeight="1">
      <x:c r="A172" s="2" t="str">
        <x:v>E171</x:v>
      </x:c>
      <x:c r="B172" s="2" t="str">
        <x:v>***质量检验测试站</x:v>
      </x:c>
      <x:c r="C172" s="2" t="str">
        <x:v>无信贷记录</x:v>
      </x:c>
      <x:c r="D172" s="2" t="str"/>
      <x:c r="E172" s="2" t="str"/>
      <x:c r="F172" s="13" t="n">
        <x:v>1923</x:v>
      </x:c>
      <x:c r="G172" s="13" t="n">
        <x:v>1823</x:v>
      </x:c>
      <x:c r="H172" s="13" t="n">
        <x:v>100</x:v>
      </x:c>
      <x:c r="I172" s="13" t="n">
        <x:v>8</x:v>
      </x:c>
      <x:c r="J172" s="13" t="n">
        <x:v>46739413.12</x:v>
      </x:c>
      <x:c r="K172" s="13" t="n">
        <x:v>46747377.099999994</x:v>
      </x:c>
      <x:c r="L172" s="13" t="n">
        <x:v>327</x:v>
      </x:c>
      <x:c r="M172" s="13" t="n">
        <x:v>0.052002080083203325</x:v>
      </x:c>
      <x:c r="N172" s="13" t="n">
        <x:v>0.004388370817334065</x:v>
      </x:c>
      <x:c r="O172" s="13" t="n">
        <x:v>0.10897741751259313</x:v>
      </x:c>
      <x:c r="P172" s="13" t="n">
        <x:v>0.2449733788379755</x:v>
      </x:c>
      <x:c r="Q172" s="13" t="n">
        <x:v>1229984.5557894737</x:v>
      </x:c>
      <x:c r="R172" s="13" t="n">
        <x:v>1.1188661207359558</x:v>
      </x:c>
      <x:c r="S172" s="13" t="n">
        <x:v>0.04316951101240288</x:v>
      </x:c>
      <x:c r="T172" s="13" t="n">
        <x:v>38</x:v>
      </x:c>
      <x:c r="U172" s="13" t="n">
        <x:v>7508</x:v>
      </x:c>
      <x:c r="V172" s="13" t="n">
        <x:v>7013</x:v>
      </x:c>
      <x:c r="W172" s="13" t="n">
        <x:v>495</x:v>
      </x:c>
      <x:c r="X172" s="13" t="n">
        <x:v>113</x:v>
      </x:c>
      <x:c r="Y172" s="13" t="n">
        <x:v>110673827.13999999</x:v>
      </x:c>
      <x:c r="Z172" s="13" t="n">
        <x:v>114819963.13999999</x:v>
      </x:c>
      <x:c r="AA172" s="13" t="n">
        <x:v>1458</x:v>
      </x:c>
      <x:c r="AB172" s="13" t="n">
        <x:v>0.06592967501331913</x:v>
      </x:c>
      <x:c r="AC172" s="13" t="n">
        <x:v>0.01611293312419792</x:v>
      </x:c>
      <x:c r="AD172" s="13" t="n">
        <x:v>0.018242714462108938</x:v>
      </x:c>
      <x:c r="AE172" s="13" t="n">
        <x:v>0.0726459702815752</x:v>
      </x:c>
      <x:c r="AF172" s="13" t="n">
        <x:v>2991184.517297297</x:v>
      </x:c>
      <x:c r="AG172" s="13" t="n">
        <x:v>0.6730159189429581</x:v>
      </x:c>
      <x:c r="AH172" s="13" t="n">
        <x:v>0.023419852897553554</x:v>
      </x:c>
      <x:c r="AI172" s="13" t="n">
        <x:v>37</x:v>
      </x:c>
      <x:c r="AJ172" s="13" t="n">
        <x:v>63934414.01999999</x:v>
      </x:c>
      <x:c r="AK172" s="13" t="n">
        <x:v>0.4071363186469666</x:v>
      </x:c>
      <x:c r="AL172" s="13" t="n">
        <x:v>0.06308981020040293</x:v>
      </x:c>
      <x:c r="AM172" s="13" t="n">
        <x:v>0.013693979176097782</x:v>
      </x:c>
      <x:c r="AN172" s="13" t="n">
        <x:v>0.06361006598735103</x:v>
      </x:c>
      <x:c r="AO172" s="13" t="n">
        <x:v>0.895941019839457</x:v>
      </x:c>
      <x:c r="AP172" s="13" t="n">
        <x:v>0.033294681954978214</x:v>
      </x:c>
    </x:row>
    <x:row r="173" ht="15" hidden="0" customHeight="1">
      <x:c r="A173" s="2" t="str">
        <x:v>E172</x:v>
      </x:c>
      <x:c r="B173" s="2" t="str">
        <x:v>***物流有限公司</x:v>
      </x:c>
      <x:c r="C173" s="2" t="str">
        <x:v>无信贷记录</x:v>
      </x:c>
      <x:c r="D173" s="2" t="str"/>
      <x:c r="E173" s="2" t="str"/>
      <x:c r="F173" s="13" t="n">
        <x:v>471</x:v>
      </x:c>
      <x:c r="G173" s="13" t="n">
        <x:v>464</x:v>
      </x:c>
      <x:c r="H173" s="13" t="n">
        <x:v>7</x:v>
      </x:c>
      <x:c r="I173" s="13" t="n">
        <x:v>5</x:v>
      </x:c>
      <x:c r="J173" s="13" t="n">
        <x:v>46505729.769999996</x:v>
      </x:c>
      <x:c r="K173" s="13" t="n">
        <x:v>46589329.769999996</x:v>
      </x:c>
      <x:c r="L173" s="13" t="n">
        <x:v>53</x:v>
      </x:c>
      <x:c r="M173" s="13" t="n">
        <x:v>0.014861995753715499</x:v>
      </x:c>
      <x:c r="N173" s="13" t="n">
        <x:v>0.010775862068965518</x:v>
      </x:c>
      <x:c r="O173" s="13" t="n">
        <x:v>0.1164884339497337</x:v>
      </x:c>
      <x:c r="P173" s="13" t="n">
        <x:v>0.19929600695777513</x:v>
      </x:c>
      <x:c r="Q173" s="13" t="n">
        <x:v>1256911.6154054052</x:v>
      </x:c>
      <x:c r="R173" s="13" t="n">
        <x:v>0.9525788954323345</x:v>
      </x:c>
      <x:c r="S173" s="13" t="n">
        <x:v>0.07241955737135905</x:v>
      </x:c>
      <x:c r="T173" s="13" t="n">
        <x:v>37</x:v>
      </x:c>
      <x:c r="U173" s="13" t="n">
        <x:v>1273</x:v>
      </x:c>
      <x:c r="V173" s="13" t="n">
        <x:v>1171</x:v>
      </x:c>
      <x:c r="W173" s="13" t="n">
        <x:v>102</x:v>
      </x:c>
      <x:c r="X173" s="13" t="n">
        <x:v>0</x:v>
      </x:c>
      <x:c r="Y173" s="13" t="n">
        <x:v>81777712.66</x:v>
      </x:c>
      <x:c r="Z173" s="13" t="n">
        <x:v>81777712.66</x:v>
      </x:c>
      <x:c r="AA173" s="13" t="n">
        <x:v>98</x:v>
      </x:c>
      <x:c r="AB173" s="13" t="n">
        <x:v>0.08012568735271014</x:v>
      </x:c>
      <x:c r="AC173" s="13" t="n">
        <x:v>0</x:v>
      </x:c>
      <x:c r="AD173" s="13" t="n">
        <x:v>0.11921282573498669</x:v>
      </x:c>
      <x:c r="AE173" s="13" t="n">
        <x:v>0.2176409373785975</x:v>
      </x:c>
      <x:c r="AF173" s="13" t="n">
        <x:v>2210208.4502702705</x:v>
      </x:c>
      <x:c r="AG173" s="13" t="n">
        <x:v>0.9143899817036247</x:v>
      </x:c>
      <x:c r="AH173" s="13" t="n">
        <x:v>0.06718431626514351</x:v>
      </x:c>
      <x:c r="AI173" s="13" t="n">
        <x:v>37</x:v>
      </x:c>
      <x:c r="AJ173" s="13" t="n">
        <x:v>35271982.89</x:v>
      </x:c>
      <x:c r="AK173" s="13" t="n">
        <x:v>0.5697069318103865</x:v>
      </x:c>
      <x:c r="AL173" s="13" t="n">
        <x:v>0.0625</x:v>
      </x:c>
      <x:c r="AM173" s="13" t="n">
        <x:v>0.0030581039755351682</x:v>
      </x:c>
      <x:c r="AN173" s="13" t="n">
        <x:v>0.1178506298423602</x:v>
      </x:c>
      <x:c r="AO173" s="13" t="n">
        <x:v>0.9334844385679797</x:v>
      </x:c>
      <x:c r="AP173" s="13" t="n">
        <x:v>0.06980193681825128</x:v>
      </x:c>
    </x:row>
    <x:row r="174" ht="15" hidden="0" customHeight="1">
      <x:c r="A174" s="2" t="str">
        <x:v>E173</x:v>
      </x:c>
      <x:c r="B174" s="2" t="str">
        <x:v>***贸易有限责任公司</x:v>
      </x:c>
      <x:c r="C174" s="2" t="str">
        <x:v>无信贷记录</x:v>
      </x:c>
      <x:c r="D174" s="2" t="str"/>
      <x:c r="E174" s="2" t="str"/>
      <x:c r="F174" s="13" t="n">
        <x:v>1350</x:v>
      </x:c>
      <x:c r="G174" s="13" t="n">
        <x:v>1314</x:v>
      </x:c>
      <x:c r="H174" s="13" t="n">
        <x:v>36</x:v>
      </x:c>
      <x:c r="I174" s="13" t="n">
        <x:v>6</x:v>
      </x:c>
      <x:c r="J174" s="13" t="n">
        <x:v>122539845.94</x:v>
      </x:c>
      <x:c r="K174" s="13" t="n">
        <x:v>122670211.97999999</x:v>
      </x:c>
      <x:c r="L174" s="13" t="n">
        <x:v>204</x:v>
      </x:c>
      <x:c r="M174" s="13" t="n">
        <x:v>0.02666666666666667</x:v>
      </x:c>
      <x:c r="N174" s="13" t="n">
        <x:v>0.0045662100456621</x:v>
      </x:c>
      <x:c r="O174" s="13" t="n">
        <x:v>0.24714850268012112</x:v>
      </x:c>
      <x:c r="P174" s="13" t="n">
        <x:v>0.4767829871324887</x:v>
      </x:c>
      <x:c r="Q174" s="13" t="n">
        <x:v>3311887.7281081085</x:v>
      </x:c>
      <x:c r="R174" s="13" t="n">
        <x:v>0.5192467056573751</x:v>
      </x:c>
      <x:c r="S174" s="13" t="n">
        <x:v>0.00835063708240653</x:v>
      </x:c>
      <x:c r="T174" s="13" t="n">
        <x:v>37</x:v>
      </x:c>
      <x:c r="U174" s="13" t="n">
        <x:v>2501</x:v>
      </x:c>
      <x:c r="V174" s="13" t="n">
        <x:v>2370</x:v>
      </x:c>
      <x:c r="W174" s="13" t="n">
        <x:v>131</x:v>
      </x:c>
      <x:c r="X174" s="13" t="n">
        <x:v>31</x:v>
      </x:c>
      <x:c r="Y174" s="13" t="n">
        <x:v>123727133.5</x:v>
      </x:c>
      <x:c r="Z174" s="13" t="n">
        <x:v>126715043.66</x:v>
      </x:c>
      <x:c r="AA174" s="13" t="n">
        <x:v>350</x:v>
      </x:c>
      <x:c r="AB174" s="13" t="n">
        <x:v>0.05237904838064774</x:v>
      </x:c>
      <x:c r="AC174" s="13" t="n">
        <x:v>0.013080168776371307</x:v>
      </x:c>
      <x:c r="AD174" s="13" t="n">
        <x:v>0.03668577925490788</x:v>
      </x:c>
      <x:c r="AE174" s="13" t="n">
        <x:v>0.09771973044672351</x:v>
      </x:c>
      <x:c r="AF174" s="13" t="n">
        <x:v>3343976.5810810816</x:v>
      </x:c>
      <x:c r="AG174" s="13" t="n">
        <x:v>0.32794384942235894</x:v>
      </x:c>
      <x:c r="AH174" s="13" t="n">
        <x:v>0.0029365079215350953</x:v>
      </x:c>
      <x:c r="AI174" s="13" t="n">
        <x:v>37</x:v>
      </x:c>
      <x:c r="AJ174" s="13" t="n">
        <x:v>1187287.5600000024</x:v>
      </x:c>
      <x:c r="AK174" s="13" t="n">
        <x:v>0.9680793095817964</x:v>
      </x:c>
      <x:c r="AL174" s="13" t="n">
        <x:v>0.04336535964684497</x:v>
      </x:c>
      <x:c r="AM174" s="13" t="n">
        <x:v>0.01004343105320304</x:v>
      </x:c>
      <x:c r="AN174" s="13" t="n">
        <x:v>0.1419171409675145</x:v>
      </x:c>
      <x:c r="AO174" s="13" t="n">
        <x:v>0.42359527753986703</x:v>
      </x:c>
      <x:c r="AP174" s="13" t="n">
        <x:v>0.005643572501970813</x:v>
      </x:c>
    </x:row>
    <x:row r="175" ht="15" hidden="0" customHeight="1">
      <x:c r="A175" s="2" t="str">
        <x:v>E174</x:v>
      </x:c>
      <x:c r="B175" s="2" t="str">
        <x:v>***工程技术有限公司</x:v>
      </x:c>
      <x:c r="C175" s="2" t="str">
        <x:v>无信贷记录</x:v>
      </x:c>
      <x:c r="D175" s="2" t="str"/>
      <x:c r="E175" s="2" t="str"/>
      <x:c r="F175" s="13" t="n">
        <x:v>2399</x:v>
      </x:c>
      <x:c r="G175" s="13" t="n">
        <x:v>2319</x:v>
      </x:c>
      <x:c r="H175" s="13" t="n">
        <x:v>80</x:v>
      </x:c>
      <x:c r="I175" s="13" t="n">
        <x:v>6</x:v>
      </x:c>
      <x:c r="J175" s="13" t="n">
        <x:v>86874940.41</x:v>
      </x:c>
      <x:c r="K175" s="13" t="n">
        <x:v>88156791.36999999</x:v>
      </x:c>
      <x:c r="L175" s="13" t="n">
        <x:v>435</x:v>
      </x:c>
      <x:c r="M175" s="13" t="n">
        <x:v>0.03334722801167153</x:v>
      </x:c>
      <x:c r="N175" s="13" t="n">
        <x:v>0.00258732212160414</x:v>
      </x:c>
      <x:c r="O175" s="13" t="n">
        <x:v>0.2429057086674751</x:v>
      </x:c>
      <x:c r="P175" s="13" t="n">
        <x:v>0.40189818605463606</x:v>
      </x:c>
      <x:c r="Q175" s="13" t="n">
        <x:v>2555145.3061764706</x:v>
      </x:c>
      <x:c r="R175" s="13" t="n">
        <x:v>0.724731770226996</x:v>
      </x:c>
      <x:c r="S175" s="13" t="n">
        <x:v>0.023904179112495934</x:v>
      </x:c>
      <x:c r="T175" s="13" t="n">
        <x:v>34</x:v>
      </x:c>
      <x:c r="U175" s="13" t="n">
        <x:v>1249</x:v>
      </x:c>
      <x:c r="V175" s="13" t="n">
        <x:v>1148</x:v>
      </x:c>
      <x:c r="W175" s="13" t="n">
        <x:v>101</x:v>
      </x:c>
      <x:c r="X175" s="13" t="n">
        <x:v>5</x:v>
      </x:c>
      <x:c r="Y175" s="13" t="n">
        <x:v>105235706.94999999</x:v>
      </x:c>
      <x:c r="Z175" s="13" t="n">
        <x:v>106012893.55000001</x:v>
      </x:c>
      <x:c r="AA175" s="13" t="n">
        <x:v>85</x:v>
      </x:c>
      <x:c r="AB175" s="13" t="n">
        <x:v>0.08086469175340272</x:v>
      </x:c>
      <x:c r="AC175" s="13" t="n">
        <x:v>0.004355400696864111</x:v>
      </x:c>
      <x:c r="AD175" s="13" t="n">
        <x:v>0.049313384029480836</x:v>
      </x:c>
      <x:c r="AE175" s="13" t="n">
        <x:v>0.12913268784181772</x:v>
      </x:c>
      <x:c r="AF175" s="13" t="n">
        <x:v>3188960.816666667</x:v>
      </x:c>
      <x:c r="AG175" s="13" t="n">
        <x:v>0.6845763075930709</x:v>
      </x:c>
      <x:c r="AH175" s="13" t="n">
        <x:v>0.016781385800778217</x:v>
      </x:c>
      <x:c r="AI175" s="13" t="n">
        <x:v>33</x:v>
      </x:c>
      <x:c r="AJ175" s="13" t="n">
        <x:v>18360766.53999999</x:v>
      </x:c>
      <x:c r="AK175" s="13" t="n">
        <x:v>0.831566693615637</x:v>
      </x:c>
      <x:c r="AL175" s="13" t="n">
        <x:v>0.04961622807017544</x:v>
      </x:c>
      <x:c r="AM175" s="13" t="n">
        <x:v>0.0031727718488606866</x:v>
      </x:c>
      <x:c r="AN175" s="13" t="n">
        <x:v>0.14610954634847798</x:v>
      </x:c>
      <x:c r="AO175" s="13" t="n">
        <x:v>0.7046540389100334</x:v>
      </x:c>
      <x:c r="AP175" s="13" t="n">
        <x:v>0.020342782456637076</x:v>
      </x:c>
    </x:row>
    <x:row r="176" ht="15" hidden="0" customHeight="1">
      <x:c r="A176" s="2" t="str">
        <x:v>E175</x:v>
      </x:c>
      <x:c r="B176" s="2" t="str">
        <x:v>***食品集团有限公司</x:v>
      </x:c>
      <x:c r="C176" s="2" t="str">
        <x:v>无信贷记录</x:v>
      </x:c>
      <x:c r="D176" s="2" t="str"/>
      <x:c r="E176" s="2" t="str"/>
      <x:c r="F176" s="13" t="n">
        <x:v>4092</x:v>
      </x:c>
      <x:c r="G176" s="13" t="n">
        <x:v>3930</x:v>
      </x:c>
      <x:c r="H176" s="13" t="n">
        <x:v>162</x:v>
      </x:c>
      <x:c r="I176" s="13" t="n">
        <x:v>67</x:v>
      </x:c>
      <x:c r="J176" s="13" t="n">
        <x:v>89119087.08000001</x:v>
      </x:c>
      <x:c r="K176" s="13" t="n">
        <x:v>96006357.72</x:v>
      </x:c>
      <x:c r="L176" s="13" t="n">
        <x:v>606</x:v>
      </x:c>
      <x:c r="M176" s="13" t="n">
        <x:v>0.039589442815249266</x:v>
      </x:c>
      <x:c r="N176" s="13" t="n">
        <x:v>0.017048346055979643</x:v>
      </x:c>
      <x:c r="O176" s="13" t="n">
        <x:v>0.44478326341647656</x:v>
      </x:c>
      <x:c r="P176" s="13" t="n">
        <x:v>0.6376410412166608</x:v>
      </x:c>
      <x:c r="Q176" s="13" t="n">
        <x:v>2345239.1336842105</x:v>
      </x:c>
      <x:c r="R176" s="13" t="n">
        <x:v>1.3076513401386267</x:v>
      </x:c>
      <x:c r="S176" s="13" t="n">
        <x:v>0.01387819915306698</x:v>
      </x:c>
      <x:c r="T176" s="13" t="n">
        <x:v>38</x:v>
      </x:c>
      <x:c r="U176" s="13" t="n">
        <x:v>4085</x:v>
      </x:c>
      <x:c r="V176" s="13" t="n">
        <x:v>3771</x:v>
      </x:c>
      <x:c r="W176" s="13" t="n">
        <x:v>314</x:v>
      </x:c>
      <x:c r="X176" s="13" t="n">
        <x:v>66</x:v>
      </x:c>
      <x:c r="Y176" s="13" t="n">
        <x:v>85140642.45</x:v>
      </x:c>
      <x:c r="Z176" s="13" t="n">
        <x:v>88538017.77000001</x:v>
      </x:c>
      <x:c r="AA176" s="13" t="n">
        <x:v>1827</x:v>
      </x:c>
      <x:c r="AB176" s="13" t="n">
        <x:v>0.07686658506731946</x:v>
      </x:c>
      <x:c r="AC176" s="13" t="n">
        <x:v>0.017501988862370723</x:v>
      </x:c>
      <x:c r="AD176" s="13" t="n">
        <x:v>0.03427586111979447</x:v>
      </x:c>
      <x:c r="AE176" s="13" t="n">
        <x:v>0.12162958389214004</x:v>
      </x:c>
      <x:c r="AF176" s="13" t="n">
        <x:v>2365017.845833333</x:v>
      </x:c>
      <x:c r="AG176" s="13" t="n">
        <x:v>1.4649382916529867</x:v>
      </x:c>
      <x:c r="AH176" s="13" t="n">
        <x:v>0.03554724409473003</x:v>
      </x:c>
      <x:c r="AI176" s="13" t="n">
        <x:v>30</x:v>
      </x:c>
      <x:c r="AJ176" s="13" t="n">
        <x:v>-3978444.63000001</x:v>
      </x:c>
      <x:c r="AK176" s="13" t="n">
        <x:v>1.0843517862507481</x:v>
      </x:c>
      <x:c r="AL176" s="13" t="n">
        <x:v>0.058212058212058215</x:v>
      </x:c>
      <x:c r="AM176" s="13" t="n">
        <x:v>0.01727048435268147</x:v>
      </x:c>
      <x:c r="AN176" s="13" t="n">
        <x:v>0.23952956226813552</x:v>
      </x:c>
      <x:c r="AO176" s="13" t="n">
        <x:v>1.3862948158958068</x:v>
      </x:c>
      <x:c r="AP176" s="13" t="n">
        <x:v>0.024712721623898502</x:v>
      </x:c>
    </x:row>
    <x:row r="177" ht="15" hidden="0" customHeight="1">
      <x:c r="A177" s="2" t="str">
        <x:v>E176</x:v>
      </x:c>
      <x:c r="B177" s="2" t="str">
        <x:v>***科技有限公司</x:v>
      </x:c>
      <x:c r="C177" s="2" t="str">
        <x:v>无信贷记录</x:v>
      </x:c>
      <x:c r="D177" s="2" t="str"/>
      <x:c r="E177" s="2" t="str"/>
      <x:c r="F177" s="13" t="n">
        <x:v>3229</x:v>
      </x:c>
      <x:c r="G177" s="13" t="n">
        <x:v>3163</x:v>
      </x:c>
      <x:c r="H177" s="13" t="n">
        <x:v>66</x:v>
      </x:c>
      <x:c r="I177" s="13" t="n">
        <x:v>17</x:v>
      </x:c>
      <x:c r="J177" s="13" t="n">
        <x:v>4782474.640000001</x:v>
      </x:c>
      <x:c r="K177" s="13" t="n">
        <x:v>4915047.82</x:v>
      </x:c>
      <x:c r="L177" s="13" t="n">
        <x:v>869</x:v>
      </x:c>
      <x:c r="M177" s="13" t="n">
        <x:v>0.020439764633013318</x:v>
      </x:c>
      <x:c r="N177" s="13" t="n">
        <x:v>0.005374644325007904</x:v>
      </x:c>
      <x:c r="O177" s="13" t="n">
        <x:v>0.04103250369108647</x:v>
      </x:c>
      <x:c r="P177" s="13" t="n">
        <x:v>0.15514359736178515</x:v>
      </x:c>
      <x:c r="Q177" s="13" t="n">
        <x:v>125854.59578947368</x:v>
      </x:c>
      <x:c r="R177" s="13" t="n">
        <x:v>0.8357312816110231</x:v>
      </x:c>
      <x:c r="S177" s="13" t="n">
        <x:v>0.001549171277837086</x:v>
      </x:c>
      <x:c r="T177" s="13" t="n">
        <x:v>38</x:v>
      </x:c>
      <x:c r="U177" s="13" t="n">
        <x:v>2167</x:v>
      </x:c>
      <x:c r="V177" s="13" t="n">
        <x:v>1935</x:v>
      </x:c>
      <x:c r="W177" s="13" t="n">
        <x:v>232</x:v>
      </x:c>
      <x:c r="X177" s="13" t="n">
        <x:v>67</x:v>
      </x:c>
      <x:c r="Y177" s="13" t="n">
        <x:v>96232800.79</x:v>
      </x:c>
      <x:c r="Z177" s="13" t="n">
        <x:v>100938811.19</x:v>
      </x:c>
      <x:c r="AA177" s="13" t="n">
        <x:v>169</x:v>
      </x:c>
      <x:c r="AB177" s="13" t="n">
        <x:v>0.1070604522381172</x:v>
      </x:c>
      <x:c r="AC177" s="13" t="n">
        <x:v>0.03462532299741602</x:v>
      </x:c>
      <x:c r="AD177" s="13" t="n">
        <x:v>0.1068958207077605</x:v>
      </x:c>
      <x:c r="AE177" s="13" t="n">
        <x:v>0.25560267240948076</x:v>
      </x:c>
      <x:c r="AF177" s="13" t="n">
        <x:v>2532442.1260526315</x:v>
      </x:c>
      <x:c r="AG177" s="13" t="n">
        <x:v>0.37067664153648844</x:v>
      </x:c>
      <x:c r="AH177" s="13" t="n">
        <x:v>0.013949788557602713</x:v>
      </x:c>
      <x:c r="AI177" s="13" t="n">
        <x:v>38</x:v>
      </x:c>
      <x:c r="AJ177" s="13" t="n">
        <x:v>91450326.15</x:v>
      </x:c>
      <x:c r="AK177" s="13" t="n">
        <x:v>0.04869333967831527</x:v>
      </x:c>
      <x:c r="AL177" s="13" t="n">
        <x:v>0.05522609340252038</x:v>
      </x:c>
      <x:c r="AM177" s="13" t="n">
        <x:v>0.01647704982346018</x:v>
      </x:c>
      <x:c r="AN177" s="13" t="n">
        <x:v>0.07396416219942349</x:v>
      </x:c>
      <x:c r="AO177" s="13" t="n">
        <x:v>0.6032039615737558</x:v>
      </x:c>
      <x:c r="AP177" s="13" t="n">
        <x:v>0.0077494799177199</x:v>
      </x:c>
    </x:row>
    <x:row r="178" ht="15" hidden="0" customHeight="1">
      <x:c r="A178" s="2" t="str">
        <x:v>E177</x:v>
      </x:c>
      <x:c r="B178" s="2" t="str">
        <x:v>***电力工程有限公司</x:v>
      </x:c>
      <x:c r="C178" s="2" t="str">
        <x:v>无信贷记录</x:v>
      </x:c>
      <x:c r="D178" s="2" t="str"/>
      <x:c r="E178" s="2" t="str"/>
      <x:c r="F178" s="13" t="n">
        <x:v>3152</x:v>
      </x:c>
      <x:c r="G178" s="13" t="n">
        <x:v>3061</x:v>
      </x:c>
      <x:c r="H178" s="13" t="n">
        <x:v>91</x:v>
      </x:c>
      <x:c r="I178" s="13" t="n">
        <x:v>5</x:v>
      </x:c>
      <x:c r="J178" s="13" t="n">
        <x:v>79409705.97999999</x:v>
      </x:c>
      <x:c r="K178" s="13" t="n">
        <x:v>86705713.44</x:v>
      </x:c>
      <x:c r="L178" s="13" t="n">
        <x:v>648</x:v>
      </x:c>
      <x:c r="M178" s="13" t="n">
        <x:v>0.028870558375634518</x:v>
      </x:c>
      <x:c r="N178" s="13" t="n">
        <x:v>0.001633453119895459</x:v>
      </x:c>
      <x:c r="O178" s="13" t="n">
        <x:v>0.11425078431838306</x:v>
      </x:c>
      <x:c r="P178" s="13" t="n">
        <x:v>0.2886189157225162</x:v>
      </x:c>
      <x:c r="Q178" s="13" t="n">
        <x:v>2146208.2697297297</x:v>
      </x:c>
      <x:c r="R178" s="13" t="n">
        <x:v>1.2182614438372794</x:v>
      </x:c>
      <x:c r="S178" s="13" t="n">
        <x:v>0.03533520375104698</x:v>
      </x:c>
      <x:c r="T178" s="13" t="n">
        <x:v>37</x:v>
      </x:c>
      <x:c r="U178" s="13" t="n">
        <x:v>970</x:v>
      </x:c>
      <x:c r="V178" s="13" t="n">
        <x:v>835</x:v>
      </x:c>
      <x:c r="W178" s="13" t="n">
        <x:v>135</x:v>
      </x:c>
      <x:c r="X178" s="13" t="n">
        <x:v>18</x:v>
      </x:c>
      <x:c r="Y178" s="13" t="n">
        <x:v>104989801.23</x:v>
      </x:c>
      <x:c r="Z178" s="13" t="n">
        <x:v>108403791.21000001</x:v>
      </x:c>
      <x:c r="AA178" s="13" t="n">
        <x:v>201</x:v>
      </x:c>
      <x:c r="AB178" s="13" t="n">
        <x:v>0.13917525773195877</x:v>
      </x:c>
      <x:c r="AC178" s="13" t="n">
        <x:v>0.02155688622754491</x:v>
      </x:c>
      <x:c r="AD178" s="13" t="n">
        <x:v>0.07296276261715445</x:v>
      </x:c>
      <x:c r="AE178" s="13" t="n">
        <x:v>0.12545686675896842</x:v>
      </x:c>
      <x:c r="AF178" s="13" t="n">
        <x:v>3087935.3302941173</x:v>
      </x:c>
      <x:c r="AG178" s="13" t="n">
        <x:v>1.6300619535999679</x:v>
      </x:c>
      <x:c r="AH178" s="13" t="n">
        <x:v>-0.011896454029966832</x:v>
      </x:c>
      <x:c r="AI178" s="13" t="n">
        <x:v>25</x:v>
      </x:c>
      <x:c r="AJ178" s="13" t="n">
        <x:v>25580095.250000015</x:v>
      </x:c>
      <x:c r="AK178" s="13" t="n">
        <x:v>0.7998402313442483</x:v>
      </x:c>
      <x:c r="AL178" s="13" t="n">
        <x:v>0.05482775351770985</x:v>
      </x:c>
      <x:c r="AM178" s="13" t="n">
        <x:v>0.005903490759753593</x:v>
      </x:c>
      <x:c r="AN178" s="13" t="n">
        <x:v>0.09360677346776876</x:v>
      </x:c>
      <x:c r="AO178" s="13" t="n">
        <x:v>1.4241616987186236</x:v>
      </x:c>
      <x:c r="AP178" s="13" t="n">
        <x:v>0.011719374860540073</x:v>
      </x:c>
    </x:row>
    <x:row r="179" ht="15" hidden="0" customHeight="1">
      <x:c r="A179" s="2" t="str">
        <x:v>E178</x:v>
      </x:c>
      <x:c r="B179" s="2" t="str">
        <x:v>***贸易有限公司</x:v>
      </x:c>
      <x:c r="C179" s="2" t="str">
        <x:v>无信贷记录</x:v>
      </x:c>
      <x:c r="D179" s="2" t="str"/>
      <x:c r="E179" s="2" t="str"/>
      <x:c r="F179" s="13" t="n">
        <x:v>340</x:v>
      </x:c>
      <x:c r="G179" s="13" t="n">
        <x:v>333</x:v>
      </x:c>
      <x:c r="H179" s="13" t="n">
        <x:v>7</x:v>
      </x:c>
      <x:c r="I179" s="13" t="n">
        <x:v>5</x:v>
      </x:c>
      <x:c r="J179" s="13" t="n">
        <x:v>91884740.44</x:v>
      </x:c>
      <x:c r="K179" s="13" t="n">
        <x:v>92027013.36</x:v>
      </x:c>
      <x:c r="L179" s="13" t="n">
        <x:v>29</x:v>
      </x:c>
      <x:c r="M179" s="13" t="n">
        <x:v>0.020588235294117647</x:v>
      </x:c>
      <x:c r="N179" s="13" t="n">
        <x:v>0.015015015015015015</x:v>
      </x:c>
      <x:c r="O179" s="13" t="n">
        <x:v>0.2309387124045231</x:v>
      </x:c>
      <x:c r="P179" s="13" t="n">
        <x:v>0.37161797054325263</x:v>
      </x:c>
      <x:c r="Q179" s="13" t="n">
        <x:v>2483371.363243243</x:v>
      </x:c>
      <x:c r="R179" s="13" t="n">
        <x:v>0.6932951271097759</x:v>
      </x:c>
      <x:c r="S179" s="13" t="n">
        <x:v>0.047249327801060406</x:v>
      </x:c>
      <x:c r="T179" s="13" t="n">
        <x:v>36</x:v>
      </x:c>
      <x:c r="U179" s="13" t="n">
        <x:v>1116</x:v>
      </x:c>
      <x:c r="V179" s="13" t="n">
        <x:v>1019</x:v>
      </x:c>
      <x:c r="W179" s="13" t="n">
        <x:v>97</x:v>
      </x:c>
      <x:c r="X179" s="13" t="n">
        <x:v>22</x:v>
      </x:c>
      <x:c r="Y179" s="13" t="n">
        <x:v>90250567.82</x:v>
      </x:c>
      <x:c r="Z179" s="13" t="n">
        <x:v>93590347.02</x:v>
      </x:c>
      <x:c r="AA179" s="13" t="n">
        <x:v>183</x:v>
      </x:c>
      <x:c r="AB179" s="13" t="n">
        <x:v>0.08691756272401434</x:v>
      </x:c>
      <x:c r="AC179" s="13" t="n">
        <x:v>0.021589793915603533</x:v>
      </x:c>
      <x:c r="AD179" s="13" t="n">
        <x:v>0.02338039225953005</x:v>
      </x:c>
      <x:c r="AE179" s="13" t="n">
        <x:v>0.058620410915108494</x:v>
      </x:c>
      <x:c r="AF179" s="13" t="n">
        <x:v>2439204.535675676</x:v>
      </x:c>
      <x:c r="AG179" s="13" t="n">
        <x:v>0.6422272932548948</x:v>
      </x:c>
      <x:c r="AH179" s="13" t="n">
        <x:v>0.04478867301286955</x:v>
      </x:c>
      <x:c r="AI179" s="13" t="n">
        <x:v>37</x:v>
      </x:c>
      <x:c r="AJ179" s="13" t="n">
        <x:v>-1634172.6200000048</x:v>
      </x:c>
      <x:c r="AK179" s="13" t="n">
        <x:v>0.9832959946214761</x:v>
      </x:c>
      <x:c r="AL179" s="13" t="n">
        <x:v>0.07142857142857142</x:v>
      </x:c>
      <x:c r="AM179" s="13" t="n">
        <x:v>0.019970414201183433</x:v>
      </x:c>
      <x:c r="AN179" s="13" t="n">
        <x:v>0.12715955233202658</x:v>
      </x:c>
      <x:c r="AO179" s="13" t="n">
        <x:v>0.6677612101823354</x:v>
      </x:c>
      <x:c r="AP179" s="13" t="n">
        <x:v>0.04601900040696498</x:v>
      </x:c>
    </x:row>
    <x:row r="180" ht="15" hidden="0" customHeight="1">
      <x:c r="A180" s="2" t="str">
        <x:v>E179</x:v>
      </x:c>
      <x:c r="B180" s="2" t="str">
        <x:v>***园林有限公司</x:v>
      </x:c>
      <x:c r="C180" s="2" t="str">
        <x:v>无信贷记录</x:v>
      </x:c>
      <x:c r="D180" s="2" t="str"/>
      <x:c r="E180" s="2" t="str"/>
      <x:c r="F180" s="13" t="n">
        <x:v>2125</x:v>
      </x:c>
      <x:c r="G180" s="13" t="n">
        <x:v>2000</x:v>
      </x:c>
      <x:c r="H180" s="13" t="n">
        <x:v>125</x:v>
      </x:c>
      <x:c r="I180" s="13" t="n">
        <x:v>11</x:v>
      </x:c>
      <x:c r="J180" s="13" t="n">
        <x:v>37778264.89</x:v>
      </x:c>
      <x:c r="K180" s="13" t="n">
        <x:v>38304270.69</x:v>
      </x:c>
      <x:c r="L180" s="13" t="n">
        <x:v>352</x:v>
      </x:c>
      <x:c r="M180" s="13" t="n">
        <x:v>0.058823529411764705</x:v>
      </x:c>
      <x:c r="N180" s="13" t="n">
        <x:v>0.0055</x:v>
      </x:c>
      <x:c r="O180" s="13" t="n">
        <x:v>0.04076359385987898</x:v>
      </x:c>
      <x:c r="P180" s="13" t="n">
        <x:v>0.13967110986913298</x:v>
      </x:c>
      <x:c r="Q180" s="13" t="n">
        <x:v>1021034.1862162162</x:v>
      </x:c>
      <x:c r="R180" s="13" t="n">
        <x:v>1.291121029443739</x:v>
      </x:c>
      <x:c r="S180" s="13" t="n">
        <x:v>0.0648791389434853</x:v>
      </x:c>
      <x:c r="T180" s="13" t="n">
        <x:v>35</x:v>
      </x:c>
      <x:c r="U180" s="13" t="n">
        <x:v>805</x:v>
      </x:c>
      <x:c r="V180" s="13" t="n">
        <x:v>718</x:v>
      </x:c>
      <x:c r="W180" s="13" t="n">
        <x:v>87</x:v>
      </x:c>
      <x:c r="X180" s="13" t="n">
        <x:v>18</x:v>
      </x:c>
      <x:c r="Y180" s="13" t="n">
        <x:v>65093752.63000001</x:v>
      </x:c>
      <x:c r="Z180" s="13" t="n">
        <x:v>68239403.89000002</x:v>
      </x:c>
      <x:c r="AA180" s="13" t="n">
        <x:v>44</x:v>
      </x:c>
      <x:c r="AB180" s="13" t="n">
        <x:v>0.10807453416149068</x:v>
      </x:c>
      <x:c r="AC180" s="13" t="n">
        <x:v>0.025069637883008356</x:v>
      </x:c>
      <x:c r="AD180" s="13" t="n">
        <x:v>0.06545978084290353</x:v>
      </x:c>
      <x:c r="AE180" s="13" t="n">
        <x:v>0.10150968421655712</x:v>
      </x:c>
      <x:c r="AF180" s="13" t="n">
        <x:v>1759290.6116216213</x:v>
      </x:c>
      <x:c r="AG180" s="13" t="n">
        <x:v>1.1623858409206729</x:v>
      </x:c>
      <x:c r="AH180" s="13" t="n">
        <x:v>0.032341852649537615</x:v>
      </x:c>
      <x:c r="AI180" s="13" t="n">
        <x:v>29</x:v>
      </x:c>
      <x:c r="AJ180" s="13" t="n">
        <x:v>27315487.74000001</x:v>
      </x:c>
      <x:c r="AK180" s="13" t="n">
        <x:v>0.561321883053747</x:v>
      </x:c>
      <x:c r="AL180" s="13" t="n">
        <x:v>0.07235494880546076</x:v>
      </x:c>
      <x:c r="AM180" s="13" t="n">
        <x:v>0.010669610007358351</x:v>
      </x:c>
      <x:c r="AN180" s="13" t="n">
        <x:v>0.053111687351391254</x:v>
      </x:c>
      <x:c r="AO180" s="13" t="n">
        <x:v>1.2267534351822058</x:v>
      </x:c>
      <x:c r="AP180" s="13" t="n">
        <x:v>0.04861049579651146</x:v>
      </x:c>
    </x:row>
    <x:row r="181" ht="15" hidden="0" customHeight="1">
      <x:c r="A181" s="2" t="str">
        <x:v>E180</x:v>
      </x:c>
      <x:c r="B181" s="2" t="str">
        <x:v>***电气有限公司</x:v>
      </x:c>
      <x:c r="C181" s="2" t="str">
        <x:v>无信贷记录</x:v>
      </x:c>
      <x:c r="D181" s="2" t="str"/>
      <x:c r="E181" s="2" t="str"/>
      <x:c r="F181" s="13" t="n">
        <x:v>3674</x:v>
      </x:c>
      <x:c r="G181" s="13" t="n">
        <x:v>3545</x:v>
      </x:c>
      <x:c r="H181" s="13" t="n">
        <x:v>129</x:v>
      </x:c>
      <x:c r="I181" s="13" t="n">
        <x:v>30</x:v>
      </x:c>
      <x:c r="J181" s="13" t="n">
        <x:v>71862813.72</x:v>
      </x:c>
      <x:c r="K181" s="13" t="n">
        <x:v>72578402.47999999</x:v>
      </x:c>
      <x:c r="L181" s="13" t="n">
        <x:v>609</x:v>
      </x:c>
      <x:c r="M181" s="13" t="n">
        <x:v>0.03511159499183451</x:v>
      </x:c>
      <x:c r="N181" s="13" t="n">
        <x:v>0.00846262341325811</x:v>
      </x:c>
      <x:c r="O181" s="13" t="n">
        <x:v>0.7603957192845199</x:v>
      </x:c>
      <x:c r="P181" s="13" t="n">
        <x:v>0.8716610557449679</x:v>
      </x:c>
      <x:c r="Q181" s="13" t="n">
        <x:v>1891126.6768421053</x:v>
      </x:c>
      <x:c r="R181" s="13" t="n">
        <x:v>0.6388089941884262</x:v>
      </x:c>
      <x:c r="S181" s="13" t="n">
        <x:v>0.01988471039166817</x:v>
      </x:c>
      <x:c r="T181" s="13" t="n">
        <x:v>38</x:v>
      </x:c>
      <x:c r="U181" s="13" t="n">
        <x:v>2110</x:v>
      </x:c>
      <x:c r="V181" s="13" t="n">
        <x:v>2023</x:v>
      </x:c>
      <x:c r="W181" s="13" t="n">
        <x:v>87</x:v>
      </x:c>
      <x:c r="X181" s="13" t="n">
        <x:v>7</x:v>
      </x:c>
      <x:c r="Y181" s="13" t="n">
        <x:v>85463039.92</x:v>
      </x:c>
      <x:c r="Z181" s="13" t="n">
        <x:v>86031193.92</x:v>
      </x:c>
      <x:c r="AA181" s="13" t="n">
        <x:v>479</x:v>
      </x:c>
      <x:c r="AB181" s="13" t="n">
        <x:v>0.04123222748815166</x:v>
      </x:c>
      <x:c r="AC181" s="13" t="n">
        <x:v>0.0034602076124567475</x:v>
      </x:c>
      <x:c r="AD181" s="13" t="n">
        <x:v>0.02225054354512027</x:v>
      </x:c>
      <x:c r="AE181" s="13" t="n">
        <x:v>0.06426520135407182</x:v>
      </x:c>
      <x:c r="AF181" s="13" t="n">
        <x:v>2249027.3663157895</x:v>
      </x:c>
      <x:c r="AG181" s="13" t="n">
        <x:v>0.6750975799450136</x:v>
      </x:c>
      <x:c r="AH181" s="13" t="n">
        <x:v>0.020356536344625233</x:v>
      </x:c>
      <x:c r="AI181" s="13" t="n">
        <x:v>38</x:v>
      </x:c>
      <x:c r="AJ181" s="13" t="n">
        <x:v>13600226.200000003</x:v>
      </x:c>
      <x:c r="AK181" s="13" t="n">
        <x:v>0.8436289114793676</x:v>
      </x:c>
      <x:c r="AL181" s="13" t="n">
        <x:v>0.03734439834024896</x:v>
      </x:c>
      <x:c r="AM181" s="13" t="n">
        <x:v>0.006645114942528735</x:v>
      </x:c>
      <x:c r="AN181" s="13" t="n">
        <x:v>0.39132313141482006</x:v>
      </x:c>
      <x:c r="AO181" s="13" t="n">
        <x:v>0.6569532870667198</x:v>
      </x:c>
      <x:c r="AP181" s="13" t="n">
        <x:v>0.0201206233681467</x:v>
      </x:c>
    </x:row>
    <x:row r="182" ht="15" hidden="0" customHeight="1">
      <x:c r="A182" s="2" t="str">
        <x:v>E181</x:v>
      </x:c>
      <x:c r="B182" s="2" t="str">
        <x:v>***食品有限公司</x:v>
      </x:c>
      <x:c r="C182" s="2" t="str">
        <x:v>无信贷记录</x:v>
      </x:c>
      <x:c r="D182" s="2" t="str"/>
      <x:c r="E182" s="2" t="str"/>
      <x:c r="F182" s="13" t="n">
        <x:v>3048</x:v>
      </x:c>
      <x:c r="G182" s="13" t="n">
        <x:v>2974</x:v>
      </x:c>
      <x:c r="H182" s="13" t="n">
        <x:v>74</x:v>
      </x:c>
      <x:c r="I182" s="13" t="n">
        <x:v>32</x:v>
      </x:c>
      <x:c r="J182" s="13" t="n">
        <x:v>97838584.03</x:v>
      </x:c>
      <x:c r="K182" s="13" t="n">
        <x:v>98319132.11</x:v>
      </x:c>
      <x:c r="L182" s="13" t="n">
        <x:v>374</x:v>
      </x:c>
      <x:c r="M182" s="13" t="n">
        <x:v>0.024278215223097113</x:v>
      </x:c>
      <x:c r="N182" s="13" t="n">
        <x:v>0.010759919300605245</x:v>
      </x:c>
      <x:c r="O182" s="13" t="n">
        <x:v>0.07147745019134023</x:v>
      </x:c>
      <x:c r="P182" s="13" t="n">
        <x:v>0.18551098447038558</x:v>
      </x:c>
      <x:c r="Q182" s="13" t="n">
        <x:v>2644286.054864865</x:v>
      </x:c>
      <x:c r="R182" s="13" t="n">
        <x:v>0.36517155386951733</x:v>
      </x:c>
      <x:c r="S182" s="13" t="n">
        <x:v>0.0231681221374418</x:v>
      </x:c>
      <x:c r="T182" s="13" t="n">
        <x:v>37</x:v>
      </x:c>
      <x:c r="U182" s="13" t="n">
        <x:v>1571</x:v>
      </x:c>
      <x:c r="V182" s="13" t="n">
        <x:v>1475</x:v>
      </x:c>
      <x:c r="W182" s="13" t="n">
        <x:v>96</x:v>
      </x:c>
      <x:c r="X182" s="13" t="n">
        <x:v>10</x:v>
      </x:c>
      <x:c r="Y182" s="13" t="n">
        <x:v>87672437</x:v>
      </x:c>
      <x:c r="Z182" s="13" t="n">
        <x:v>87776513.56</x:v>
      </x:c>
      <x:c r="AA182" s="13" t="n">
        <x:v>186</x:v>
      </x:c>
      <x:c r="AB182" s="13" t="n">
        <x:v>0.061107574793125397</x:v>
      </x:c>
      <x:c r="AC182" s="13" t="n">
        <x:v>0.006779661016949152</x:v>
      </x:c>
      <x:c r="AD182" s="13" t="n">
        <x:v>0.5381244726241198</x:v>
      </x:c>
      <x:c r="AE182" s="13" t="n">
        <x:v>0.7245733658187004</x:v>
      </x:c>
      <x:c r="AF182" s="13" t="n">
        <x:v>2369525.3243243247</x:v>
      </x:c>
      <x:c r="AG182" s="13" t="n">
        <x:v>0.40703145593992657</x:v>
      </x:c>
      <x:c r="AH182" s="13" t="n">
        <x:v>0.02113492504761607</x:v>
      </x:c>
      <x:c r="AI182" s="13" t="n">
        <x:v>37</x:v>
      </x:c>
      <x:c r="AJ182" s="13" t="n">
        <x:v>-10166147.030000001</x:v>
      </x:c>
      <x:c r="AK182" s="13" t="n">
        <x:v>1.1201075107955107</x:v>
      </x:c>
      <x:c r="AL182" s="13" t="n">
        <x:v>0.03680450313920762</x:v>
      </x:c>
      <x:c r="AM182" s="13" t="n">
        <x:v>0.009440323668240054</x:v>
      </x:c>
      <x:c r="AN182" s="13" t="n">
        <x:v>0.30480096140773</x:v>
      </x:c>
      <x:c r="AO182" s="13" t="n">
        <x:v>0.38610150490472195</x:v>
      </x:c>
      <x:c r="AP182" s="13" t="n">
        <x:v>0.022151523592528935</x:v>
      </x:c>
    </x:row>
    <x:row r="183" ht="15" hidden="0" customHeight="1">
      <x:c r="A183" s="2" t="str">
        <x:v>E182</x:v>
      </x:c>
      <x:c r="B183" s="2" t="str">
        <x:v>***新材料科技有限公司</x:v>
      </x:c>
      <x:c r="C183" s="2" t="str">
        <x:v>无信贷记录</x:v>
      </x:c>
      <x:c r="D183" s="2" t="str"/>
      <x:c r="E183" s="2" t="str"/>
      <x:c r="F183" s="13" t="n">
        <x:v>998</x:v>
      </x:c>
      <x:c r="G183" s="13" t="n">
        <x:v>972</x:v>
      </x:c>
      <x:c r="H183" s="13" t="n">
        <x:v>26</x:v>
      </x:c>
      <x:c r="I183" s="13" t="n">
        <x:v>0</x:v>
      </x:c>
      <x:c r="J183" s="13" t="n">
        <x:v>84505227.05</x:v>
      </x:c>
      <x:c r="K183" s="13" t="n">
        <x:v>84505227.05</x:v>
      </x:c>
      <x:c r="L183" s="13" t="n">
        <x:v>152</x:v>
      </x:c>
      <x:c r="M183" s="13" t="n">
        <x:v>0.026052104208416832</x:v>
      </x:c>
      <x:c r="N183" s="13" t="n">
        <x:v>0</x:v>
      </x:c>
      <x:c r="O183" s="13" t="n">
        <x:v>0.2263053646294849</x:v>
      </x:c>
      <x:c r="P183" s="13" t="n">
        <x:v>0.3666207631353853</x:v>
      </x:c>
      <x:c r="Q183" s="13" t="n">
        <x:v>2283925.055405406</x:v>
      </x:c>
      <x:c r="R183" s="13" t="n">
        <x:v>0.5024999655353809</x:v>
      </x:c>
      <x:c r="S183" s="13" t="n">
        <x:v>0.028476495079492247</x:v>
      </x:c>
      <x:c r="T183" s="13" t="n">
        <x:v>37</x:v>
      </x:c>
      <x:c r="U183" s="13" t="n">
        <x:v>1078</x:v>
      </x:c>
      <x:c r="V183" s="13" t="n">
        <x:v>1049</x:v>
      </x:c>
      <x:c r="W183" s="13" t="n">
        <x:v>29</x:v>
      </x:c>
      <x:c r="X183" s="13" t="n">
        <x:v>0</x:v>
      </x:c>
      <x:c r="Y183" s="13" t="n">
        <x:v>89567855.59</x:v>
      </x:c>
      <x:c r="Z183" s="13" t="n">
        <x:v>89567855.59</x:v>
      </x:c>
      <x:c r="AA183" s="13" t="n">
        <x:v>42</x:v>
      </x:c>
      <x:c r="AB183" s="13" t="n">
        <x:v>0.026901669758812616</x:v>
      </x:c>
      <x:c r="AC183" s="13" t="n">
        <x:v>0</x:v>
      </x:c>
      <x:c r="AD183" s="13" t="n">
        <x:v>0.08616116439125278</x:v>
      </x:c>
      <x:c r="AE183" s="13" t="n">
        <x:v>0.1365372465316159</x:v>
      </x:c>
      <x:c r="AF183" s="13" t="n">
        <x:v>2420752.8537837835</x:v>
      </x:c>
      <x:c r="AG183" s="13" t="n">
        <x:v>0.48731363936338934</x:v>
      </x:c>
      <x:c r="AH183" s="13" t="n">
        <x:v>0.028102275643405828</x:v>
      </x:c>
      <x:c r="AI183" s="13" t="n">
        <x:v>37</x:v>
      </x:c>
      <x:c r="AJ183" s="13" t="n">
        <x:v>5062628.540000007</x:v>
      </x:c>
      <x:c r="AK183" s="13" t="n">
        <x:v>0.9434771715069928</x:v>
      </x:c>
      <x:c r="AL183" s="13" t="n">
        <x:v>0.026493256262042388</x:v>
      </x:c>
      <x:c r="AM183" s="13" t="n">
        <x:v>0</x:v>
      </x:c>
      <x:c r="AN183" s="13" t="n">
        <x:v>0.15623326451036884</x:v>
      </x:c>
      <x:c r="AO183" s="13" t="n">
        <x:v>0.4949068024493851</x:v>
      </x:c>
      <x:c r="AP183" s="13" t="n">
        <x:v>0.028289385361449038</x:v>
      </x:c>
    </x:row>
    <x:row r="184" ht="15" hidden="0" customHeight="1">
      <x:c r="A184" s="2" t="str">
        <x:v>E183</x:v>
      </x:c>
      <x:c r="B184" s="2" t="str">
        <x:v>***建设工程有限公司</x:v>
      </x:c>
      <x:c r="C184" s="2" t="str">
        <x:v>无信贷记录</x:v>
      </x:c>
      <x:c r="D184" s="2" t="str"/>
      <x:c r="E184" s="2" t="str"/>
      <x:c r="F184" s="13" t="n">
        <x:v>1461</x:v>
      </x:c>
      <x:c r="G184" s="13" t="n">
        <x:v>1408</x:v>
      </x:c>
      <x:c r="H184" s="13" t="n">
        <x:v>53</x:v>
      </x:c>
      <x:c r="I184" s="13" t="n">
        <x:v>13</x:v>
      </x:c>
      <x:c r="J184" s="13" t="n">
        <x:v>27455031.159999996</x:v>
      </x:c>
      <x:c r="K184" s="13" t="n">
        <x:v>30408706.759999998</x:v>
      </x:c>
      <x:c r="L184" s="13" t="n">
        <x:v>416</x:v>
      </x:c>
      <x:c r="M184" s="13" t="n">
        <x:v>0.03627652292950034</x:v>
      </x:c>
      <x:c r="N184" s="13" t="n">
        <x:v>0.009232954545454546</x:v>
      </x:c>
      <x:c r="O184" s="13" t="n">
        <x:v>0.03351723457830795</x:v>
      </x:c>
      <x:c r="P184" s="13" t="n">
        <x:v>0.10345772429027823</x:v>
      </x:c>
      <x:c r="Q184" s="13" t="n">
        <x:v>807500.9164705882</x:v>
      </x:c>
      <x:c r="R184" s="13" t="n">
        <x:v>1.447051176898968</x:v>
      </x:c>
      <x:c r="S184" s="13" t="n">
        <x:v>0.10923800259460002</x:v>
      </x:c>
      <x:c r="T184" s="13" t="n">
        <x:v>34</x:v>
      </x:c>
      <x:c r="U184" s="13" t="n">
        <x:v>1028</x:v>
      </x:c>
      <x:c r="V184" s="13" t="n">
        <x:v>927</x:v>
      </x:c>
      <x:c r="W184" s="13" t="n">
        <x:v>101</x:v>
      </x:c>
      <x:c r="X184" s="13" t="n">
        <x:v>2</x:v>
      </x:c>
      <x:c r="Y184" s="13" t="n">
        <x:v>69729068.12</x:v>
      </x:c>
      <x:c r="Z184" s="13" t="n">
        <x:v>70129068.12</x:v>
      </x:c>
      <x:c r="AA184" s="13" t="n">
        <x:v>42</x:v>
      </x:c>
      <x:c r="AB184" s="13" t="n">
        <x:v>0.09824902723735408</x:v>
      </x:c>
      <x:c r="AC184" s="13" t="n">
        <x:v>0.002157497303128371</x:v>
      </x:c>
      <x:c r="AD184" s="13" t="n">
        <x:v>0.7320089226053413</x:v>
      </x:c>
      <x:c r="AE184" s="13" t="n">
        <x:v>0.8530980214599206</x:v>
      </x:c>
      <x:c r="AF184" s="13" t="n">
        <x:v>1884569.4086486483</x:v>
      </x:c>
      <x:c r="AG184" s="13" t="n">
        <x:v>0.9982158203848408</x:v>
      </x:c>
      <x:c r="AH184" s="13" t="n">
        <x:v>0.044895929775320136</x:v>
      </x:c>
      <x:c r="AI184" s="13" t="n">
        <x:v>36</x:v>
      </x:c>
      <x:c r="AJ184" s="13" t="n">
        <x:v>42274036.96000001</x:v>
      </x:c>
      <x:c r="AK184" s="13" t="n">
        <x:v>0.4336105922292697</x:v>
      </x:c>
      <x:c r="AL184" s="13" t="n">
        <x:v>0.06187223784652471</x:v>
      </x:c>
      <x:c r="AM184" s="13" t="n">
        <x:v>0.006423982869379015</x:v>
      </x:c>
      <x:c r="AN184" s="13" t="n">
        <x:v>0.3827630785918246</x:v>
      </x:c>
      <x:c r="AO184" s="13" t="n">
        <x:v>1.2226334986419043</x:v>
      </x:c>
      <x:c r="AP184" s="13" t="n">
        <x:v>0.07706696618496008</x:v>
      </x:c>
    </x:row>
    <x:row r="185" ht="15" hidden="0" customHeight="1">
      <x:c r="A185" s="2" t="str">
        <x:v>E184</x:v>
      </x:c>
      <x:c r="B185" s="2" t="str">
        <x:v>***建筑装饰工程有限公司</x:v>
      </x:c>
      <x:c r="C185" s="2" t="str">
        <x:v>无信贷记录</x:v>
      </x:c>
      <x:c r="D185" s="2" t="str"/>
      <x:c r="E185" s="2" t="str"/>
      <x:c r="F185" s="13" t="n">
        <x:v>2024</x:v>
      </x:c>
      <x:c r="G185" s="13" t="n">
        <x:v>1967</x:v>
      </x:c>
      <x:c r="H185" s="13" t="n">
        <x:v>57</x:v>
      </x:c>
      <x:c r="I185" s="13" t="n">
        <x:v>8</x:v>
      </x:c>
      <x:c r="J185" s="13" t="n">
        <x:v>41542696.2</x:v>
      </x:c>
      <x:c r="K185" s="13" t="n">
        <x:v>42540081.14</x:v>
      </x:c>
      <x:c r="L185" s="13" t="n">
        <x:v>461</x:v>
      </x:c>
      <x:c r="M185" s="13" t="n">
        <x:v>0.02816205533596838</x:v>
      </x:c>
      <x:c r="N185" s="13" t="n">
        <x:v>0.004067107269954245</x:v>
      </x:c>
      <x:c r="O185" s="13" t="n">
        <x:v>0.03851079543695213</x:v>
      </x:c>
      <x:c r="P185" s="13" t="n">
        <x:v>0.10356161394007157</x:v>
      </x:c>
      <x:c r="Q185" s="13" t="n">
        <x:v>1298209.25625</x:v>
      </x:c>
      <x:c r="R185" s="13" t="n">
        <x:v>1.20666411812402</x:v>
      </x:c>
      <x:c r="S185" s="13" t="n">
        <x:v>0.04571911088894482</x:v>
      </x:c>
      <x:c r="T185" s="13" t="n">
        <x:v>32</x:v>
      </x:c>
      <x:c r="U185" s="13" t="n">
        <x:v>657</x:v>
      </x:c>
      <x:c r="V185" s="13" t="n">
        <x:v>639</x:v>
      </x:c>
      <x:c r="W185" s="13" t="n">
        <x:v>18</x:v>
      </x:c>
      <x:c r="X185" s="13" t="n">
        <x:v>21</x:v>
      </x:c>
      <x:c r="Y185" s="13" t="n">
        <x:v>57452103.06</x:v>
      </x:c>
      <x:c r="Z185" s="13" t="n">
        <x:v>61623641.379999995</x:v>
      </x:c>
      <x:c r="AA185" s="13" t="n">
        <x:v>39</x:v>
      </x:c>
      <x:c r="AB185" s="13" t="n">
        <x:v>0.0273972602739726</x:v>
      </x:c>
      <x:c r="AC185" s="13" t="n">
        <x:v>0.03286384976525822</x:v>
      </x:c>
      <x:c r="AD185" s="13" t="n">
        <x:v>0.17568896334871179</x:v>
      </x:c>
      <x:c r="AE185" s="13" t="n">
        <x:v>0.3575316145980077</x:v>
      </x:c>
      <x:c r="AF185" s="13" t="n">
        <x:v>1641488.658857143</x:v>
      </x:c>
      <x:c r="AG185" s="13" t="n">
        <x:v>1.5560913995248058</x:v>
      </x:c>
      <x:c r="AH185" s="13" t="n">
        <x:v>0.0547151707593515</x:v>
      </x:c>
      <x:c r="AI185" s="13" t="n">
        <x:v>30</x:v>
      </x:c>
      <x:c r="AJ185" s="13" t="n">
        <x:v>15909406.86</x:v>
      </x:c>
      <x:c r="AK185" s="13" t="n">
        <x:v>0.6903207955154436</x:v>
      </x:c>
      <x:c r="AL185" s="13" t="n">
        <x:v>0.027974636329727715</x:v>
      </x:c>
      <x:c r="AM185" s="13" t="n">
        <x:v>0.011128165771297006</x:v>
      </x:c>
      <x:c r="AN185" s="13" t="n">
        <x:v>0.10709987939283196</x:v>
      </x:c>
      <x:c r="AO185" s="13" t="n">
        <x:v>1.381377758824413</x:v>
      </x:c>
      <x:c r="AP185" s="13" t="n">
        <x:v>0.05021714082414816</x:v>
      </x:c>
    </x:row>
    <x:row r="186" ht="15" hidden="0" customHeight="1">
      <x:c r="A186" s="2" t="str">
        <x:v>E185</x:v>
      </x:c>
      <x:c r="B186" s="2" t="str">
        <x:v>***生态魔芋有限公司</x:v>
      </x:c>
      <x:c r="C186" s="2" t="str">
        <x:v>无信贷记录</x:v>
      </x:c>
      <x:c r="D186" s="2" t="str"/>
      <x:c r="E186" s="2" t="str"/>
      <x:c r="F186" s="13" t="n">
        <x:v>68</x:v>
      </x:c>
      <x:c r="G186" s="13" t="n">
        <x:v>67</x:v>
      </x:c>
      <x:c r="H186" s="13" t="n">
        <x:v>1</x:v>
      </x:c>
      <x:c r="I186" s="13" t="n">
        <x:v>2</x:v>
      </x:c>
      <x:c r="J186" s="13" t="n">
        <x:v>788684.14</x:v>
      </x:c>
      <x:c r="K186" s="13" t="n">
        <x:v>1279204.1999999997</x:v>
      </x:c>
      <x:c r="L186" s="13" t="n">
        <x:v>20</x:v>
      </x:c>
      <x:c r="M186" s="13" t="n">
        <x:v>0.014705882352941176</x:v>
      </x:c>
      <x:c r="N186" s="13" t="n">
        <x:v>0.029850746268656716</x:v>
      </x:c>
      <x:c r="O186" s="13" t="n">
        <x:v>0.23880438619295852</x:v>
      </x:c>
      <x:c r="P186" s="13" t="n">
        <x:v>0.3674941029743336</x:v>
      </x:c>
      <x:c r="Q186" s="13" t="n">
        <x:v>23899.51939393939</x:v>
      </x:c>
      <x:c r="R186" s="13" t="n">
        <x:v>2.1268453146105526</x:v>
      </x:c>
      <x:c r="S186" s="13" t="n">
        <x:v>0.062032361798367866</x:v>
      </x:c>
      <x:c r="T186" s="13" t="n">
        <x:v>22</x:v>
      </x:c>
      <x:c r="U186" s="13" t="n">
        <x:v>5479</x:v>
      </x:c>
      <x:c r="V186" s="13" t="n">
        <x:v>5442</x:v>
      </x:c>
      <x:c r="W186" s="13" t="n">
        <x:v>37</x:v>
      </x:c>
      <x:c r="X186" s="13" t="n">
        <x:v>8</x:v>
      </x:c>
      <x:c r="Y186" s="13" t="n">
        <x:v>101249267.75999999</x:v>
      </x:c>
      <x:c r="Z186" s="13" t="n">
        <x:v>102641867.75999999</x:v>
      </x:c>
      <x:c r="AA186" s="13" t="n">
        <x:v>314</x:v>
      </x:c>
      <x:c r="AB186" s="13" t="n">
        <x:v>0.006753057127212995</x:v>
      </x:c>
      <x:c r="AC186" s="13" t="n">
        <x:v>0.001470047776552738</x:v>
      </x:c>
      <x:c r="AD186" s="13" t="n">
        <x:v>0.10469884478697389</x:v>
      </x:c>
      <x:c r="AE186" s="13" t="n">
        <x:v>0.2880934519736374</x:v>
      </x:c>
      <x:c r="AF186" s="13" t="n">
        <x:v>2736466.6962162163</x:v>
      </x:c>
      <x:c r="AG186" s="13" t="n">
        <x:v>0.9980935021416328</x:v>
      </x:c>
      <x:c r="AH186" s="13" t="n">
        <x:v>0.03330616111100618</x:v>
      </x:c>
      <x:c r="AI186" s="13" t="n">
        <x:v>29</x:v>
      </x:c>
      <x:c r="AJ186" s="13" t="n">
        <x:v>100460583.61999999</x:v>
      </x:c>
      <x:c r="AK186" s="13" t="n">
        <x:v>0.012462791528609648</x:v>
      </x:c>
      <x:c r="AL186" s="13" t="n">
        <x:v>0.006850549846764017</x:v>
      </x:c>
      <x:c r="AM186" s="13" t="n">
        <x:v>0.0018152114721365039</x:v>
      </x:c>
      <x:c r="AN186" s="13" t="n">
        <x:v>0.1717516154899662</x:v>
      </x:c>
      <x:c r="AO186" s="13" t="n">
        <x:v>1.5624694083760926</x:v>
      </x:c>
      <x:c r="AP186" s="13" t="n">
        <x:v>0.04766926145468702</x:v>
      </x:c>
    </x:row>
    <x:row r="187" ht="15" hidden="0" customHeight="1">
      <x:c r="A187" s="2" t="str">
        <x:v>E186</x:v>
      </x:c>
      <x:c r="B187" s="2" t="str">
        <x:v>***建筑劳务有限公司</x:v>
      </x:c>
      <x:c r="C187" s="2" t="str">
        <x:v>无信贷记录</x:v>
      </x:c>
      <x:c r="D187" s="2" t="str"/>
      <x:c r="E187" s="2" t="str"/>
      <x:c r="F187" s="13" t="n">
        <x:v>989</x:v>
      </x:c>
      <x:c r="G187" s="13" t="n">
        <x:v>941</x:v>
      </x:c>
      <x:c r="H187" s="13" t="n">
        <x:v>48</x:v>
      </x:c>
      <x:c r="I187" s="13" t="n">
        <x:v>11</x:v>
      </x:c>
      <x:c r="J187" s="13" t="n">
        <x:v>3141879.25</x:v>
      </x:c>
      <x:c r="K187" s="13" t="n">
        <x:v>3393085.81</x:v>
      </x:c>
      <x:c r="L187" s="13" t="n">
        <x:v>221</x:v>
      </x:c>
      <x:c r="M187" s="13" t="n">
        <x:v>0.04853387259858443</x:v>
      </x:c>
      <x:c r="N187" s="13" t="n">
        <x:v>0.011689691817215728</x:v>
      </x:c>
      <x:c r="O187" s="13" t="n">
        <x:v>0.05956128154295458</x:v>
      </x:c>
      <x:c r="P187" s="13" t="n">
        <x:v>0.12561945788220427</x:v>
      </x:c>
      <x:c r="Q187" s="13" t="n">
        <x:v>95208.46212121213</x:v>
      </x:c>
      <x:c r="R187" s="13" t="n">
        <x:v>1.5077039402168833</x:v>
      </x:c>
      <x:c r="S187" s="13" t="n">
        <x:v>0.0517546012493482</x:v>
      </x:c>
      <x:c r="T187" s="13" t="n">
        <x:v>33</x:v>
      </x:c>
      <x:c r="U187" s="13" t="n">
        <x:v>1098</x:v>
      </x:c>
      <x:c r="V187" s="13" t="n">
        <x:v>1073</x:v>
      </x:c>
      <x:c r="W187" s="13" t="n">
        <x:v>25</x:v>
      </x:c>
      <x:c r="X187" s="13" t="n">
        <x:v>0</x:v>
      </x:c>
      <x:c r="Y187" s="13" t="n">
        <x:v>86007320</x:v>
      </x:c>
      <x:c r="Z187" s="13" t="n">
        <x:v>86007320</x:v>
      </x:c>
      <x:c r="AA187" s="13" t="n">
        <x:v>5</x:v>
      </x:c>
      <x:c r="AB187" s="13" t="n">
        <x:v>0.022768670309653915</x:v>
      </x:c>
      <x:c r="AC187" s="13" t="n">
        <x:v>0</x:v>
      </x:c>
      <x:c r="AD187" s="13" t="n">
        <x:v>0.7600671853254684</x:v>
      </x:c>
      <x:c r="AE187" s="13" t="n">
        <x:v>0.864197605506136</x:v>
      </x:c>
      <x:c r="AF187" s="13" t="n">
        <x:v>2389092.222222222</x:v>
      </x:c>
      <x:c r="AG187" s="13" t="n">
        <x:v>1.218554003487529</x:v>
      </x:c>
      <x:c r="AH187" s="13" t="n">
        <x:v>0.043286693257788736</x:v>
      </x:c>
      <x:c r="AI187" s="13" t="n">
        <x:v>31</x:v>
      </x:c>
      <x:c r="AJ187" s="13" t="n">
        <x:v>82865440.75</x:v>
      </x:c>
      <x:c r="AK187" s="13" t="n">
        <x:v>0.03945112822955069</x:v>
      </x:c>
      <x:c r="AL187" s="13" t="n">
        <x:v>0.03497843794920939</x:v>
      </x:c>
      <x:c r="AM187" s="13" t="n">
        <x:v>0.005461767626613704</x:v>
      </x:c>
      <x:c r="AN187" s="13" t="n">
        <x:v>0.4098142334342115</x:v>
      </x:c>
      <x:c r="AO187" s="13" t="n">
        <x:v>1.3631289718522062</x:v>
      </x:c>
      <x:c r="AP187" s="13" t="n">
        <x:v>0.04752064725356847</x:v>
      </x:c>
    </x:row>
    <x:row r="188" ht="15" hidden="0" customHeight="1">
      <x:c r="A188" s="2" t="str">
        <x:v>E187</x:v>
      </x:c>
      <x:c r="B188" s="2" t="str">
        <x:v>个体经营E187 </x:v>
      </x:c>
      <x:c r="C188" s="2" t="str">
        <x:v>无信贷记录</x:v>
      </x:c>
      <x:c r="D188" s="2" t="str"/>
      <x:c r="E188" s="2" t="str"/>
      <x:c r="F188" s="13" t="n">
        <x:v>3880</x:v>
      </x:c>
      <x:c r="G188" s="13" t="n">
        <x:v>3694</x:v>
      </x:c>
      <x:c r="H188" s="13" t="n">
        <x:v>186</x:v>
      </x:c>
      <x:c r="I188" s="13" t="n">
        <x:v>39</x:v>
      </x:c>
      <x:c r="J188" s="13" t="n">
        <x:v>78798146.34</x:v>
      </x:c>
      <x:c r="K188" s="13" t="n">
        <x:v>79661144.18</x:v>
      </x:c>
      <x:c r="L188" s="13" t="n">
        <x:v>1608.56</x:v>
      </x:c>
      <x:c r="M188" s="13" t="n">
        <x:v>0.04793814432989691</x:v>
      </x:c>
      <x:c r="N188" s="13" t="n">
        <x:v>0.010557661072008662</x:v>
      </x:c>
      <x:c r="O188" s="13" t="n">
        <x:v>0.01056490101357329</x:v>
      </x:c>
      <x:c r="P188" s="13" t="n">
        <x:v>0.04137191557692229</x:v>
      </x:c>
      <x:c r="Q188" s="13" t="n">
        <x:v>3151925.8536</x:v>
      </x:c>
      <x:c r="R188" s="13" t="n">
        <x:v>0.6121358655421264</x:v>
      </x:c>
      <x:c r="S188" s="13" t="n">
        <x:v>-0.03074342017476291</x:v>
      </x:c>
      <x:c r="T188" s="13" t="n">
        <x:v>25</x:v>
      </x:c>
      <x:c r="U188" s="13" t="n">
        <x:v>176</x:v>
      </x:c>
      <x:c r="V188" s="13" t="n">
        <x:v>16</x:v>
      </x:c>
      <x:c r="W188" s="13" t="n">
        <x:v>160</x:v>
      </x:c>
      <x:c r="X188" s="13" t="n">
        <x:v>0</x:v>
      </x:c>
      <x:c r="Y188" s="13" t="n">
        <x:v>3687245.74</x:v>
      </x:c>
      <x:c r="Z188" s="13" t="n">
        <x:v>3687245.74</x:v>
      </x:c>
      <x:c r="AA188" s="13" t="n">
        <x:v>57</x:v>
      </x:c>
      <x:c r="AB188" s="13" t="n">
        <x:v>0.8136218864842784</x:v>
      </x:c>
      <x:c r="AC188" s="13" t="n">
        <x:v>0</x:v>
      </x:c>
      <x:c r="AD188" s="13" t="n">
        <x:v>0.24460280935696224</x:v>
      </x:c>
      <x:c r="AE188" s="13" t="n">
        <x:v>0.365168709910829</x:v>
      </x:c>
      <x:c r="AF188" s="13" t="n">
        <x:v>167602.0790909091</x:v>
      </x:c>
      <x:c r="AG188" s="13" t="n">
        <x:v>1.8010172801605933</x:v>
      </x:c>
      <x:c r="AH188" s="13" t="n">
        <x:v>0.05905963109681443</x:v>
      </x:c>
      <x:c r="AI188" s="13" t="n">
        <x:v>10</x:v>
      </x:c>
      <x:c r="AJ188" s="13" t="n">
        <x:v>-66758721.217599995</x:v>
      </x:c>
      <x:c r="AK188" s="13" t="n">
        <x:v>21.2915080780909</x:v>
      </x:c>
      <x:c r="AL188" s="13" t="n">
        <x:v>0.08530571992110454</x:v>
      </x:c>
      <x:c r="AM188" s="13" t="n">
        <x:v>0.010512129380053909</x:v>
      </x:c>
      <x:c r="AN188" s="13" t="n">
        <x:v>0.12329221104483068</x:v>
      </x:c>
      <x:c r="AO188" s="13" t="n">
        <x:v>1.2065765728513598</x:v>
      </x:c>
      <x:c r="AP188" s="13" t="n">
        <x:v>0.014158105461025762</x:v>
      </x:c>
    </x:row>
    <x:row r="189" ht="15" hidden="0" customHeight="1">
      <x:c r="A189" s="2" t="str">
        <x:v>E188</x:v>
      </x:c>
      <x:c r="B189" s="2" t="str">
        <x:v>***硬质合金有限公司</x:v>
      </x:c>
      <x:c r="C189" s="2" t="str">
        <x:v>无信贷记录</x:v>
      </x:c>
      <x:c r="D189" s="2" t="str"/>
      <x:c r="E189" s="2" t="str"/>
      <x:c r="F189" s="13" t="n">
        <x:v>2561</x:v>
      </x:c>
      <x:c r="G189" s="13" t="n">
        <x:v>2484</x:v>
      </x:c>
      <x:c r="H189" s="13" t="n">
        <x:v>77</x:v>
      </x:c>
      <x:c r="I189" s="13" t="n">
        <x:v>3</x:v>
      </x:c>
      <x:c r="J189" s="13" t="n">
        <x:v>90271570.8</x:v>
      </x:c>
      <x:c r="K189" s="13" t="n">
        <x:v>90442522.5</x:v>
      </x:c>
      <x:c r="L189" s="13" t="n">
        <x:v>370</x:v>
      </x:c>
      <x:c r="M189" s="13" t="n">
        <x:v>0.030066380320187425</x:v>
      </x:c>
      <x:c r="N189" s="13" t="n">
        <x:v>0.0012077294685990338</x:v>
      </x:c>
      <x:c r="O189" s="13" t="n">
        <x:v>0.06860887456508868</x:v>
      </x:c>
      <x:c r="P189" s="13" t="n">
        <x:v>0.1906840888919258</x:v>
      </x:c>
      <x:c r="Q189" s="13" t="n">
        <x:v>2439772.1837837836</x:v>
      </x:c>
      <x:c r="R189" s="13" t="n">
        <x:v>0.32422736494682114</x:v>
      </x:c>
      <x:c r="S189" s="13" t="n">
        <x:v>0.012919136773371418</x:v>
      </x:c>
      <x:c r="T189" s="13" t="n">
        <x:v>37</x:v>
      </x:c>
      <x:c r="U189" s="13" t="n">
        <x:v>2158</x:v>
      </x:c>
      <x:c r="V189" s="13" t="n">
        <x:v>2073</x:v>
      </x:c>
      <x:c r="W189" s="13" t="n">
        <x:v>85</x:v>
      </x:c>
      <x:c r="X189" s="13" t="n">
        <x:v>7</x:v>
      </x:c>
      <x:c r="Y189" s="13" t="n">
        <x:v>91848517.14</x:v>
      </x:c>
      <x:c r="Z189" s="13" t="n">
        <x:v>92649888.08000001</x:v>
      </x:c>
      <x:c r="AA189" s="13" t="n">
        <x:v>246</x:v>
      </x:c>
      <x:c r="AB189" s="13" t="n">
        <x:v>0.03938832252085264</x:v>
      </x:c>
      <x:c r="AC189" s="13" t="n">
        <x:v>0.003376748673420164</x:v>
      </x:c>
      <x:c r="AD189" s="13" t="n">
        <x:v>0.03906821326759935</x:v>
      </x:c>
      <x:c r="AE189" s="13" t="n">
        <x:v>0.10876178675250052</x:v>
      </x:c>
      <x:c r="AF189" s="13" t="n">
        <x:v>2482392.3551351354</x:v>
      </x:c>
      <x:c r="AG189" s="13" t="n">
        <x:v>0.3152568948603454</x:v>
      </x:c>
      <x:c r="AH189" s="13" t="n">
        <x:v>0.0166910607557826</x:v>
      </x:c>
      <x:c r="AI189" s="13" t="n">
        <x:v>37</x:v>
      </x:c>
      <x:c r="AJ189" s="13" t="n">
        <x:v>1576946.3400000036</x:v>
      </x:c>
      <x:c r="AK189" s="13" t="n">
        <x:v>0.9761751943176226</x:v>
      </x:c>
      <x:c r="AL189" s="13" t="n">
        <x:v>0.034329307056579786</x:v>
      </x:c>
      <x:c r="AM189" s="13" t="n">
        <x:v>0.0021944261575597983</x:v>
      </x:c>
      <x:c r="AN189" s="13" t="n">
        <x:v>0.05383854391634402</x:v>
      </x:c>
      <x:c r="AO189" s="13" t="n">
        <x:v>0.35185067339818643</x:v>
      </x:c>
      <x:c r="AP189" s="13" t="n">
        <x:v>0.014805098764577009</x:v>
      </x:c>
    </x:row>
    <x:row r="190" ht="15" hidden="0" customHeight="1">
      <x:c r="A190" s="2" t="str">
        <x:v>E189</x:v>
      </x:c>
      <x:c r="B190" s="2" t="str">
        <x:v>***石油工程技术服务有限公司</x:v>
      </x:c>
      <x:c r="C190" s="2" t="str">
        <x:v>无信贷记录</x:v>
      </x:c>
      <x:c r="D190" s="2" t="str"/>
      <x:c r="E190" s="2" t="str"/>
      <x:c r="F190" s="13" t="n">
        <x:v>3402</x:v>
      </x:c>
      <x:c r="G190" s="13" t="n">
        <x:v>3337</x:v>
      </x:c>
      <x:c r="H190" s="13" t="n">
        <x:v>65</x:v>
      </x:c>
      <x:c r="I190" s="13" t="n">
        <x:v>11</x:v>
      </x:c>
      <x:c r="J190" s="13" t="n">
        <x:v>32635434.69</x:v>
      </x:c>
      <x:c r="K190" s="13" t="n">
        <x:v>32654415.53</x:v>
      </x:c>
      <x:c r="L190" s="13" t="n">
        <x:v>828</x:v>
      </x:c>
      <x:c r="M190" s="13" t="n">
        <x:v>0.019106407995296885</x:v>
      </x:c>
      <x:c r="N190" s="13" t="n">
        <x:v>0.003296373988612526</x:v>
      </x:c>
      <x:c r="O190" s="13" t="n">
        <x:v>0.061989556692904936</x:v>
      </x:c>
      <x:c r="P190" s="13" t="n">
        <x:v>0.12971911244616907</x:v>
      </x:c>
      <x:c r="Q190" s="13" t="n">
        <x:v>882038.7754054053</x:v>
      </x:c>
      <x:c r="R190" s="13" t="n">
        <x:v>1.1229678856233216</x:v>
      </x:c>
      <x:c r="S190" s="13" t="n">
        <x:v>0.0356874579466548</x:v>
      </x:c>
      <x:c r="T190" s="13" t="n">
        <x:v>37</x:v>
      </x:c>
      <x:c r="U190" s="13" t="n">
        <x:v>641</x:v>
      </x:c>
      <x:c r="V190" s="13" t="n">
        <x:v>606</x:v>
      </x:c>
      <x:c r="W190" s="13" t="n">
        <x:v>35</x:v>
      </x:c>
      <x:c r="X190" s="13" t="n">
        <x:v>13</x:v>
      </x:c>
      <x:c r="Y190" s="13" t="n">
        <x:v>54653206.239999995</x:v>
      </x:c>
      <x:c r="Z190" s="13" t="n">
        <x:v>57079086.239999995</x:v>
      </x:c>
      <x:c r="AA190" s="13" t="n">
        <x:v>25</x:v>
      </x:c>
      <x:c r="AB190" s="13" t="n">
        <x:v>0.054602184087363496</x:v>
      </x:c>
      <x:c r="AC190" s="13" t="n">
        <x:v>0.02145214521452145</x:v>
      </x:c>
      <x:c r="AD190" s="13" t="n">
        <x:v>0.13637863744538417</x:v>
      </x:c>
      <x:c r="AE190" s="13" t="n">
        <x:v>0.3022287001488621</x:v>
      </x:c>
      <x:c r="AF190" s="13" t="n">
        <x:v>1518144.6177777776</x:v>
      </x:c>
      <x:c r="AG190" s="13" t="n">
        <x:v>1.3165915492055773</x:v>
      </x:c>
      <x:c r="AH190" s="13" t="n">
        <x:v>0.05078831336139649</x:v>
      </x:c>
      <x:c r="AI190" s="13" t="n">
        <x:v>30</x:v>
      </x:c>
      <x:c r="AJ190" s="13" t="n">
        <x:v>22017771.549999993</x:v>
      </x:c>
      <x:c r="AK190" s="13" t="n">
        <x:v>0.572090719755012</x:v>
      </x:c>
      <x:c r="AL190" s="13" t="n">
        <x:v>0.02473410833539451</x:v>
      </x:c>
      <x:c r="AM190" s="13" t="n">
        <x:v>0.006086735987826528</x:v>
      </x:c>
      <x:c r="AN190" s="13" t="n">
        <x:v>0.09918409706914455</x:v>
      </x:c>
      <x:c r="AO190" s="13" t="n">
        <x:v>1.2197797174144496</x:v>
      </x:c>
      <x:c r="AP190" s="13" t="n">
        <x:v>0.04323788565402564</x:v>
      </x:c>
    </x:row>
    <x:row r="191" ht="15" hidden="0" customHeight="1">
      <x:c r="A191" s="2" t="str">
        <x:v>E190</x:v>
      </x:c>
      <x:c r="B191" s="2" t="str">
        <x:v>***劳务有限公司</x:v>
      </x:c>
      <x:c r="C191" s="2" t="str">
        <x:v>无信贷记录</x:v>
      </x:c>
      <x:c r="D191" s="2" t="str"/>
      <x:c r="E191" s="2" t="str"/>
      <x:c r="F191" s="13" t="n">
        <x:v>128</x:v>
      </x:c>
      <x:c r="G191" s="13" t="n">
        <x:v>122</x:v>
      </x:c>
      <x:c r="H191" s="13" t="n">
        <x:v>6</x:v>
      </x:c>
      <x:c r="I191" s="13" t="n">
        <x:v>1</x:v>
      </x:c>
      <x:c r="J191" s="13" t="n">
        <x:v>1680924.07</x:v>
      </x:c>
      <x:c r="K191" s="13" t="n">
        <x:v>1880924.07</x:v>
      </x:c>
      <x:c r="L191" s="13" t="n">
        <x:v>54</x:v>
      </x:c>
      <x:c r="M191" s="13" t="n">
        <x:v>0.046875</x:v>
      </x:c>
      <x:c r="N191" s="13" t="n">
        <x:v>0.00819672131147541</x:v>
      </x:c>
      <x:c r="O191" s="13" t="n">
        <x:v>0.25784782057393024</x:v>
      </x:c>
      <x:c r="P191" s="13" t="n">
        <x:v>0.42532285739742803</x:v>
      </x:c>
      <x:c r="Q191" s="13" t="n">
        <x:v>45430.380270270274</x:v>
      </x:c>
      <x:c r="R191" s="13" t="n">
        <x:v>2.4919767251468317</x:v>
      </x:c>
      <x:c r="S191" s="13" t="n">
        <x:v>0.01597168207531269</x:v>
      </x:c>
      <x:c r="T191" s="13" t="n">
        <x:v>29</x:v>
      </x:c>
      <x:c r="U191" s="13" t="n">
        <x:v>401</x:v>
      </x:c>
      <x:c r="V191" s="13" t="n">
        <x:v>344</x:v>
      </x:c>
      <x:c r="W191" s="13" t="n">
        <x:v>57</x:v>
      </x:c>
      <x:c r="X191" s="13" t="n">
        <x:v>14</x:v>
      </x:c>
      <x:c r="Y191" s="13" t="n">
        <x:v>123267236.7</x:v>
      </x:c>
      <x:c r="Z191" s="13" t="n">
        <x:v>135493059.2</x:v>
      </x:c>
      <x:c r="AA191" s="13" t="n">
        <x:v>28</x:v>
      </x:c>
      <x:c r="AB191" s="13" t="n">
        <x:v>0.14214463840399003</x:v>
      </x:c>
      <x:c r="AC191" s="13" t="n">
        <x:v>0.040697674418604654</x:v>
      </x:c>
      <x:c r="AD191" s="13" t="n">
        <x:v>0.12503045023296772</x:v>
      </x:c>
      <x:c r="AE191" s="13" t="n">
        <x:v>0.2692793260807857</x:v>
      </x:c>
      <x:c r="AF191" s="13" t="n">
        <x:v>3331546.9378378377</x:v>
      </x:c>
      <x:c r="AG191" s="13" t="n">
        <x:v>0.9393222484550549</x:v>
      </x:c>
      <x:c r="AH191" s="13" t="n">
        <x:v>-0.014266731369985327</x:v>
      </x:c>
      <x:c r="AI191" s="13" t="n">
        <x:v>33</x:v>
      </x:c>
      <x:c r="AJ191" s="13" t="n">
        <x:v>121586312.63000001</x:v>
      </x:c>
      <x:c r="AK191" s="13" t="n">
        <x:v>0.013882069539987184</x:v>
      </x:c>
      <x:c r="AL191" s="13" t="n">
        <x:v>0.11909262759924386</x:v>
      </x:c>
      <x:c r="AM191" s="13" t="n">
        <x:v>0.032188841201716736</x:v>
      </x:c>
      <x:c r="AN191" s="13" t="n">
        <x:v>0.19143913540344898</x:v>
      </x:c>
      <x:c r="AO191" s="13" t="n">
        <x:v>1.7156494868009433</x:v>
      </x:c>
      <x:c r="AP191" s="13" t="n">
        <x:v>0.0008524753526636822</x:v>
      </x:c>
    </x:row>
    <x:row r="192" ht="15" hidden="0" customHeight="1">
      <x:c r="A192" s="2" t="str">
        <x:v>E191</x:v>
      </x:c>
      <x:c r="B192" s="2" t="str">
        <x:v>***商贸有限责任公司</x:v>
      </x:c>
      <x:c r="C192" s="2" t="str">
        <x:v>无信贷记录</x:v>
      </x:c>
      <x:c r="D192" s="2" t="str"/>
      <x:c r="E192" s="2" t="str"/>
      <x:c r="F192" s="13" t="n">
        <x:v>1210</x:v>
      </x:c>
      <x:c r="G192" s="13" t="n">
        <x:v>1177</x:v>
      </x:c>
      <x:c r="H192" s="13" t="n">
        <x:v>33</x:v>
      </x:c>
      <x:c r="I192" s="13" t="n">
        <x:v>4</x:v>
      </x:c>
      <x:c r="J192" s="13" t="n">
        <x:v>292218987.17319953</x:v>
      </x:c>
      <x:c r="K192" s="13" t="n">
        <x:v>294391831.53319967</x:v>
      </x:c>
      <x:c r="L192" s="13" t="n">
        <x:v>141</x:v>
      </x:c>
      <x:c r="M192" s="13" t="n">
        <x:v>0.02727272727272727</x:v>
      </x:c>
      <x:c r="N192" s="13" t="n">
        <x:v>0.0033984706881903144</x:v>
      </x:c>
      <x:c r="O192" s="13" t="n">
        <x:v>0.34689440205276956</x:v>
      </x:c>
      <x:c r="P192" s="13" t="n">
        <x:v>0.5279254367410509</x:v>
      </x:c>
      <x:c r="Q192" s="13" t="n">
        <x:v>7854353.69919828</x:v>
      </x:c>
      <x:c r="R192" s="13" t="n">
        <x:v>1.8249050655631578</x:v>
      </x:c>
      <x:c r="S192" s="13" t="n">
        <x:v>-0.07471743464296395</x:v>
      </x:c>
      <x:c r="T192" s="13" t="n">
        <x:v>37</x:v>
      </x:c>
      <x:c r="U192" s="13" t="n">
        <x:v>2871</x:v>
      </x:c>
      <x:c r="V192" s="13" t="n">
        <x:v>2731</x:v>
      </x:c>
      <x:c r="W192" s="13" t="n">
        <x:v>140</x:v>
      </x:c>
      <x:c r="X192" s="13" t="n">
        <x:v>1</x:v>
      </x:c>
      <x:c r="Y192" s="13" t="n">
        <x:v>298532981.41999996</x:v>
      </x:c>
      <x:c r="Z192" s="13" t="n">
        <x:v>298536797.41999996</x:v>
      </x:c>
      <x:c r="AA192" s="13" t="n">
        <x:v>103</x:v>
      </x:c>
      <x:c r="AB192" s="13" t="n">
        <x:v>0.04876349703935911</x:v>
      </x:c>
      <x:c r="AC192" s="13" t="n">
        <x:v>0.0003661662394727206</x:v>
      </x:c>
      <x:c r="AD192" s="13" t="n">
        <x:v>0.35999655444629824</x:v>
      </x:c>
      <x:c r="AE192" s="13" t="n">
        <x:v>0.4325151361101514</x:v>
      </x:c>
      <x:c r="AF192" s="13" t="n">
        <x:v>10661892.19357143</x:v>
      </x:c>
      <x:c r="AG192" s="13" t="n">
        <x:v>1.0062287255133362</x:v>
      </x:c>
      <x:c r="AH192" s="13" t="n">
        <x:v>-0.029545815859461897</x:v>
      </x:c>
      <x:c r="AI192" s="13" t="n">
        <x:v>27</x:v>
      </x:c>
      <x:c r="AJ192" s="13" t="n">
        <x:v>-5570670.7700000405</x:v>
      </x:c>
      <x:c r="AK192" s="13" t="n">
        <x:v>1.0188862767294573</x:v>
      </x:c>
      <x:c r="AL192" s="13" t="n">
        <x:v>0.04239157069345749</x:v>
      </x:c>
      <x:c r="AM192" s="13" t="n">
        <x:v>0.00127942681678608</x:v>
      </x:c>
      <x:c r="AN192" s="13" t="n">
        <x:v>0.3534454782495339</x:v>
      </x:c>
      <x:c r="AO192" s="13" t="n">
        <x:v>1.415566895538247</x:v>
      </x:c>
      <x:c r="AP192" s="13" t="n">
        <x:v>-0.05213162525121292</x:v>
      </x:c>
    </x:row>
    <x:row r="193" ht="15" hidden="0" customHeight="1">
      <x:c r="A193" s="2" t="str">
        <x:v>E192</x:v>
      </x:c>
      <x:c r="B193" s="2" t="str">
        <x:v>***建设工程有限公司</x:v>
      </x:c>
      <x:c r="C193" s="2" t="str">
        <x:v>无信贷记录</x:v>
      </x:c>
      <x:c r="D193" s="2" t="str"/>
      <x:c r="E193" s="2" t="str"/>
      <x:c r="F193" s="13" t="n">
        <x:v>111</x:v>
      </x:c>
      <x:c r="G193" s="13" t="n">
        <x:v>98</x:v>
      </x:c>
      <x:c r="H193" s="13" t="n">
        <x:v>13</x:v>
      </x:c>
      <x:c r="I193" s="13" t="n">
        <x:v>3</x:v>
      </x:c>
      <x:c r="J193" s="13" t="n">
        <x:v>18895927.4</x:v>
      </x:c>
      <x:c r="K193" s="13" t="n">
        <x:v>20636067.4</x:v>
      </x:c>
      <x:c r="L193" s="13" t="n">
        <x:v>29</x:v>
      </x:c>
      <x:c r="M193" s="13" t="n">
        <x:v>0.11711711711711711</x:v>
      </x:c>
      <x:c r="N193" s="13" t="n">
        <x:v>0.030612244897959183</x:v>
      </x:c>
      <x:c r="O193" s="13" t="n">
        <x:v>0.126549680439023</x:v>
      </x:c>
      <x:c r="P193" s="13" t="n">
        <x:v>0.20788844680745713</x:v>
      </x:c>
      <x:c r="Q193" s="13" t="n">
        <x:v>629864.2466666666</x:v>
      </x:c>
      <x:c r="R193" s="13" t="n">
        <x:v>1.7555363633130403</x:v>
      </x:c>
      <x:c r="S193" s="13" t="n">
        <x:v>0.12149729366835826</x:v>
      </x:c>
      <x:c r="T193" s="13" t="n">
        <x:v>21</x:v>
      </x:c>
      <x:c r="U193" s="13" t="n">
        <x:v>86</x:v>
      </x:c>
      <x:c r="V193" s="13" t="n">
        <x:v>68</x:v>
      </x:c>
      <x:c r="W193" s="13" t="n">
        <x:v>18</x:v>
      </x:c>
      <x:c r="X193" s="13" t="n">
        <x:v>2</x:v>
      </x:c>
      <x:c r="Y193" s="13" t="n">
        <x:v>44901851.86000001</x:v>
      </x:c>
      <x:c r="Z193" s="13" t="n">
        <x:v>47328279.86000001</x:v>
      </x:c>
      <x:c r="AA193" s="13" t="n">
        <x:v>7</x:v>
      </x:c>
      <x:c r="AB193" s="13" t="n">
        <x:v>0.20930232558139536</x:v>
      </x:c>
      <x:c r="AC193" s="13" t="n">
        <x:v>0.029411764705882353</x:v>
      </x:c>
      <x:c r="AD193" s="13" t="n">
        <x:v>0.4046350639928641</x:v>
      </x:c>
      <x:c r="AE193" s="13" t="n">
        <x:v>0.5993653594407223</x:v>
      </x:c>
      <x:c r="AF193" s="13" t="n">
        <x:v>1213563.5637837837</x:v>
      </x:c>
      <x:c r="AG193" s="13" t="n">
        <x:v>1.6291197988367305</x:v>
      </x:c>
      <x:c r="AH193" s="13" t="n">
        <x:v>0.06082517453274738</x:v>
      </x:c>
      <x:c r="AI193" s="13" t="n">
        <x:v>17</x:v>
      </x:c>
      <x:c r="AJ193" s="13" t="n">
        <x:v>26005924.46000001</x:v>
      </x:c>
      <x:c r="AK193" s="13" t="n">
        <x:v>0.4360198059393405</x:v>
      </x:c>
      <x:c r="AL193" s="13" t="n">
        <x:v>0.15736040609137056</x:v>
      </x:c>
      <x:c r="AM193" s="13" t="n">
        <x:v>0.030120481927710843</x:v>
      </x:c>
      <x:c r="AN193" s="13" t="n">
        <x:v>0.26559237221594356</x:v>
      </x:c>
      <x:c r="AO193" s="13" t="n">
        <x:v>1.6923280810748853</x:v>
      </x:c>
      <x:c r="AP193" s="13" t="n">
        <x:v>0.09116123410055282</x:v>
      </x:c>
    </x:row>
    <x:row r="194" ht="15" hidden="0" customHeight="1">
      <x:c r="A194" s="2" t="str">
        <x:v>E193</x:v>
      </x:c>
      <x:c r="B194" s="2" t="str">
        <x:v>个体经营E193 </x:v>
      </x:c>
      <x:c r="C194" s="2" t="str">
        <x:v>无信贷记录</x:v>
      </x:c>
      <x:c r="D194" s="2" t="str"/>
      <x:c r="E194" s="2" t="str"/>
      <x:c r="F194" s="13" t="n">
        <x:v>1616</x:v>
      </x:c>
      <x:c r="G194" s="13" t="n">
        <x:v>1539</x:v>
      </x:c>
      <x:c r="H194" s="13" t="n">
        <x:v>77</x:v>
      </x:c>
      <x:c r="I194" s="13" t="n">
        <x:v>6</x:v>
      </x:c>
      <x:c r="J194" s="13" t="n">
        <x:v>19545794.71</x:v>
      </x:c>
      <x:c r="K194" s="13" t="n">
        <x:v>19808074.71</x:v>
      </x:c>
      <x:c r="L194" s="13" t="n">
        <x:v>289</x:v>
      </x:c>
      <x:c r="M194" s="13" t="n">
        <x:v>0.04764851485148515</x:v>
      </x:c>
      <x:c r="N194" s="13" t="n">
        <x:v>0.003898635477582846</x:v>
      </x:c>
      <x:c r="O194" s="13" t="n">
        <x:v>0.11907126183711808</x:v>
      </x:c>
      <x:c r="P194" s="13" t="n">
        <x:v>0.3131295706830459</x:v>
      </x:c>
      <x:c r="Q194" s="13" t="n">
        <x:v>542938.7419444444</x:v>
      </x:c>
      <x:c r="R194" s="13" t="n">
        <x:v>0.6774102863045526</x:v>
      </x:c>
      <x:c r="S194" s="13" t="n">
        <x:v>0.018143832870561243</x:v>
      </x:c>
      <x:c r="T194" s="13" t="n">
        <x:v>36</x:v>
      </x:c>
      <x:c r="U194" s="13" t="n">
        <x:v>11455.639999999989</x:v>
      </x:c>
      <x:c r="V194" s="13" t="n">
        <x:v>10722.759999999987</x:v>
      </x:c>
      <x:c r="W194" s="13" t="n">
        <x:v>809.7599999999993</x:v>
      </x:c>
      <x:c r="X194" s="13" t="n">
        <x:v>352.83999999999946</x:v>
      </x:c>
      <x:c r="Y194" s="13" t="n">
        <x:v>141792786.74</x:v>
      </x:c>
      <x:c r="Z194" s="13" t="n">
        <x:v>144082526.07999998</x:v>
      </x:c>
      <x:c r="AA194" s="13" t="n">
        <x:v>2537</x:v>
      </x:c>
      <x:c r="AB194" s="13" t="n">
        <x:v>0.0691405403732475</x:v>
      </x:c>
      <x:c r="AC194" s="13" t="n">
        <x:v>0.012202014828606576</x:v>
      </x:c>
      <x:c r="AD194" s="13" t="n">
        <x:v>0.00828404682851505</x:v>
      </x:c>
      <x:c r="AE194" s="13" t="n">
        <x:v>0.03634205973799095</x:v>
      </x:c>
      <x:c r="AF194" s="13" t="n">
        <x:v>3938688.520555555</x:v>
      </x:c>
      <x:c r="AG194" s="13" t="n">
        <x:v>0.44829084295877725</x:v>
      </x:c>
      <x:c r="AH194" s="13" t="n">
        <x:v>-0.02767513689347407</x:v>
      </x:c>
      <x:c r="AI194" s="13" t="n">
        <x:v>36</x:v>
      </x:c>
      <x:c r="AJ194" s="13" t="n">
        <x:v>122246992.03</x:v>
      </x:c>
      <x:c r="AK194" s="13" t="n">
        <x:v>0.13747728644764196</x:v>
      </x:c>
      <x:c r="AL194" s="13" t="n">
        <x:v>0.06811683909570548</x:v>
      </x:c>
      <x:c r="AM194" s="13" t="n">
        <x:v>0.011797823886639676</x:v>
      </x:c>
      <x:c r="AN194" s="13" t="n">
        <x:v>0.06367765433281657</x:v>
      </x:c>
      <x:c r="AO194" s="13" t="n">
        <x:v>0.5628505646316649</x:v>
      </x:c>
      <x:c r="AP194" s="13" t="n">
        <x:v>-0.004765652011456413</x:v>
      </x:c>
    </x:row>
    <x:row r="195" ht="15" hidden="0" customHeight="1">
      <x:c r="A195" s="2" t="str">
        <x:v>E194</x:v>
      </x:c>
      <x:c r="B195" s="2" t="str">
        <x:v>***文化传播有限公司</x:v>
      </x:c>
      <x:c r="C195" s="2" t="str">
        <x:v>无信贷记录</x:v>
      </x:c>
      <x:c r="D195" s="2" t="str"/>
      <x:c r="E195" s="2" t="str"/>
      <x:c r="F195" s="13" t="n">
        <x:v>4849</x:v>
      </x:c>
      <x:c r="G195" s="13" t="n">
        <x:v>4757</x:v>
      </x:c>
      <x:c r="H195" s="13" t="n">
        <x:v>92</x:v>
      </x:c>
      <x:c r="I195" s="13" t="n">
        <x:v>11</x:v>
      </x:c>
      <x:c r="J195" s="13" t="n">
        <x:v>11882193.02</x:v>
      </x:c>
      <x:c r="K195" s="13" t="n">
        <x:v>12058188.6</x:v>
      </x:c>
      <x:c r="L195" s="13" t="n">
        <x:v>918</x:v>
      </x:c>
      <x:c r="M195" s="13" t="n">
        <x:v>0.018972984120437204</x:v>
      </x:c>
      <x:c r="N195" s="13" t="n">
        <x:v>0.002312381753205802</x:v>
      </x:c>
      <x:c r="O195" s="13" t="n">
        <x:v>0.15613876799853552</x:v>
      </x:c>
      <x:c r="P195" s="13" t="n">
        <x:v>0.27327949323997136</x:v>
      </x:c>
      <x:c r="Q195" s="13" t="n">
        <x:v>360066.4551515152</x:v>
      </x:c>
      <x:c r="R195" s="13" t="n">
        <x:v>0.6758247081300937</x:v>
      </x:c>
      <x:c r="S195" s="13" t="n">
        <x:v>-0.0025771435649857752</x:v>
      </x:c>
      <x:c r="T195" s="13" t="n">
        <x:v>33</x:v>
      </x:c>
      <x:c r="U195" s="13" t="n">
        <x:v>11455.639999999989</x:v>
      </x:c>
      <x:c r="V195" s="13" t="n">
        <x:v>10722.759999999987</x:v>
      </x:c>
      <x:c r="W195" s="13" t="n">
        <x:v>688</x:v>
      </x:c>
      <x:c r="X195" s="13" t="n">
        <x:v>352.83999999999946</x:v>
      </x:c>
      <x:c r="Y195" s="13" t="n">
        <x:v>88998319.09</x:v>
      </x:c>
      <x:c r="Z195" s="13" t="n">
        <x:v>97836333.00999999</x:v>
      </x:c>
      <x:c r="AA195" s="13" t="n">
        <x:v>2694.279999999999</x:v>
      </x:c>
      <x:c r="AB195" s="13" t="n">
        <x:v>0.05859807512136956</x:v>
      </x:c>
      <x:c r="AC195" s="13" t="n">
        <x:v>0.03537501130914684</x:v>
      </x:c>
      <x:c r="AD195" s="13" t="n">
        <x:v>0.05705042435472701</x:v>
      </x:c>
      <x:c r="AE195" s="13" t="n">
        <x:v>0.20603078968566504</x:v>
      </x:c>
      <x:c r="AF195" s="13" t="n">
        <x:v>2696918.7603030303</x:v>
      </x:c>
      <x:c r="AG195" s="13" t="n">
        <x:v>0.6471980489978517</x:v>
      </x:c>
      <x:c r="AH195" s="13" t="n">
        <x:v>0.009948105562156003</x:v>
      </x:c>
      <x:c r="AI195" s="13" t="n">
        <x:v>33</x:v>
      </x:c>
      <x:c r="AJ195" s="13" t="n">
        <x:v>77116126.07000001</x:v>
      </x:c>
      <x:c r="AK195" s="13" t="n">
        <x:v>0.1232485747270139</x:v>
      </x:c>
      <x:c r="AL195" s="13" t="n">
        <x:v>0.04701627486437613</x:v>
      </x:c>
      <x:c r="AM195" s="13" t="n">
        <x:v>0.025426944971537004</x:v>
      </x:c>
      <x:c r="AN195" s="13" t="n">
        <x:v>0.10659459617663126</x:v>
      </x:c>
      <x:c r="AO195" s="13" t="n">
        <x:v>0.6615113785639727</x:v>
      </x:c>
      <x:c r="AP195" s="13" t="n">
        <x:v>0.0036854809985851136</x:v>
      </x:c>
    </x:row>
    <x:row r="196" ht="15" hidden="0" customHeight="1">
      <x:c r="A196" s="2" t="str">
        <x:v>E195</x:v>
      </x:c>
      <x:c r="B196" s="2" t="str">
        <x:v>***医药有限公司</x:v>
      </x:c>
      <x:c r="C196" s="2" t="str">
        <x:v>无信贷记录</x:v>
      </x:c>
      <x:c r="D196" s="2" t="str"/>
      <x:c r="E196" s="2" t="str"/>
      <x:c r="F196" s="13" t="n">
        <x:v>2336</x:v>
      </x:c>
      <x:c r="G196" s="13" t="n">
        <x:v>2267</x:v>
      </x:c>
      <x:c r="H196" s="13" t="n">
        <x:v>69</x:v>
      </x:c>
      <x:c r="I196" s="13" t="n">
        <x:v>46</x:v>
      </x:c>
      <x:c r="J196" s="13" t="n">
        <x:v>86953398.85</x:v>
      </x:c>
      <x:c r="K196" s="13" t="n">
        <x:v>89628356.25</x:v>
      </x:c>
      <x:c r="L196" s="13" t="n">
        <x:v>513</x:v>
      </x:c>
      <x:c r="M196" s="13" t="n">
        <x:v>0.029537671232876712</x:v>
      </x:c>
      <x:c r="N196" s="13" t="n">
        <x:v>0.020291133656815175</x:v>
      </x:c>
      <x:c r="O196" s="13" t="n">
        <x:v>0.10973791349624473</x:v>
      </x:c>
      <x:c r="P196" s="13" t="n">
        <x:v>0.20397643742350793</x:v>
      </x:c>
      <x:c r="Q196" s="13" t="n">
        <x:v>2350091.860810811</x:v>
      </x:c>
      <x:c r="R196" s="13" t="n">
        <x:v>0.6407126506967108</x:v>
      </x:c>
      <x:c r="S196" s="13" t="n">
        <x:v>-0.015682939290453682</x:v>
      </x:c>
      <x:c r="T196" s="13" t="n">
        <x:v>37</x:v>
      </x:c>
      <x:c r="U196" s="13" t="n">
        <x:v>4857</x:v>
      </x:c>
      <x:c r="V196" s="13" t="n">
        <x:v>4626</x:v>
      </x:c>
      <x:c r="W196" s="13" t="n">
        <x:v>231</x:v>
      </x:c>
      <x:c r="X196" s="13" t="n">
        <x:v>81</x:v>
      </x:c>
      <x:c r="Y196" s="13" t="n">
        <x:v>127396060.13</x:v>
      </x:c>
      <x:c r="Z196" s="13" t="n">
        <x:v>128740131.53</x:v>
      </x:c>
      <x:c r="AA196" s="13" t="n">
        <x:v>402</x:v>
      </x:c>
      <x:c r="AB196" s="13" t="n">
        <x:v>0.04756022235948116</x:v>
      </x:c>
      <x:c r="AC196" s="13" t="n">
        <x:v>0.017509727626459144</x:v>
      </x:c>
      <x:c r="AD196" s="13" t="n">
        <x:v>0.05360275685899774</x:v>
      </x:c>
      <x:c r="AE196" s="13" t="n">
        <x:v>0.16311164786332885</x:v>
      </x:c>
      <x:c r="AF196" s="13" t="n">
        <x:v>3443136.760270271</x:v>
      </x:c>
      <x:c r="AG196" s="13" t="n">
        <x:v>0.4461827028678063</x:v>
      </x:c>
      <x:c r="AH196" s="13" t="n">
        <x:v>-0.027515109627700166</x:v>
      </x:c>
      <x:c r="AI196" s="13" t="n">
        <x:v>37</x:v>
      </x:c>
      <x:c r="AJ196" s="13" t="n">
        <x:v>40442661.28</x:v>
      </x:c>
      <x:c r="AK196" s="13" t="n">
        <x:v>0.6961959350578582</x:v>
      </x:c>
      <x:c r="AL196" s="13" t="n">
        <x:v>0.04170721534825525</x:v>
      </x:c>
      <x:c r="AM196" s="13" t="n">
        <x:v>0.018424488611634992</x:v>
      </x:c>
      <x:c r="AN196" s="13" t="n">
        <x:v>0.08167033517762123</x:v>
      </x:c>
      <x:c r="AO196" s="13" t="n">
        <x:v>0.5434476767822586</x:v>
      </x:c>
      <x:c r="AP196" s="13" t="n">
        <x:v>-0.021599024459076924</x:v>
      </x:c>
    </x:row>
    <x:row r="197" ht="15" hidden="0" customHeight="1">
      <x:c r="A197" s="2" t="str">
        <x:v>E196</x:v>
      </x:c>
      <x:c r="B197" s="2" t="str">
        <x:v>***地质制图印刷厂</x:v>
      </x:c>
      <x:c r="C197" s="2" t="str">
        <x:v>无信贷记录</x:v>
      </x:c>
      <x:c r="D197" s="2" t="str"/>
      <x:c r="E197" s="2" t="str"/>
      <x:c r="F197" s="13" t="n">
        <x:v>1386</x:v>
      </x:c>
      <x:c r="G197" s="13" t="n">
        <x:v>1336</x:v>
      </x:c>
      <x:c r="H197" s="13" t="n">
        <x:v>50</x:v>
      </x:c>
      <x:c r="I197" s="13" t="n">
        <x:v>9</x:v>
      </x:c>
      <x:c r="J197" s="13" t="n">
        <x:v>48827578.52</x:v>
      </x:c>
      <x:c r="K197" s="13" t="n">
        <x:v>48920942.28</x:v>
      </x:c>
      <x:c r="L197" s="13" t="n">
        <x:v>154</x:v>
      </x:c>
      <x:c r="M197" s="13" t="n">
        <x:v>0.03607503607503607</x:v>
      </x:c>
      <x:c r="N197" s="13" t="n">
        <x:v>0.006736526946107785</x:v>
      </x:c>
      <x:c r="O197" s="13" t="n">
        <x:v>0.18545542706539003</x:v>
      </x:c>
      <x:c r="P197" s="13" t="n">
        <x:v>0.3455091723960964</x:v>
      </x:c>
      <x:c r="Q197" s="13" t="n">
        <x:v>1284936.2768421052</x:v>
      </x:c>
      <x:c r="R197" s="13" t="n">
        <x:v>0.7157446386148517</x:v>
      </x:c>
      <x:c r="S197" s="13" t="n">
        <x:v>-0.005084313260514009</x:v>
      </x:c>
      <x:c r="T197" s="13" t="n">
        <x:v>38</x:v>
      </x:c>
      <x:c r="U197" s="13" t="n">
        <x:v>2962</x:v>
      </x:c>
      <x:c r="V197" s="13" t="n">
        <x:v>2755</x:v>
      </x:c>
      <x:c r="W197" s="13" t="n">
        <x:v>207</x:v>
      </x:c>
      <x:c r="X197" s="13" t="n">
        <x:v>86</x:v>
      </x:c>
      <x:c r="Y197" s="13" t="n">
        <x:v>83342845.75</x:v>
      </x:c>
      <x:c r="Z197" s="13" t="n">
        <x:v>88654916.36999999</x:v>
      </x:c>
      <x:c r="AA197" s="13" t="n">
        <x:v>700</x:v>
      </x:c>
      <x:c r="AB197" s="13" t="n">
        <x:v>0.06988521269412559</x:v>
      </x:c>
      <x:c r="AC197" s="13" t="n">
        <x:v>0.03121597096188748</x:v>
      </x:c>
      <x:c r="AD197" s="13" t="n">
        <x:v>0.0358862779280249</x:v>
      </x:c>
      <x:c r="AE197" s="13" t="n">
        <x:v>0.13047326356639818</x:v>
      </x:c>
      <x:c r="AF197" s="13" t="n">
        <x:v>2193232.782894737</x:v>
      </x:c>
      <x:c r="AG197" s="13" t="n">
        <x:v>0.5486793566089263</x:v>
      </x:c>
      <x:c r="AH197" s="13" t="n">
        <x:v>0.006469971599586086</x:v>
      </x:c>
      <x:c r="AI197" s="13" t="n">
        <x:v>38</x:v>
      </x:c>
      <x:c r="AJ197" s="13" t="n">
        <x:v>34515267.23</x:v>
      </x:c>
      <x:c r="AK197" s="13" t="n">
        <x:v>0.551813077977866</x:v>
      </x:c>
      <x:c r="AL197" s="13" t="n">
        <x:v>0.05910763569457222</x:v>
      </x:c>
      <x:c r="AM197" s="13" t="n">
        <x:v>0.023221706184307016</x:v>
      </x:c>
      <x:c r="AN197" s="13" t="n">
        <x:v>0.11067085249670747</x:v>
      </x:c>
      <x:c r="AO197" s="13" t="n">
        <x:v>0.632211997611889</x:v>
      </x:c>
      <x:c r="AP197" s="13" t="n">
        <x:v>0.0006928291695360387</x:v>
      </x:c>
    </x:row>
    <x:row r="198" ht="15" hidden="0" customHeight="1">
      <x:c r="A198" s="2" t="str">
        <x:v>E197</x:v>
      </x:c>
      <x:c r="B198" s="2" t="str">
        <x:v>***医疗设备有限公司</x:v>
      </x:c>
      <x:c r="C198" s="2" t="str">
        <x:v>无信贷记录</x:v>
      </x:c>
      <x:c r="D198" s="2" t="str"/>
      <x:c r="E198" s="2" t="str"/>
      <x:c r="F198" s="13" t="n">
        <x:v>3742</x:v>
      </x:c>
      <x:c r="G198" s="13" t="n">
        <x:v>3649</x:v>
      </x:c>
      <x:c r="H198" s="13" t="n">
        <x:v>93</x:v>
      </x:c>
      <x:c r="I198" s="13" t="n">
        <x:v>2</x:v>
      </x:c>
      <x:c r="J198" s="13" t="n">
        <x:v>99339824.47999999</x:v>
      </x:c>
      <x:c r="K198" s="13" t="n">
        <x:v>99344461.03999999</x:v>
      </x:c>
      <x:c r="L198" s="13" t="n">
        <x:v>805</x:v>
      </x:c>
      <x:c r="M198" s="13" t="n">
        <x:v>0.024853019775521113</x:v>
      </x:c>
      <x:c r="N198" s="13" t="n">
        <x:v>0.0005480953685941354</x:v>
      </x:c>
      <x:c r="O198" s="13" t="n">
        <x:v>0.13044596645101703</x:v>
      </x:c>
      <x:c r="P198" s="13" t="n">
        <x:v>0.3365425676479164</x:v>
      </x:c>
      <x:c r="Q198" s="13" t="n">
        <x:v>2921759.543529412</x:v>
      </x:c>
      <x:c r="R198" s="13" t="n">
        <x:v>0.8497358532948058</x:v>
      </x:c>
      <x:c r="S198" s="13" t="n">
        <x:v>0.023861011058769546</x:v>
      </x:c>
      <x:c r="T198" s="13" t="n">
        <x:v>34</x:v>
      </x:c>
      <x:c r="U198" s="13" t="n">
        <x:v>3828</x:v>
      </x:c>
      <x:c r="V198" s="13" t="n">
        <x:v>3568</x:v>
      </x:c>
      <x:c r="W198" s="13" t="n">
        <x:v>260</x:v>
      </x:c>
      <x:c r="X198" s="13" t="n">
        <x:v>46</x:v>
      </x:c>
      <x:c r="Y198" s="13" t="n">
        <x:v>163759319.68</x:v>
      </x:c>
      <x:c r="Z198" s="13" t="n">
        <x:v>169010937.51999998</x:v>
      </x:c>
      <x:c r="AA198" s="13" t="n">
        <x:v>1263</x:v>
      </x:c>
      <x:c r="AB198" s="13" t="n">
        <x:v>0.06792058516196448</x:v>
      </x:c>
      <x:c r="AC198" s="13" t="n">
        <x:v>0.01289237668161435</x:v>
      </x:c>
      <x:c r="AD198" s="13" t="n">
        <x:v>0.021795820499079598</x:v>
      </x:c>
      <x:c r="AE198" s="13" t="n">
        <x:v>0.11241875986725193</x:v>
      </x:c>
      <x:c r="AF198" s="13" t="n">
        <x:v>4816450.578823529</x:v>
      </x:c>
      <x:c r="AG198" s="13" t="n">
        <x:v>0.6365027295381105</x:v>
      </x:c>
      <x:c r="AH198" s="13" t="n">
        <x:v>0.03150880200366467</x:v>
      </x:c>
      <x:c r="AI198" s="13" t="n">
        <x:v>34</x:v>
      </x:c>
      <x:c r="AJ198" s="13" t="n">
        <x:v>64419495.20000002</x:v>
      </x:c>
      <x:c r="AK198" s="13" t="n">
        <x:v>0.5877990057788066</x:v>
      </x:c>
      <x:c r="AL198" s="13" t="n">
        <x:v>0.046631439894319685</x:v>
      </x:c>
      <x:c r="AM198" s="13" t="n">
        <x:v>0.00665096300401829</x:v>
      </x:c>
      <x:c r="AN198" s="13" t="n">
        <x:v>0.07612089347504832</x:v>
      </x:c>
      <x:c r="AO198" s="13" t="n">
        <x:v>0.7431192914164582</x:v>
      </x:c>
      <x:c r="AP198" s="13" t="n">
        <x:v>0.027684906531217107</x:v>
      </x:c>
    </x:row>
    <x:row r="199" ht="15" hidden="0" customHeight="1">
      <x:c r="A199" s="2" t="str">
        <x:v>E198</x:v>
      </x:c>
      <x:c r="B199" s="2" t="str">
        <x:v>***商贸有限公司</x:v>
      </x:c>
      <x:c r="C199" s="2" t="str">
        <x:v>无信贷记录</x:v>
      </x:c>
      <x:c r="D199" s="2" t="str"/>
      <x:c r="E199" s="2" t="str"/>
      <x:c r="F199" s="13" t="n">
        <x:v>1147</x:v>
      </x:c>
      <x:c r="G199" s="13" t="n">
        <x:v>1109</x:v>
      </x:c>
      <x:c r="H199" s="13" t="n">
        <x:v>38</x:v>
      </x:c>
      <x:c r="I199" s="13" t="n">
        <x:v>0</x:v>
      </x:c>
      <x:c r="J199" s="13" t="n">
        <x:v>66423102.82000001</x:v>
      </x:c>
      <x:c r="K199" s="13" t="n">
        <x:v>66423102.82000001</x:v>
      </x:c>
      <x:c r="L199" s="13" t="n">
        <x:v>213</x:v>
      </x:c>
      <x:c r="M199" s="13" t="n">
        <x:v>0.03312990409764603</x:v>
      </x:c>
      <x:c r="N199" s="13" t="n">
        <x:v>0</x:v>
      </x:c>
      <x:c r="O199" s="13" t="n">
        <x:v>0.07761037175215257</x:v>
      </x:c>
      <x:c r="P199" s="13" t="n">
        <x:v>0.13207292082956626</x:v>
      </x:c>
      <x:c r="Q199" s="13" t="n">
        <x:v>1795218.995135135</x:v>
      </x:c>
      <x:c r="R199" s="13" t="n">
        <x:v>0.8915410560163172</x:v>
      </x:c>
      <x:c r="S199" s="13" t="n">
        <x:v>0.04674748374259287</x:v>
      </x:c>
      <x:c r="T199" s="13" t="n">
        <x:v>37</x:v>
      </x:c>
      <x:c r="U199" s="13" t="n">
        <x:v>809</x:v>
      </x:c>
      <x:c r="V199" s="13" t="n">
        <x:v>728</x:v>
      </x:c>
      <x:c r="W199" s="13" t="n">
        <x:v>81</x:v>
      </x:c>
      <x:c r="X199" s="13" t="n">
        <x:v>55</x:v>
      </x:c>
      <x:c r="Y199" s="13" t="n">
        <x:v>65935879.49</x:v>
      </x:c>
      <x:c r="Z199" s="13" t="n">
        <x:v>78365074.61000001</x:v>
      </x:c>
      <x:c r="AA199" s="13" t="n">
        <x:v>42</x:v>
      </x:c>
      <x:c r="AB199" s="13" t="n">
        <x:v>0.10012360939431397</x:v>
      </x:c>
      <x:c r="AC199" s="13" t="n">
        <x:v>0.07554945054945054</x:v>
      </x:c>
      <x:c r="AD199" s="13" t="n">
        <x:v>0.1324317312903741</x:v>
      </x:c>
      <x:c r="AE199" s="13" t="n">
        <x:v>0.31700778852866585</x:v>
      </x:c>
      <x:c r="AF199" s="13" t="n">
        <x:v>1782050.7970270268</x:v>
      </x:c>
      <x:c r="AG199" s="13" t="n">
        <x:v>1.0568084592036127</x:v>
      </x:c>
      <x:c r="AH199" s="13" t="n">
        <x:v>0.048771004404708</x:v>
      </x:c>
      <x:c r="AI199" s="13" t="n">
        <x:v>33</x:v>
      </x:c>
      <x:c r="AJ199" s="13" t="n">
        <x:v>-487223.33000000566</x:v>
      </x:c>
      <x:c r="AK199" s="13" t="n">
        <x:v>0.8476110454889286</x:v>
      </x:c>
      <x:c r="AL199" s="13" t="n">
        <x:v>0.06083844580777096</x:v>
      </x:c>
      <x:c r="AM199" s="13" t="n">
        <x:v>0.029940119760479042</x:v>
      </x:c>
      <x:c r="AN199" s="13" t="n">
        <x:v>0.10502105152126334</x:v>
      </x:c>
      <x:c r="AO199" s="13" t="n">
        <x:v>0.9741747576099649</x:v>
      </x:c>
      <x:c r="AP199" s="13" t="n">
        <x:v>0.04775924407365044</x:v>
      </x:c>
    </x:row>
    <x:row r="200" ht="15" hidden="0" customHeight="1">
      <x:c r="A200" s="2" t="str">
        <x:v>E199</x:v>
      </x:c>
      <x:c r="B200" s="2" t="str">
        <x:v>***建筑劳务有限公司</x:v>
      </x:c>
      <x:c r="C200" s="2" t="str">
        <x:v>无信贷记录</x:v>
      </x:c>
      <x:c r="D200" s="2" t="str"/>
      <x:c r="E200" s="2" t="str"/>
      <x:c r="F200" s="13" t="n">
        <x:v>48</x:v>
      </x:c>
      <x:c r="G200" s="13" t="n">
        <x:v>47</x:v>
      </x:c>
      <x:c r="H200" s="13" t="n">
        <x:v>1</x:v>
      </x:c>
      <x:c r="I200" s="13" t="n">
        <x:v>0</x:v>
      </x:c>
      <x:c r="J200" s="13" t="n">
        <x:v>169812.22999999998</x:v>
      </x:c>
      <x:c r="K200" s="13" t="n">
        <x:v>169812.22999999998</x:v>
      </x:c>
      <x:c r="L200" s="13" t="n">
        <x:v>25</x:v>
      </x:c>
      <x:c r="M200" s="13" t="n">
        <x:v>0.020833333333333332</x:v>
      </x:c>
      <x:c r="N200" s="13" t="n">
        <x:v>0</x:v>
      </x:c>
      <x:c r="O200" s="13" t="n">
        <x:v>0.2895077482510261</x:v>
      </x:c>
      <x:c r="P200" s="13" t="n">
        <x:v>0.4417422113825371</x:v>
      </x:c>
      <x:c r="Q200" s="13" t="n">
        <x:v>8086.296666666667</x:v>
      </x:c>
      <x:c r="R200" s="13" t="n">
        <x:v>2.2802318533178205</x:v>
      </x:c>
      <x:c r="S200" s="13" t="n">
        <x:v>-0.010752481244617012</x:v>
      </x:c>
      <x:c r="T200" s="13" t="n">
        <x:v>18</x:v>
      </x:c>
      <x:c r="U200" s="13" t="n">
        <x:v>820</x:v>
      </x:c>
      <x:c r="V200" s="13" t="n">
        <x:v>808</x:v>
      </x:c>
      <x:c r="W200" s="13" t="n">
        <x:v>12</x:v>
      </x:c>
      <x:c r="X200" s="13" t="n">
        <x:v>90</x:v>
      </x:c>
      <x:c r="Y200" s="13" t="n">
        <x:v>62167807.71</x:v>
      </x:c>
      <x:c r="Z200" s="13" t="n">
        <x:v>80167807.71000001</x:v>
      </x:c>
      <x:c r="AA200" s="13" t="n">
        <x:v>3</x:v>
      </x:c>
      <x:c r="AB200" s="13" t="n">
        <x:v>0.014634146341463415</x:v>
      </x:c>
      <x:c r="AC200" s="13" t="n">
        <x:v>0.11138613861386139</x:v>
      </x:c>
      <x:c r="AD200" s="13" t="n">
        <x:v>0.36734745172777655</x:v>
      </x:c>
      <x:c r="AE200" s="13" t="n">
        <x:v>0.4503101209975697</x:v>
      </x:c>
      <x:c r="AF200" s="13" t="n">
        <x:v>2486712.3083999995</x:v>
      </x:c>
      <x:c r="AG200" s="13" t="n">
        <x:v>1.8233485330995853</x:v>
      </x:c>
      <x:c r="AH200" s="13" t="n">
        <x:v>0.06788105769482146</x:v>
      </x:c>
      <x:c r="AI200" s="13" t="n">
        <x:v>15</x:v>
      </x:c>
      <x:c r="AJ200" s="13" t="n">
        <x:v>61997995.480000004</x:v>
      </x:c>
      <x:c r="AK200" s="13" t="n">
        <x:v>0.002118209725957342</x:v>
      </x:c>
      <x:c r="AL200" s="13" t="n">
        <x:v>0.014976958525345621</x:v>
      </x:c>
      <x:c r="AM200" s="13" t="n">
        <x:v>0.103076923076923</x:v>
      </x:c>
      <x:c r="AN200" s="13" t="n">
        <x:v>0.3284275999894013</x:v>
      </x:c>
      <x:c r="AO200" s="13" t="n">
        <x:v>2.051790193208703</x:v>
      </x:c>
      <x:c r="AP200" s="13" t="n">
        <x:v>0.028564288225102222</x:v>
      </x:c>
    </x:row>
    <x:row r="201" ht="15" hidden="0" customHeight="1">
      <x:c r="A201" s="2" t="str">
        <x:v>E200</x:v>
      </x:c>
      <x:c r="B201" s="2" t="str">
        <x:v>个体经营E200 </x:v>
      </x:c>
      <x:c r="C201" s="2" t="str">
        <x:v>无信贷记录</x:v>
      </x:c>
      <x:c r="D201" s="2" t="str"/>
      <x:c r="E201" s="2" t="str"/>
      <x:c r="F201" s="13" t="n">
        <x:v>1238</x:v>
      </x:c>
      <x:c r="G201" s="13" t="n">
        <x:v>1201</x:v>
      </x:c>
      <x:c r="H201" s="13" t="n">
        <x:v>37</x:v>
      </x:c>
      <x:c r="I201" s="13" t="n">
        <x:v>6</x:v>
      </x:c>
      <x:c r="J201" s="13" t="n">
        <x:v>54647680.99</x:v>
      </x:c>
      <x:c r="K201" s="13" t="n">
        <x:v>54703556.730000004</x:v>
      </x:c>
      <x:c r="L201" s="13" t="n">
        <x:v>133</x:v>
      </x:c>
      <x:c r="M201" s="13" t="n">
        <x:v>0.02988691437802908</x:v>
      </x:c>
      <x:c r="N201" s="13" t="n">
        <x:v>0.004995836802664446</x:v>
      </x:c>
      <x:c r="O201" s="13" t="n">
        <x:v>0.17633225572389022</x:v>
      </x:c>
      <x:c r="P201" s="13" t="n">
        <x:v>0.3576671033762963</x:v>
      </x:c>
      <x:c r="Q201" s="13" t="n">
        <x:v>1517991.1386111109</x:v>
      </x:c>
      <x:c r="R201" s="13" t="n">
        <x:v>0.9229947577057873</x:v>
      </x:c>
      <x:c r="S201" s="13" t="n">
        <x:v>0.047443947811821686</x:v>
      </x:c>
      <x:c r="T201" s="13" t="n">
        <x:v>36</x:v>
      </x:c>
      <x:c r="U201" s="13" t="n">
        <x:v>613</x:v>
      </x:c>
      <x:c r="V201" s="13" t="n">
        <x:v>564</x:v>
      </x:c>
      <x:c r="W201" s="13" t="n">
        <x:v>49</x:v>
      </x:c>
      <x:c r="X201" s="13" t="n">
        <x:v>12</x:v>
      </x:c>
      <x:c r="Y201" s="13" t="n">
        <x:v>54430259.45</x:v>
      </x:c>
      <x:c r="Z201" s="13" t="n">
        <x:v>56572481.15</x:v>
      </x:c>
      <x:c r="AA201" s="13" t="n">
        <x:v>50</x:v>
      </x:c>
      <x:c r="AB201" s="13" t="n">
        <x:v>0.0799347471451876</x:v>
      </x:c>
      <x:c r="AC201" s="13" t="n">
        <x:v>0.02127659574468085</x:v>
      </x:c>
      <x:c r="AD201" s="13" t="n">
        <x:v>0.058998368787674706</x:v>
      </x:c>
      <x:c r="AE201" s="13" t="n">
        <x:v>0.1837996104931311</x:v>
      </x:c>
      <x:c r="AF201" s="13" t="n">
        <x:v>1555150.27</x:v>
      </x:c>
      <x:c r="AG201" s="13" t="n">
        <x:v>0.9030276420194591</x:v>
      </x:c>
      <x:c r="AH201" s="13" t="n">
        <x:v>0.03987378283749917</x:v>
      </x:c>
      <x:c r="AI201" s="13" t="n">
        <x:v>34</x:v>
      </x:c>
      <x:c r="AJ201" s="13" t="n">
        <x:v>-217421.5399999991</x:v>
      </x:c>
      <x:c r="AK201" s="13" t="n">
        <x:v>0.966964071894874</x:v>
      </x:c>
      <x:c r="AL201" s="13" t="n">
        <x:v>0.046461372231226365</x:v>
      </x:c>
      <x:c r="AM201" s="13" t="n">
        <x:v>0.010198300283286119</x:v>
      </x:c>
      <x:c r="AN201" s="13" t="n">
        <x:v>0.11766531225578246</x:v>
      </x:c>
      <x:c r="AO201" s="13" t="n">
        <x:v>0.9130111998626231</x:v>
      </x:c>
      <x:c r="AP201" s="13" t="n">
        <x:v>0.04365886532466043</x:v>
      </x:c>
    </x:row>
    <x:row r="202" ht="15" hidden="0" customHeight="1">
      <x:c r="A202" s="2" t="str">
        <x:v>E201</x:v>
      </x:c>
      <x:c r="B202" s="2" t="str">
        <x:v>***物流有限责任公司</x:v>
      </x:c>
      <x:c r="C202" s="2" t="str">
        <x:v>无信贷记录</x:v>
      </x:c>
      <x:c r="D202" s="2" t="str"/>
      <x:c r="E202" s="2" t="str"/>
      <x:c r="F202" s="13" t="n">
        <x:v>480</x:v>
      </x:c>
      <x:c r="G202" s="13" t="n">
        <x:v>463</x:v>
      </x:c>
      <x:c r="H202" s="13" t="n">
        <x:v>17</x:v>
      </x:c>
      <x:c r="I202" s="13" t="n">
        <x:v>1</x:v>
      </x:c>
      <x:c r="J202" s="13" t="n">
        <x:v>43770069.97</x:v>
      </x:c>
      <x:c r="K202" s="13" t="n">
        <x:v>43804428.97</x:v>
      </x:c>
      <x:c r="L202" s="13" t="n">
        <x:v>105</x:v>
      </x:c>
      <x:c r="M202" s="13" t="n">
        <x:v>0.035416666666666666</x:v>
      </x:c>
      <x:c r="N202" s="13" t="n">
        <x:v>0.0021598272138228943</x:v>
      </x:c>
      <x:c r="O202" s="13" t="n">
        <x:v>0.1463791196018496</x:v>
      </x:c>
      <x:c r="P202" s="13" t="n">
        <x:v>0.28923731910024714</x:v>
      </x:c>
      <x:c r="Q202" s="13" t="n">
        <x:v>1182974.864054054</x:v>
      </x:c>
      <x:c r="R202" s="13" t="n">
        <x:v>1.532152289880025</x:v>
      </x:c>
      <x:c r="S202" s="13" t="n">
        <x:v>0.08596899349298877</x:v>
      </x:c>
      <x:c r="T202" s="13" t="n">
        <x:v>36</x:v>
      </x:c>
      <x:c r="U202" s="13" t="n">
        <x:v>1207</x:v>
      </x:c>
      <x:c r="V202" s="13" t="n">
        <x:v>1084</x:v>
      </x:c>
      <x:c r="W202" s="13" t="n">
        <x:v>123</x:v>
      </x:c>
      <x:c r="X202" s="13" t="n">
        <x:v>16</x:v>
      </x:c>
      <x:c r="Y202" s="13" t="n">
        <x:v>52613659.400000006</x:v>
      </x:c>
      <x:c r="Z202" s="13" t="n">
        <x:v>53139773.82000001</x:v>
      </x:c>
      <x:c r="AA202" s="13" t="n">
        <x:v>174</x:v>
      </x:c>
      <x:c r="AB202" s="13" t="n">
        <x:v>0.10190555095277548</x:v>
      </x:c>
      <x:c r="AC202" s="13" t="n">
        <x:v>0.014760147601476014</x:v>
      </x:c>
      <x:c r="AD202" s="13" t="n">
        <x:v>0.07735975897732963</x:v>
      </x:c>
      <x:c r="AE202" s="13" t="n">
        <x:v>0.2211779643589006</x:v>
      </x:c>
      <x:c r="AF202" s="13" t="n">
        <x:v>1421990.7945945945</x:v>
      </x:c>
      <x:c r="AG202" s="13" t="n">
        <x:v>1.314436073208514</x:v>
      </x:c>
      <x:c r="AH202" s="13" t="n">
        <x:v>0.08125599970731204</x:v>
      </x:c>
      <x:c r="AI202" s="13" t="n">
        <x:v>37</x:v>
      </x:c>
      <x:c r="AJ202" s="13" t="n">
        <x:v>8843589.430000007</x:v>
      </x:c>
      <x:c r="AK202" s="13" t="n">
        <x:v>0.8243247161415937</x:v>
      </x:c>
      <x:c r="AL202" s="13" t="n">
        <x:v>0.08298755186721991</x:v>
      </x:c>
      <x:c r="AM202" s="13" t="n">
        <x:v>0.01098901098901099</x:v>
      </x:c>
      <x:c r="AN202" s="13" t="n">
        <x:v>0.11186943928958962</x:v>
      </x:c>
      <x:c r="AO202" s="13" t="n">
        <x:v>1.4232941815442697</x:v>
      </x:c>
      <x:c r="AP202" s="13" t="n">
        <x:v>0.08361249660015041</x:v>
      </x:c>
    </x:row>
    <x:row r="203" ht="15" hidden="0" customHeight="1">
      <x:c r="A203" s="2" t="str">
        <x:v>E202</x:v>
      </x:c>
      <x:c r="B203" s="2" t="str">
        <x:v>个体经营E202 </x:v>
      </x:c>
      <x:c r="C203" s="2" t="str">
        <x:v>无信贷记录</x:v>
      </x:c>
      <x:c r="D203" s="2" t="str"/>
      <x:c r="E203" s="2" t="str"/>
      <x:c r="F203" s="13" t="n">
        <x:v>404</x:v>
      </x:c>
      <x:c r="G203" s="13" t="n">
        <x:v>364</x:v>
      </x:c>
      <x:c r="H203" s="13" t="n">
        <x:v>40</x:v>
      </x:c>
      <x:c r="I203" s="13" t="n">
        <x:v>2</x:v>
      </x:c>
      <x:c r="J203" s="13" t="n">
        <x:v>11370529.870000001</x:v>
      </x:c>
      <x:c r="K203" s="13" t="n">
        <x:v>11549645.870000001</x:v>
      </x:c>
      <x:c r="L203" s="13" t="n">
        <x:v>109</x:v>
      </x:c>
      <x:c r="M203" s="13" t="n">
        <x:v>0.09900990099009901</x:v>
      </x:c>
      <x:c r="N203" s="13" t="n">
        <x:v>0.005494505494505495</x:v>
      </x:c>
      <x:c r="O203" s="13" t="n">
        <x:v>0.0924990251158328</x:v>
      </x:c>
      <x:c r="P203" s="13" t="n">
        <x:v>0.16644397773210687</x:v>
      </x:c>
      <x:c r="Q203" s="13" t="n">
        <x:v>334427.3491176471</x:v>
      </x:c>
      <x:c r="R203" s="13" t="n">
        <x:v>1.0711887614470856</x:v>
      </x:c>
      <x:c r="S203" s="13" t="n">
        <x:v>-0.029898261000411274</x:v>
      </x:c>
      <x:c r="T203" s="13" t="n">
        <x:v>34</x:v>
      </x:c>
      <x:c r="U203" s="13" t="n">
        <x:v>1106</x:v>
      </x:c>
      <x:c r="V203" s="13" t="n">
        <x:v>1096</x:v>
      </x:c>
      <x:c r="W203" s="13" t="n">
        <x:v>10</x:v>
      </x:c>
      <x:c r="X203" s="13" t="n">
        <x:v>0</x:v>
      </x:c>
      <x:c r="Y203" s="13" t="n">
        <x:v>106815222.80000001</x:v>
      </x:c>
      <x:c r="Z203" s="13" t="n">
        <x:v>106815222.80000001</x:v>
      </x:c>
      <x:c r="AA203" s="13" t="n">
        <x:v>5</x:v>
      </x:c>
      <x:c r="AB203" s="13" t="n">
        <x:v>0.009041591320072333</x:v>
      </x:c>
      <x:c r="AC203" s="13" t="n">
        <x:v>0</x:v>
      </x:c>
      <x:c r="AD203" s="13" t="n">
        <x:v>0.9071127873671707</x:v>
      </x:c>
      <x:c r="AE203" s="13" t="n">
        <x:v>0.9517275546983178</x:v>
      </x:c>
      <x:c r="AF203" s="13" t="n">
        <x:v>3051863.5085714287</x:v>
      </x:c>
      <x:c r="AG203" s="13" t="n">
        <x:v>1.0733406253941533</x:v>
      </x:c>
      <x:c r="AH203" s="13" t="n">
        <x:v>-0.020565020056445404</x:v>
      </x:c>
      <x:c r="AI203" s="13" t="n">
        <x:v>32</x:v>
      </x:c>
      <x:c r="AJ203" s="13" t="n">
        <x:v>95444692.93</x:v>
      </x:c>
      <x:c r="AK203" s="13" t="n">
        <x:v>0.10812733959864006</x:v>
      </x:c>
      <x:c r="AL203" s="13" t="n">
        <x:v>0.033112582781456956</x:v>
      </x:c>
      <x:c r="AM203" s="13" t="n">
        <x:v>0.0013698630136986301</x:v>
      </x:c>
      <x:c r="AN203" s="13" t="n">
        <x:v>0.4998059062415018</x:v>
      </x:c>
      <x:c r="AO203" s="13" t="n">
        <x:v>1.0722646934206195</x:v>
      </x:c>
      <x:c r="AP203" s="13" t="n">
        <x:v>-0.02523164052842834</x:v>
      </x:c>
    </x:row>
    <x:row r="204" ht="15" hidden="0" customHeight="1">
      <x:c r="A204" s="2" t="str">
        <x:v>E203</x:v>
      </x:c>
      <x:c r="B204" s="2" t="str">
        <x:v>***建设工程有限公司</x:v>
      </x:c>
      <x:c r="C204" s="2" t="str">
        <x:v>无信贷记录</x:v>
      </x:c>
      <x:c r="D204" s="2" t="str"/>
      <x:c r="E204" s="2" t="str"/>
      <x:c r="F204" s="13" t="n">
        <x:v>1207</x:v>
      </x:c>
      <x:c r="G204" s="13" t="n">
        <x:v>1142</x:v>
      </x:c>
      <x:c r="H204" s="13" t="n">
        <x:v>65</x:v>
      </x:c>
      <x:c r="I204" s="13" t="n">
        <x:v>3</x:v>
      </x:c>
      <x:c r="J204" s="13" t="n">
        <x:v>25086194.94</x:v>
      </x:c>
      <x:c r="K204" s="13" t="n">
        <x:v>25391716.94</x:v>
      </x:c>
      <x:c r="L204" s="13" t="n">
        <x:v>341</x:v>
      </x:c>
      <x:c r="M204" s="13" t="n">
        <x:v>0.053852526926263466</x:v>
      </x:c>
      <x:c r="N204" s="13" t="n">
        <x:v>0.002626970227670753</x:v>
      </x:c>
      <x:c r="O204" s="13" t="n">
        <x:v>0.08435979650245742</x:v>
      </x:c>
      <x:c r="P204" s="13" t="n">
        <x:v>0.213061606380683</x:v>
      </x:c>
      <x:c r="Q204" s="13" t="n">
        <x:v>696838.7483333334</x:v>
      </x:c>
      <x:c r="R204" s="13" t="n">
        <x:v>1.1016677646983637</x:v>
      </x:c>
      <x:c r="S204" s="13" t="n">
        <x:v>0.0652824659873578</x:v>
      </x:c>
      <x:c r="T204" s="13" t="n">
        <x:v>34</x:v>
      </x:c>
      <x:c r="U204" s="13" t="n">
        <x:v>637</x:v>
      </x:c>
      <x:c r="V204" s="13" t="n">
        <x:v>578</x:v>
      </x:c>
      <x:c r="W204" s="13" t="n">
        <x:v>59</x:v>
      </x:c>
      <x:c r="X204" s="13" t="n">
        <x:v>2</x:v>
      </x:c>
      <x:c r="Y204" s="13" t="n">
        <x:v>51809865.49</x:v>
      </x:c>
      <x:c r="Z204" s="13" t="n">
        <x:v>51831265.49</x:v>
      </x:c>
      <x:c r="AA204" s="13" t="n">
        <x:v>31</x:v>
      </x:c>
      <x:c r="AB204" s="13" t="n">
        <x:v>0.09262166405023547</x:v>
      </x:c>
      <x:c r="AC204" s="13" t="n">
        <x:v>0.0034602076124567475</x:v>
      </x:c>
      <x:c r="AD204" s="13" t="n">
        <x:v>0.3689289640092924</x:v>
      </x:c>
      <x:c r="AE204" s="13" t="n">
        <x:v>0.5300756024430998</x:v>
      </x:c>
      <x:c r="AF204" s="13" t="n">
        <x:v>1400266.6348648649</x:v>
      </x:c>
      <x:c r="AG204" s="13" t="n">
        <x:v>1.4972956744832444</x:v>
      </x:c>
      <x:c r="AH204" s="13" t="n">
        <x:v>0.03139902703655333</x:v>
      </x:c>
      <x:c r="AI204" s="13" t="n">
        <x:v>33</x:v>
      </x:c>
      <x:c r="AJ204" s="13" t="n">
        <x:v>26723670.55</x:v>
      </x:c>
      <x:c r="AK204" s="13" t="n">
        <x:v>0.48989189632846064</x:v>
      </x:c>
      <x:c r="AL204" s="13" t="n">
        <x:v>0.06724511930585683</x:v>
      </x:c>
      <x:c r="AM204" s="13" t="n">
        <x:v>0.0029069767441860465</x:v>
      </x:c>
      <x:c r="AN204" s="13" t="n">
        <x:v>0.2266443802558749</x:v>
      </x:c>
      <x:c r="AO204" s="13" t="n">
        <x:v>1.299481719590804</x:v>
      </x:c>
      <x:c r="AP204" s="13" t="n">
        <x:v>0.048340746511955565</x:v>
      </x:c>
    </x:row>
    <x:row r="205" ht="15" hidden="0" customHeight="1">
      <x:c r="A205" s="2" t="str">
        <x:v>E204</x:v>
      </x:c>
      <x:c r="B205" s="2" t="str">
        <x:v>***科技发展有限公司</x:v>
      </x:c>
      <x:c r="C205" s="2" t="str">
        <x:v>无信贷记录</x:v>
      </x:c>
      <x:c r="D205" s="2" t="str"/>
      <x:c r="E205" s="2" t="str"/>
      <x:c r="F205" s="13" t="n">
        <x:v>5217</x:v>
      </x:c>
      <x:c r="G205" s="13" t="n">
        <x:v>5029</x:v>
      </x:c>
      <x:c r="H205" s="13" t="n">
        <x:v>188</x:v>
      </x:c>
      <x:c r="I205" s="13" t="n">
        <x:v>46</x:v>
      </x:c>
      <x:c r="J205" s="13" t="n">
        <x:v>65758081.66</x:v>
      </x:c>
      <x:c r="K205" s="13" t="n">
        <x:v>67833101.3</x:v>
      </x:c>
      <x:c r="L205" s="13" t="n">
        <x:v>1213</x:v>
      </x:c>
      <x:c r="M205" s="13" t="n">
        <x:v>0.036036036036036036</x:v>
      </x:c>
      <x:c r="N205" s="13" t="n">
        <x:v>0.00914694770332074</x:v>
      </x:c>
      <x:c r="O205" s="13" t="n">
        <x:v>0.02126526493851937</x:v>
      </x:c>
      <x:c r="P205" s="13" t="n">
        <x:v>0.06711034145213113</x:v>
      </x:c>
      <x:c r="Q205" s="13" t="n">
        <x:v>1777245.4502702705</x:v>
      </x:c>
      <x:c r="R205" s="13" t="n">
        <x:v>0.671122420276298</x:v>
      </x:c>
      <x:c r="S205" s="13" t="n">
        <x:v>-0.014969916021352456</x:v>
      </x:c>
      <x:c r="T205" s="13" t="n">
        <x:v>37</x:v>
      </x:c>
      <x:c r="U205" s="13" t="n">
        <x:v>1680</x:v>
      </x:c>
      <x:c r="V205" s="13" t="n">
        <x:v>1339</x:v>
      </x:c>
      <x:c r="W205" s="13" t="n">
        <x:v>341</x:v>
      </x:c>
      <x:c r="X205" s="13" t="n">
        <x:v>33</x:v>
      </x:c>
      <x:c r="Y205" s="13" t="n">
        <x:v>103650629.45</x:v>
      </x:c>
      <x:c r="Z205" s="13" t="n">
        <x:v>107772150.43</x:v>
      </x:c>
      <x:c r="AA205" s="13" t="n">
        <x:v>418</x:v>
      </x:c>
      <x:c r="AB205" s="13" t="n">
        <x:v>0.20297619047619048</x:v>
      </x:c>
      <x:c r="AC205" s="13" t="n">
        <x:v>0.024645257654966394</x:v>
      </x:c>
      <x:c r="AD205" s="13" t="n">
        <x:v>0.023848766619485127</x:v>
      </x:c>
      <x:c r="AE205" s="13" t="n">
        <x:v>0.07274532398879963</x:v>
      </x:c>
      <x:c r="AF205" s="13" t="n">
        <x:v>2801368.363513513</x:v>
      </x:c>
      <x:c r="AG205" s="13" t="n">
        <x:v>0.6524214016965364</x:v>
      </x:c>
      <x:c r="AH205" s="13" t="n">
        <x:v>-0.0008877681854547392</x:v>
      </x:c>
      <x:c r="AI205" s="13" t="n">
        <x:v>37</x:v>
      </x:c>
      <x:c r="AJ205" s="13" t="n">
        <x:v>37892547.79000001</x:v>
      </x:c>
      <x:c r="AK205" s="13" t="n">
        <x:v>0.6294121535976852</x:v>
      </x:c>
      <x:c r="AL205" s="13" t="n">
        <x:v>0.07670001449905756</x:v>
      </x:c>
      <x:c r="AM205" s="13" t="n">
        <x:v>0.012405778894472362</x:v>
      </x:c>
      <x:c r="AN205" s="13" t="n">
        <x:v>0.026697377740847485</x:v>
      </x:c>
      <x:c r="AO205" s="13" t="n">
        <x:v>0.6617719109864172</x:v>
      </x:c>
      <x:c r="AP205" s="13" t="n">
        <x:v>-0.007928842103403598</x:v>
      </x:c>
    </x:row>
    <x:row r="206" ht="15" hidden="0" customHeight="1">
      <x:c r="A206" s="2" t="str">
        <x:v>E205</x:v>
      </x:c>
      <x:c r="B206" s="2" t="str">
        <x:v>个体经营E205 </x:v>
      </x:c>
      <x:c r="C206" s="2" t="str">
        <x:v>无信贷记录</x:v>
      </x:c>
      <x:c r="D206" s="2" t="str"/>
      <x:c r="E206" s="2" t="str"/>
      <x:c r="F206" s="13" t="n">
        <x:v>151</x:v>
      </x:c>
      <x:c r="G206" s="13" t="n">
        <x:v>137</x:v>
      </x:c>
      <x:c r="H206" s="13" t="n">
        <x:v>14</x:v>
      </x:c>
      <x:c r="I206" s="13" t="n">
        <x:v>1</x:v>
      </x:c>
      <x:c r="J206" s="13" t="n">
        <x:v>27480110.5</x:v>
      </x:c>
      <x:c r="K206" s="13" t="n">
        <x:v>29487150.5</x:v>
      </x:c>
      <x:c r="L206" s="13" t="n">
        <x:v>15</x:v>
      </x:c>
      <x:c r="M206" s="13" t="n">
        <x:v>0.09271523178807947</x:v>
      </x:c>
      <x:c r="N206" s="13" t="n">
        <x:v>0.0072992700729927005</x:v>
      </x:c>
      <x:c r="O206" s="13" t="n">
        <x:v>0.39809139552296896</x:v>
      </x:c>
      <x:c r="P206" s="13" t="n">
        <x:v>0.6045319808029602</x:v>
      </x:c>
      <x:c r="Q206" s="13" t="n">
        <x:v>981432.5178571428</x:v>
      </x:c>
      <x:c r="R206" s="13" t="n">
        <x:v>0.701556275850866</x:v>
      </x:c>
      <x:c r="S206" s="13" t="n">
        <x:v>0.0304573103107996</x:v>
      </x:c>
      <x:c r="T206" s="13" t="n">
        <x:v>27</x:v>
      </x:c>
      <x:c r="U206" s="13" t="n">
        <x:v>1008</x:v>
      </x:c>
      <x:c r="V206" s="13" t="n">
        <x:v>967</x:v>
      </x:c>
      <x:c r="W206" s="13" t="n">
        <x:v>41</x:v>
      </x:c>
      <x:c r="X206" s="13" t="n">
        <x:v>9</x:v>
      </x:c>
      <x:c r="Y206" s="13" t="n">
        <x:v>85995007.2</x:v>
      </x:c>
      <x:c r="Z206" s="13" t="n">
        <x:v>87545027.2</x:v>
      </x:c>
      <x:c r="AA206" s="13" t="n">
        <x:v>71</x:v>
      </x:c>
      <x:c r="AB206" s="13" t="n">
        <x:v>0.040674603174603176</x:v>
      </x:c>
      <x:c r="AC206" s="13" t="n">
        <x:v>0.009307135470527405</x:v>
      </x:c>
      <x:c r="AD206" s="13" t="n">
        <x:v>0.08033020925511199</x:v>
      </x:c>
      <x:c r="AE206" s="13" t="n">
        <x:v>0.2045649333009745</x:v>
      </x:c>
      <x:c r="AF206" s="13" t="n">
        <x:v>2388750.2</x:v>
      </x:c>
      <x:c r="AG206" s="13" t="n">
        <x:v>0.39151833427593563</x:v>
      </x:c>
      <x:c r="AH206" s="13" t="n">
        <x:v>-0.010418322884980123</x:v>
      </x:c>
      <x:c r="AI206" s="13" t="n">
        <x:v>36</x:v>
      </x:c>
      <x:c r="AJ206" s="13" t="n">
        <x:v>58514896.7</x:v>
      </x:c>
      <x:c r="AK206" s="13" t="n">
        <x:v>0.3368226779190492</x:v>
      </x:c>
      <x:c r="AL206" s="13" t="n">
        <x:v>0.04745470232959448</x:v>
      </x:c>
      <x:c r="AM206" s="13" t="n">
        <x:v>0.009057971014492754</x:v>
      </x:c>
      <x:c r="AN206" s="13" t="n">
        <x:v>0.23921080238904047</x:v>
      </x:c>
      <x:c r="AO206" s="13" t="n">
        <x:v>0.5465373050634008</x:v>
      </x:c>
      <x:c r="AP206" s="13" t="n">
        <x:v>0.010019493712909739</x:v>
      </x:c>
    </x:row>
    <x:row r="207" ht="15" hidden="0" customHeight="1">
      <x:c r="A207" s="2" t="str">
        <x:v>E206</x:v>
      </x:c>
      <x:c r="B207" s="2" t="str">
        <x:v>***建设工程有限公司</x:v>
      </x:c>
      <x:c r="C207" s="2" t="str">
        <x:v>无信贷记录</x:v>
      </x:c>
      <x:c r="D207" s="2" t="str"/>
      <x:c r="E207" s="2" t="str"/>
      <x:c r="F207" s="13" t="n">
        <x:v>3679</x:v>
      </x:c>
      <x:c r="G207" s="13" t="n">
        <x:v>3557</x:v>
      </x:c>
      <x:c r="H207" s="13" t="n">
        <x:v>122</x:v>
      </x:c>
      <x:c r="I207" s="13" t="n">
        <x:v>6</x:v>
      </x:c>
      <x:c r="J207" s="13" t="n">
        <x:v>77314494.33</x:v>
      </x:c>
      <x:c r="K207" s="13" t="n">
        <x:v>77870296.33</x:v>
      </x:c>
      <x:c r="L207" s="13" t="n">
        <x:v>891</x:v>
      </x:c>
      <x:c r="M207" s="13" t="n">
        <x:v>0.033161185104648</x:v>
      </x:c>
      <x:c r="N207" s="13" t="n">
        <x:v>0.0016868147315153219</x:v>
      </x:c>
      <x:c r="O207" s="13" t="n">
        <x:v>0.035910309900097276</x:v>
      </x:c>
      <x:c r="P207" s="13" t="n">
        <x:v>0.09043146529400141</x:v>
      </x:c>
      <x:c r="Q207" s="13" t="n">
        <x:v>2089580.9278378382</x:v>
      </x:c>
      <x:c r="R207" s="13" t="n">
        <x:v>1.0880942909155058</x:v>
      </x:c>
      <x:c r="S207" s="13" t="n">
        <x:v>0.035431824637014345</x:v>
      </x:c>
      <x:c r="T207" s="13" t="n">
        <x:v>37</x:v>
      </x:c>
      <x:c r="U207" s="13" t="n">
        <x:v>963</x:v>
      </x:c>
      <x:c r="V207" s="13" t="n">
        <x:v>913</x:v>
      </x:c>
      <x:c r="W207" s="13" t="n">
        <x:v>50</x:v>
      </x:c>
      <x:c r="X207" s="13" t="n">
        <x:v>1</x:v>
      </x:c>
      <x:c r="Y207" s="13" t="n">
        <x:v>102959108.39</x:v>
      </x:c>
      <x:c r="Z207" s="13" t="n">
        <x:v>103028820.39</x:v>
      </x:c>
      <x:c r="AA207" s="13" t="n">
        <x:v>313</x:v>
      </x:c>
      <x:c r="AB207" s="13" t="n">
        <x:v>0.05192107995846314</x:v>
      </x:c>
      <x:c r="AC207" s="13" t="n">
        <x:v>0.001095290251916758</x:v>
      </x:c>
      <x:c r="AD207" s="13" t="n">
        <x:v>0.08895143209098703</x:v>
      </x:c>
      <x:c r="AE207" s="13" t="n">
        <x:v>0.28163474162047525</x:v>
      </x:c>
      <x:c r="AF207" s="13" t="n">
        <x:v>2782678.6051351354</x:v>
      </x:c>
      <x:c r="AG207" s="13" t="n">
        <x:v>1.11235170075579</x:v>
      </x:c>
      <x:c r="AH207" s="13" t="n">
        <x:v>0.02102060009918746</x:v>
      </x:c>
      <x:c r="AI207" s="13" t="n">
        <x:v>29</x:v>
      </x:c>
      <x:c r="AJ207" s="13" t="n">
        <x:v>25644614.060000002</x:v>
      </x:c>
      <x:c r="AK207" s="13" t="n">
        <x:v>0.7558108113364181</x:v>
      </x:c>
      <x:c r="AL207" s="13" t="n">
        <x:v>0.03705299439896596</x:v>
      </x:c>
      <x:c r="AM207" s="13" t="n">
        <x:v>0.0015659955257270694</x:v>
      </x:c>
      <x:c r="AN207" s="13" t="n">
        <x:v>0.062430870995542155</x:v>
      </x:c>
      <x:c r="AO207" s="13" t="n">
        <x:v>1.1002229958356478</x:v>
      </x:c>
      <x:c r="AP207" s="13" t="n">
        <x:v>0.028226212368100904</x:v>
      </x:c>
    </x:row>
    <x:row r="208" ht="15" hidden="0" customHeight="1">
      <x:c r="A208" s="2" t="str">
        <x:v>E207</x:v>
      </x:c>
      <x:c r="B208" s="2" t="str">
        <x:v>个体经营E207 </x:v>
      </x:c>
      <x:c r="C208" s="2" t="str">
        <x:v>无信贷记录</x:v>
      </x:c>
      <x:c r="D208" s="2" t="str"/>
      <x:c r="E208" s="2" t="str"/>
      <x:c r="F208" s="13" t="n">
        <x:v>3386</x:v>
      </x:c>
      <x:c r="G208" s="13" t="n">
        <x:v>3298</x:v>
      </x:c>
      <x:c r="H208" s="13" t="n">
        <x:v>88</x:v>
      </x:c>
      <x:c r="I208" s="13" t="n">
        <x:v>13</x:v>
      </x:c>
      <x:c r="J208" s="13" t="n">
        <x:v>76808936.75999999</x:v>
      </x:c>
      <x:c r="K208" s="13" t="n">
        <x:v>77548574.75999999</x:v>
      </x:c>
      <x:c r="L208" s="13" t="n">
        <x:v>268</x:v>
      </x:c>
      <x:c r="M208" s="13" t="n">
        <x:v>0.02598936798582398</x:v>
      </x:c>
      <x:c r="N208" s="13" t="n">
        <x:v>0.003941782898726501</x:v>
      </x:c>
      <x:c r="O208" s="13" t="n">
        <x:v>0.07768275410693301</x:v>
      </x:c>
      <x:c r="P208" s="13" t="n">
        <x:v>0.20772896149097453</x:v>
      </x:c>
      <x:c r="Q208" s="13" t="n">
        <x:v>2477707.637419355</x:v>
      </x:c>
      <x:c r="R208" s="13" t="n">
        <x:v>1.2154202773603018</x:v>
      </x:c>
      <x:c r="S208" s="13" t="n">
        <x:v>-0.03109192427812225</x:v>
      </x:c>
      <x:c r="T208" s="13" t="n">
        <x:v>31</x:v>
      </x:c>
      <x:c r="U208" s="13" t="n">
        <x:v>1458</x:v>
      </x:c>
      <x:c r="V208" s="13" t="n">
        <x:v>1393</x:v>
      </x:c>
      <x:c r="W208" s="13" t="n">
        <x:v>65</x:v>
      </x:c>
      <x:c r="X208" s="13" t="n">
        <x:v>10</x:v>
      </x:c>
      <x:c r="Y208" s="13" t="n">
        <x:v>129265497.16999999</x:v>
      </x:c>
      <x:c r="Z208" s="13" t="n">
        <x:v>131075251.16999999</x:v>
      </x:c>
      <x:c r="AA208" s="13" t="n">
        <x:v>17</x:v>
      </x:c>
      <x:c r="AB208" s="13" t="n">
        <x:v>0.04458161865569273</x:v>
      </x:c>
      <x:c r="AC208" s="13" t="n">
        <x:v>0.007178750897343862</x:v>
      </x:c>
      <x:c r="AD208" s="13" t="n">
        <x:v>0.5777379390514811</x:v>
      </x:c>
      <x:c r="AE208" s="13" t="n">
        <x:v>0.7457420679150472</x:v>
      </x:c>
      <x:c r="AF208" s="13" t="n">
        <x:v>3693299.919142857</x:v>
      </x:c>
      <x:c r="AG208" s="13" t="n">
        <x:v>1.2598692546101558</x:v>
      </x:c>
      <x:c r="AH208" s="13" t="n">
        <x:v>-0.01344532767611577</x:v>
      </x:c>
      <x:c r="AI208" s="13" t="n">
        <x:v>32</x:v>
      </x:c>
      <x:c r="AJ208" s="13" t="n">
        <x:v>52456560.41</x:v>
      </x:c>
      <x:c r="AK208" s="13" t="n">
        <x:v>0.5916339970191796</x:v>
      </x:c>
      <x:c r="AL208" s="13" t="n">
        <x:v>0.03158546655656482</x:v>
      </x:c>
      <x:c r="AM208" s="13" t="n">
        <x:v>0.004903005755702409</x:v>
      </x:c>
      <x:c r="AN208" s="13" t="n">
        <x:v>0.32771034657920706</x:v>
      </x:c>
      <x:c r="AO208" s="13" t="n">
        <x:v>1.2376447659852288</x:v>
      </x:c>
      <x:c r="AP208" s="13" t="n">
        <x:v>-0.02226862597711901</x:v>
      </x:c>
    </x:row>
    <x:row r="209" ht="15" hidden="0" customHeight="1">
      <x:c r="A209" s="2" t="str">
        <x:v>E208</x:v>
      </x:c>
      <x:c r="B209" s="2" t="str">
        <x:v>个体经营E208 </x:v>
      </x:c>
      <x:c r="C209" s="2" t="str">
        <x:v>无信贷记录</x:v>
      </x:c>
      <x:c r="D209" s="2" t="str"/>
      <x:c r="E209" s="2" t="str"/>
      <x:c r="F209" s="13" t="n">
        <x:v>976</x:v>
      </x:c>
      <x:c r="G209" s="13" t="n">
        <x:v>963</x:v>
      </x:c>
      <x:c r="H209" s="13" t="n">
        <x:v>13</x:v>
      </x:c>
      <x:c r="I209" s="13" t="n">
        <x:v>1</x:v>
      </x:c>
      <x:c r="J209" s="13" t="n">
        <x:v>87822606.12</x:v>
      </x:c>
      <x:c r="K209" s="13" t="n">
        <x:v>87849006.12</x:v>
      </x:c>
      <x:c r="L209" s="13" t="n">
        <x:v>44</x:v>
      </x:c>
      <x:c r="M209" s="13" t="n">
        <x:v>0.01331967213114754</x:v>
      </x:c>
      <x:c r="N209" s="13" t="n">
        <x:v>0.0010384215991692627</x:v>
      </x:c>
      <x:c r="O209" s="13" t="n">
        <x:v>0.33089867603571405</x:v>
      </x:c>
      <x:c r="P209" s="13" t="n">
        <x:v>0.5269474201764595</x:v>
      </x:c>
      <x:c r="Q209" s="13" t="n">
        <x:v>2439516.8366666674</x:v>
      </x:c>
      <x:c r="R209" s="13" t="n">
        <x:v>0.643097607523401</x:v>
      </x:c>
      <x:c r="S209" s="13" t="n">
        <x:v>-0.005311867024292893</x:v>
      </x:c>
      <x:c r="T209" s="13" t="n">
        <x:v>36</x:v>
      </x:c>
      <x:c r="U209" s="13" t="n">
        <x:v>1028</x:v>
      </x:c>
      <x:c r="V209" s="13" t="n">
        <x:v>897</x:v>
      </x:c>
      <x:c r="W209" s="13" t="n">
        <x:v>131</x:v>
      </x:c>
      <x:c r="X209" s="13" t="n">
        <x:v>20</x:v>
      </x:c>
      <x:c r="Y209" s="13" t="n">
        <x:v>87517209.61</x:v>
      </x:c>
      <x:c r="Z209" s="13" t="n">
        <x:v>91520176.31</x:v>
      </x:c>
      <x:c r="AA209" s="13" t="n">
        <x:v>91</x:v>
      </x:c>
      <x:c r="AB209" s="13" t="n">
        <x:v>0.12743190661478598</x:v>
      </x:c>
      <x:c r="AC209" s="13" t="n">
        <x:v>0.022296544035674472</x:v>
      </x:c>
      <x:c r="AD209" s="13" t="n">
        <x:v>0.037134827736480316</x:v>
      </x:c>
      <x:c r="AE209" s="13" t="n">
        <x:v>0.10188773968720079</x:v>
      </x:c>
      <x:c r="AF209" s="13" t="n">
        <x:v>2431033.600277778</x:v>
      </x:c>
      <x:c r="AG209" s="13" t="n">
        <x:v>0.6517362845927274</x:v>
      </x:c>
      <x:c r="AH209" s="13" t="n">
        <x:v>-0.004578089457397274</x:v>
      </x:c>
      <x:c r="AI209" s="13" t="n">
        <x:v>35</x:v>
      </x:c>
      <x:c r="AJ209" s="13" t="n">
        <x:v>-305396.51000000536</x:v>
      </x:c>
      <x:c r="AK209" s="13" t="n">
        <x:v>0.959886766634224</x:v>
      </x:c>
      <x:c r="AL209" s="13" t="n">
        <x:v>0.0718562874251497</x:v>
      </x:c>
      <x:c r="AM209" s="13" t="n">
        <x:v>0.01129032258064516</x:v>
      </x:c>
      <x:c r="AN209" s="13" t="n">
        <x:v>0.18401675188609717</x:v>
      </x:c>
      <x:c r="AO209" s="13" t="n">
        <x:v>0.6474169460580641</x:v>
      </x:c>
      <x:c r="AP209" s="13" t="n">
        <x:v>-0.0049449782408450835</x:v>
      </x:c>
    </x:row>
    <x:row r="210" ht="15" hidden="0" customHeight="1">
      <x:c r="A210" s="2" t="str">
        <x:v>E209</x:v>
      </x:c>
      <x:c r="B210" s="2" t="str">
        <x:v>***工程检测有限公司</x:v>
      </x:c>
      <x:c r="C210" s="2" t="str">
        <x:v>无信贷记录</x:v>
      </x:c>
      <x:c r="D210" s="2" t="str"/>
      <x:c r="E210" s="2" t="str"/>
      <x:c r="F210" s="13" t="n">
        <x:v>8360</x:v>
      </x:c>
      <x:c r="G210" s="13" t="n">
        <x:v>8128</x:v>
      </x:c>
      <x:c r="H210" s="13" t="n">
        <x:v>232</x:v>
      </x:c>
      <x:c r="I210" s="13" t="n">
        <x:v>18</x:v>
      </x:c>
      <x:c r="J210" s="13" t="n">
        <x:v>46289901.64</x:v>
      </x:c>
      <x:c r="K210" s="13" t="n">
        <x:v>46595575.480000004</x:v>
      </x:c>
      <x:c r="L210" s="13" t="n">
        <x:v>1604</x:v>
      </x:c>
      <x:c r="M210" s="13" t="n">
        <x:v>0.027751196172248804</x:v>
      </x:c>
      <x:c r="N210" s="13" t="n">
        <x:v>0.0022145669291338582</x:v>
      </x:c>
      <x:c r="O210" s="13" t="n">
        <x:v>0.02224924018376748</x:v>
      </x:c>
      <x:c r="P210" s="13" t="n">
        <x:v>0.10739217078986059</x:v>
      </x:c>
      <x:c r="Q210" s="13" t="n">
        <x:v>1251078.4227027027</x:v>
      </x:c>
      <x:c r="R210" s="13" t="n">
        <x:v>0.9678038961399745</x:v>
      </x:c>
      <x:c r="S210" s="13" t="n">
        <x:v>0.04528771065951703</x:v>
      </x:c>
      <x:c r="T210" s="13" t="n">
        <x:v>37</x:v>
      </x:c>
      <x:c r="U210" s="13" t="n">
        <x:v>1475</x:v>
      </x:c>
      <x:c r="V210" s="13" t="n">
        <x:v>1223</x:v>
      </x:c>
      <x:c r="W210" s="13" t="n">
        <x:v>252</x:v>
      </x:c>
      <x:c r="X210" s="13" t="n">
        <x:v>61</x:v>
      </x:c>
      <x:c r="Y210" s="13" t="n">
        <x:v>69667803.58</x:v>
      </x:c>
      <x:c r="Z210" s="13" t="n">
        <x:v>77712950.17999999</x:v>
      </x:c>
      <x:c r="AA210" s="13" t="n">
        <x:v>574</x:v>
      </x:c>
      <x:c r="AB210" s="13" t="n">
        <x:v>0.17084745762711864</x:v>
      </x:c>
      <x:c r="AC210" s="13" t="n">
        <x:v>0.04987735077677841</x:v>
      </x:c>
      <x:c r="AD210" s="13" t="n">
        <x:v>0.013551552241493075</x:v>
      </x:c>
      <x:c r="AE210" s="13" t="n">
        <x:v>0.04760339160244707</x:v>
      </x:c>
      <x:c r="AF210" s="13" t="n">
        <x:v>1882913.6102702701</x:v>
      </x:c>
      <x:c r="AG210" s="13" t="n">
        <x:v>0.729154512221552</x:v>
      </x:c>
      <x:c r="AH210" s="13" t="n">
        <x:v>0.03958984110741916</x:v>
      </x:c>
      <x:c r="AI210" s="13" t="n">
        <x:v>35</x:v>
      </x:c>
      <x:c r="AJ210" s="13" t="n">
        <x:v>23377901.939999998</x:v>
      </x:c>
      <x:c r="AK210" s="13" t="n">
        <x:v>0.5995857237702928</x:v>
      </x:c>
      <x:c r="AL210" s="13" t="n">
        <x:v>0.04921199796644637</x:v>
      </x:c>
      <x:c r="AM210" s="13" t="n">
        <x:v>0.008448294300074858</x:v>
      </x:c>
      <x:c r="AN210" s="13" t="n">
        <x:v>0.026697377740847485</x:v>
      </x:c>
      <x:c r="AO210" s="13" t="n">
        <x:v>0.8484792041807633</x:v>
      </x:c>
      <x:c r="AP210" s="13" t="n">
        <x:v>0.042438775883468095</x:v>
      </x:c>
    </x:row>
    <x:row r="211" ht="15" hidden="0" customHeight="1">
      <x:c r="A211" s="2" t="str">
        <x:v>E210</x:v>
      </x:c>
      <x:c r="B211" s="2" t="str">
        <x:v>***建筑工程有限公司</x:v>
      </x:c>
      <x:c r="C211" s="2" t="str">
        <x:v>无信贷记录</x:v>
      </x:c>
      <x:c r="D211" s="2" t="str"/>
      <x:c r="E211" s="2" t="str"/>
      <x:c r="F211" s="13" t="n">
        <x:v>550</x:v>
      </x:c>
      <x:c r="G211" s="13" t="n">
        <x:v>536</x:v>
      </x:c>
      <x:c r="H211" s="13" t="n">
        <x:v>14</x:v>
      </x:c>
      <x:c r="I211" s="13" t="n">
        <x:v>3</x:v>
      </x:c>
      <x:c r="J211" s="13" t="n">
        <x:v>6181181.390000001</x:v>
      </x:c>
      <x:c r="K211" s="13" t="n">
        <x:v>6432121.390000001</x:v>
      </x:c>
      <x:c r="L211" s="13" t="n">
        <x:v>154</x:v>
      </x:c>
      <x:c r="M211" s="13" t="n">
        <x:v>0.025454545454545455</x:v>
      </x:c>
      <x:c r="N211" s="13" t="n">
        <x:v>0.005597014925373134</x:v>
      </x:c>
      <x:c r="O211" s="13" t="n">
        <x:v>0.1087880467054036</x:v>
      </x:c>
      <x:c r="P211" s="13" t="n">
        <x:v>0.2386092560980103</x:v>
      </x:c>
      <x:c r="Q211" s="13" t="n">
        <x:v>199392.94806451612</x:v>
      </x:c>
      <x:c r="R211" s="13" t="n">
        <x:v>1.2848648329113233</x:v>
      </x:c>
      <x:c r="S211" s="13" t="n">
        <x:v>0.047541416936964946</x:v>
      </x:c>
      <x:c r="T211" s="13" t="n">
        <x:v>28</x:v>
      </x:c>
      <x:c r="U211" s="13" t="n">
        <x:v>597</x:v>
      </x:c>
      <x:c r="V211" s="13" t="n">
        <x:v>557</x:v>
      </x:c>
      <x:c r="W211" s="13" t="n">
        <x:v>40</x:v>
      </x:c>
      <x:c r="X211" s="13" t="n">
        <x:v>0</x:v>
      </x:c>
      <x:c r="Y211" s="13" t="n">
        <x:v>55293482.07</x:v>
      </x:c>
      <x:c r="Z211" s="13" t="n">
        <x:v>55293482.07</x:v>
      </x:c>
      <x:c r="AA211" s="13" t="n">
        <x:v>4</x:v>
      </x:c>
      <x:c r="AB211" s="13" t="n">
        <x:v>0.06700167504187604</x:v>
      </x:c>
      <x:c r="AC211" s="13" t="n">
        <x:v>0</x:v>
      </x:c>
      <x:c r="AD211" s="13" t="n">
        <x:v>0.7826728733290812</x:v>
      </x:c>
      <x:c r="AE211" s="13" t="n">
        <x:v>0.8797830217748847</x:v>
      </x:c>
      <x:c r="AF211" s="13" t="n">
        <x:v>1494418.4343243241</x:v>
      </x:c>
      <x:c r="AG211" s="13" t="n">
        <x:v>1.6504401927128143</x:v>
      </x:c>
      <x:c r="AH211" s="13" t="n">
        <x:v>0.054309828589410296</x:v>
      </x:c>
      <x:c r="AI211" s="13" t="n">
        <x:v>18</x:v>
      </x:c>
      <x:c r="AJ211" s="13" t="n">
        <x:v>49112300.68</x:v>
      </x:c>
      <x:c r="AK211" s="13" t="n">
        <x:v>0.11632693672388213</x:v>
      </x:c>
      <x:c r="AL211" s="13" t="n">
        <x:v>0.047079337401918046</x:v>
      </x:c>
      <x:c r="AM211" s="13" t="n">
        <x:v>0.0027447392497712718</x:v>
      </x:c>
      <x:c r="AN211" s="13" t="n">
        <x:v>0.44573046001724237</x:v>
      </x:c>
      <x:c r="AO211" s="13" t="n">
        <x:v>1.4676525128120688</x:v>
      </x:c>
      <x:c r="AP211" s="13" t="n">
        <x:v>0.05092562276318762</x:v>
      </x:c>
    </x:row>
    <x:row r="212" ht="15" hidden="0" customHeight="1">
      <x:c r="A212" s="2" t="str">
        <x:v>E211</x:v>
      </x:c>
      <x:c r="B212" s="2" t="str">
        <x:v>个体经营E211 </x:v>
      </x:c>
      <x:c r="C212" s="2" t="str">
        <x:v>无信贷记录</x:v>
      </x:c>
      <x:c r="D212" s="2" t="str"/>
      <x:c r="E212" s="2" t="str"/>
      <x:c r="F212" s="13" t="n">
        <x:v>418</x:v>
      </x:c>
      <x:c r="G212" s="13" t="n">
        <x:v>403</x:v>
      </x:c>
      <x:c r="H212" s="13" t="n">
        <x:v>15</x:v>
      </x:c>
      <x:c r="I212" s="13" t="n">
        <x:v>3</x:v>
      </x:c>
      <x:c r="J212" s="13" t="n">
        <x:v>22578145.79</x:v>
      </x:c>
      <x:c r="K212" s="13" t="n">
        <x:v>22649392.369999997</x:v>
      </x:c>
      <x:c r="L212" s="13" t="n">
        <x:v>108</x:v>
      </x:c>
      <x:c r="M212" s="13" t="n">
        <x:v>0.03588516746411483</x:v>
      </x:c>
      <x:c r="N212" s="13" t="n">
        <x:v>0.007444168734491315</x:v>
      </x:c>
      <x:c r="O212" s="13" t="n">
        <x:v>0.4715651917836634</x:v>
      </x:c>
      <x:c r="P212" s="13" t="n">
        <x:v>0.6330564090095279</x:v>
      </x:c>
      <x:c r="Q212" s="13" t="n">
        <x:v>684186.2360606061</x:v>
      </x:c>
      <x:c r="R212" s="13" t="n">
        <x:v>1.9742776512348263</x:v>
      </x:c>
      <x:c r="S212" s="13" t="n">
        <x:v>0.08565069057368158</x:v>
      </x:c>
      <x:c r="T212" s="13" t="n">
        <x:v>28</x:v>
      </x:c>
      <x:c r="U212" s="13" t="n">
        <x:v>1636</x:v>
      </x:c>
      <x:c r="V212" s="13" t="n">
        <x:v>1470</x:v>
      </x:c>
      <x:c r="W212" s="13" t="n">
        <x:v>166</x:v>
      </x:c>
      <x:c r="X212" s="13" t="n">
        <x:v>15</x:v>
      </x:c>
      <x:c r="Y212" s="13" t="n">
        <x:v>52015200.91</x:v>
      </x:c>
      <x:c r="Z212" s="13" t="n">
        <x:v>53178464.69</x:v>
      </x:c>
      <x:c r="AA212" s="13" t="n">
        <x:v>84</x:v>
      </x:c>
      <x:c r="AB212" s="13" t="n">
        <x:v>0.10146699266503667</x:v>
      </x:c>
      <x:c r="AC212" s="13" t="n">
        <x:v>0.01020408163265306</x:v>
      </x:c>
      <x:c r="AD212" s="13" t="n">
        <x:v>0.047979145697717496</x:v>
      </x:c>
      <x:c r="AE212" s="13" t="n">
        <x:v>0.13153607406261505</x:v>
      </x:c>
      <x:c r="AF212" s="13" t="n">
        <x:v>1444866.6919444446</x:v>
      </x:c>
      <x:c r="AG212" s="13" t="n">
        <x:v>0.5503876435009253</x:v>
      </x:c>
      <x:c r="AH212" s="13" t="n">
        <x:v>0.045441331775096516</x:v>
      </x:c>
      <x:c r="AI212" s="13" t="n">
        <x:v>36</x:v>
      </x:c>
      <x:c r="AJ212" s="13" t="n">
        <x:v>29437055.119999997</x:v>
      </x:c>
      <x:c r="AK212" s="13" t="n">
        <x:v>0.4259128672110597</x:v>
      </x:c>
      <x:c r="AL212" s="13" t="n">
        <x:v>0.0881207400194742</x:v>
      </x:c>
      <x:c r="AM212" s="13" t="n">
        <x:v>0.009610250934329953</x:v>
      </x:c>
      <x:c r="AN212" s="13" t="n">
        <x:v>0.2597721687406904</x:v>
      </x:c>
      <x:c r="AO212" s="13" t="n">
        <x:v>1.2623326473678758</x:v>
      </x:c>
      <x:c r="AP212" s="13" t="n">
        <x:v>0.06554601117438905</x:v>
      </x:c>
    </x:row>
    <x:row r="213" ht="15" hidden="0" customHeight="1">
      <x:c r="A213" s="2" t="str">
        <x:v>E212</x:v>
      </x:c>
      <x:c r="B213" s="2" t="str">
        <x:v>***建电管理咨询有限公司</x:v>
      </x:c>
      <x:c r="C213" s="2" t="str">
        <x:v>无信贷记录</x:v>
      </x:c>
      <x:c r="D213" s="2" t="str"/>
      <x:c r="E213" s="2" t="str"/>
      <x:c r="F213" s="13" t="n">
        <x:v>138</x:v>
      </x:c>
      <x:c r="G213" s="13" t="n">
        <x:v>133</x:v>
      </x:c>
      <x:c r="H213" s="13" t="n">
        <x:v>5</x:v>
      </x:c>
      <x:c r="I213" s="13" t="n">
        <x:v>0</x:v>
      </x:c>
      <x:c r="J213" s="13" t="n">
        <x:v>157443.54</x:v>
      </x:c>
      <x:c r="K213" s="13" t="n">
        <x:v>157443.54</x:v>
      </x:c>
      <x:c r="L213" s="13" t="n">
        <x:v>49</x:v>
      </x:c>
      <x:c r="M213" s="13" t="n">
        <x:v>0.036231884057971016</x:v>
      </x:c>
      <x:c r="N213" s="13" t="n">
        <x:v>0</x:v>
      </x:c>
      <x:c r="O213" s="13" t="n">
        <x:v>0.1634999880036994</x:v>
      </x:c>
      <x:c r="P213" s="13" t="n">
        <x:v>0.2637898004579927</x:v>
      </x:c>
      <x:c r="Q213" s="13" t="n">
        <x:v>4630.692352941176</x:v>
      </x:c>
      <x:c r="R213" s="13" t="n">
        <x:v>1.7802847240207975</x:v>
      </x:c>
      <x:c r="S213" s="13" t="n">
        <x:v>0.02875382964122727</x:v>
      </x:c>
      <x:c r="T213" s="13" t="n">
        <x:v>29</x:v>
      </x:c>
      <x:c r="U213" s="13" t="n">
        <x:v>1681</x:v>
      </x:c>
      <x:c r="V213" s="13" t="n">
        <x:v>1497</x:v>
      </x:c>
      <x:c r="W213" s="13" t="n">
        <x:v>184</x:v>
      </x:c>
      <x:c r="X213" s="13" t="n">
        <x:v>20</x:v>
      </x:c>
      <x:c r="Y213" s="13" t="n">
        <x:v>81503483.81</x:v>
      </x:c>
      <x:c r="Z213" s="13" t="n">
        <x:v>83556508.05</x:v>
      </x:c>
      <x:c r="AA213" s="13" t="n">
        <x:v>126</x:v>
      </x:c>
      <x:c r="AB213" s="13" t="n">
        <x:v>0.10945865556216537</x:v>
      </x:c>
      <x:c r="AC213" s="13" t="n">
        <x:v>0.013360053440213761</x:v>
      </x:c>
      <x:c r="AD213" s="13" t="n">
        <x:v>0.06259261417323919</x:v>
      </x:c>
      <x:c r="AE213" s="13" t="n">
        <x:v>0.13504486081739747</x:v>
      </x:c>
      <x:c r="AF213" s="13" t="n">
        <x:v>2144828.5213157893</x:v>
      </x:c>
      <x:c r="AG213" s="13" t="n">
        <x:v>0.9639242874867874</x:v>
      </x:c>
      <x:c r="AH213" s="13" t="n">
        <x:v>0.02797760736274234</x:v>
      </x:c>
      <x:c r="AI213" s="13" t="n">
        <x:v>38</x:v>
      </x:c>
      <x:c r="AJ213" s="13" t="n">
        <x:v>81346040.27</x:v>
      </x:c>
      <x:c r="AK213" s="13" t="n">
        <x:v>0.0018842762062984515</x:v>
      </x:c>
      <x:c r="AL213" s="13" t="n">
        <x:v>0.10390324354040682</x:v>
      </x:c>
      <x:c r="AM213" s="13" t="n">
        <x:v>0.012269938650306749</x:v>
      </x:c>
      <x:c r="AN213" s="13" t="n">
        <x:v>0.11304630108846929</x:v>
      </x:c>
      <x:c r="AO213" s="13" t="n">
        <x:v>1.3721045057537924</x:v>
      </x:c>
      <x:c r="AP213" s="13" t="n">
        <x:v>0.028365718501984806</x:v>
      </x:c>
    </x:row>
    <x:row r="214" ht="15" hidden="0" customHeight="1">
      <x:c r="A214" s="2" t="str">
        <x:v>E213</x:v>
      </x:c>
      <x:c r="B214" s="2" t="str">
        <x:v>***科技有限公司</x:v>
      </x:c>
      <x:c r="C214" s="2" t="str">
        <x:v>无信贷记录</x:v>
      </x:c>
      <x:c r="D214" s="2" t="str"/>
      <x:c r="E214" s="2" t="str"/>
      <x:c r="F214" s="13" t="n">
        <x:v>2192</x:v>
      </x:c>
      <x:c r="G214" s="13" t="n">
        <x:v>2103</x:v>
      </x:c>
      <x:c r="H214" s="13" t="n">
        <x:v>89</x:v>
      </x:c>
      <x:c r="I214" s="13" t="n">
        <x:v>18</x:v>
      </x:c>
      <x:c r="J214" s="13" t="n">
        <x:v>51200703.77</x:v>
      </x:c>
      <x:c r="K214" s="13" t="n">
        <x:v>53877880.129999995</x:v>
      </x:c>
      <x:c r="L214" s="13" t="n">
        <x:v>594</x:v>
      </x:c>
      <x:c r="M214" s="13" t="n">
        <x:v>0.0406021897810219</x:v>
      </x:c>
      <x:c r="N214" s="13" t="n">
        <x:v>0.008559201141226819</x:v>
      </x:c>
      <x:c r="O214" s="13" t="n">
        <x:v>0.06586246817226342</x:v>
      </x:c>
      <x:c r="P214" s="13" t="n">
        <x:v>0.17607560852635945</x:v>
      </x:c>
      <x:c r="Q214" s="13" t="n">
        <x:v>1383802.804594595</x:v>
      </x:c>
      <x:c r="R214" s="13" t="n">
        <x:v>0.8734866073978282</x:v>
      </x:c>
      <x:c r="S214" s="13" t="n">
        <x:v>0.02597250041880086</x:v>
      </x:c>
      <x:c r="T214" s="13" t="n">
        <x:v>37</x:v>
      </x:c>
      <x:c r="U214" s="13" t="n">
        <x:v>1270</x:v>
      </x:c>
      <x:c r="V214" s="13" t="n">
        <x:v>1148</x:v>
      </x:c>
      <x:c r="W214" s="13" t="n">
        <x:v>122</x:v>
      </x:c>
      <x:c r="X214" s="13" t="n">
        <x:v>23</x:v>
      </x:c>
      <x:c r="Y214" s="13" t="n">
        <x:v>65316659.35999999</x:v>
      </x:c>
      <x:c r="Z214" s="13" t="n">
        <x:v>66880665.35999999</x:v>
      </x:c>
      <x:c r="AA214" s="13" t="n">
        <x:v>263</x:v>
      </x:c>
      <x:c r="AB214" s="13" t="n">
        <x:v>0.09606299212598425</x:v>
      </x:c>
      <x:c r="AC214" s="13" t="n">
        <x:v>0.02003484320557491</x:v>
      </x:c>
      <x:c r="AD214" s="13" t="n">
        <x:v>0.03729993967065142</x:v>
      </x:c>
      <x:c r="AE214" s="13" t="n">
        <x:v>0.1338254479351071</x:v>
      </x:c>
      <x:c r="AF214" s="13" t="n">
        <x:v>1765315.1178378377</x:v>
      </x:c>
      <x:c r="AG214" s="13" t="n">
        <x:v>0.6157175131819109</x:v>
      </x:c>
      <x:c r="AH214" s="13" t="n">
        <x:v>0.014367386015156644</x:v>
      </x:c>
      <x:c r="AI214" s="13" t="n">
        <x:v>37</x:v>
      </x:c>
      <x:c r="AJ214" s="13" t="n">
        <x:v>14115955.589999989</x:v>
      </x:c>
      <x:c r="AK214" s="13" t="n">
        <x:v>0.8055822985610321</x:v>
      </x:c>
      <x:c r="AL214" s="13" t="n">
        <x:v>0.060947429231658</x:v>
      </x:c>
      <x:c r="AM214" s="13" t="n">
        <x:v>0.012611504152568441</x:v>
      </x:c>
      <x:c r="AN214" s="13" t="n">
        <x:v>0.051581203921457416</x:v>
      </x:c>
      <x:c r="AO214" s="13" t="n">
        <x:v>0.7446020602898695</x:v>
      </x:c>
      <x:c r="AP214" s="13" t="n">
        <x:v>0.020169943216978754</x:v>
      </x:c>
    </x:row>
    <x:row r="215" ht="15" hidden="0" customHeight="1">
      <x:c r="A215" s="2" t="str">
        <x:v>E214</x:v>
      </x:c>
      <x:c r="B215" s="2" t="str">
        <x:v>***建筑工程有限公司</x:v>
      </x:c>
      <x:c r="C215" s="2" t="str">
        <x:v>无信贷记录</x:v>
      </x:c>
      <x:c r="D215" s="2" t="str"/>
      <x:c r="E215" s="2" t="str"/>
      <x:c r="F215" s="13" t="n">
        <x:v>739</x:v>
      </x:c>
      <x:c r="G215" s="13" t="n">
        <x:v>692</x:v>
      </x:c>
      <x:c r="H215" s="13" t="n">
        <x:v>47</x:v>
      </x:c>
      <x:c r="I215" s="13" t="n">
        <x:v>2</x:v>
      </x:c>
      <x:c r="J215" s="13" t="n">
        <x:v>38009318.08</x:v>
      </x:c>
      <x:c r="K215" s="13" t="n">
        <x:v>38010438.08</x:v>
      </x:c>
      <x:c r="L215" s="13" t="n">
        <x:v>158</x:v>
      </x:c>
      <x:c r="M215" s="13" t="n">
        <x:v>0.06359945872801083</x:v>
      </x:c>
      <x:c r="N215" s="13" t="n">
        <x:v>0.002890173410404624</x:v>
      </x:c>
      <x:c r="O215" s="13" t="n">
        <x:v>0.06399037136000223</x:v>
      </x:c>
      <x:c r="P215" s="13" t="n">
        <x:v>0.1868891935696417</x:v>
      </x:c>
      <x:c r="Q215" s="13" t="n">
        <x:v>1027278.8670270272</x:v>
      </x:c>
      <x:c r="R215" s="13" t="n">
        <x:v>1.1697053633861858</x:v>
      </x:c>
      <x:c r="S215" s="13" t="n">
        <x:v>0.03883630996719238</x:v>
      </x:c>
      <x:c r="T215" s="13" t="n">
        <x:v>36</x:v>
      </x:c>
      <x:c r="U215" s="13" t="n">
        <x:v>868</x:v>
      </x:c>
      <x:c r="V215" s="13" t="n">
        <x:v>713</x:v>
      </x:c>
      <x:c r="W215" s="13" t="n">
        <x:v>155</x:v>
      </x:c>
      <x:c r="X215" s="13" t="n">
        <x:v>14</x:v>
      </x:c>
      <x:c r="Y215" s="13" t="n">
        <x:v>69532240.21000001</x:v>
      </x:c>
      <x:c r="Z215" s="13" t="n">
        <x:v>71195694.41</x:v>
      </x:c>
      <x:c r="AA215" s="13" t="n">
        <x:v>248</x:v>
      </x:c>
      <x:c r="AB215" s="13" t="n">
        <x:v>0.17857142857142858</x:v>
      </x:c>
      <x:c r="AC215" s="13" t="n">
        <x:v>0.019635343618513323</x:v>
      </x:c>
      <x:c r="AD215" s="13" t="n">
        <x:v>0.036892289616136116</x:v>
      </x:c>
      <x:c r="AE215" s="13" t="n">
        <x:v>0.08427475916517295</x:v>
      </x:c>
      <x:c r="AF215" s="13" t="n">
        <x:v>1879249.7354054055</x:v>
      </x:c>
      <x:c r="AG215" s="13" t="n">
        <x:v>0.9684444399862165</x:v>
      </x:c>
      <x:c r="AH215" s="13" t="n">
        <x:v>0.011895589876310952</x:v>
      </x:c>
      <x:c r="AI215" s="13" t="n">
        <x:v>37</x:v>
      </x:c>
      <x:c r="AJ215" s="13" t="n">
        <x:v>31522922.13000001</x:v>
      </x:c>
      <x:c r="AK215" s="13" t="n">
        <x:v>0.5338867524924531</x:v>
      </x:c>
      <x:c r="AL215" s="13" t="n">
        <x:v>0.12570006222775357</x:v>
      </x:c>
      <x:c r="AM215" s="13" t="n">
        <x:v>0.011387900355871887</x:v>
      </x:c>
      <x:c r="AN215" s="13" t="n">
        <x:v>0.050441330488069175</x:v>
      </x:c>
      <x:c r="AO215" s="13" t="n">
        <x:v>1.0690749016862011</x:v>
      </x:c>
      <x:c r="AP215" s="13" t="n">
        <x:v>0.025365949921751667</x:v>
      </x:c>
    </x:row>
    <x:row r="216" ht="15" hidden="0" customHeight="1">
      <x:c r="A216" s="2" t="str">
        <x:v>E215</x:v>
      </x:c>
      <x:c r="B216" s="2" t="str">
        <x:v>***建筑工程有限公司</x:v>
      </x:c>
      <x:c r="C216" s="2" t="str">
        <x:v>无信贷记录</x:v>
      </x:c>
      <x:c r="D216" s="2" t="str"/>
      <x:c r="E216" s="2" t="str"/>
      <x:c r="F216" s="13" t="n">
        <x:v>176</x:v>
      </x:c>
      <x:c r="G216" s="13" t="n">
        <x:v>172</x:v>
      </x:c>
      <x:c r="H216" s="13" t="n">
        <x:v>4</x:v>
      </x:c>
      <x:c r="I216" s="13" t="n">
        <x:v>0</x:v>
      </x:c>
      <x:c r="J216" s="13" t="n">
        <x:v>238954.21</x:v>
      </x:c>
      <x:c r="K216" s="13" t="n">
        <x:v>238954.21</x:v>
      </x:c>
      <x:c r="L216" s="13" t="n">
        <x:v>69</x:v>
      </x:c>
      <x:c r="M216" s="13" t="n">
        <x:v>0.022727272727272728</x:v>
      </x:c>
      <x:c r="N216" s="13" t="n">
        <x:v>0</x:v>
      </x:c>
      <x:c r="O216" s="13" t="n">
        <x:v>0.14612434368913507</x:v>
      </x:c>
      <x:c r="P216" s="13" t="n">
        <x:v>0.2584972242171419</x:v>
      </x:c>
      <x:c r="Q216" s="13" t="n">
        <x:v>6458.2218918918925</x:v>
      </x:c>
      <x:c r="R216" s="13" t="n">
        <x:v>1.7188591811654892</x:v>
      </x:c>
      <x:c r="S216" s="13" t="n">
        <x:v>0.04739128038342795</x:v>
      </x:c>
      <x:c r="T216" s="13" t="n">
        <x:v>25</x:v>
      </x:c>
      <x:c r="U216" s="13" t="n">
        <x:v>833</x:v>
      </x:c>
      <x:c r="V216" s="13" t="n">
        <x:v>756</x:v>
      </x:c>
      <x:c r="W216" s="13" t="n">
        <x:v>77</x:v>
      </x:c>
      <x:c r="X216" s="13" t="n">
        <x:v>0</x:v>
      </x:c>
      <x:c r="Y216" s="13" t="n">
        <x:v>69752238.59</x:v>
      </x:c>
      <x:c r="Z216" s="13" t="n">
        <x:v>69752238.59</x:v>
      </x:c>
      <x:c r="AA216" s="13" t="n">
        <x:v>8</x:v>
      </x:c>
      <x:c r="AB216" s="13" t="n">
        <x:v>0.09243697478991597</x:v>
      </x:c>
      <x:c r="AC216" s="13" t="n">
        <x:v>0</x:v>
      </x:c>
      <x:c r="AD216" s="13" t="n">
        <x:v>0.27935907019536804</x:v>
      </x:c>
      <x:c r="AE216" s="13" t="n">
        <x:v>0.4067049399912313</x:v>
      </x:c>
      <x:c r="AF216" s="13" t="n">
        <x:v>2491151.3782142857</x:v>
      </x:c>
      <x:c r="AG216" s="13" t="n">
        <x:v>1.3750438337072322</x:v>
      </x:c>
      <x:c r="AH216" s="13" t="n">
        <x:v>-0.013948304209425695</x:v>
      </x:c>
      <x:c r="AI216" s="13" t="n">
        <x:v>19</x:v>
      </x:c>
      <x:c r="AJ216" s="13" t="n">
        <x:v>69513284.38000001</x:v>
      </x:c>
      <x:c r="AK216" s="13" t="n">
        <x:v>0.0034257568621497625</x:v>
      </x:c>
      <x:c r="AL216" s="13" t="n">
        <x:v>0.0802775024777007</x:v>
      </x:c>
      <x:c r="AM216" s="13" t="n">
        <x:v>0</x:v>
      </x:c>
      <x:c r="AN216" s="13" t="n">
        <x:v>0.21274170694225156</x:v>
      </x:c>
      <x:c r="AO216" s="13" t="n">
        <x:v>1.5469515074363607</x:v>
      </x:c>
      <x:c r="AP216" s="13" t="n">
        <x:v>0.016721488087001128</x:v>
      </x:c>
    </x:row>
    <x:row r="217" ht="15" hidden="0" customHeight="1">
      <x:c r="A217" s="2" t="str">
        <x:v>E216</x:v>
      </x:c>
      <x:c r="B217" s="2" t="str">
        <x:v>***建设工程有限公司</x:v>
      </x:c>
      <x:c r="C217" s="2" t="str">
        <x:v>无信贷记录</x:v>
      </x:c>
      <x:c r="D217" s="2" t="str"/>
      <x:c r="E217" s="2" t="str"/>
      <x:c r="F217" s="13" t="n">
        <x:v>3445</x:v>
      </x:c>
      <x:c r="G217" s="13" t="n">
        <x:v>3340</x:v>
      </x:c>
      <x:c r="H217" s="13" t="n">
        <x:v>105</x:v>
      </x:c>
      <x:c r="I217" s="13" t="n">
        <x:v>16</x:v>
      </x:c>
      <x:c r="J217" s="13" t="n">
        <x:v>36069341.10000001</x:v>
      </x:c>
      <x:c r="K217" s="13" t="n">
        <x:v>36694905.2</x:v>
      </x:c>
      <x:c r="L217" s="13" t="n">
        <x:v>572</x:v>
      </x:c>
      <x:c r="M217" s="13" t="n">
        <x:v>0.030478955007256895</x:v>
      </x:c>
      <x:c r="N217" s="13" t="n">
        <x:v>0.004790419161676647</x:v>
      </x:c>
      <x:c r="O217" s="13" t="n">
        <x:v>0.09089903100728289</x:v>
      </x:c>
      <x:c r="P217" s="13" t="n">
        <x:v>0.2707362901158279</x:v>
      </x:c>
      <x:c r="Q217" s="13" t="n">
        <x:v>949193.1868421054</x:v>
      </x:c>
      <x:c r="R217" s="13" t="n">
        <x:v>0.8589300302402952</x:v>
      </x:c>
      <x:c r="S217" s="13" t="n">
        <x:v>0.02550258845489918</x:v>
      </x:c>
      <x:c r="T217" s="13" t="n">
        <x:v>37</x:v>
      </x:c>
      <x:c r="U217" s="13" t="n">
        <x:v>774</x:v>
      </x:c>
      <x:c r="V217" s="13" t="n">
        <x:v>685</x:v>
      </x:c>
      <x:c r="W217" s="13" t="n">
        <x:v>89</x:v>
      </x:c>
      <x:c r="X217" s="13" t="n">
        <x:v>5</x:v>
      </x:c>
      <x:c r="Y217" s="13" t="n">
        <x:v>64016408.96</x:v>
      </x:c>
      <x:c r="Z217" s="13" t="n">
        <x:v>64595814.54000001</x:v>
      </x:c>
      <x:c r="AA217" s="13" t="n">
        <x:v>30</x:v>
      </x:c>
      <x:c r="AB217" s="13" t="n">
        <x:v>0.11498708010335917</x:v>
      </x:c>
      <x:c r="AC217" s="13" t="n">
        <x:v>0.0072992700729927005</x:v>
      </x:c>
      <x:c r="AD217" s="13" t="n">
        <x:v>0.14750435564150768</x:v>
      </x:c>
      <x:c r="AE217" s="13" t="n">
        <x:v>0.27424233204815934</x:v>
      </x:c>
      <x:c r="AF217" s="13" t="n">
        <x:v>1882835.5576470587</x:v>
      </x:c>
      <x:c r="AG217" s="13" t="n">
        <x:v>1.0319523420448964</x:v>
      </x:c>
      <x:c r="AH217" s="13" t="n">
        <x:v>0.037006911435963935</x:v>
      </x:c>
      <x:c r="AI217" s="13" t="n">
        <x:v>32</x:v>
      </x:c>
      <x:c r="AJ217" s="13" t="n">
        <x:v>27947067.859999992</x:v>
      </x:c>
      <x:c r="AK217" s="13" t="n">
        <x:v>0.5680693936799454</x:v>
      </x:c>
      <x:c r="AL217" s="13" t="n">
        <x:v>0.04598246029864897</x:v>
      </x:c>
      <x:c r="AM217" s="13" t="n">
        <x:v>0.0052173913043478265</x:v>
      </x:c>
      <x:c r="AN217" s="13" t="n">
        <x:v>0.11920169332439529</x:v>
      </x:c>
      <x:c r="AO217" s="13" t="n">
        <x:v>0.9454411861425958</x:v>
      </x:c>
      <x:c r="AP217" s="13" t="n">
        <x:v>0.03125474994543156</x:v>
      </x:c>
    </x:row>
    <x:row r="218" ht="15" hidden="0" customHeight="1">
      <x:c r="A218" s="2" t="str">
        <x:v>E217</x:v>
      </x:c>
      <x:c r="B218" s="2" t="str">
        <x:v>个体经营E217 </x:v>
      </x:c>
      <x:c r="C218" s="2" t="str">
        <x:v>无信贷记录</x:v>
      </x:c>
      <x:c r="D218" s="2" t="str"/>
      <x:c r="E218" s="2" t="str"/>
      <x:c r="F218" s="13" t="n">
        <x:v>214</x:v>
      </x:c>
      <x:c r="G218" s="13" t="n">
        <x:v>202</x:v>
      </x:c>
      <x:c r="H218" s="13" t="n">
        <x:v>12</x:v>
      </x:c>
      <x:c r="I218" s="13" t="n">
        <x:v>0</x:v>
      </x:c>
      <x:c r="J218" s="13" t="n">
        <x:v>61169230.95</x:v>
      </x:c>
      <x:c r="K218" s="13" t="n">
        <x:v>61169230.95</x:v>
      </x:c>
      <x:c r="L218" s="13" t="n">
        <x:v>214</x:v>
      </x:c>
      <x:c r="M218" s="13" t="n">
        <x:v>0.056074766355140186</x:v>
      </x:c>
      <x:c r="N218" s="13" t="n">
        <x:v>0</x:v>
      </x:c>
      <x:c r="O218" s="13" t="n">
        <x:v>0.01056490101357329</x:v>
      </x:c>
      <x:c r="P218" s="13" t="n">
        <x:v>0.04137191557692229</x:v>
      </x:c>
      <x:c r="Q218" s="13" t="n">
        <x:v>2446769.238</x:v>
      </x:c>
      <x:c r="R218" s="13" t="n">
        <x:v>0.4386327451339788</x:v>
      </x:c>
      <x:c r="S218" s="13" t="n">
        <x:v>-0.020816689277641843</x:v>
      </x:c>
      <x:c r="T218" s="13" t="n">
        <x:v>25</x:v>
      </x:c>
      <x:c r="U218" s="13" t="n">
        <x:v>749</x:v>
      </x:c>
      <x:c r="V218" s="13" t="n">
        <x:v>34</x:v>
      </x:c>
      <x:c r="W218" s="13" t="n">
        <x:v>715</x:v>
      </x:c>
      <x:c r="X218" s="13" t="n">
        <x:v>0</x:v>
      </x:c>
      <x:c r="Y218" s="13" t="n">
        <x:v>2841057.5</x:v>
      </x:c>
      <x:c r="Z218" s="13" t="n">
        <x:v>2841057.5</x:v>
      </x:c>
      <x:c r="AA218" s="13" t="n">
        <x:v>43</x:v>
      </x:c>
      <x:c r="AB218" s="13" t="n">
        <x:v>0.8136218864842784</x:v>
      </x:c>
      <x:c r="AC218" s="13" t="n">
        <x:v>0</x:v>
      </x:c>
      <x:c r="AD218" s="13" t="n">
        <x:v>0.1486478117593681</x:v>
      </x:c>
      <x:c r="AE218" s="13" t="n">
        <x:v>0.30112730910937213</x:v>
      </x:c>
      <x:c r="AF218" s="13" t="n">
        <x:v>167121.0294117647</x:v>
      </x:c>
      <x:c r="AG218" s="13" t="n">
        <x:v>1.893014773317291</x:v>
      </x:c>
      <x:c r="AH218" s="13" t="n">
        <x:v>-0.14722911552630938</x:v>
      </x:c>
      <x:c r="AI218" s="13" t="n">
        <x:v>11</x:v>
      </x:c>
      <x:c r="AJ218" s="13" t="n">
        <x:v>-58328173.45</x:v>
      </x:c>
      <x:c r="AK218" s="13" t="n">
        <x:v>21.2915080780909</x:v>
      </x:c>
      <x:c r="AL218" s="13" t="n">
        <x:v>0.3550476190476188</x:v>
      </x:c>
      <x:c r="AM218" s="13" t="n">
        <x:v>0</x:v>
      </x:c>
      <x:c r="AN218" s="13" t="n">
        <x:v>0.07955726253348698</x:v>
      </x:c>
      <x:c r="AO218" s="13" t="n">
        <x:v>1.1658237592256349</x:v>
      </x:c>
      <x:c r="AP218" s="13" t="n">
        <x:v>-0.08896239097543975</x:v>
      </x:c>
    </x:row>
    <x:row r="219" ht="15" hidden="0" customHeight="1">
      <x:c r="A219" s="2" t="str">
        <x:v>E218</x:v>
      </x:c>
      <x:c r="B219" s="2" t="str">
        <x:v>***建设工程有限公司</x:v>
      </x:c>
      <x:c r="C219" s="2" t="str">
        <x:v>无信贷记录</x:v>
      </x:c>
      <x:c r="D219" s="2" t="str"/>
      <x:c r="E219" s="2" t="str"/>
      <x:c r="F219" s="13" t="n">
        <x:v>1104</x:v>
      </x:c>
      <x:c r="G219" s="13" t="n">
        <x:v>1026</x:v>
      </x:c>
      <x:c r="H219" s="13" t="n">
        <x:v>78</x:v>
      </x:c>
      <x:c r="I219" s="13" t="n">
        <x:v>4</x:v>
      </x:c>
      <x:c r="J219" s="13" t="n">
        <x:v>43546796.88</x:v>
      </x:c>
      <x:c r="K219" s="13" t="n">
        <x:v>43781938.4</x:v>
      </x:c>
      <x:c r="L219" s="13" t="n">
        <x:v>270</x:v>
      </x:c>
      <x:c r="M219" s="13" t="n">
        <x:v>0.07065217391304347</x:v>
      </x:c>
      <x:c r="N219" s="13" t="n">
        <x:v>0.003898635477582846</x:v>
      </x:c>
      <x:c r="O219" s="13" t="n">
        <x:v>0.14134307765076384</x:v>
      </x:c>
      <x:c r="P219" s="13" t="n">
        <x:v>0.25024109005644213</x:v>
      </x:c>
      <x:c r="Q219" s="13" t="n">
        <x:v>1176940.4562162163</x:v>
      </x:c>
      <x:c r="R219" s="13" t="n">
        <x:v>1.8007479202137648</x:v>
      </x:c>
      <x:c r="S219" s="13" t="n">
        <x:v>0.10797118113079655</x:v>
      </x:c>
      <x:c r="T219" s="13" t="n">
        <x:v>36</x:v>
      </x:c>
      <x:c r="U219" s="13" t="n">
        <x:v>232</x:v>
      </x:c>
      <x:c r="V219" s="13" t="n">
        <x:v>137</x:v>
      </x:c>
      <x:c r="W219" s="13" t="n">
        <x:v>95</x:v>
      </x:c>
      <x:c r="X219" s="13" t="n">
        <x:v>0</x:v>
      </x:c>
      <x:c r="Y219" s="13" t="n">
        <x:v>42653722.33</x:v>
      </x:c>
      <x:c r="Z219" s="13" t="n">
        <x:v>42653722.33</x:v>
      </x:c>
      <x:c r="AA219" s="13" t="n">
        <x:v>71</x:v>
      </x:c>
      <x:c r="AB219" s="13" t="n">
        <x:v>0.40948275862068967</x:v>
      </x:c>
      <x:c r="AC219" s="13" t="n">
        <x:v>0</x:v>
      </x:c>
      <x:c r="AD219" s="13" t="n">
        <x:v>0.529569128095425</x:v>
      </x:c>
      <x:c r="AE219" s="13" t="n">
        <x:v>0.7143231196628836</x:v>
      </x:c>
      <x:c r="AF219" s="13" t="n">
        <x:v>1218677.7808571428</x:v>
      </x:c>
      <x:c r="AG219" s="13" t="n">
        <x:v>2.3696391021020284</x:v>
      </x:c>
      <x:c r="AH219" s="13" t="n">
        <x:v>0.1147465935480009</x:v>
      </x:c>
      <x:c r="AI219" s="13" t="n">
        <x:v>17</x:v>
      </x:c>
      <x:c r="AJ219" s="13" t="n">
        <x:v>-893074.5500000045</x:v>
      </x:c>
      <x:c r="AK219" s="13" t="n">
        <x:v>1.0264505887967128</x:v>
      </x:c>
      <x:c r="AL219" s="13" t="n">
        <x:v>0.12949101796407186</x:v>
      </x:c>
      <x:c r="AM219" s="13" t="n">
        <x:v>0.0034393809114359416</x:v>
      </x:c>
      <x:c r="AN219" s="13" t="n">
        <x:v>0.3354561028730944</x:v>
      </x:c>
      <x:c r="AO219" s="13" t="n">
        <x:v>2.0851935111578968</x:v>
      </x:c>
      <x:c r="AP219" s="13" t="n">
        <x:v>0.11135888733939872</x:v>
      </x:c>
    </x:row>
    <x:row r="220" ht="15" hidden="0" customHeight="1">
      <x:c r="A220" s="2" t="str">
        <x:v>E219</x:v>
      </x:c>
      <x:c r="B220" s="2" t="str">
        <x:v>***品牌营销策划有限公司</x:v>
      </x:c>
      <x:c r="C220" s="2" t="str">
        <x:v>无信贷记录</x:v>
      </x:c>
      <x:c r="D220" s="2" t="str"/>
      <x:c r="E220" s="2" t="str"/>
      <x:c r="F220" s="13" t="n">
        <x:v>4455</x:v>
      </x:c>
      <x:c r="G220" s="13" t="n">
        <x:v>4299</x:v>
      </x:c>
      <x:c r="H220" s="13" t="n">
        <x:v>156</x:v>
      </x:c>
      <x:c r="I220" s="13" t="n">
        <x:v>41</x:v>
      </x:c>
      <x:c r="J220" s="13" t="n">
        <x:v>40182970.93</x:v>
      </x:c>
      <x:c r="K220" s="13" t="n">
        <x:v>40761418.01</x:v>
      </x:c>
      <x:c r="L220" s="13" t="n">
        <x:v>760</x:v>
      </x:c>
      <x:c r="M220" s="13" t="n">
        <x:v>0.035016835016835016</x:v>
      </x:c>
      <x:c r="N220" s="13" t="n">
        <x:v>0.009537101651546871</x:v>
      </x:c>
      <x:c r="O220" s="13" t="n">
        <x:v>0.032715683071098234</x:v>
      </x:c>
      <x:c r="P220" s="13" t="n">
        <x:v>0.13679700737182476</x:v>
      </x:c>
      <x:c r="Q220" s="13" t="n">
        <x:v>1086026.2413513514</x:v>
      </x:c>
      <x:c r="R220" s="13" t="n">
        <x:v>0.8654065752962092</x:v>
      </x:c>
      <x:c r="S220" s="13" t="n">
        <x:v>0.05497946236992917</x:v>
      </x:c>
      <x:c r="T220" s="13" t="n">
        <x:v>36</x:v>
      </x:c>
      <x:c r="U220" s="13" t="n">
        <x:v>623</x:v>
      </x:c>
      <x:c r="V220" s="13" t="n">
        <x:v>491</x:v>
      </x:c>
      <x:c r="W220" s="13" t="n">
        <x:v>132</x:v>
      </x:c>
      <x:c r="X220" s="13" t="n">
        <x:v>33</x:v>
      </x:c>
      <x:c r="Y220" s="13" t="n">
        <x:v>40131941.84</x:v>
      </x:c>
      <x:c r="Z220" s="13" t="n">
        <x:v>45781941.739999995</x:v>
      </x:c>
      <x:c r="AA220" s="13" t="n">
        <x:v>30</x:v>
      </x:c>
      <x:c r="AB220" s="13" t="n">
        <x:v>0.21187800963081863</x:v>
      </x:c>
      <x:c r="AC220" s="13" t="n">
        <x:v>0.06720977596741344</x:v>
      </x:c>
      <x:c r="AD220" s="13" t="n">
        <x:v>0.08479518128154846</x:v>
      </x:c>
      <x:c r="AE220" s="13" t="n">
        <x:v>0.1574581377727296</x:v>
      </x:c>
      <x:c r="AF220" s="13" t="n">
        <x:v>1254123.1825</x:v>
      </x:c>
      <x:c r="AG220" s="13" t="n">
        <x:v>1.220279819099832</x:v>
      </x:c>
      <x:c r="AH220" s="13" t="n">
        <x:v>0.05265324717352699</x:v>
      </x:c>
      <x:c r="AI220" s="13" t="n">
        <x:v>29</x:v>
      </x:c>
      <x:c r="AJ220" s="13" t="n">
        <x:v>-51029.089999996126</x:v>
      </x:c>
      <x:c r="AK220" s="13" t="n">
        <x:v>0.8903383399832181</x:v>
      </x:c>
      <x:c r="AL220" s="13" t="n">
        <x:v>0.05671524222134699</x:v>
      </x:c>
      <x:c r="AM220" s="13" t="n">
        <x:v>0.015448851774530271</x:v>
      </x:c>
      <x:c r="AN220" s="13" t="n">
        <x:v>0.05875543217632335</x:v>
      </x:c>
      <x:c r="AO220" s="13" t="n">
        <x:v>1.0428431971980205</x:v>
      </x:c>
      <x:c r="AP220" s="13" t="n">
        <x:v>0.05381635477172808</x:v>
      </x:c>
    </x:row>
    <x:row r="221" ht="15" hidden="0" customHeight="1">
      <x:c r="A221" s="2" t="str">
        <x:v>E220</x:v>
      </x:c>
      <x:c r="B221" s="2" t="str">
        <x:v>***文化传播有限公司</x:v>
      </x:c>
      <x:c r="C221" s="2" t="str">
        <x:v>无信贷记录</x:v>
      </x:c>
      <x:c r="D221" s="2" t="str"/>
      <x:c r="E221" s="2" t="str"/>
      <x:c r="F221" s="13" t="n">
        <x:v>5938</x:v>
      </x:c>
      <x:c r="G221" s="13" t="n">
        <x:v>5708</x:v>
      </x:c>
      <x:c r="H221" s="13" t="n">
        <x:v>230</x:v>
      </x:c>
      <x:c r="I221" s="13" t="n">
        <x:v>50</x:v>
      </x:c>
      <x:c r="J221" s="13" t="n">
        <x:v>58410598.92</x:v>
      </x:c>
      <x:c r="K221" s="13" t="n">
        <x:v>59364959.00000001</x:v>
      </x:c>
      <x:c r="L221" s="13" t="n">
        <x:v>1575</x:v>
      </x:c>
      <x:c r="M221" s="13" t="n">
        <x:v>0.03873358033007747</x:v>
      </x:c>
      <x:c r="N221" s="13" t="n">
        <x:v>0.008759635599159075</x:v>
      </x:c>
      <x:c r="O221" s="13" t="n">
        <x:v>0.010875828749136783</x:v>
      </x:c>
      <x:c r="P221" s="13" t="n">
        <x:v>0.058957338789705896</x:v>
      </x:c>
      <x:c r="Q221" s="13" t="n">
        <x:v>1578664.8356756754</x:v>
      </x:c>
      <x:c r="R221" s="13" t="n">
        <x:v>0.5301062088373526</x:v>
      </x:c>
      <x:c r="S221" s="13" t="n">
        <x:v>0.005682440580453127</x:v>
      </x:c>
      <x:c r="T221" s="13" t="n">
        <x:v>37</x:v>
      </x:c>
      <x:c r="U221" s="13" t="n">
        <x:v>1297</x:v>
      </x:c>
      <x:c r="V221" s="13" t="n">
        <x:v>1233</x:v>
      </x:c>
      <x:c r="W221" s="13" t="n">
        <x:v>64</x:v>
      </x:c>
      <x:c r="X221" s="13" t="n">
        <x:v>11</x:v>
      </x:c>
      <x:c r="Y221" s="13" t="n">
        <x:v>85103513.03</x:v>
      </x:c>
      <x:c r="Z221" s="13" t="n">
        <x:v>85727355.03</x:v>
      </x:c>
      <x:c r="AA221" s="13" t="n">
        <x:v>147</x:v>
      </x:c>
      <x:c r="AB221" s="13" t="n">
        <x:v>0.04934464148033924</x:v>
      </x:c>
      <x:c r="AC221" s="13" t="n">
        <x:v>0.008921330089213302</x:v>
      </x:c>
      <x:c r="AD221" s="13" t="n">
        <x:v>0.3677029876703696</x:v>
      </x:c>
      <x:c r="AE221" s="13" t="n">
        <x:v>0.5408904898999075</x:v>
      </x:c>
      <x:c r="AF221" s="13" t="n">
        <x:v>2300094.946756757</x:v>
      </x:c>
      <x:c r="AG221" s="13" t="n">
        <x:v>0.6892625369890983</x:v>
      </x:c>
      <x:c r="AH221" s="13" t="n">
        <x:v>0.01448878229059095</x:v>
      </x:c>
      <x:c r="AI221" s="13" t="n">
        <x:v>37</x:v>
      </x:c>
      <x:c r="AJ221" s="13" t="n">
        <x:v>26692914.11</x:v>
      </x:c>
      <x:c r="AK221" s="13" t="n">
        <x:v>0.6924856013488978</x:v>
      </x:c>
      <x:c r="AL221" s="13" t="n">
        <x:v>0.04063579820317899</x:v>
      </x:c>
      <x:c r="AM221" s="13" t="n">
        <x:v>0.008788359026076935</x:v>
      </x:c>
      <x:c r="AN221" s="13" t="n">
        <x:v>0.18928940820975318</x:v>
      </x:c>
      <x:c r="AO221" s="13" t="n">
        <x:v>0.6096843729132255</x:v>
      </x:c>
      <x:c r="AP221" s="13" t="n">
        <x:v>0.010085611435522038</x:v>
      </x:c>
    </x:row>
    <x:row r="222" ht="15" hidden="0" customHeight="1">
      <x:c r="A222" s="2" t="str">
        <x:v>E221</x:v>
      </x:c>
      <x:c r="B222" s="2" t="str">
        <x:v>***测绘服务有限公司</x:v>
      </x:c>
      <x:c r="C222" s="2" t="str">
        <x:v>无信贷记录</x:v>
      </x:c>
      <x:c r="D222" s="2" t="str"/>
      <x:c r="E222" s="2" t="str"/>
      <x:c r="F222" s="13" t="n">
        <x:v>4494</x:v>
      </x:c>
      <x:c r="G222" s="13" t="n">
        <x:v>4429</x:v>
      </x:c>
      <x:c r="H222" s="13" t="n">
        <x:v>65</x:v>
      </x:c>
      <x:c r="I222" s="13" t="n">
        <x:v>11</x:v>
      </x:c>
      <x:c r="J222" s="13" t="n">
        <x:v>34053737.95</x:v>
      </x:c>
      <x:c r="K222" s="13" t="n">
        <x:v>34101042.05</x:v>
      </x:c>
      <x:c r="L222" s="13" t="n">
        <x:v>957</x:v>
      </x:c>
      <x:c r="M222" s="13" t="n">
        <x:v>0.014463729417000444</x:v>
      </x:c>
      <x:c r="N222" s="13" t="n">
        <x:v>0.002483630616391962</x:v>
      </x:c>
      <x:c r="O222" s="13" t="n">
        <x:v>0.0907579657091289</x:v>
      </x:c>
      <x:c r="P222" s="13" t="n">
        <x:v>0.19779688814524074</x:v>
      </x:c>
      <x:c r="Q222" s="13" t="n">
        <x:v>1174266.825862069</x:v>
      </x:c>
      <x:c r="R222" s="13" t="n">
        <x:v>1.2569093234852287</x:v>
      </x:c>
      <x:c r="S222" s="13" t="n">
        <x:v>-0.01427650109112318</x:v>
      </x:c>
      <x:c r="T222" s="13" t="n">
        <x:v>29</x:v>
      </x:c>
      <x:c r="U222" s="13" t="n">
        <x:v>694</x:v>
      </x:c>
      <x:c r="V222" s="13" t="n">
        <x:v>652</x:v>
      </x:c>
      <x:c r="W222" s="13" t="n">
        <x:v>42</x:v>
      </x:c>
      <x:c r="X222" s="13" t="n">
        <x:v>14</x:v>
      </x:c>
      <x:c r="Y222" s="13" t="n">
        <x:v>48730022.68</x:v>
      </x:c>
      <x:c r="Z222" s="13" t="n">
        <x:v>50851076.4</x:v>
      </x:c>
      <x:c r="AA222" s="13" t="n">
        <x:v>312</x:v>
      </x:c>
      <x:c r="AB222" s="13" t="n">
        <x:v>0.06051873198847262</x:v>
      </x:c>
      <x:c r="AC222" s="13" t="n">
        <x:v>0.02147239263803681</x:v>
      </x:c>
      <x:c r="AD222" s="13" t="n">
        <x:v>0.03752369798279973</x:v>
      </x:c>
      <x:c r="AE222" s="13" t="n">
        <x:v>0.11468783775833702</x:v>
      </x:c>
      <x:c r="AF222" s="13" t="n">
        <x:v>1740357.9528571425</x:v>
      </x:c>
      <x:c r="AG222" s="13" t="n">
        <x:v>0.8223891162395824</x:v>
      </x:c>
      <x:c r="AH222" s="13" t="n">
        <x:v>-0.011154272005688507</x:v>
      </x:c>
      <x:c r="AI222" s="13" t="n">
        <x:v>28</x:v>
      </x:c>
      <x:c r="AJ222" s="13" t="n">
        <x:v>14676284.729999997</x:v>
      </x:c>
      <x:c r="AK222" s="13" t="n">
        <x:v>0.6706061004836468</x:v>
      </x:c>
      <x:c r="AL222" s="13" t="n">
        <x:v>0.020624518118735544</x:v>
      </x:c>
      <x:c r="AM222" s="13" t="n">
        <x:v>0.00492029128124385</x:v>
      </x:c>
      <x:c r="AN222" s="13" t="n">
        <x:v>0.06414083184596432</x:v>
      </x:c>
      <x:c r="AO222" s="13" t="n">
        <x:v>1.0396492198624054</x:v>
      </x:c>
      <x:c r="AP222" s="13" t="n">
        <x:v>-0.012715386548405844</x:v>
      </x:c>
    </x:row>
    <x:row r="223" ht="15" hidden="0" customHeight="1">
      <x:c r="A223" s="2" t="str">
        <x:v>E222</x:v>
      </x:c>
      <x:c r="B223" s="2" t="str">
        <x:v>***数码科技有限公司</x:v>
      </x:c>
      <x:c r="C223" s="2" t="str">
        <x:v>无信贷记录</x:v>
      </x:c>
      <x:c r="D223" s="2" t="str"/>
      <x:c r="E223" s="2" t="str"/>
      <x:c r="F223" s="13" t="n">
        <x:v>4628</x:v>
      </x:c>
      <x:c r="G223" s="13" t="n">
        <x:v>4325</x:v>
      </x:c>
      <x:c r="H223" s="13" t="n">
        <x:v>303</x:v>
      </x:c>
      <x:c r="I223" s="13" t="n">
        <x:v>96</x:v>
      </x:c>
      <x:c r="J223" s="13" t="n">
        <x:v>57382956.21</x:v>
      </x:c>
      <x:c r="K223" s="13" t="n">
        <x:v>63998319.71</x:v>
      </x:c>
      <x:c r="L223" s="13" t="n">
        <x:v>934</x:v>
      </x:c>
      <x:c r="M223" s="13" t="n">
        <x:v>0.06547104580812446</x:v>
      </x:c>
      <x:c r="N223" s="13" t="n">
        <x:v>0.022196531791907514</x:v>
      </x:c>
      <x:c r="O223" s="13" t="n">
        <x:v>0.02542495259053945</x:v>
      </x:c>
      <x:c r="P223" s="13" t="n">
        <x:v>0.07045965613524385</x:v>
      </x:c>
      <x:c r="Q223" s="13" t="n">
        <x:v>1550890.7083783785</x:v>
      </x:c>
      <x:c r="R223" s="13" t="n">
        <x:v>1.031318420474312</x:v>
      </x:c>
      <x:c r="S223" s="13" t="n">
        <x:v>0.028967476241875425</x:v>
      </x:c>
      <x:c r="T223" s="13" t="n">
        <x:v>37</x:v>
      </x:c>
      <x:c r="U223" s="13" t="n">
        <x:v>1376</x:v>
      </x:c>
      <x:c r="V223" s="13" t="n">
        <x:v>1023</x:v>
      </x:c>
      <x:c r="W223" s="13" t="n">
        <x:v>353</x:v>
      </x:c>
      <x:c r="X223" s="13" t="n">
        <x:v>26</x:v>
      </x:c>
      <x:c r="Y223" s="13" t="n">
        <x:v>69182869.72</x:v>
      </x:c>
      <x:c r="Z223" s="13" t="n">
        <x:v>71684826.53999999</x:v>
      </x:c>
      <x:c r="AA223" s="13" t="n">
        <x:v>69</x:v>
      </x:c>
      <x:c r="AB223" s="13" t="n">
        <x:v>0.2565406976744186</x:v>
      </x:c>
      <x:c r="AC223" s="13" t="n">
        <x:v>0.02541544477028348</x:v>
      </x:c>
      <x:c r="AD223" s="13" t="n">
        <x:v>0.07114666213471046</x:v>
      </x:c>
      <x:c r="AE223" s="13" t="n">
        <x:v>0.18539895751277355</x:v>
      </x:c>
      <x:c r="AF223" s="13" t="n">
        <x:v>1869807.2897297298</x:v>
      </x:c>
      <x:c r="AG223" s="13" t="n">
        <x:v>1.1351200739237357</x:v>
      </x:c>
      <x:c r="AH223" s="13" t="n">
        <x:v>0.03875875714726089</x:v>
      </x:c>
      <x:c r="AI223" s="13" t="n">
        <x:v>37</x:v>
      </x:c>
      <x:c r="AJ223" s="13" t="n">
        <x:v>11799913.509999998</x:v>
      </x:c>
      <x:c r="AK223" s="13" t="n">
        <x:v>0.8927735868104398</x:v>
      </x:c>
      <x:c r="AL223" s="13" t="n">
        <x:v>0.10926049300466356</x:v>
      </x:c>
      <x:c r="AM223" s="13" t="n">
        <x:v>0.02281226626776365</x:v>
      </x:c>
      <x:c r="AN223" s="13" t="n">
        <x:v>0.04828580736262496</x:v>
      </x:c>
      <x:c r="AO223" s="13" t="n">
        <x:v>1.0832192471990238</x:v>
      </x:c>
      <x:c r="AP223" s="13" t="n">
        <x:v>0.03386311669456816</x:v>
      </x:c>
    </x:row>
    <x:row r="224" ht="15" hidden="0" customHeight="1">
      <x:c r="A224" s="2" t="str">
        <x:v>E223</x:v>
      </x:c>
      <x:c r="B224" s="2" t="str">
        <x:v>***科技有限公司</x:v>
      </x:c>
      <x:c r="C224" s="2" t="str">
        <x:v>无信贷记录</x:v>
      </x:c>
      <x:c r="D224" s="2" t="str"/>
      <x:c r="E224" s="2" t="str"/>
      <x:c r="F224" s="13" t="n">
        <x:v>2624</x:v>
      </x:c>
      <x:c r="G224" s="13" t="n">
        <x:v>2505</x:v>
      </x:c>
      <x:c r="H224" s="13" t="n">
        <x:v>119</x:v>
      </x:c>
      <x:c r="I224" s="13" t="n">
        <x:v>20</x:v>
      </x:c>
      <x:c r="J224" s="13" t="n">
        <x:v>43578340</x:v>
      </x:c>
      <x:c r="K224" s="13" t="n">
        <x:v>43788544.2</x:v>
      </x:c>
      <x:c r="L224" s="13" t="n">
        <x:v>788</x:v>
      </x:c>
      <x:c r="M224" s="13" t="n">
        <x:v>0.04535060975609756</x:v>
      </x:c>
      <x:c r="N224" s="13" t="n">
        <x:v>0.007984031936127744</x:v>
      </x:c>
      <x:c r="O224" s="13" t="n">
        <x:v>0.1814734998494416</x:v>
      </x:c>
      <x:c r="P224" s="13" t="n">
        <x:v>0.36538430295657104</x:v>
      </x:c>
      <x:c r="Q224" s="13" t="n">
        <x:v>2293596.8421052634</x:v>
      </x:c>
      <x:c r="R224" s="13" t="n">
        <x:v>0.611159029114285</x:v>
      </x:c>
      <x:c r="S224" s="13" t="n">
        <x:v>0.07750339690161055</x:v>
      </x:c>
      <x:c r="T224" s="13" t="n">
        <x:v>19</x:v>
      </x:c>
      <x:c r="U224" s="13" t="n">
        <x:v>529</x:v>
      </x:c>
      <x:c r="V224" s="13" t="n">
        <x:v>477</x:v>
      </x:c>
      <x:c r="W224" s="13" t="n">
        <x:v>52</x:v>
      </x:c>
      <x:c r="X224" s="13" t="n">
        <x:v>21</x:v>
      </x:c>
      <x:c r="Y224" s="13" t="n">
        <x:v>35552180.77</x:v>
      </x:c>
      <x:c r="Z224" s="13" t="n">
        <x:v>38594335.81</x:v>
      </x:c>
      <x:c r="AA224" s="13" t="n">
        <x:v>54</x:v>
      </x:c>
      <x:c r="AB224" s="13" t="n">
        <x:v>0.09829867674858223</x:v>
      </x:c>
      <x:c r="AC224" s="13" t="n">
        <x:v>0.0440251572327044</x:v>
      </x:c>
      <x:c r="AD224" s="13" t="n">
        <x:v>0.25123783817840156</x:v>
      </x:c>
      <x:c r="AE224" s="13" t="n">
        <x:v>0.4666601573004244</x:v>
      </x:c>
      <x:c r="AF224" s="13" t="n">
        <x:v>2091304.7511764704</x:v>
      </x:c>
      <x:c r="AG224" s="13" t="n">
        <x:v>0.5670732058049466</x:v>
      </x:c>
      <x:c r="AH224" s="13" t="n">
        <x:v>0.06985026945976192</x:v>
      </x:c>
      <x:c r="AI224" s="13" t="n">
        <x:v>17</x:v>
      </x:c>
      <x:c r="AJ224" s="13" t="n">
        <x:v>-8026159.229999997</x:v>
      </x:c>
      <x:c r="AK224" s="13" t="n">
        <x:v>1.1345847332513015</x:v>
      </x:c>
      <x:c r="AL224" s="13" t="n">
        <x:v>0.05423406279733587</x:v>
      </x:c>
      <x:c r="AM224" s="13" t="n">
        <x:v>0.01374916163648558</x:v>
      </x:c>
      <x:c r="AN224" s="13" t="n">
        <x:v>0.2163556690139216</x:v>
      </x:c>
      <x:c r="AO224" s="13" t="n">
        <x:v>0.5891161174596158</x:v>
      </x:c>
      <x:c r="AP224" s="13" t="n">
        <x:v>0.07367683318068624</x:v>
      </x:c>
    </x:row>
    <x:row r="225" ht="15" hidden="0" customHeight="1">
      <x:c r="A225" s="2" t="str">
        <x:v>E224</x:v>
      </x:c>
      <x:c r="B225" s="2" t="str">
        <x:v>***纸业有限公司</x:v>
      </x:c>
      <x:c r="C225" s="2" t="str">
        <x:v>无信贷记录</x:v>
      </x:c>
      <x:c r="D225" s="2" t="str"/>
      <x:c r="E225" s="2" t="str"/>
      <x:c r="F225" s="13" t="n">
        <x:v>759</x:v>
      </x:c>
      <x:c r="G225" s="13" t="n">
        <x:v>723</x:v>
      </x:c>
      <x:c r="H225" s="13" t="n">
        <x:v>36</x:v>
      </x:c>
      <x:c r="I225" s="13" t="n">
        <x:v>5</x:v>
      </x:c>
      <x:c r="J225" s="13" t="n">
        <x:v>114283500.84</x:v>
      </x:c>
      <x:c r="K225" s="13" t="n">
        <x:v>115171219.8</x:v>
      </x:c>
      <x:c r="L225" s="13" t="n">
        <x:v>104</x:v>
      </x:c>
      <x:c r="M225" s="13" t="n">
        <x:v>0.04743083003952569</x:v>
      </x:c>
      <x:c r="N225" s="13" t="n">
        <x:v>0.006915629322268326</x:v>
      </x:c>
      <x:c r="O225" s="13" t="n">
        <x:v>0.10523013164175238</x:v>
      </x:c>
      <x:c r="P225" s="13" t="n">
        <x:v>0.20311843132879626</x:v>
      </x:c>
      <x:c r="Q225" s="13" t="n">
        <x:v>3088743.265945946</x:v>
      </x:c>
      <x:c r="R225" s="13" t="n">
        <x:v>0.63915581895342</x:v>
      </x:c>
      <x:c r="S225" s="13" t="n">
        <x:v>-0.018814714244278375</x:v>
      </x:c>
      <x:c r="T225" s="13" t="n">
        <x:v>37</x:v>
      </x:c>
      <x:c r="U225" s="13" t="n">
        <x:v>1127</x:v>
      </x:c>
      <x:c r="V225" s="13" t="n">
        <x:v>1110</x:v>
      </x:c>
      <x:c r="W225" s="13" t="n">
        <x:v>17</x:v>
      </x:c>
      <x:c r="X225" s="13" t="n">
        <x:v>14</x:v>
      </x:c>
      <x:c r="Y225" s="13" t="n">
        <x:v>111478009.03</x:v>
      </x:c>
      <x:c r="Z225" s="13" t="n">
        <x:v>114071359.03</x:v>
      </x:c>
      <x:c r="AA225" s="13" t="n">
        <x:v>42</x:v>
      </x:c>
      <x:c r="AB225" s="13" t="n">
        <x:v>0.015084294587400177</x:v>
      </x:c>
      <x:c r="AC225" s="13" t="n">
        <x:v>0.012612612612612612</x:v>
      </x:c>
      <x:c r="AD225" s="13" t="n">
        <x:v>0.12329381490946506</x:v>
      </x:c>
      <x:c r="AE225" s="13" t="n">
        <x:v>0.23284017930403367</x:v>
      </x:c>
      <x:c r="AF225" s="13" t="n">
        <x:v>3012919.1629729727</x:v>
      </x:c>
      <x:c r="AG225" s="13" t="n">
        <x:v>0.5245821091062799</x:v>
      </x:c>
      <x:c r="AH225" s="13" t="n">
        <x:v>-0.019303705936029134</x:v>
      </x:c>
      <x:c r="AI225" s="13" t="n">
        <x:v>37</x:v>
      </x:c>
      <x:c r="AJ225" s="13" t="n">
        <x:v>-2805491.8100000024</x:v>
      </x:c>
      <x:c r="AK225" s="13" t="n">
        <x:v>1.0096418661033988</x:v>
      </x:c>
      <x:c r="AL225" s="13" t="n">
        <x:v>0.028101802757158005</x:v>
      </x:c>
      <x:c r="AM225" s="13" t="n">
        <x:v>0.010365521003818877</x:v>
      </x:c>
      <x:c r="AN225" s="13" t="n">
        <x:v>0.11426197327560872</x:v>
      </x:c>
      <x:c r="AO225" s="13" t="n">
        <x:v>0.58186896402985</x:v>
      </x:c>
      <x:c r="AP225" s="13" t="n">
        <x:v>-0.019059210090153753</x:v>
      </x:c>
    </x:row>
    <x:row r="226" ht="15" hidden="0" customHeight="1">
      <x:c r="A226" s="2" t="str">
        <x:v>E225</x:v>
      </x:c>
      <x:c r="B226" s="2" t="str">
        <x:v>***物业服务有限责任公司***分公司</x:v>
      </x:c>
      <x:c r="C226" s="2" t="str">
        <x:v>无信贷记录</x:v>
      </x:c>
      <x:c r="D226" s="2" t="str"/>
      <x:c r="E226" s="2" t="str"/>
      <x:c r="F226" s="13" t="n">
        <x:v>4332</x:v>
      </x:c>
      <x:c r="G226" s="13" t="n">
        <x:v>4173</x:v>
      </x:c>
      <x:c r="H226" s="13" t="n">
        <x:v>159</x:v>
      </x:c>
      <x:c r="I226" s="13" t="n">
        <x:v>48</x:v>
      </x:c>
      <x:c r="J226" s="13" t="n">
        <x:v>48074903.05</x:v>
      </x:c>
      <x:c r="K226" s="13" t="n">
        <x:v>48766457.31</x:v>
      </x:c>
      <x:c r="L226" s="13" t="n">
        <x:v>685</x:v>
      </x:c>
      <x:c r="M226" s="13" t="n">
        <x:v>0.036703601108033244</x:v>
      </x:c>
      <x:c r="N226" s="13" t="n">
        <x:v>0.011502516175413372</x:v>
      </x:c>
      <x:c r="O226" s="13" t="n">
        <x:v>0.2048485264283142</x:v>
      </x:c>
      <x:c r="P226" s="13" t="n">
        <x:v>0.4367830930304665</x:v>
      </x:c>
      <x:c r="Q226" s="13" t="n">
        <x:v>1265129.027631579</x:v>
      </x:c>
      <x:c r="R226" s="13" t="n">
        <x:v>0.39157353472251283</x:v>
      </x:c>
      <x:c r="S226" s="13" t="n">
        <x:v>0.00841014308117326</x:v>
      </x:c>
      <x:c r="T226" s="13" t="n">
        <x:v>38</x:v>
      </x:c>
      <x:c r="U226" s="13" t="n">
        <x:v>8872</x:v>
      </x:c>
      <x:c r="V226" s="13" t="n">
        <x:v>8315</x:v>
      </x:c>
      <x:c r="W226" s="13" t="n">
        <x:v>557</x:v>
      </x:c>
      <x:c r="X226" s="13" t="n">
        <x:v>100</x:v>
      </x:c>
      <x:c r="Y226" s="13" t="n">
        <x:v>74851910.94</x:v>
      </x:c>
      <x:c r="Z226" s="13" t="n">
        <x:v>77023034.96000001</x:v>
      </x:c>
      <x:c r="AA226" s="13" t="n">
        <x:v>476</x:v>
      </x:c>
      <x:c r="AB226" s="13" t="n">
        <x:v>0.06278178539224527</x:v>
      </x:c>
      <x:c r="AC226" s="13" t="n">
        <x:v>0.012026458208057728</x:v>
      </x:c>
      <x:c r="AD226" s="13" t="n">
        <x:v>0.021101486254370694</x:v>
      </x:c>
      <x:c r="AE226" s="13" t="n">
        <x:v>0.0642558203863329</x:v>
      </x:c>
      <x:c r="AF226" s="13" t="n">
        <x:v>1969787.13</x:v>
      </x:c>
      <x:c r="AG226" s="13" t="n">
        <x:v>0.6776098289341753</x:v>
      </x:c>
      <x:c r="AH226" s="13" t="n">
        <x:v>0.005713728993027816</x:v>
      </x:c>
      <x:c r="AI226" s="13" t="n">
        <x:v>38</x:v>
      </x:c>
      <x:c r="AJ226" s="13" t="n">
        <x:v>26777007.89</x:v>
      </x:c>
      <x:c r="AK226" s="13" t="n">
        <x:v>0.6331412068522831</x:v>
      </x:c>
      <x:c r="AL226" s="13" t="n">
        <x:v>0.05422599212359891</x:v>
      </x:c>
      <x:c r="AM226" s="13" t="n">
        <x:v>0.01185137732222934</x:v>
      </x:c>
      <x:c r="AN226" s="13" t="n">
        <x:v>0.11297500634134244</x:v>
      </x:c>
      <x:c r="AO226" s="13" t="n">
        <x:v>0.534591681828344</x:v>
      </x:c>
      <x:c r="AP226" s="13" t="n">
        <x:v>0.0070619360371005375</x:v>
      </x:c>
    </x:row>
    <x:row r="227" ht="15" hidden="0" customHeight="1">
      <x:c r="A227" s="2" t="str">
        <x:v>E226</x:v>
      </x:c>
      <x:c r="B227" s="2" t="str">
        <x:v>***建设工程有限公司</x:v>
      </x:c>
      <x:c r="C227" s="2" t="str">
        <x:v>无信贷记录</x:v>
      </x:c>
      <x:c r="D227" s="2" t="str"/>
      <x:c r="E227" s="2" t="str"/>
      <x:c r="F227" s="13" t="n">
        <x:v>1047</x:v>
      </x:c>
      <x:c r="G227" s="13" t="n">
        <x:v>1022</x:v>
      </x:c>
      <x:c r="H227" s="13" t="n">
        <x:v>25</x:v>
      </x:c>
      <x:c r="I227" s="13" t="n">
        <x:v>29</x:v>
      </x:c>
      <x:c r="J227" s="13" t="n">
        <x:v>51733363.86</x:v>
      </x:c>
      <x:c r="K227" s="13" t="n">
        <x:v>56302963.86</x:v>
      </x:c>
      <x:c r="L227" s="13" t="n">
        <x:v>220</x:v>
      </x:c>
      <x:c r="M227" s="13" t="n">
        <x:v>0.02387774594078319</x:v>
      </x:c>
      <x:c r="N227" s="13" t="n">
        <x:v>0.02837573385518591</x:v>
      </x:c>
      <x:c r="O227" s="13" t="n">
        <x:v>0.09086532725733848</x:v>
      </x:c>
      <x:c r="P227" s="13" t="n">
        <x:v>0.15734518030042477</x:v>
      </x:c>
      <x:c r="Q227" s="13" t="n">
        <x:v>1567677.6927272724</x:v>
      </x:c>
      <x:c r="R227" s="13" t="n">
        <x:v>1.2173259917063408</x:v>
      </x:c>
      <x:c r="S227" s="13" t="n">
        <x:v>0.033560421988419645</x:v>
      </x:c>
      <x:c r="T227" s="13" t="n">
        <x:v>32</x:v>
      </x:c>
      <x:c r="U227" s="13" t="n">
        <x:v>554</x:v>
      </x:c>
      <x:c r="V227" s="13" t="n">
        <x:v>516</x:v>
      </x:c>
      <x:c r="W227" s="13" t="n">
        <x:v>38</x:v>
      </x:c>
      <x:c r="X227" s="13" t="n">
        <x:v>6</x:v>
      </x:c>
      <x:c r="Y227" s="13" t="n">
        <x:v>49317483.33</x:v>
      </x:c>
      <x:c r="Z227" s="13" t="n">
        <x:v>50281483.33</x:v>
      </x:c>
      <x:c r="AA227" s="13" t="n">
        <x:v>34</x:v>
      </x:c>
      <x:c r="AB227" s="13" t="n">
        <x:v>0.06859205776173286</x:v>
      </x:c>
      <x:c r="AC227" s="13" t="n">
        <x:v>0.011627906976744186</x:v>
      </x:c>
      <x:c r="AD227" s="13" t="n">
        <x:v>0.4312823816584633</x:v>
      </x:c>
      <x:c r="AE227" s="13" t="n">
        <x:v>0.6443630508543313</x:v>
      </x:c>
      <x:c r="AF227" s="13" t="n">
        <x:v>1332904.9548648647</x:v>
      </x:c>
      <x:c r="AG227" s="13" t="n">
        <x:v>1.2657642848078865</x:v>
      </x:c>
      <x:c r="AH227" s="13" t="n">
        <x:v>0.04418996384111958</x:v>
      </x:c>
      <x:c r="AI227" s="13" t="n">
        <x:v>29</x:v>
      </x:c>
      <x:c r="AJ227" s="13" t="n">
        <x:v>-2415880.530000001</x:v>
      </x:c>
      <x:c r="AK227" s="13" t="n">
        <x:v>1.1197554274698045</x:v>
      </x:c>
      <x:c r="AL227" s="13" t="n">
        <x:v>0.03935040599625234</x:v>
      </x:c>
      <x:c r="AM227" s="13" t="n">
        <x:v>0.022756827048114433</x:v>
      </x:c>
      <x:c r="AN227" s="13" t="n">
        <x:v>0.2610738544579009</x:v>
      </x:c>
      <x:c r="AO227" s="13" t="n">
        <x:v>1.2415451382571137</x:v>
      </x:c>
      <x:c r="AP227" s="13" t="n">
        <x:v>0.03887519291476961</x:v>
      </x:c>
    </x:row>
    <x:row r="228" ht="15" hidden="0" customHeight="1">
      <x:c r="A228" s="2" t="str">
        <x:v>E227</x:v>
      </x:c>
      <x:c r="B228" s="2" t="str">
        <x:v>***安全技术有限公司</x:v>
      </x:c>
      <x:c r="C228" s="2" t="str">
        <x:v>无信贷记录</x:v>
      </x:c>
      <x:c r="D228" s="2" t="str"/>
      <x:c r="E228" s="2" t="str"/>
      <x:c r="F228" s="13" t="n">
        <x:v>2942</x:v>
      </x:c>
      <x:c r="G228" s="13" t="n">
        <x:v>2778</x:v>
      </x:c>
      <x:c r="H228" s="13" t="n">
        <x:v>164</x:v>
      </x:c>
      <x:c r="I228" s="13" t="n">
        <x:v>18</x:v>
      </x:c>
      <x:c r="J228" s="13" t="n">
        <x:v>55296639.1</x:v>
      </x:c>
      <x:c r="K228" s="13" t="n">
        <x:v>56138439.78</x:v>
      </x:c>
      <x:c r="L228" s="13" t="n">
        <x:v>556</x:v>
      </x:c>
      <x:c r="M228" s="13" t="n">
        <x:v>0.0557443915703603</x:v>
      </x:c>
      <x:c r="N228" s="13" t="n">
        <x:v>0.0064794816414686825</x:v>
      </x:c>
      <x:c r="O228" s="13" t="n">
        <x:v>0.023677014685429484</x:v>
      </x:c>
      <x:c r="P228" s="13" t="n">
        <x:v>0.06488230995150752</x:v>
      </x:c>
      <x:c r="Q228" s="13" t="n">
        <x:v>1579903.974285714</x:v>
      </x:c>
      <x:c r="R228" s="13" t="n">
        <x:v>0.6464548507717265</x:v>
      </x:c>
      <x:c r="S228" s="13" t="n">
        <x:v>0.025480189885785015</x:v>
      </x:c>
      <x:c r="T228" s="13" t="n">
        <x:v>35</x:v>
      </x:c>
      <x:c r="U228" s="13" t="n">
        <x:v>742</x:v>
      </x:c>
      <x:c r="V228" s="13" t="n">
        <x:v>687</x:v>
      </x:c>
      <x:c r="W228" s="13" t="n">
        <x:v>55</x:v>
      </x:c>
      <x:c r="X228" s="13" t="n">
        <x:v>6</x:v>
      </x:c>
      <x:c r="Y228" s="13" t="n">
        <x:v>60352822</x:v>
      </x:c>
      <x:c r="Z228" s="13" t="n">
        <x:v>61175726.480000004</x:v>
      </x:c>
      <x:c r="AA228" s="13" t="n">
        <x:v>86</x:v>
      </x:c>
      <x:c r="AB228" s="13" t="n">
        <x:v>0.07412398921832884</x:v>
      </x:c>
      <x:c r="AC228" s="13" t="n">
        <x:v>0.008733624454148471</x:v>
      </x:c>
      <x:c r="AD228" s="13" t="n">
        <x:v>0.05416484722141872</x:v>
      </x:c>
      <x:c r="AE228" s="13" t="n">
        <x:v>0.11815437945576483</x:v>
      </x:c>
      <x:c r="AF228" s="13" t="n">
        <x:v>1631157.3513513515</x:v>
      </x:c>
      <x:c r="AG228" s="13" t="n">
        <x:v>0.8365079550816165</x:v>
      </x:c>
      <x:c r="AH228" s="13" t="n">
        <x:v>0.024500580763843014</x:v>
      </x:c>
      <x:c r="AI228" s="13" t="n">
        <x:v>33</x:v>
      </x:c>
      <x:c r="AJ228" s="13" t="n">
        <x:v>5056182.8999999985</x:v>
      </x:c>
      <x:c r="AK228" s="13" t="n">
        <x:v>0.9176587350924745</x:v>
      </x:c>
      <x:c r="AL228" s="13" t="n">
        <x:v>0.059446254071661236</x:v>
      </x:c>
      <x:c r="AM228" s="13" t="n">
        <x:v>0.006926406926406926</x:v>
      </x:c>
      <x:c r="AN228" s="13" t="n">
        <x:v>0.0389209309534241</x:v>
      </x:c>
      <x:c r="AO228" s="13" t="n">
        <x:v>0.7414814029266714</x:v>
      </x:c>
      <x:c r="AP228" s="13" t="n">
        <x:v>0.024990385324814013</x:v>
      </x:c>
    </x:row>
    <x:row r="229" ht="15" hidden="0" customHeight="1">
      <x:c r="A229" s="2" t="str">
        <x:v>E228</x:v>
      </x:c>
      <x:c r="B229" s="2" t="str">
        <x:v>***文化发展有限公司</x:v>
      </x:c>
      <x:c r="C229" s="2" t="str">
        <x:v>无信贷记录</x:v>
      </x:c>
      <x:c r="D229" s="2" t="str"/>
      <x:c r="E229" s="2" t="str"/>
      <x:c r="F229" s="13" t="n">
        <x:v>2743</x:v>
      </x:c>
      <x:c r="G229" s="13" t="n">
        <x:v>2665</x:v>
      </x:c>
      <x:c r="H229" s="13" t="n">
        <x:v>78</x:v>
      </x:c>
      <x:c r="I229" s="13" t="n">
        <x:v>10</x:v>
      </x:c>
      <x:c r="J229" s="13" t="n">
        <x:v>32773989.93</x:v>
      </x:c>
      <x:c r="K229" s="13" t="n">
        <x:v>33033491.009999998</x:v>
      </x:c>
      <x:c r="L229" s="13" t="n">
        <x:v>607</x:v>
      </x:c>
      <x:c r="M229" s="13" t="n">
        <x:v>0.02843601895734597</x:v>
      </x:c>
      <x:c r="N229" s="13" t="n">
        <x:v>0.00375234521575985</x:v>
      </x:c>
      <x:c r="O229" s="13" t="n">
        <x:v>0.03520475919517104</x:v>
      </x:c>
      <x:c r="P229" s="13" t="n">
        <x:v>0.11988863056590397</x:v>
      </x:c>
      <x:c r="Q229" s="13" t="n">
        <x:v>885783.5116216217</x:v>
      </x:c>
      <x:c r="R229" s="13" t="n">
        <x:v>0.7947469599093198</x:v>
      </x:c>
      <x:c r="S229" s="13" t="n">
        <x:v>0.01675542319727412</x:v>
      </x:c>
      <x:c r="T229" s="13" t="n">
        <x:v>37</x:v>
      </x:c>
      <x:c r="U229" s="13" t="n">
        <x:v>1176</x:v>
      </x:c>
      <x:c r="V229" s="13" t="n">
        <x:v>993</x:v>
      </x:c>
      <x:c r="W229" s="13" t="n">
        <x:v>183</x:v>
      </x:c>
      <x:c r="X229" s="13" t="n">
        <x:v>104</x:v>
      </x:c>
      <x:c r="Y229" s="13" t="n">
        <x:v>63847792.5</x:v>
      </x:c>
      <x:c r="Z229" s="13" t="n">
        <x:v>82873264.5</x:v>
      </x:c>
      <x:c r="AA229" s="13" t="n">
        <x:v>169</x:v>
      </x:c>
      <x:c r="AB229" s="13" t="n">
        <x:v>0.1556122448979592</x:v>
      </x:c>
      <x:c r="AC229" s="13" t="n">
        <x:v>0.10473313192346426</x:v>
      </x:c>
      <x:c r="AD229" s="13" t="n">
        <x:v>0.03105583600656317</x:v>
      </x:c>
      <x:c r="AE229" s="13" t="n">
        <x:v>0.09122362978714324</x:v>
      </x:c>
      <x:c r="AF229" s="13" t="n">
        <x:v>1725616.0135135136</x:v>
      </x:c>
      <x:c r="AG229" s="13" t="n">
        <x:v>0.5212497851608007</x:v>
      </x:c>
      <x:c r="AH229" s="13" t="n">
        <x:v>0.01498715981723939</x:v>
      </x:c>
      <x:c r="AI229" s="13" t="n">
        <x:v>37</x:v>
      </x:c>
      <x:c r="AJ229" s="13" t="n">
        <x:v>31073802.57</x:v>
      </x:c>
      <x:c r="AK229" s="13" t="n">
        <x:v>0.398602507205445</x:v>
      </x:c>
      <x:c r="AL229" s="13" t="n">
        <x:v>0.06659862209747384</x:v>
      </x:c>
      <x:c r="AM229" s="13" t="n">
        <x:v>0.03116457080371788</x:v>
      </x:c>
      <x:c r="AN229" s="13" t="n">
        <x:v>0.03313029760086711</x:v>
      </x:c>
      <x:c r="AO229" s="13" t="n">
        <x:v>0.6579983725350602</x:v>
      </x:c>
      <x:c r="AP229" s="13" t="n">
        <x:v>0.015871291507256753</x:v>
      </x:c>
    </x:row>
    <x:row r="230" ht="15" hidden="0" customHeight="1">
      <x:c r="A230" s="2" t="str">
        <x:v>E229</x:v>
      </x:c>
      <x:c r="B230" s="2" t="str">
        <x:v>***家贸易有限公司</x:v>
      </x:c>
      <x:c r="C230" s="2" t="str">
        <x:v>无信贷记录</x:v>
      </x:c>
      <x:c r="D230" s="2" t="str"/>
      <x:c r="E230" s="2" t="str"/>
      <x:c r="F230" s="13" t="n">
        <x:v>1621</x:v>
      </x:c>
      <x:c r="G230" s="13" t="n">
        <x:v>1570</x:v>
      </x:c>
      <x:c r="H230" s="13" t="n">
        <x:v>51</x:v>
      </x:c>
      <x:c r="I230" s="13" t="n">
        <x:v>8</x:v>
      </x:c>
      <x:c r="J230" s="13" t="n">
        <x:v>64719255.23</x:v>
      </x:c>
      <x:c r="K230" s="13" t="n">
        <x:v>65197769.09</x:v>
      </x:c>
      <x:c r="L230" s="13" t="n">
        <x:v>228</x:v>
      </x:c>
      <x:c r="M230" s="13" t="n">
        <x:v>0.03146206045650833</x:v>
      </x:c>
      <x:c r="N230" s="13" t="n">
        <x:v>0.005095541401273885</x:v>
      </x:c>
      <x:c r="O230" s="13" t="n">
        <x:v>0.09375950527101111</x:v>
      </x:c>
      <x:c r="P230" s="13" t="n">
        <x:v>0.2402335015233264</x:v>
      </x:c>
      <x:c r="Q230" s="13" t="n">
        <x:v>1749169.0602702699</x:v>
      </x:c>
      <x:c r="R230" s="13" t="n">
        <x:v>0.4471926535595901</x:v>
      </x:c>
      <x:c r="S230" s="13" t="n">
        <x:v>0.0034191146539151716</x:v>
      </x:c>
      <x:c r="T230" s="13" t="n">
        <x:v>37</x:v>
      </x:c>
      <x:c r="U230" s="13" t="n">
        <x:v>862</x:v>
      </x:c>
      <x:c r="V230" s="13" t="n">
        <x:v>773</x:v>
      </x:c>
      <x:c r="W230" s="13" t="n">
        <x:v>89</x:v>
      </x:c>
      <x:c r="X230" s="13" t="n">
        <x:v>1</x:v>
      </x:c>
      <x:c r="Y230" s="13" t="n">
        <x:v>63516621.07000001</x:v>
      </x:c>
      <x:c r="Z230" s="13" t="n">
        <x:v>63619467.43000001</x:v>
      </x:c>
      <x:c r="AA230" s="13" t="n">
        <x:v>33</x:v>
      </x:c>
      <x:c r="AB230" s="13" t="n">
        <x:v>0.10324825986078887</x:v>
      </x:c>
      <x:c r="AC230" s="13" t="n">
        <x:v>0.00129366106080207</x:v>
      </x:c>
      <x:c r="AD230" s="13" t="n">
        <x:v>0.685139706054312</x:v>
      </x:c>
      <x:c r="AE230" s="13" t="n">
        <x:v>0.8238838070700901</x:v>
      </x:c>
      <x:c r="AF230" s="13" t="n">
        <x:v>1716665.4343243248</x:v>
      </x:c>
      <x:c r="AG230" s="13" t="n">
        <x:v>0.2741988286658741</x:v>
      </x:c>
      <x:c r="AH230" s="13" t="n">
        <x:v>0.007120781149299516</x:v>
      </x:c>
      <x:c r="AI230" s="13" t="n">
        <x:v>37</x:v>
      </x:c>
      <x:c r="AJ230" s="13" t="n">
        <x:v>-1202634.159999989</x:v>
      </x:c>
      <x:c r="AK230" s="13" t="n">
        <x:v>1.024808470170496</x:v>
      </x:c>
      <x:c r="AL230" s="13" t="n">
        <x:v>0.056383407168747485</x:v>
      </x:c>
      <x:c r="AM230" s="13" t="n">
        <x:v>0.0038412291933418692</x:v>
      </x:c>
      <x:c r="AN230" s="13" t="n">
        <x:v>0.3894496056626615</x:v>
      </x:c>
      <x:c r="AO230" s="13" t="n">
        <x:v>0.36069574111273206</x:v>
      </x:c>
      <x:c r="AP230" s="13" t="n">
        <x:v>0.005269947901607344</x:v>
      </x:c>
    </x:row>
    <x:row r="231" ht="15" hidden="0" customHeight="1">
      <x:c r="A231" s="2" t="str">
        <x:v>E230</x:v>
      </x:c>
      <x:c r="B231" s="2" t="str">
        <x:v>***建筑劳务有限公司</x:v>
      </x:c>
      <x:c r="C231" s="2" t="str">
        <x:v>无信贷记录</x:v>
      </x:c>
      <x:c r="D231" s="2" t="str"/>
      <x:c r="E231" s="2" t="str"/>
      <x:c r="F231" s="13" t="n">
        <x:v>84</x:v>
      </x:c>
      <x:c r="G231" s="13" t="n">
        <x:v>83</x:v>
      </x:c>
      <x:c r="H231" s="13" t="n">
        <x:v>1</x:v>
      </x:c>
      <x:c r="I231" s="13" t="n">
        <x:v>0</x:v>
      </x:c>
      <x:c r="J231" s="13" t="n">
        <x:v>125526.73000000001</x:v>
      </x:c>
      <x:c r="K231" s="13" t="n">
        <x:v>125526.73000000001</x:v>
      </x:c>
      <x:c r="L231" s="13" t="n">
        <x:v>17</x:v>
      </x:c>
      <x:c r="M231" s="13" t="n">
        <x:v>0.011904761904761904</x:v>
      </x:c>
      <x:c r="N231" s="13" t="n">
        <x:v>0</x:v>
      </x:c>
      <x:c r="O231" s="13" t="n">
        <x:v>0.6508306732561753</x:v>
      </x:c>
      <x:c r="P231" s="13" t="n">
        <x:v>0.8028858873325228</x:v>
      </x:c>
      <x:c r="Q231" s="13" t="n">
        <x:v>3392.614324324324</x:v>
      </x:c>
      <x:c r="R231" s="13" t="n">
        <x:v>2.068994484360225</x:v>
      </x:c>
      <x:c r="S231" s="13" t="n">
        <x:v>0.0798968900956333</x:v>
      </x:c>
      <x:c r="T231" s="13" t="n">
        <x:v>26</x:v>
      </x:c>
      <x:c r="U231" s="13" t="n">
        <x:v>676</x:v>
      </x:c>
      <x:c r="V231" s="13" t="n">
        <x:v>592</x:v>
      </x:c>
      <x:c r="W231" s="13" t="n">
        <x:v>84</x:v>
      </x:c>
      <x:c r="X231" s="13" t="n">
        <x:v>20</x:v>
      </x:c>
      <x:c r="Y231" s="13" t="n">
        <x:v>50335737.04</x:v>
      </x:c>
      <x:c r="Z231" s="13" t="n">
        <x:v>54335737.04</x:v>
      </x:c>
      <x:c r="AA231" s="13" t="n">
        <x:v>70</x:v>
      </x:c>
      <x:c r="AB231" s="13" t="n">
        <x:v>0.1242603550295858</x:v>
      </x:c>
      <x:c r="AC231" s="13" t="n">
        <x:v>0.033783783783783786</x:v>
      </x:c>
      <x:c r="AD231" s="13" t="n">
        <x:v>0.06541665288667532</x:v>
      </x:c>
      <x:c r="AE231" s="13" t="n">
        <x:v>0.16752399757270323</x:v>
      </x:c>
      <x:c r="AF231" s="13" t="n">
        <x:v>1398214.9177777779</x:v>
      </x:c>
      <x:c r="AG231" s="13" t="n">
        <x:v>1.2712349640577965</x:v>
      </x:c>
      <x:c r="AH231" s="13" t="n">
        <x:v>0.013901746094293963</x:v>
      </x:c>
      <x:c r="AI231" s="13" t="n">
        <x:v>31</x:v>
      </x:c>
      <x:c r="AJ231" s="13" t="n">
        <x:v>50210210.31</x:v>
      </x:c>
      <x:c r="AK231" s="13" t="n">
        <x:v>0.0023102057106097924</x:v>
      </x:c>
      <x:c r="AL231" s="13" t="n">
        <x:v>0.1118421052631579</x:v>
      </x:c>
      <x:c r="AM231" s="13" t="n">
        <x:v>0.02962962962962963</x:v>
      </x:c>
      <x:c r="AN231" s="13" t="n">
        <x:v>0.3581236630714253</x:v>
      </x:c>
      <x:c r="AO231" s="13" t="n">
        <x:v>1.6701147242090106</x:v>
      </x:c>
      <x:c r="AP231" s="13" t="n">
        <x:v>0.046899318094963637</x:v>
      </x:c>
    </x:row>
    <x:row r="232" ht="15" hidden="0" customHeight="1">
      <x:c r="A232" s="2" t="str">
        <x:v>E231</x:v>
      </x:c>
      <x:c r="B232" s="2" t="str">
        <x:v>***建筑科技有限公司</x:v>
      </x:c>
      <x:c r="C232" s="2" t="str">
        <x:v>无信贷记录</x:v>
      </x:c>
      <x:c r="D232" s="2" t="str"/>
      <x:c r="E232" s="2" t="str"/>
      <x:c r="F232" s="13" t="n">
        <x:v>695</x:v>
      </x:c>
      <x:c r="G232" s="13" t="n">
        <x:v>681</x:v>
      </x:c>
      <x:c r="H232" s="13" t="n">
        <x:v>14</x:v>
      </x:c>
      <x:c r="I232" s="13" t="n">
        <x:v>0</x:v>
      </x:c>
      <x:c r="J232" s="13" t="n">
        <x:v>37507897.09</x:v>
      </x:c>
      <x:c r="K232" s="13" t="n">
        <x:v>37507897.09</x:v>
      </x:c>
      <x:c r="L232" s="13" t="n">
        <x:v>133</x:v>
      </x:c>
      <x:c r="M232" s="13" t="n">
        <x:v>0.02014388489208633</x:v>
      </x:c>
      <x:c r="N232" s="13" t="n">
        <x:v>0</x:v>
      </x:c>
      <x:c r="O232" s="13" t="n">
        <x:v>0.15931871289165145</x:v>
      </x:c>
      <x:c r="P232" s="13" t="n">
        <x:v>0.2852732579042063</x:v>
      </x:c>
      <x:c r="Q232" s="13" t="n">
        <x:v>1013726.9483783783</x:v>
      </x:c>
      <x:c r="R232" s="13" t="n">
        <x:v>1.712433819353572</x:v>
      </x:c>
      <x:c r="S232" s="13" t="n">
        <x:v>0.10014948075817952</x:v>
      </x:c>
      <x:c r="T232" s="13" t="n">
        <x:v>36</x:v>
      </x:c>
      <x:c r="U232" s="13" t="n">
        <x:v>408</x:v>
      </x:c>
      <x:c r="V232" s="13" t="n">
        <x:v>370</x:v>
      </x:c>
      <x:c r="W232" s="13" t="n">
        <x:v>38</x:v>
      </x:c>
      <x:c r="X232" s="13" t="n">
        <x:v>0</x:v>
      </x:c>
      <x:c r="Y232" s="13" t="n">
        <x:v>36095851.29</x:v>
      </x:c>
      <x:c r="Z232" s="13" t="n">
        <x:v>36095851.29</x:v>
      </x:c>
      <x:c r="AA232" s="13" t="n">
        <x:v>8</x:v>
      </x:c>
      <x:c r="AB232" s="13" t="n">
        <x:v>0.09313725490196079</x:v>
      </x:c>
      <x:c r="AC232" s="13" t="n">
        <x:v>0</x:v>
      </x:c>
      <x:c r="AD232" s="13" t="n">
        <x:v>0.2996481909633847</x:v>
      </x:c>
      <x:c r="AE232" s="13" t="n">
        <x:v>0.4020267961936187</x:v>
      </x:c>
      <x:c r="AF232" s="13" t="n">
        <x:v>975563.5483783785</x:v>
      </x:c>
      <x:c r="AG232" s="13" t="n">
        <x:v>1.3344585471232602</x:v>
      </x:c>
      <x:c r="AH232" s="13" t="n">
        <x:v>0.08852966249311192</x:v>
      </x:c>
      <x:c r="AI232" s="13" t="n">
        <x:v>24</x:v>
      </x:c>
      <x:c r="AJ232" s="13" t="n">
        <x:v>-1412045.8000000045</x:v>
      </x:c>
      <x:c r="AK232" s="13" t="n">
        <x:v>1.0391193378057604</x:v>
      </x:c>
      <x:c r="AL232" s="13" t="n">
        <x:v>0.0471441523118767</x:v>
      </x:c>
      <x:c r="AM232" s="13" t="n">
        <x:v>0</x:v>
      </x:c>
      <x:c r="AN232" s="13" t="n">
        <x:v>0.22948345192751807</x:v>
      </x:c>
      <x:c r="AO232" s="13" t="n">
        <x:v>1.523446183238416</x:v>
      </x:c>
      <x:c r="AP232" s="13" t="n">
        <x:v>0.09433957162564571</x:v>
      </x:c>
    </x:row>
    <x:row r="233" ht="15" hidden="0" customHeight="1">
      <x:c r="A233" s="2" t="str">
        <x:v>E232</x:v>
      </x:c>
      <x:c r="B233" s="2" t="str">
        <x:v>***投资发展有限责任公司</x:v>
      </x:c>
      <x:c r="C233" s="2" t="str">
        <x:v>无信贷记录</x:v>
      </x:c>
      <x:c r="D233" s="2" t="str"/>
      <x:c r="E233" s="2" t="str"/>
      <x:c r="F233" s="13" t="n">
        <x:v>828</x:v>
      </x:c>
      <x:c r="G233" s="13" t="n">
        <x:v>782</x:v>
      </x:c>
      <x:c r="H233" s="13" t="n">
        <x:v>46</x:v>
      </x:c>
      <x:c r="I233" s="13" t="n">
        <x:v>39</x:v>
      </x:c>
      <x:c r="J233" s="13" t="n">
        <x:v>37485137.519999996</x:v>
      </x:c>
      <x:c r="K233" s="13" t="n">
        <x:v>42138102.58</x:v>
      </x:c>
      <x:c r="L233" s="13" t="n">
        <x:v>153</x:v>
      </x:c>
      <x:c r="M233" s="13" t="n">
        <x:v>0.05555555555555555</x:v>
      </x:c>
      <x:c r="N233" s="13" t="n">
        <x:v>0.04853794642857142</x:v>
      </x:c>
      <x:c r="O233" s="13" t="n">
        <x:v>0.6298778394358212</x:v>
      </x:c>
      <x:c r="P233" s="13" t="n">
        <x:v>0.7888764938309665</x:v>
      </x:c>
      <x:c r="Q233" s="13" t="n">
        <x:v>986450.9873684209</x:v>
      </x:c>
      <x:c r="R233" s="13" t="n">
        <x:v>2.2173484045419927</x:v>
      </x:c>
      <x:c r="S233" s="13" t="n">
        <x:v>-0.02555458402361704</x:v>
      </x:c>
      <x:c r="T233" s="13" t="n">
        <x:v>38</x:v>
      </x:c>
      <x:c r="U233" s="13" t="n">
        <x:v>118</x:v>
      </x:c>
      <x:c r="V233" s="13" t="n">
        <x:v>113</x:v>
      </x:c>
      <x:c r="W233" s="13" t="n">
        <x:v>5</x:v>
      </x:c>
      <x:c r="X233" s="13" t="n">
        <x:v>9</x:v>
      </x:c>
      <x:c r="Y233" s="13" t="n">
        <x:v>50848962.720000006</x:v>
      </x:c>
      <x:c r="Z233" s="13" t="n">
        <x:v>68385509.63999999</x:v>
      </x:c>
      <x:c r="AA233" s="13" t="n">
        <x:v>5</x:v>
      </x:c>
      <x:c r="AB233" s="13" t="n">
        <x:v>0.0423728813559322</x:v>
      </x:c>
      <x:c r="AC233" s="13" t="n">
        <x:v>0.07964601769911504</x:v>
      </x:c>
      <x:c r="AD233" s="13" t="n">
        <x:v>0.4995922859876014</x:v>
      </x:c>
      <x:c r="AE233" s="13" t="n">
        <x:v>0.5981607284253325</x:v>
      </x:c>
      <x:c r="AF233" s="13" t="n">
        <x:v>1955729.3353846157</x:v>
      </x:c>
      <x:c r="AG233" s="13" t="n">
        <x:v>2.5829623687411303</x:v>
      </x:c>
      <x:c r="AH233" s="13" t="n">
        <x:v>-0.05449560074169577</x:v>
      </x:c>
      <x:c r="AI233" s="13" t="n">
        <x:v>9</x:v>
      </x:c>
      <x:c r="AJ233" s="13" t="n">
        <x:v>13363825.20000001</x:v>
      </x:c>
      <x:c r="AK233" s="13" t="n">
        <x:v>0.616184668387009</x:v>
      </x:c>
      <x:c r="AL233" s="13" t="n">
        <x:v>0.05391120507399577</x:v>
      </x:c>
      <x:c r="AM233" s="13" t="n">
        <x:v>0.053631284916201116</x:v>
      </x:c>
      <x:c r="AN233" s="13" t="n">
        <x:v>0.5647350627117114</x:v>
      </x:c>
      <x:c r="AO233" s="13" t="n">
        <x:v>2.4001553866415613</x:v>
      </x:c>
      <x:c r="AP233" s="13" t="n">
        <x:v>-0.040025092382656405</x:v>
      </x:c>
    </x:row>
    <x:row r="234" ht="15" hidden="0" customHeight="1">
      <x:c r="A234" s="2" t="str">
        <x:v>E233</x:v>
      </x:c>
      <x:c r="B234" s="2" t="str">
        <x:v>***劳务有限公司</x:v>
      </x:c>
      <x:c r="C234" s="2" t="str">
        <x:v>无信贷记录</x:v>
      </x:c>
      <x:c r="D234" s="2" t="str"/>
      <x:c r="E234" s="2" t="str"/>
      <x:c r="F234" s="13" t="n">
        <x:v>727</x:v>
      </x:c>
      <x:c r="G234" s="13" t="n">
        <x:v>718</x:v>
      </x:c>
      <x:c r="H234" s="13" t="n">
        <x:v>9</x:v>
      </x:c>
      <x:c r="I234" s="13" t="n">
        <x:v>0</x:v>
      </x:c>
      <x:c r="J234" s="13" t="n">
        <x:v>434065.06999999995</x:v>
      </x:c>
      <x:c r="K234" s="13" t="n">
        <x:v>434065.06999999995</x:v>
      </x:c>
      <x:c r="L234" s="13" t="n">
        <x:v>194</x:v>
      </x:c>
      <x:c r="M234" s="13" t="n">
        <x:v>0.012379642365887207</x:v>
      </x:c>
      <x:c r="N234" s="13" t="n">
        <x:v>0</x:v>
      </x:c>
      <x:c r="O234" s="13" t="n">
        <x:v>0.027142346827709992</x:v>
      </x:c>
      <x:c r="P234" s="13" t="n">
        <x:v>0.08178497293044105</x:v>
      </x:c>
      <x:c r="Q234" s="13" t="n">
        <x:v>16694.810384615383</x:v>
      </x:c>
      <x:c r="R234" s="13" t="n">
        <x:v>1.055115389664457</x:v>
      </x:c>
      <x:c r="S234" s="13" t="n">
        <x:v>0.11234480581447638</x:v>
      </x:c>
      <x:c r="T234" s="13" t="n">
        <x:v>26</x:v>
      </x:c>
      <x:c r="U234" s="13" t="n">
        <x:v>238</x:v>
      </x:c>
      <x:c r="V234" s="13" t="n">
        <x:v>223</x:v>
      </x:c>
      <x:c r="W234" s="13" t="n">
        <x:v>15</x:v>
      </x:c>
      <x:c r="X234" s="13" t="n">
        <x:v>0</x:v>
      </x:c>
      <x:c r="Y234" s="13" t="n">
        <x:v>21424903.54</x:v>
      </x:c>
      <x:c r="Z234" s="13" t="n">
        <x:v>21424903.54</x:v>
      </x:c>
      <x:c r="AA234" s="13" t="n">
        <x:v>3</x:v>
      </x:c>
      <x:c r="AB234" s="13" t="n">
        <x:v>0.06302521008403361</x:v>
      </x:c>
      <x:c r="AC234" s="13" t="n">
        <x:v>0</x:v>
      </x:c>
      <x:c r="AD234" s="13" t="n">
        <x:v>0.8583732714688456</x:v>
      </x:c>
      <x:c r="AE234" s="13" t="n">
        <x:v>0.9239996578299647</x:v>
      </x:c>
      <x:c r="AF234" s="13" t="n">
        <x:v>892704.3141666668</x:v>
      </x:c>
      <x:c r="AG234" s="13" t="n">
        <x:v>2.510833408106577</x:v>
      </x:c>
      <x:c r="AH234" s="13" t="n">
        <x:v>0.12031994961804833</x:v>
      </x:c>
      <x:c r="AI234" s="13" t="n">
        <x:v>9</x:v>
      </x:c>
      <x:c r="AJ234" s="13" t="n">
        <x:v>20990838.47</x:v>
      </x:c>
      <x:c r="AK234" s="13" t="n">
        <x:v>0.02025983777194639</x:v>
      </x:c>
      <x:c r="AL234" s="13" t="n">
        <x:v>0.024870466321243522</x:v>
      </x:c>
      <x:c r="AM234" s="13" t="n">
        <x:v>0</x:v>
      </x:c>
      <x:c r="AN234" s="13" t="n">
        <x:v>0.4427578091482778</x:v>
      </x:c>
      <x:c r="AO234" s="13" t="n">
        <x:v>1.782974398885517</x:v>
      </x:c>
      <x:c r="AP234" s="13" t="n">
        <x:v>0.11633237771626236</x:v>
      </x:c>
    </x:row>
    <x:row r="235" ht="15" hidden="0" customHeight="1">
      <x:c r="A235" s="2" t="str">
        <x:v>E234</x:v>
      </x:c>
      <x:c r="B235" s="2" t="str">
        <x:v>***机电设备商贸有限公司</x:v>
      </x:c>
      <x:c r="C235" s="2" t="str">
        <x:v>无信贷记录</x:v>
      </x:c>
      <x:c r="D235" s="2" t="str"/>
      <x:c r="E235" s="2" t="str"/>
      <x:c r="F235" s="13" t="n">
        <x:v>946</x:v>
      </x:c>
      <x:c r="G235" s="13" t="n">
        <x:v>919</x:v>
      </x:c>
      <x:c r="H235" s="13" t="n">
        <x:v>27</x:v>
      </x:c>
      <x:c r="I235" s="13" t="n">
        <x:v>1</x:v>
      </x:c>
      <x:c r="J235" s="13" t="n">
        <x:v>5003351.24</x:v>
      </x:c>
      <x:c r="K235" s="13" t="n">
        <x:v>5003677.140000001</x:v>
      </x:c>
      <x:c r="L235" s="13" t="n">
        <x:v>205</x:v>
      </x:c>
      <x:c r="M235" s="13" t="n">
        <x:v>0.02854122621564482</x:v>
      </x:c>
      <x:c r="N235" s="13" t="n">
        <x:v>0.001088139281828074</x:v>
      </x:c>
      <x:c r="O235" s="13" t="n">
        <x:v>0.1388125442685093</x:v>
      </x:c>
      <x:c r="P235" s="13" t="n">
        <x:v>0.31333056792709046</x:v>
      </x:c>
      <x:c r="Q235" s="13" t="n">
        <x:v>172529.3531034483</x:v>
      </x:c>
      <x:c r="R235" s="13" t="n">
        <x:v>0.9410112078525891</x:v>
      </x:c>
      <x:c r="S235" s="13" t="n">
        <x:v>0.02000418803297918</x:v>
      </x:c>
      <x:c r="T235" s="13" t="n">
        <x:v>29</x:v>
      </x:c>
      <x:c r="U235" s="13" t="n">
        <x:v>604</x:v>
      </x:c>
      <x:c r="V235" s="13" t="n">
        <x:v>580</x:v>
      </x:c>
      <x:c r="W235" s="13" t="n">
        <x:v>24</x:v>
      </x:c>
      <x:c r="X235" s="13" t="n">
        <x:v>4</x:v>
      </x:c>
      <x:c r="Y235" s="13" t="n">
        <x:v>45726858.37</x:v>
      </x:c>
      <x:c r="Z235" s="13" t="n">
        <x:v>46525838.37</x:v>
      </x:c>
      <x:c r="AA235" s="13" t="n">
        <x:v>137</x:v>
      </x:c>
      <x:c r="AB235" s="13" t="n">
        <x:v>0.039735099337748346</x:v>
      </x:c>
      <x:c r="AC235" s="13" t="n">
        <x:v>0.006896551724137931</x:v>
      </x:c>
      <x:c r="AD235" s="13" t="n">
        <x:v>0.01950891733652917</x:v>
      </x:c>
      <x:c r="AE235" s="13" t="n">
        <x:v>0.05360709290535241</x:v>
      </x:c>
      <x:c r="AF235" s="13" t="n">
        <x:v>1576788.2196551727</x:v>
      </x:c>
      <x:c r="AG235" s="13" t="n">
        <x:v>0.6629137183274971</x:v>
      </x:c>
      <x:c r="AH235" s="13" t="n">
        <x:v>0.015493362359451207</x:v>
      </x:c>
      <x:c r="AI235" s="13" t="n">
        <x:v>29</x:v>
      </x:c>
      <x:c r="AJ235" s="13" t="n">
        <x:v>40723507.129999995</x:v>
      </x:c>
      <x:c r="AK235" s="13" t="n">
        <x:v>0.10754620046194346</x:v>
      </x:c>
      <x:c r="AL235" s="13" t="n">
        <x:v>0.032903225806451615</x:v>
      </x:c>
      <x:c r="AM235" s="13" t="n">
        <x:v>0.00333555703802535</x:v>
      </x:c>
      <x:c r="AN235" s="13" t="n">
        <x:v>0.07916073080251924</x:v>
      </x:c>
      <x:c r="AO235" s="13" t="n">
        <x:v>0.801962463090043</x:v>
      </x:c>
      <x:c r="AP235" s="13" t="n">
        <x:v>0.017748775196215195</x:v>
      </x:c>
    </x:row>
    <x:row r="236" ht="15" hidden="0" customHeight="1">
      <x:c r="A236" s="2" t="str">
        <x:v>E235</x:v>
      </x:c>
      <x:c r="B236" s="2" t="str">
        <x:v>个体经营E235 </x:v>
      </x:c>
      <x:c r="C236" s="2" t="str">
        <x:v>无信贷记录</x:v>
      </x:c>
      <x:c r="D236" s="2" t="str"/>
      <x:c r="E236" s="2" t="str"/>
      <x:c r="F236" s="13" t="n">
        <x:v>612</x:v>
      </x:c>
      <x:c r="G236" s="13" t="n">
        <x:v>593</x:v>
      </x:c>
      <x:c r="H236" s="13" t="n">
        <x:v>19</x:v>
      </x:c>
      <x:c r="I236" s="13" t="n">
        <x:v>0</x:v>
      </x:c>
      <x:c r="J236" s="13" t="n">
        <x:v>16186123.559999999</x:v>
      </x:c>
      <x:c r="K236" s="13" t="n">
        <x:v>16186123.559999999</x:v>
      </x:c>
      <x:c r="L236" s="13" t="n">
        <x:v>122</x:v>
      </x:c>
      <x:c r="M236" s="13" t="n">
        <x:v>0.03104575163398693</x:v>
      </x:c>
      <x:c r="N236" s="13" t="n">
        <x:v>0</x:v>
      </x:c>
      <x:c r="O236" s="13" t="n">
        <x:v>0.5852163586745532</x:v>
      </x:c>
      <x:c r="P236" s="13" t="n">
        <x:v>0.7612823832910367</x:v>
      </x:c>
      <x:c r="Q236" s="13" t="n">
        <x:v>539537.452</x:v>
      </x:c>
      <x:c r="R236" s="13" t="n">
        <x:v>0.846113495220609</x:v>
      </x:c>
      <x:c r="S236" s="13" t="n">
        <x:v>0.013864549030740171</x:v>
      </x:c>
      <x:c r="T236" s="13" t="n">
        <x:v>29</x:v>
      </x:c>
      <x:c r="U236" s="13" t="n">
        <x:v>1014</x:v>
      </x:c>
      <x:c r="V236" s="13" t="n">
        <x:v>944</x:v>
      </x:c>
      <x:c r="W236" s="13" t="n">
        <x:v>70</x:v>
      </x:c>
      <x:c r="X236" s="13" t="n">
        <x:v>4</x:v>
      </x:c>
      <x:c r="Y236" s="13" t="n">
        <x:v>46137309.84</x:v>
      </x:c>
      <x:c r="Z236" s="13" t="n">
        <x:v>46804069.84</x:v>
      </x:c>
      <x:c r="AA236" s="13" t="n">
        <x:v>192</x:v>
      </x:c>
      <x:c r="AB236" s="13" t="n">
        <x:v>0.06903353057199212</x:v>
      </x:c>
      <x:c r="AC236" s="13" t="n">
        <x:v>0.00423728813559322</x:v>
      </x:c>
      <x:c r="AD236" s="13" t="n">
        <x:v>0.09977533776309519</x:v>
      </x:c>
      <x:c r="AE236" s="13" t="n">
        <x:v>0.20005382078970083</x:v>
      </x:c>
      <x:c r="AF236" s="13" t="n">
        <x:v>1318208.8525714288</x:v>
      </x:c>
      <x:c r="AG236" s="13" t="n">
        <x:v>0.6599121803118483</x:v>
      </x:c>
      <x:c r="AH236" s="13" t="n">
        <x:v>0.03283228039065169</x:v>
      </x:c>
      <x:c r="AI236" s="13" t="n">
        <x:v>35</x:v>
      </x:c>
      <x:c r="AJ236" s="13" t="n">
        <x:v>29951186.280000005</x:v>
      </x:c>
      <x:c r="AK236" s="13" t="n">
        <x:v>0.34582726705887673</x:v>
      </x:c>
      <x:c r="AL236" s="13" t="n">
        <x:v>0.054735547355473556</x:v>
      </x:c>
      <x:c r="AM236" s="13" t="n">
        <x:v>0.002602472348731295</x:v>
      </x:c>
      <x:c r="AN236" s="13" t="n">
        <x:v>0.34249584821882423</x:v>
      </x:c>
      <x:c r="AO236" s="13" t="n">
        <x:v>0.7530128377662286</x:v>
      </x:c>
      <x:c r="AP236" s="13" t="n">
        <x:v>0.02334841471069593</x:v>
      </x:c>
    </x:row>
    <x:row r="237" ht="15" hidden="0" customHeight="1">
      <x:c r="A237" s="2" t="str">
        <x:v>E236</x:v>
      </x:c>
      <x:c r="B237" s="2" t="str">
        <x:v>个体经营E236 </x:v>
      </x:c>
      <x:c r="C237" s="2" t="str">
        <x:v>无信贷记录</x:v>
      </x:c>
      <x:c r="D237" s="2" t="str"/>
      <x:c r="E237" s="2" t="str"/>
      <x:c r="F237" s="13" t="n">
        <x:v>204</x:v>
      </x:c>
      <x:c r="G237" s="13" t="n">
        <x:v>197</x:v>
      </x:c>
      <x:c r="H237" s="13" t="n">
        <x:v>7</x:v>
      </x:c>
      <x:c r="I237" s="13" t="n">
        <x:v>1</x:v>
      </x:c>
      <x:c r="J237" s="13" t="n">
        <x:v>5311970.83</x:v>
      </x:c>
      <x:c r="K237" s="13" t="n">
        <x:v>5323700.83</x:v>
      </x:c>
      <x:c r="L237" s="13" t="n">
        <x:v>69</x:v>
      </x:c>
      <x:c r="M237" s="13" t="n">
        <x:v>0.03431372549019608</x:v>
      </x:c>
      <x:c r="N237" s="13" t="n">
        <x:v>0.005076142131979695</x:v>
      </x:c>
      <x:c r="O237" s="13" t="n">
        <x:v>0.21134887792680251</x:v>
      </x:c>
      <x:c r="P237" s="13" t="n">
        <x:v>0.3944624363875083</x:v>
      </x:c>
      <x:c r="Q237" s="13" t="n">
        <x:v>177065.69433333332</x:v>
      </x:c>
      <x:c r="R237" s="13" t="n">
        <x:v>3.136303787729106</x:v>
      </x:c>
      <x:c r="S237" s="13" t="n">
        <x:v>0.006050718949147171</x:v>
      </x:c>
      <x:c r="T237" s="13" t="n">
        <x:v>29</x:v>
      </x:c>
      <x:c r="U237" s="13" t="n">
        <x:v>667</x:v>
      </x:c>
      <x:c r="V237" s="13" t="n">
        <x:v>518</x:v>
      </x:c>
      <x:c r="W237" s="13" t="n">
        <x:v>149</x:v>
      </x:c>
      <x:c r="X237" s="13" t="n">
        <x:v>13</x:v>
      </x:c>
      <x:c r="Y237" s="13" t="n">
        <x:v>47344025.099999994</x:v>
      </x:c>
      <x:c r="Z237" s="13" t="n">
        <x:v>49844025.099999994</x:v>
      </x:c>
      <x:c r="AA237" s="13" t="n">
        <x:v>30</x:v>
      </x:c>
      <x:c r="AB237" s="13" t="n">
        <x:v>0.22338830584707647</x:v>
      </x:c>
      <x:c r="AC237" s="13" t="n">
        <x:v>0.025096525096525095</x:v>
      </x:c>
      <x:c r="AD237" s="13" t="n">
        <x:v>0.22317874323136716</x:v>
      </x:c>
      <x:c r="AE237" s="13" t="n">
        <x:v>0.37035532268841587</x:v>
      </x:c>
      <x:c r="AF237" s="13" t="n">
        <x:v>1392471.3264705883</x:v>
      </x:c>
      <x:c r="AG237" s="13" t="n">
        <x:v>1.2597712734318565</x:v>
      </x:c>
      <x:c r="AH237" s="13" t="n">
        <x:v>-0.006136963892650253</x:v>
      </x:c>
      <x:c r="AI237" s="13" t="n">
        <x:v>24</x:v>
      </x:c>
      <x:c r="AJ237" s="13" t="n">
        <x:v>42032054.269999996</x:v>
      </x:c>
      <x:c r="AK237" s="13" t="n">
        <x:v>0.10680720145131298</x:v>
      </x:c>
      <x:c r="AL237" s="13" t="n">
        <x:v>0.1791044776119403</x:v>
      </x:c>
      <x:c r="AM237" s="13" t="n">
        <x:v>0.019580419580419582</x:v>
      </x:c>
      <x:c r="AN237" s="13" t="n">
        <x:v>0.21726381057908484</x:v>
      </x:c>
      <x:c r="AO237" s="13" t="n">
        <x:v>2.198037530580481</x:v>
      </x:c>
      <x:c r="AP237" s="13" t="n">
        <x:v>-0.00004312247175154108</x:v>
      </x:c>
    </x:row>
    <x:row r="238" ht="15" hidden="0" customHeight="1">
      <x:c r="A238" s="2" t="str">
        <x:v>E237</x:v>
      </x:c>
      <x:c r="B238" s="2" t="str">
        <x:v>个体经营E237 </x:v>
      </x:c>
      <x:c r="C238" s="2" t="str">
        <x:v>无信贷记录</x:v>
      </x:c>
      <x:c r="D238" s="2" t="str"/>
      <x:c r="E238" s="2" t="str"/>
      <x:c r="F238" s="13" t="n">
        <x:v>1937</x:v>
      </x:c>
      <x:c r="G238" s="13" t="n">
        <x:v>1900</x:v>
      </x:c>
      <x:c r="H238" s="13" t="n">
        <x:v>37</x:v>
      </x:c>
      <x:c r="I238" s="13" t="n">
        <x:v>104</x:v>
      </x:c>
      <x:c r="J238" s="13" t="n">
        <x:v>18682233.07</x:v>
      </x:c>
      <x:c r="K238" s="13" t="n">
        <x:v>27742917.790000003</x:v>
      </x:c>
      <x:c r="L238" s="13" t="n">
        <x:v>325</x:v>
      </x:c>
      <x:c r="M238" s="13" t="n">
        <x:v>0.019101703665462055</x:v>
      </x:c>
      <x:c r="N238" s="13" t="n">
        <x:v>0.04853794642857142</x:v>
      </x:c>
      <x:c r="O238" s="13" t="n">
        <x:v>0.2601640221928904</x:v>
      </x:c>
      <x:c r="P238" s="13" t="n">
        <x:v>0.47497118723214155</x:v>
      </x:c>
      <x:c r="Q238" s="13" t="n">
        <x:v>667222.609642857</x:v>
      </x:c>
      <x:c r="R238" s="13" t="n">
        <x:v>1.3029589658244474</x:v>
      </x:c>
      <x:c r="S238" s="13" t="n">
        <x:v>0.09217342840164736</x:v>
      </x:c>
      <x:c r="T238" s="13" t="n">
        <x:v>27</x:v>
      </x:c>
      <x:c r="U238" s="13" t="n">
        <x:v>295</x:v>
      </x:c>
      <x:c r="V238" s="13" t="n">
        <x:v>221</x:v>
      </x:c>
      <x:c r="W238" s="13" t="n">
        <x:v>74</x:v>
      </x:c>
      <x:c r="X238" s="13" t="n">
        <x:v>0</x:v>
      </x:c>
      <x:c r="Y238" s="13" t="n">
        <x:v>21652041.88</x:v>
      </x:c>
      <x:c r="Z238" s="13" t="n">
        <x:v>21652041.88</x:v>
      </x:c>
      <x:c r="AA238" s="13" t="n">
        <x:v>35</x:v>
      </x:c>
      <x:c r="AB238" s="13" t="n">
        <x:v>0.25084745762711863</x:v>
      </x:c>
      <x:c r="AC238" s="13" t="n">
        <x:v>0</x:v>
      </x:c>
      <x:c r="AD238" s="13" t="n">
        <x:v>0.3079087420012223</x:v>
      </x:c>
      <x:c r="AE238" s="13" t="n">
        <x:v>0.43136809229190354</x:v>
      </x:c>
      <x:c r="AF238" s="13" t="n">
        <x:v>1273649.522352941</x:v>
      </x:c>
      <x:c r="AG238" s="13" t="n">
        <x:v>1.0693461967554205</x:v>
      </x:c>
      <x:c r="AH238" s="13" t="n">
        <x:v>0.05493586124235471</x:v>
      </x:c>
      <x:c r="AI238" s="13" t="n">
        <x:v>13</x:v>
      </x:c>
      <x:c r="AJ238" s="13" t="n">
        <x:v>2969808.8099999987</x:v>
      </x:c>
      <x:c r="AK238" s="13" t="n">
        <x:v>1.2813072293022927</x:v>
      </x:c>
      <x:c r="AL238" s="13" t="n">
        <x:v>0.04973118279569892</x:v>
      </x:c>
      <x:c r="AM238" s="13" t="n">
        <x:v>0.04903347477604903</x:v>
      </x:c>
      <x:c r="AN238" s="13" t="n">
        <x:v>0.2840363820970564</x:v>
      </x:c>
      <x:c r="AO238" s="13" t="n">
        <x:v>1.1861525812899338</x:v>
      </x:c>
      <x:c r="AP238" s="13" t="n">
        <x:v>0.07355464482200103</x:v>
      </x:c>
    </x:row>
    <x:row r="239" ht="15" hidden="0" customHeight="1">
      <x:c r="A239" s="2" t="str">
        <x:v>E238</x:v>
      </x:c>
      <x:c r="B239" s="2" t="str">
        <x:v>个体经营E238 </x:v>
      </x:c>
      <x:c r="C239" s="2" t="str">
        <x:v>无信贷记录</x:v>
      </x:c>
      <x:c r="D239" s="2" t="str"/>
      <x:c r="E239" s="2" t="str"/>
      <x:c r="F239" s="13" t="n">
        <x:v>3899</x:v>
      </x:c>
      <x:c r="G239" s="13" t="n">
        <x:v>3808</x:v>
      </x:c>
      <x:c r="H239" s="13" t="n">
        <x:v>91</x:v>
      </x:c>
      <x:c r="I239" s="13" t="n">
        <x:v>23</x:v>
      </x:c>
      <x:c r="J239" s="13" t="n">
        <x:v>17066655.729999997</x:v>
      </x:c>
      <x:c r="K239" s="13" t="n">
        <x:v>17438177.729999997</x:v>
      </x:c>
      <x:c r="L239" s="13" t="n">
        <x:v>762</x:v>
      </x:c>
      <x:c r="M239" s="13" t="n">
        <x:v>0.02333931777378815</x:v>
      </x:c>
      <x:c r="N239" s="13" t="n">
        <x:v>0.006039915966386555</x:v>
      </x:c>
      <x:c r="O239" s="13" t="n">
        <x:v>0.11688304711286886</x:v>
      </x:c>
      <x:c r="P239" s="13" t="n">
        <x:v>0.30026600720968794</x:v>
      </x:c>
      <x:c r="Q239" s="13" t="n">
        <x:v>550537.2816129033</x:v>
      </x:c>
      <x:c r="R239" s="13" t="n">
        <x:v>0.7746620735308026</x:v>
      </x:c>
      <x:c r="S239" s="13" t="n">
        <x:v>0.03253860771907648</x:v>
      </x:c>
      <x:c r="T239" s="13" t="n">
        <x:v>31</x:v>
      </x:c>
      <x:c r="U239" s="13" t="n">
        <x:v>11455.639999999989</x:v>
      </x:c>
      <x:c r="V239" s="13" t="n">
        <x:v>10722.759999999987</x:v>
      </x:c>
      <x:c r="W239" s="13" t="n">
        <x:v>809.7599999999993</x:v>
      </x:c>
      <x:c r="X239" s="13" t="n">
        <x:v>352.83999999999946</x:v>
      </x:c>
      <x:c r="Y239" s="13" t="n">
        <x:v>59815279.75</x:v>
      </x:c>
      <x:c r="Z239" s="13" t="n">
        <x:v>68790425.75</x:v>
      </x:c>
      <x:c r="AA239" s="13" t="n">
        <x:v>2259</x:v>
      </x:c>
      <x:c r="AB239" s="13" t="n">
        <x:v>0.06852035749751738</x:v>
      </x:c>
      <x:c r="AC239" s="13" t="n">
        <x:v>0.04948471926083867</x:v>
      </x:c>
      <x:c r="AD239" s="13" t="n">
        <x:v>0.004886626984096743</x:v>
      </x:c>
      <x:c r="AE239" s="13" t="n">
        <x:v>0.0343133643548063</x:v>
      </x:c>
      <x:c r="AF239" s="13" t="n">
        <x:v>1661535.548611111</x:v>
      </x:c>
      <x:c r="AG239" s="13" t="n">
        <x:v>0.4232822264992017</x:v>
      </x:c>
      <x:c r="AH239" s="13" t="n">
        <x:v>-0.005868955232260926</x:v>
      </x:c>
      <x:c r="AI239" s="13" t="n">
        <x:v>36</x:v>
      </x:c>
      <x:c r="AJ239" s="13" t="n">
        <x:v>42748624.02</x:v>
      </x:c>
      <x:c r="AK239" s="13" t="n">
        <x:v>0.25349716243034004</x:v>
      </x:c>
      <x:c r="AL239" s="13" t="n">
        <x:v>0.05749859225427016</x:v>
      </x:c>
      <x:c r="AM239" s="13" t="n">
        <x:v>0.038502389803505045</x:v>
      </x:c>
      <x:c r="AN239" s="13" t="n">
        <x:v>0.06035055425155526</x:v>
      </x:c>
      <x:c r="AO239" s="13" t="n">
        <x:v>0.5989721500150021</x:v>
      </x:c>
      <x:c r="AP239" s="13" t="n">
        <x:v>0.013334826243407778</x:v>
      </x:c>
    </x:row>
    <x:row r="240" ht="15" hidden="0" customHeight="1">
      <x:c r="A240" s="2" t="str">
        <x:v>E239</x:v>
      </x:c>
      <x:c r="B240" s="2" t="str">
        <x:v>个体经营E239 </x:v>
      </x:c>
      <x:c r="C240" s="2" t="str">
        <x:v>无信贷记录</x:v>
      </x:c>
      <x:c r="D240" s="2" t="str"/>
      <x:c r="E240" s="2" t="str"/>
      <x:c r="F240" s="13" t="n">
        <x:v>379</x:v>
      </x:c>
      <x:c r="G240" s="13" t="n">
        <x:v>367</x:v>
      </x:c>
      <x:c r="H240" s="13" t="n">
        <x:v>12</x:v>
      </x:c>
      <x:c r="I240" s="13" t="n">
        <x:v>5</x:v>
      </x:c>
      <x:c r="J240" s="13" t="n">
        <x:v>29195181.179999996</x:v>
      </x:c>
      <x:c r="K240" s="13" t="n">
        <x:v>29321733.179999996</x:v>
      </x:c>
      <x:c r="L240" s="13" t="n">
        <x:v>46</x:v>
      </x:c>
      <x:c r="M240" s="13" t="n">
        <x:v>0.0316622691292876</x:v>
      </x:c>
      <x:c r="N240" s="13" t="n">
        <x:v>0.013623978201634877</x:v>
      </x:c>
      <x:c r="O240" s="13" t="n">
        <x:v>0.15793947211268564</x:v>
      </x:c>
      <x:c r="P240" s="13" t="n">
        <x:v>0.27247708281615296</x:v>
      </x:c>
      <x:c r="Q240" s="13" t="n">
        <x:v>884702.46</x:v>
      </x:c>
      <x:c r="R240" s="13" t="n">
        <x:v>1.3320443886581568</x:v>
      </x:c>
      <x:c r="S240" s="13" t="n">
        <x:v>0.06954782465601915</x:v>
      </x:c>
      <x:c r="T240" s="13" t="n">
        <x:v>27</x:v>
      </x:c>
      <x:c r="U240" s="13" t="n">
        <x:v>348</x:v>
      </x:c>
      <x:c r="V240" s="13" t="n">
        <x:v>306</x:v>
      </x:c>
      <x:c r="W240" s="13" t="n">
        <x:v>42</x:v>
      </x:c>
      <x:c r="X240" s="13" t="n">
        <x:v>3</x:v>
      </x:c>
      <x:c r="Y240" s="13" t="n">
        <x:v>30013903.130000003</x:v>
      </x:c>
      <x:c r="Z240" s="13" t="n">
        <x:v>30587903.130000003</x:v>
      </x:c>
      <x:c r="AA240" s="13" t="n">
        <x:v>34</x:v>
      </x:c>
      <x:c r="AB240" s="13" t="n">
        <x:v>0.1206896551724138</x:v>
      </x:c>
      <x:c r="AC240" s="13" t="n">
        <x:v>0.00980392156862745</x:v>
      </x:c>
      <x:c r="AD240" s="13" t="n">
        <x:v>0.09182776937638541</x:v>
      </x:c>
      <x:c r="AE240" s="13" t="n">
        <x:v>0.2029924926076487</x:v>
      </x:c>
      <x:c r="AF240" s="13" t="n">
        <x:v>1250579.2970833334</x:v>
      </x:c>
      <x:c r="AG240" s="13" t="n">
        <x:v>0.9455514415244689</x:v>
      </x:c>
      <x:c r="AH240" s="13" t="n">
        <x:v>0.05544493415169689</x:v>
      </x:c>
      <x:c r="AI240" s="13" t="n">
        <x:v>24</x:v>
      </x:c>
      <x:c r="AJ240" s="13" t="n">
        <x:v>818721.9500000067</x:v>
      </x:c>
      <x:c r="AK240" s="13" t="n">
        <x:v>0.9586055328925711</x:v>
      </x:c>
      <x:c r="AL240" s="13" t="n">
        <x:v>0.07427785419532325</x:v>
      </x:c>
      <x:c r="AM240" s="13" t="n">
        <x:v>0.01188707280832095</x:v>
      </x:c>
      <x:c r="AN240" s="13" t="n">
        <x:v>0.12488362074453552</x:v>
      </x:c>
      <x:c r="AO240" s="13" t="n">
        <x:v>1.1387979150913128</x:v>
      </x:c>
      <x:c r="AP240" s="13" t="n">
        <x:v>0.06249637940385802</x:v>
      </x:c>
    </x:row>
    <x:row r="241" ht="15" hidden="0" customHeight="1">
      <x:c r="A241" s="2" t="str">
        <x:v>E240</x:v>
      </x:c>
      <x:c r="B241" s="2" t="str">
        <x:v>个体经营E240 </x:v>
      </x:c>
      <x:c r="C241" s="2" t="str">
        <x:v>无信贷记录</x:v>
      </x:c>
      <x:c r="D241" s="2" t="str"/>
      <x:c r="E241" s="2" t="str"/>
      <x:c r="F241" s="13" t="n">
        <x:v>1122</x:v>
      </x:c>
      <x:c r="G241" s="13" t="n">
        <x:v>1085</x:v>
      </x:c>
      <x:c r="H241" s="13" t="n">
        <x:v>37</x:v>
      </x:c>
      <x:c r="I241" s="13" t="n">
        <x:v>1</x:v>
      </x:c>
      <x:c r="J241" s="13" t="n">
        <x:v>31471963.9</x:v>
      </x:c>
      <x:c r="K241" s="13" t="n">
        <x:v>31471968.700000003</x:v>
      </x:c>
      <x:c r="L241" s="13" t="n">
        <x:v>1122</x:v>
      </x:c>
      <x:c r="M241" s="13" t="n">
        <x:v>0.03297682709447415</x:v>
      </x:c>
      <x:c r="N241" s="13" t="n">
        <x:v>0.0009216589861751152</x:v>
      </x:c>
      <x:c r="O241" s="13" t="n">
        <x:v>0.01056490101357329</x:v>
      </x:c>
      <x:c r="P241" s="13" t="n">
        <x:v>0.04137191557692229</x:v>
      </x:c>
      <x:c r="Q241" s="13" t="n">
        <x:v>1258878.5559999999</x:v>
      </x:c>
      <x:c r="R241" s="13" t="n">
        <x:v>1.16521889737921</x:v>
      </x:c>
      <x:c r="S241" s="13" t="n">
        <x:v>-0.015750302653926886</x:v>
      </x:c>
      <x:c r="T241" s="13" t="n">
        <x:v>25</x:v>
      </x:c>
      <x:c r="U241" s="13" t="n">
        <x:v>124</x:v>
      </x:c>
      <x:c r="V241" s="13" t="n">
        <x:v>20</x:v>
      </x:c>
      <x:c r="W241" s="13" t="n">
        <x:v>104</x:v>
      </x:c>
      <x:c r="X241" s="13" t="n">
        <x:v>0</x:v>
      </x:c>
      <x:c r="Y241" s="13" t="n">
        <x:v>17527486.78</x:v>
      </x:c>
      <x:c r="Z241" s="13" t="n">
        <x:v>17527486.78</x:v>
      </x:c>
      <x:c r="AA241" s="13" t="n">
        <x:v>6</x:v>
      </x:c>
      <x:c r="AB241" s="13" t="n">
        <x:v>0.8136218864842784</x:v>
      </x:c>
      <x:c r="AC241" s="13" t="n">
        <x:v>0</x:v>
      </x:c>
      <x:c r="AD241" s="13" t="n">
        <x:v>0.9570172218397113</x:v>
      </x:c>
      <x:c r="AE241" s="13" t="n">
        <x:v>0.9780257429468162</x:v>
      </x:c>
      <x:c r="AF241" s="13" t="n">
        <x:v>834642.2276190476</x:v>
      </x:c>
      <x:c r="AG241" s="13" t="n">
        <x:v>2.5534672496557445</x:v>
      </x:c>
      <x:c r="AH241" s="13" t="n">
        <x:v>0.1360756728301767</x:v>
      </x:c>
      <x:c r="AI241" s="13" t="n">
        <x:v>6</x:v>
      </x:c>
      <x:c r="AJ241" s="13" t="n">
        <x:v>-13944477.119999997</x:v>
      </x:c>
      <x:c r="AK241" s="13" t="n">
        <x:v>1.795577945373866</x:v>
      </x:c>
      <x:c r="AL241" s="13" t="n">
        <x:v>0.11316211878009631</x:v>
      </x:c>
      <x:c r="AM241" s="13" t="n">
        <x:v>0.0009049773755656109</x:v>
      </x:c>
      <x:c r="AN241" s="13" t="n">
        <x:v>0.4834084853513429</x:v>
      </x:c>
      <x:c r="AO241" s="13" t="n">
        <x:v>1.8593430735174772</x:v>
      </x:c>
      <x:c r="AP241" s="13" t="n">
        <x:v>0.06640688358489455</x:v>
      </x:c>
    </x:row>
    <x:row r="242" ht="15" hidden="0" customHeight="1">
      <x:c r="A242" s="2" t="str">
        <x:v>E241</x:v>
      </x:c>
      <x:c r="B242" s="2" t="str">
        <x:v>个体经营E241 </x:v>
      </x:c>
      <x:c r="C242" s="2" t="str">
        <x:v>无信贷记录</x:v>
      </x:c>
      <x:c r="D242" s="2" t="str"/>
      <x:c r="E242" s="2" t="str"/>
      <x:c r="F242" s="13" t="n">
        <x:v>427</x:v>
      </x:c>
      <x:c r="G242" s="13" t="n">
        <x:v>415</x:v>
      </x:c>
      <x:c r="H242" s="13" t="n">
        <x:v>12</x:v>
      </x:c>
      <x:c r="I242" s="13" t="n">
        <x:v>1</x:v>
      </x:c>
      <x:c r="J242" s="13" t="n">
        <x:v>6762265.860000001</x:v>
      </x:c>
      <x:c r="K242" s="13" t="n">
        <x:v>6820665.860000001</x:v>
      </x:c>
      <x:c r="L242" s="13" t="n">
        <x:v>112</x:v>
      </x:c>
      <x:c r="M242" s="13" t="n">
        <x:v>0.02810304449648712</x:v>
      </x:c>
      <x:c r="N242" s="13" t="n">
        <x:v>0.0024096385542168677</x:v>
      </x:c>
      <x:c r="O242" s="13" t="n">
        <x:v>0.0984984047910969</x:v>
      </x:c>
      <x:c r="P242" s="13" t="n">
        <x:v>0.20048058475041614</x:v>
      </x:c>
      <x:c r="Q242" s="13" t="n">
        <x:v>211320.80812499998</x:v>
      </x:c>
      <x:c r="R242" s="13" t="n">
        <x:v>0.958056168345778</x:v>
      </x:c>
      <x:c r="S242" s="13" t="n">
        <x:v>0.00002966634769447711</x:v>
      </x:c>
      <x:c r="T242" s="13" t="n">
        <x:v>29</x:v>
      </x:c>
      <x:c r="U242" s="13" t="n">
        <x:v>794</x:v>
      </x:c>
      <x:c r="V242" s="13" t="n">
        <x:v>721</x:v>
      </x:c>
      <x:c r="W242" s="13" t="n">
        <x:v>73</x:v>
      </x:c>
      <x:c r="X242" s="13" t="n">
        <x:v>5</x:v>
      </x:c>
      <x:c r="Y242" s="13" t="n">
        <x:v>43841347.239999995</x:v>
      </x:c>
      <x:c r="Z242" s="13" t="n">
        <x:v>44237407.84</x:v>
      </x:c>
      <x:c r="AA242" s="13" t="n">
        <x:v>37</x:v>
      </x:c>
      <x:c r="AB242" s="13" t="n">
        <x:v>0.09193954659949623</x:v>
      </x:c>
      <x:c r="AC242" s="13" t="n">
        <x:v>0.006934812760055479</x:v>
      </x:c>
      <x:c r="AD242" s="13" t="n">
        <x:v>0.5641904711625052</x:v>
      </x:c>
      <x:c r="AE242" s="13" t="n">
        <x:v>0.7249719550927466</x:v>
      </x:c>
      <x:c r="AF242" s="13" t="n">
        <x:v>1217815.201111111</x:v>
      </x:c>
      <x:c r="AG242" s="13" t="n">
        <x:v>0.4528350181619936</x:v>
      </x:c>
      <x:c r="AH242" s="13" t="n">
        <x:v>0.0041196944816661515</x:v>
      </x:c>
      <x:c r="AI242" s="13" t="n">
        <x:v>36</x:v>
      </x:c>
      <x:c r="AJ242" s="13" t="n">
        <x:v>37079081.379999995</x:v>
      </x:c>
      <x:c r="AK242" s="13" t="n">
        <x:v>0.15418321716926353</x:v>
      </x:c>
      <x:c r="AL242" s="13" t="n">
        <x:v>0.06961506961506962</x:v>
      </x:c>
      <x:c r="AM242" s="13" t="n">
        <x:v>0.00528169014084507</x:v>
      </x:c>
      <x:c r="AN242" s="13" t="n">
        <x:v>0.331344437976801</x:v>
      </x:c>
      <x:c r="AO242" s="13" t="n">
        <x:v>0.7054455932538858</x:v>
      </x:c>
      <x:c r="AP242" s="13" t="n">
        <x:v>0.002074680414680314</x:v>
      </x:c>
    </x:row>
    <x:row r="243" ht="15" hidden="0" customHeight="1">
      <x:c r="A243" s="2" t="str">
        <x:v>E242</x:v>
      </x:c>
      <x:c r="B243" s="2" t="str">
        <x:v>个体经营E242 </x:v>
      </x:c>
      <x:c r="C243" s="2" t="str">
        <x:v>无信贷记录</x:v>
      </x:c>
      <x:c r="D243" s="2" t="str"/>
      <x:c r="E243" s="2" t="str"/>
      <x:c r="F243" s="13" t="n">
        <x:v>513</x:v>
      </x:c>
      <x:c r="G243" s="13" t="n">
        <x:v>503</x:v>
      </x:c>
      <x:c r="H243" s="13" t="n">
        <x:v>10</x:v>
      </x:c>
      <x:c r="I243" s="13" t="n">
        <x:v>0</x:v>
      </x:c>
      <x:c r="J243" s="13" t="n">
        <x:v>21014215.230000004</x:v>
      </x:c>
      <x:c r="K243" s="13" t="n">
        <x:v>21014215.230000004</x:v>
      </x:c>
      <x:c r="L243" s="13" t="n">
        <x:v>513</x:v>
      </x:c>
      <x:c r="M243" s="13" t="n">
        <x:v>0.01949317738791423</x:v>
      </x:c>
      <x:c r="N243" s="13" t="n">
        <x:v>0</x:v>
      </x:c>
      <x:c r="O243" s="13" t="n">
        <x:v>0.01056490101357329</x:v>
      </x:c>
      <x:c r="P243" s="13" t="n">
        <x:v>0.04137191557692229</x:v>
      </x:c>
      <x:c r="Q243" s="13" t="n">
        <x:v>840568.6092000001</x:v>
      </x:c>
      <x:c r="R243" s="13" t="n">
        <x:v>1.1419800887097864</x:v>
      </x:c>
      <x:c r="S243" s="13" t="n">
        <x:v>0.10234785763416981</x:v>
      </x:c>
      <x:c r="T243" s="13" t="n">
        <x:v>25</x:v>
      </x:c>
      <x:c r="U243" s="13" t="n">
        <x:v>263</x:v>
      </x:c>
      <x:c r="V243" s="13" t="n">
        <x:v>18</x:v>
      </x:c>
      <x:c r="W243" s="13" t="n">
        <x:v>245</x:v>
      </x:c>
      <x:c r="X243" s="13" t="n">
        <x:v>0</x:v>
      </x:c>
      <x:c r="Y243" s="13" t="n">
        <x:v>1736886.7999999998</x:v>
      </x:c>
      <x:c r="Z243" s="13" t="n">
        <x:v>1736886.7999999998</x:v>
      </x:c>
      <x:c r="AA243" s="13" t="n">
        <x:v>35</x:v>
      </x:c>
      <x:c r="AB243" s="13" t="n">
        <x:v>0.8136218864842784</x:v>
      </x:c>
      <x:c r="AC243" s="13" t="n">
        <x:v>0</x:v>
      </x:c>
      <x:c r="AD243" s="13" t="n">
        <x:v>0.1995728887932491</x:v>
      </x:c>
      <x:c r="AE243" s="13" t="n">
        <x:v>0.38481149145701377</x:v>
      </x:c>
      <x:c r="AF243" s="13" t="n">
        <x:v>72370.28333333333</x:v>
      </x:c>
      <x:c r="AG243" s="13" t="n">
        <x:v>1.6890762325056161</x:v>
      </x:c>
      <x:c r="AH243" s="13" t="n">
        <x:v>0.04436515904803567</x:v>
      </x:c>
      <x:c r="AI243" s="13" t="n">
        <x:v>11</x:v>
      </x:c>
      <x:c r="AJ243" s="13" t="n">
        <x:v>-19277328.430000003</x:v>
      </x:c>
      <x:c r="AK243" s="13" t="n">
        <x:v>12.098782275275507</x:v>
      </x:c>
      <x:c r="AL243" s="13" t="n">
        <x:v>0.3286082474226804</x:v>
      </x:c>
      <x:c r="AM243" s="13" t="n">
        <x:v>0</x:v>
      </x:c>
      <x:c r="AN243" s="13" t="n">
        <x:v>0.10309127384870058</x:v>
      </x:c>
      <x:c r="AO243" s="13" t="n">
        <x:v>1.4155281606077013</x:v>
      </x:c>
      <x:c r="AP243" s="13" t="n">
        <x:v>0.07335650834110274</x:v>
      </x:c>
    </x:row>
    <x:row r="244" ht="15" hidden="0" customHeight="1">
      <x:c r="A244" s="2" t="str">
        <x:v>E243</x:v>
      </x:c>
      <x:c r="B244" s="2" t="str">
        <x:v>***科技有限公司</x:v>
      </x:c>
      <x:c r="C244" s="2" t="str">
        <x:v>无信贷记录</x:v>
      </x:c>
      <x:c r="D244" s="2" t="str"/>
      <x:c r="E244" s="2" t="str"/>
      <x:c r="F244" s="13" t="n">
        <x:v>697</x:v>
      </x:c>
      <x:c r="G244" s="13" t="n">
        <x:v>681</x:v>
      </x:c>
      <x:c r="H244" s="13" t="n">
        <x:v>16</x:v>
      </x:c>
      <x:c r="I244" s="13" t="n">
        <x:v>2</x:v>
      </x:c>
      <x:c r="J244" s="13" t="n">
        <x:v>4894376.41</x:v>
      </x:c>
      <x:c r="K244" s="13" t="n">
        <x:v>4906570.41</x:v>
      </x:c>
      <x:c r="L244" s="13" t="n">
        <x:v>131</x:v>
      </x:c>
      <x:c r="M244" s="13" t="n">
        <x:v>0.02295552367288379</x:v>
      </x:c>
      <x:c r="N244" s="13" t="n">
        <x:v>0.002936857562408223</x:v>
      </x:c>
      <x:c r="O244" s="13" t="n">
        <x:v>0.2452321202938224</x:v>
      </x:c>
      <x:c r="P244" s="13" t="n">
        <x:v>0.4031329084707866</x:v>
      </x:c>
      <x:c r="Q244" s="13" t="n">
        <x:v>148314.43666666668</x:v>
      </x:c>
      <x:c r="R244" s="13" t="n">
        <x:v>1.1626203444402092</x:v>
      </x:c>
      <x:c r="S244" s="13" t="n">
        <x:v>0.024507413124998437</x:v>
      </x:c>
      <x:c r="T244" s="13" t="n">
        <x:v>33</x:v>
      </x:c>
      <x:c r="U244" s="13" t="n">
        <x:v>711</x:v>
      </x:c>
      <x:c r="V244" s="13" t="n">
        <x:v>677</x:v>
      </x:c>
      <x:c r="W244" s="13" t="n">
        <x:v>34</x:v>
      </x:c>
      <x:c r="X244" s="13" t="n">
        <x:v>0</x:v>
      </x:c>
      <x:c r="Y244" s="13" t="n">
        <x:v>37084295.66</x:v>
      </x:c>
      <x:c r="Z244" s="13" t="n">
        <x:v>37084295.66</x:v>
      </x:c>
      <x:c r="AA244" s="13" t="n">
        <x:v>35</x:v>
      </x:c>
      <x:c r="AB244" s="13" t="n">
        <x:v>0.04781997187060478</x:v>
      </x:c>
      <x:c r="AC244" s="13" t="n">
        <x:v>0</x:v>
      </x:c>
      <x:c r="AD244" s="13" t="n">
        <x:v>0.20719471074920504</x:v>
      </x:c>
      <x:c r="AE244" s="13" t="n">
        <x:v>0.33670215809081927</x:v>
      </x:c>
      <x:c r="AF244" s="13" t="n">
        <x:v>1090714.578235294</x:v>
      </x:c>
      <x:c r="AG244" s="13" t="n">
        <x:v>0.8544090131984993</x:v>
      </x:c>
      <x:c r="AH244" s="13" t="n">
        <x:v>-0.002193249127948596</x:v>
      </x:c>
      <x:c r="AI244" s="13" t="n">
        <x:v>34</x:v>
      </x:c>
      <x:c r="AJ244" s="13" t="n">
        <x:v>32189919.249999996</x:v>
      </x:c>
      <x:c r="AK244" s="13" t="n">
        <x:v>0.13230857759804626</x:v>
      </x:c>
      <x:c r="AL244" s="13" t="n">
        <x:v>0.03551136363636364</x:v>
      </x:c>
      <x:c r="AM244" s="13" t="n">
        <x:v>0.0014727540500736377</x:v>
      </x:c>
      <x:c r="AN244" s="13" t="n">
        <x:v>0.22621341552151372</x:v>
      </x:c>
      <x:c r="AO244" s="13" t="n">
        <x:v>1.0085146788193542</x:v>
      </x:c>
      <x:c r="AP244" s="13" t="n">
        <x:v>0.01115708199852492</x:v>
      </x:c>
    </x:row>
    <x:row r="245" ht="15" hidden="0" customHeight="1">
      <x:c r="A245" s="2" t="str">
        <x:v>E244</x:v>
      </x:c>
      <x:c r="B245" s="2" t="str">
        <x:v>个体经营E244 </x:v>
      </x:c>
      <x:c r="C245" s="2" t="str">
        <x:v>无信贷记录</x:v>
      </x:c>
      <x:c r="D245" s="2" t="str"/>
      <x:c r="E245" s="2" t="str"/>
      <x:c r="F245" s="13" t="n">
        <x:v>1151</x:v>
      </x:c>
      <x:c r="G245" s="13" t="n">
        <x:v>1105</x:v>
      </x:c>
      <x:c r="H245" s="13" t="n">
        <x:v>46</x:v>
      </x:c>
      <x:c r="I245" s="13" t="n">
        <x:v>7</x:v>
      </x:c>
      <x:c r="J245" s="13" t="n">
        <x:v>15959235.099999998</x:v>
      </x:c>
      <x:c r="K245" s="13" t="n">
        <x:v>16046427.86</x:v>
      </x:c>
      <x:c r="L245" s="13" t="n">
        <x:v>153</x:v>
      </x:c>
      <x:c r="M245" s="13" t="n">
        <x:v>0.03996524761077324</x:v>
      </x:c>
      <x:c r="N245" s="13" t="n">
        <x:v>0.006334841628959276</x:v>
      </x:c>
      <x:c r="O245" s="13" t="n">
        <x:v>0.05841124384761445</x:v>
      </x:c>
      <x:c r="P245" s="13" t="n">
        <x:v>0.12593339761538677</x:v>
      </x:c>
      <x:c r="Q245" s="13" t="n">
        <x:v>443312.08611111104</x:v>
      </x:c>
      <x:c r="R245" s="13" t="n">
        <x:v>0.8077638353575802</x:v>
      </x:c>
      <x:c r="S245" s="13" t="n">
        <x:v>0.0015079064480674083</x:v>
      </x:c>
      <x:c r="T245" s="13" t="n">
        <x:v>36</x:v>
      </x:c>
      <x:c r="U245" s="13" t="n">
        <x:v>536</x:v>
      </x:c>
      <x:c r="V245" s="13" t="n">
        <x:v>443</x:v>
      </x:c>
      <x:c r="W245" s="13" t="n">
        <x:v>93</x:v>
      </x:c>
      <x:c r="X245" s="13" t="n">
        <x:v>13</x:v>
      </x:c>
      <x:c r="Y245" s="13" t="n">
        <x:v>39288498.47</x:v>
      </x:c>
      <x:c r="Z245" s="13" t="n">
        <x:v>41795063.81</x:v>
      </x:c>
      <x:c r="AA245" s="13" t="n">
        <x:v>20</x:v>
      </x:c>
      <x:c r="AB245" s="13" t="n">
        <x:v>0.17350746268656717</x:v>
      </x:c>
      <x:c r="AC245" s="13" t="n">
        <x:v>0.029345372460496615</x:v>
      </x:c>
      <x:c r="AD245" s="13" t="n">
        <x:v>0.31910068927357843</x:v>
      </x:c>
      <x:c r="AE245" s="13" t="n">
        <x:v>0.5410290211015232</x:v>
      </x:c>
      <x:c r="AF245" s="13" t="n">
        <x:v>1155544.0726470589</x:v>
      </x:c>
      <x:c r="AG245" s="13" t="n">
        <x:v>0.8952402110991347</x:v>
      </x:c>
      <x:c r="AH245" s="13" t="n">
        <x:v>-0.0029330524947762966</x:v>
      </x:c>
      <x:c r="AI245" s="13" t="n">
        <x:v>33</x:v>
      </x:c>
      <x:c r="AJ245" s="13" t="n">
        <x:v>23329263.37</x:v>
      </x:c>
      <x:c r="AK245" s="13" t="n">
        <x:v>0.3839311726606501</x:v>
      </x:c>
      <x:c r="AL245" s="13" t="n">
        <x:v>0.08239478363959692</x:v>
      </x:c>
      <x:c r="AM245" s="13" t="n">
        <x:v>0.012919896640826873</x:v>
      </x:c>
      <x:c r="AN245" s="13" t="n">
        <x:v>0.18875596656059646</x:v>
      </x:c>
      <x:c r="AO245" s="13" t="n">
        <x:v>0.8515020232283574</x:v>
      </x:c>
      <x:c r="AP245" s="13" t="n">
        <x:v>-0.0007125730233544441</x:v>
      </x:c>
    </x:row>
    <x:row r="246" ht="15" hidden="0" customHeight="1">
      <x:c r="A246" s="2" t="str">
        <x:v>E245</x:v>
      </x:c>
      <x:c r="B246" s="2" t="str">
        <x:v>***建筑劳务有限公司</x:v>
      </x:c>
      <x:c r="C246" s="2" t="str">
        <x:v>无信贷记录</x:v>
      </x:c>
      <x:c r="D246" s="2" t="str"/>
      <x:c r="E246" s="2" t="str"/>
      <x:c r="F246" s="13" t="n">
        <x:v>265</x:v>
      </x:c>
      <x:c r="G246" s="13" t="n">
        <x:v>264</x:v>
      </x:c>
      <x:c r="H246" s="13" t="n">
        <x:v>1</x:v>
      </x:c>
      <x:c r="I246" s="13" t="n">
        <x:v>0</x:v>
      </x:c>
      <x:c r="J246" s="13" t="n">
        <x:v>147888.78999999998</x:v>
      </x:c>
      <x:c r="K246" s="13" t="n">
        <x:v>147888.78999999998</x:v>
      </x:c>
      <x:c r="L246" s="13" t="n">
        <x:v>64</x:v>
      </x:c>
      <x:c r="M246" s="13" t="n">
        <x:v>0.0037735849056603774</x:v>
      </x:c>
      <x:c r="N246" s="13" t="n">
        <x:v>0</x:v>
      </x:c>
      <x:c r="O246" s="13" t="n">
        <x:v>0.1296310709873763</x:v>
      </x:c>
      <x:c r="P246" s="13" t="n">
        <x:v>0.2580993461370534</x:v>
      </x:c>
      <x:c r="Q246" s="13" t="n">
        <x:v>4349.670294117646</x:v>
      </x:c>
      <x:c r="R246" s="13" t="n">
        <x:v>1.0713727097342873</x:v>
      </x:c>
      <x:c r="S246" s="13" t="n">
        <x:v>0.06545623911046788</x:v>
      </x:c>
      <x:c r="T246" s="13" t="n">
        <x:v>30</x:v>
      </x:c>
      <x:c r="U246" s="13" t="n">
        <x:v>353</x:v>
      </x:c>
      <x:c r="V246" s="13" t="n">
        <x:v>309</x:v>
      </x:c>
      <x:c r="W246" s="13" t="n">
        <x:v>44</x:v>
      </x:c>
      <x:c r="X246" s="13" t="n">
        <x:v>18</x:v>
      </x:c>
      <x:c r="Y246" s="13" t="n">
        <x:v>25925728.35</x:v>
      </x:c>
      <x:c r="Z246" s="13" t="n">
        <x:v>29325728.35</x:v>
      </x:c>
      <x:c r="AA246" s="13" t="n">
        <x:v>38</x:v>
      </x:c>
      <x:c r="AB246" s="13" t="n">
        <x:v>0.12464589235127478</x:v>
      </x:c>
      <x:c r="AC246" s="13" t="n">
        <x:v>0.05825242718446602</x:v>
      </x:c>
      <x:c r="AD246" s="13" t="n">
        <x:v>0.15843727759799386</x:v>
      </x:c>
      <x:c r="AE246" s="13" t="n">
        <x:v>0.3034877733906309</x:v>
      </x:c>
      <x:c r="AF246" s="13" t="n">
        <x:v>893990.6327586208</x:v>
      </x:c>
      <x:c r="AG246" s="13" t="n">
        <x:v>1.3147417261583583</x:v>
      </x:c>
      <x:c r="AH246" s="13" t="n">
        <x:v>0.022174284438735356</x:v>
      </x:c>
      <x:c r="AI246" s="13" t="n">
        <x:v>21</x:v>
      </x:c>
      <x:c r="AJ246" s="13" t="n">
        <x:v>25777839.560000002</x:v>
      </x:c>
      <x:c r="AK246" s="13" t="n">
        <x:v>0.005042970740060066</x:v>
      </x:c>
      <x:c r="AL246" s="13" t="n">
        <x:v>0.07281553398058252</x:v>
      </x:c>
      <x:c r="AM246" s="13" t="n">
        <x:v>0.031413612565445025</x:v>
      </x:c>
      <x:c r="AN246" s="13" t="n">
        <x:v>0.14403417429268509</x:v>
      </x:c>
      <x:c r="AO246" s="13" t="n">
        <x:v>1.1930572179463228</x:v>
      </x:c>
      <x:c r="AP246" s="13" t="n">
        <x:v>0.04381526177460162</x:v>
      </x:c>
    </x:row>
    <x:row r="247" ht="15" hidden="0" customHeight="1">
      <x:c r="A247" s="2" t="str">
        <x:v>E246</x:v>
      </x:c>
      <x:c r="B247" s="2" t="str">
        <x:v>***物业服务有限公司</x:v>
      </x:c>
      <x:c r="C247" s="2" t="str">
        <x:v>无信贷记录</x:v>
      </x:c>
      <x:c r="D247" s="2" t="str"/>
      <x:c r="E247" s="2" t="str"/>
      <x:c r="F247" s="13" t="n">
        <x:v>1368</x:v>
      </x:c>
      <x:c r="G247" s="13" t="n">
        <x:v>1298</x:v>
      </x:c>
      <x:c r="H247" s="13" t="n">
        <x:v>70</x:v>
      </x:c>
      <x:c r="I247" s="13" t="n">
        <x:v>11</x:v>
      </x:c>
      <x:c r="J247" s="13" t="n">
        <x:v>7103468.01</x:v>
      </x:c>
      <x:c r="K247" s="13" t="n">
        <x:v>7181355.950000001</x:v>
      </x:c>
      <x:c r="L247" s="13" t="n">
        <x:v>413</x:v>
      </x:c>
      <x:c r="M247" s="13" t="n">
        <x:v>0.05116959064327485</x:v>
      </x:c>
      <x:c r="N247" s="13" t="n">
        <x:v>0.00847457627118644</x:v>
      </x:c>
      <x:c r="O247" s="13" t="n">
        <x:v>0.09527653603289846</x:v>
      </x:c>
      <x:c r="P247" s="13" t="n">
        <x:v>0.2506490435138506</x:v>
      </x:c>
      <x:c r="Q247" s="13" t="n">
        <x:v>221983.3753125</x:v>
      </x:c>
      <x:c r="R247" s="13" t="n">
        <x:v>1.21238549553588</x:v>
      </x:c>
      <x:c r="S247" s="13" t="n">
        <x:v>0.04938148239358463</x:v>
      </x:c>
      <x:c r="T247" s="13" t="n">
        <x:v>31</x:v>
      </x:c>
      <x:c r="U247" s="13" t="n">
        <x:v>829</x:v>
      </x:c>
      <x:c r="V247" s="13" t="n">
        <x:v>749</x:v>
      </x:c>
      <x:c r="W247" s="13" t="n">
        <x:v>80</x:v>
      </x:c>
      <x:c r="X247" s="13" t="n">
        <x:v>14</x:v>
      </x:c>
      <x:c r="Y247" s="13" t="n">
        <x:v>33246947.900000002</x:v>
      </x:c>
      <x:c r="Z247" s="13" t="n">
        <x:v>34683651.1</x:v>
      </x:c>
      <x:c r="AA247" s="13" t="n">
        <x:v>128</x:v>
      </x:c>
      <x:c r="AB247" s="13" t="n">
        <x:v>0.09650180940892641</x:v>
      </x:c>
      <x:c r="AC247" s="13" t="n">
        <x:v>0.018691588785046728</x:v>
      </x:c>
      <x:c r="AD247" s="13" t="n">
        <x:v>0.1560497949277863</x:v>
      </x:c>
      <x:c r="AE247" s="13" t="n">
        <x:v>0.2537246527082035</x:v>
      </x:c>
      <x:c r="AF247" s="13" t="n">
        <x:v>898566.1594594595</x:v>
      </x:c>
      <x:c r="AG247" s="13" t="n">
        <x:v>0.41314884467442886</x:v>
      </x:c>
      <x:c r="AH247" s="13" t="n">
        <x:v>0.02306667235302425</x:v>
      </x:c>
      <x:c r="AI247" s="13" t="n">
        <x:v>37</x:v>
      </x:c>
      <x:c r="AJ247" s="13" t="n">
        <x:v>26143479.89</x:v>
      </x:c>
      <x:c r="AK247" s="13" t="n">
        <x:v>0.20705305589929662</x:v>
      </x:c>
      <x:c r="AL247" s="13" t="n">
        <x:v>0.06827492034592626</x:v>
      </x:c>
      <x:c r="AM247" s="13" t="n">
        <x:v>0.012212994626282364</x:v>
      </x:c>
      <x:c r="AN247" s="13" t="n">
        <x:v>0.1256631654803424</x:v>
      </x:c>
      <x:c r="AO247" s="13" t="n">
        <x:v>0.8127671701051544</x:v>
      </x:c>
      <x:c r="AP247" s="13" t="n">
        <x:v>0.036224077373304436</x:v>
      </x:c>
    </x:row>
    <x:row r="248" ht="15" hidden="0" customHeight="1">
      <x:c r="A248" s="2" t="str">
        <x:v>E247</x:v>
      </x:c>
      <x:c r="B248" s="2" t="str">
        <x:v>***石化有限公司</x:v>
      </x:c>
      <x:c r="C248" s="2" t="str">
        <x:v>无信贷记录</x:v>
      </x:c>
      <x:c r="D248" s="2" t="str"/>
      <x:c r="E248" s="2" t="str"/>
      <x:c r="F248" s="13" t="n">
        <x:v>943</x:v>
      </x:c>
      <x:c r="G248" s="13" t="n">
        <x:v>915</x:v>
      </x:c>
      <x:c r="H248" s="13" t="n">
        <x:v>28</x:v>
      </x:c>
      <x:c r="I248" s="13" t="n">
        <x:v>7</x:v>
      </x:c>
      <x:c r="J248" s="13" t="n">
        <x:v>13781515.22</x:v>
      </x:c>
      <x:c r="K248" s="13" t="n">
        <x:v>13782718.68</x:v>
      </x:c>
      <x:c r="L248" s="13" t="n">
        <x:v>186</x:v>
      </x:c>
      <x:c r="M248" s="13" t="n">
        <x:v>0.029692470837751856</x:v>
      </x:c>
      <x:c r="N248" s="13" t="n">
        <x:v>0.007650273224043716</x:v>
      </x:c>
      <x:c r="O248" s="13" t="n">
        <x:v>0.056877163950251254</x:v>
      </x:c>
      <x:c r="P248" s="13" t="n">
        <x:v>0.11065842925555526</x:v>
      </x:c>
      <x:c r="Q248" s="13" t="n">
        <x:v>362671.4531578948</x:v>
      </x:c>
      <x:c r="R248" s="13" t="n">
        <x:v>0.8269305180041207</x:v>
      </x:c>
      <x:c r="S248" s="13" t="n">
        <x:v>0.03520914235340588</x:v>
      </x:c>
      <x:c r="T248" s="13" t="n">
        <x:v>38</x:v>
      </x:c>
      <x:c r="U248" s="13" t="n">
        <x:v>359</x:v>
      </x:c>
      <x:c r="V248" s="13" t="n">
        <x:v>333</x:v>
      </x:c>
      <x:c r="W248" s="13" t="n">
        <x:v>26</x:v>
      </x:c>
      <x:c r="X248" s="13" t="n">
        <x:v>0</x:v>
      </x:c>
      <x:c r="Y248" s="13" t="n">
        <x:v>24933415.869999997</x:v>
      </x:c>
      <x:c r="Z248" s="13" t="n">
        <x:v>24933415.869999997</x:v>
      </x:c>
      <x:c r="AA248" s="13" t="n">
        <x:v>10</x:v>
      </x:c>
      <x:c r="AB248" s="13" t="n">
        <x:v>0.07242339832869081</x:v>
      </x:c>
      <x:c r="AC248" s="13" t="n">
        <x:v>0</x:v>
      </x:c>
      <x:c r="AD248" s="13" t="n">
        <x:v>0.5994883638466424</x:v>
      </x:c>
      <x:c r="AE248" s="13" t="n">
        <x:v>0.7463503876494721</x:v>
      </x:c>
      <x:c r="AF248" s="13" t="n">
        <x:v>692594.8852777778</x:v>
      </x:c>
      <x:c r="AG248" s="13" t="n">
        <x:v>0.9560777923606384</x:v>
      </x:c>
      <x:c r="AH248" s="13" t="n">
        <x:v>0.0472027854592239</x:v>
      </x:c>
      <x:c r="AI248" s="13" t="n">
        <x:v>36</x:v>
      </x:c>
      <x:c r="AJ248" s="13" t="n">
        <x:v>11151900.649999997</x:v>
      </x:c>
      <x:c r="AK248" s="13" t="n">
        <x:v>0.5527810048916495</x:v>
      </x:c>
      <x:c r="AL248" s="13" t="n">
        <x:v>0.041474654377880185</x:v>
      </x:c>
      <x:c r="AM248" s="13" t="n">
        <x:v>0.005608974358974359</x:v>
      </x:c>
      <x:c r="AN248" s="13" t="n">
        <x:v>0.3281827638984468</x:v>
      </x:c>
      <x:c r="AO248" s="13" t="n">
        <x:v>0.8915041551823795</x:v>
      </x:c>
      <x:c r="AP248" s="13" t="n">
        <x:v>0.04120596390631489</x:v>
      </x:c>
    </x:row>
    <x:row r="249" ht="15" hidden="0" customHeight="1">
      <x:c r="A249" s="2" t="str">
        <x:v>E248</x:v>
      </x:c>
      <x:c r="B249" s="2" t="str">
        <x:v>***智能科技有限公司</x:v>
      </x:c>
      <x:c r="C249" s="2" t="str">
        <x:v>无信贷记录</x:v>
      </x:c>
      <x:c r="D249" s="2" t="str"/>
      <x:c r="E249" s="2" t="str"/>
      <x:c r="F249" s="13" t="n">
        <x:v>1511</x:v>
      </x:c>
      <x:c r="G249" s="13" t="n">
        <x:v>1466</x:v>
      </x:c>
      <x:c r="H249" s="13" t="n">
        <x:v>45</x:v>
      </x:c>
      <x:c r="I249" s="13" t="n">
        <x:v>9</x:v>
      </x:c>
      <x:c r="J249" s="13" t="n">
        <x:v>15029356.669999998</x:v>
      </x:c>
      <x:c r="K249" s="13" t="n">
        <x:v>15390209.21</x:v>
      </x:c>
      <x:c r="L249" s="13" t="n">
        <x:v>265</x:v>
      </x:c>
      <x:c r="M249" s="13" t="n">
        <x:v>0.029781601588352084</x:v>
      </x:c>
      <x:c r="N249" s="13" t="n">
        <x:v>0.006139154160982265</x:v>
      </x:c>
      <x:c r="O249" s="13" t="n">
        <x:v>0.045904783052656765</x:v>
      </x:c>
      <x:c r="P249" s="13" t="n">
        <x:v>0.15342611317237576</x:v>
      </x:c>
      <x:c r="Q249" s="13" t="n">
        <x:v>406198.82891891897</x:v>
      </x:c>
      <x:c r="R249" s="13" t="n">
        <x:v>1.1292978173189188</x:v>
      </x:c>
      <x:c r="S249" s="13" t="n">
        <x:v>0.04562390978289397</x:v>
      </x:c>
      <x:c r="T249" s="13" t="n">
        <x:v>37</x:v>
      </x:c>
      <x:c r="U249" s="13" t="n">
        <x:v>405</x:v>
      </x:c>
      <x:c r="V249" s="13" t="n">
        <x:v>353</x:v>
      </x:c>
      <x:c r="W249" s="13" t="n">
        <x:v>52</x:v>
      </x:c>
      <x:c r="X249" s="13" t="n">
        <x:v>6</x:v>
      </x:c>
      <x:c r="Y249" s="13" t="n">
        <x:v>22353562.990000002</x:v>
      </x:c>
      <x:c r="Z249" s="13" t="n">
        <x:v>22831562.990000002</x:v>
      </x:c>
      <x:c r="AA249" s="13" t="n">
        <x:v>125</x:v>
      </x:c>
      <x:c r="AB249" s="13" t="n">
        <x:v>0.12839506172839507</x:v>
      </x:c>
      <x:c r="AC249" s="13" t="n">
        <x:v>0.0169971671388102</x:v>
      </x:c>
      <x:c r="AD249" s="13" t="n">
        <x:v>0.08814554034702766</x:v>
      </x:c>
      <x:c r="AE249" s="13" t="n">
        <x:v>0.23613624097313715</x:v>
      </x:c>
      <x:c r="AF249" s="13" t="n">
        <x:v>604150.3510810812</x:v>
      </x:c>
      <x:c r="AG249" s="13" t="n">
        <x:v>1.5688480019444402</x:v>
      </x:c>
      <x:c r="AH249" s="13" t="n">
        <x:v>0.029322296014202928</x:v>
      </x:c>
      <x:c r="AI249" s="13" t="n">
        <x:v>36</x:v>
      </x:c>
      <x:c r="AJ249" s="13" t="n">
        <x:v>7324206.320000004</x:v>
      </x:c>
      <x:c r="AK249" s="13" t="n">
        <x:v>0.674076024350184</x:v>
      </x:c>
      <x:c r="AL249" s="13" t="n">
        <x:v>0.050626304801670144</x:v>
      </x:c>
      <x:c r="AM249" s="13" t="n">
        <x:v>0.008246289169873557</x:v>
      </x:c>
      <x:c r="AN249" s="13" t="n">
        <x:v>0.06702516169984221</x:v>
      </x:c>
      <x:c r="AO249" s="13" t="n">
        <x:v>1.3490729096316794</x:v>
      </x:c>
      <x:c r="AP249" s="13" t="n">
        <x:v>0.03747310289854845</x:v>
      </x:c>
    </x:row>
    <x:row r="250" ht="15" hidden="0" customHeight="1">
      <x:c r="A250" s="2" t="str">
        <x:v>E249</x:v>
      </x:c>
      <x:c r="B250" s="2" t="str">
        <x:v>***建筑工程有限公司</x:v>
      </x:c>
      <x:c r="C250" s="2" t="str">
        <x:v>无信贷记录</x:v>
      </x:c>
      <x:c r="D250" s="2" t="str"/>
      <x:c r="E250" s="2" t="str"/>
      <x:c r="F250" s="13" t="n">
        <x:v>719</x:v>
      </x:c>
      <x:c r="G250" s="13" t="n">
        <x:v>620</x:v>
      </x:c>
      <x:c r="H250" s="13" t="n">
        <x:v>99</x:v>
      </x:c>
      <x:c r="I250" s="13" t="n">
        <x:v>1</x:v>
      </x:c>
      <x:c r="J250" s="13" t="n">
        <x:v>28404068.349999998</x:v>
      </x:c>
      <x:c r="K250" s="13" t="n">
        <x:v>28465868.349999998</x:v>
      </x:c>
      <x:c r="L250" s="13" t="n">
        <x:v>106</x:v>
      </x:c>
      <x:c r="M250" s="13" t="n">
        <x:v>0.1274358974358974</x:v>
      </x:c>
      <x:c r="N250" s="13" t="n">
        <x:v>0.0016129032258064516</x:v>
      </x:c>
      <x:c r="O250" s="13" t="n">
        <x:v>0.1487871462966085</x:v>
      </x:c>
      <x:c r="P250" s="13" t="n">
        <x:v>0.2662838142438047</x:v>
      </x:c>
      <x:c r="Q250" s="13" t="n">
        <x:v>767677.5229729731</x:v>
      </x:c>
      <x:c r="R250" s="13" t="n">
        <x:v>2.195956889268825</x:v>
      </x:c>
      <x:c r="S250" s="13" t="n">
        <x:v>0.03648464858089748</x:v>
      </x:c>
      <x:c r="T250" s="13" t="n">
        <x:v>35</x:v>
      </x:c>
      <x:c r="U250" s="13" t="n">
        <x:v>472</x:v>
      </x:c>
      <x:c r="V250" s="13" t="n">
        <x:v>470</x:v>
      </x:c>
      <x:c r="W250" s="13" t="n">
        <x:v>2</x:v>
      </x:c>
      <x:c r="X250" s="13" t="n">
        <x:v>0</x:v>
      </x:c>
      <x:c r="Y250" s="13" t="n">
        <x:v>53619131.20999999</x:v>
      </x:c>
      <x:c r="Z250" s="13" t="n">
        <x:v>53619131.20999999</x:v>
      </x:c>
      <x:c r="AA250" s="13" t="n">
        <x:v>3</x:v>
      </x:c>
      <x:c r="AB250" s="13" t="n">
        <x:v>0.00423728813559322</x:v>
      </x:c>
      <x:c r="AC250" s="13" t="n">
        <x:v>0</x:v>
      </x:c>
      <x:c r="AD250" s="13" t="n">
        <x:v>0.9724687771746404</x:v>
      </x:c>
      <x:c r="AE250" s="13" t="n">
        <x:v>0.986062064357719</x:v>
      </x:c>
      <x:c r="AF250" s="13" t="n">
        <x:v>1675597.8503125</x:v>
      </x:c>
      <x:c r="AG250" s="13" t="n">
        <x:v>1.8373614425649534</x:v>
      </x:c>
      <x:c r="AH250" s="13" t="n">
        <x:v>-0.0666404318616839</x:v>
      </x:c>
      <x:c r="AI250" s="13" t="n">
        <x:v>11</x:v>
      </x:c>
      <x:c r="AJ250" s="13" t="n">
        <x:v>25215062.859999996</x:v>
      </x:c>
      <x:c r="AK250" s="13" t="n">
        <x:v>0.5308901451333307</x:v>
      </x:c>
      <x:c r="AL250" s="13" t="n">
        <x:v>0.08480268681780016</x:v>
      </x:c>
      <x:c r="AM250" s="13" t="n">
        <x:v>0.0009174311926605505</x:v>
      </x:c>
      <x:c r="AN250" s="13" t="n">
        <x:v>0.5606279617356245</x:v>
      </x:c>
      <x:c r="AO250" s="13" t="n">
        <x:v>2.0166591659168893</x:v>
      </x:c>
      <x:c r="AP250" s="13" t="n">
        <x:v>-0.015077891640393214</x:v>
      </x:c>
    </x:row>
    <x:row r="251" ht="15" hidden="0" customHeight="1">
      <x:c r="A251" s="2" t="str">
        <x:v>E250</x:v>
      </x:c>
      <x:c r="B251" s="2" t="str">
        <x:v>***塑料厂</x:v>
      </x:c>
      <x:c r="C251" s="2" t="str">
        <x:v>无信贷记录</x:v>
      </x:c>
      <x:c r="D251" s="2" t="str"/>
      <x:c r="E251" s="2" t="str"/>
      <x:c r="F251" s="13" t="n">
        <x:v>439</x:v>
      </x:c>
      <x:c r="G251" s="13" t="n">
        <x:v>427</x:v>
      </x:c>
      <x:c r="H251" s="13" t="n">
        <x:v>12</x:v>
      </x:c>
      <x:c r="I251" s="13" t="n">
        <x:v>9</x:v>
      </x:c>
      <x:c r="J251" s="13" t="n">
        <x:v>9594722.74</x:v>
      </x:c>
      <x:c r="K251" s="13" t="n">
        <x:v>9635754.719999999</x:v>
      </x:c>
      <x:c r="L251" s="13" t="n">
        <x:v>127</x:v>
      </x:c>
      <x:c r="M251" s="13" t="n">
        <x:v>0.02733485193621868</x:v>
      </x:c>
      <x:c r="N251" s="13" t="n">
        <x:v>0.02107728337236534</x:v>
      </x:c>
      <x:c r="O251" s="13" t="n">
        <x:v>0.17337846528224188</x:v>
      </x:c>
      <x:c r="P251" s="13" t="n">
        <x:v>0.35237177560700716</x:v>
      </x:c>
      <x:c r="Q251" s="13" t="n">
        <x:v>252492.70368421057</x:v>
      </x:c>
      <x:c r="R251" s="13" t="n">
        <x:v>0.8757133922568235</x:v>
      </x:c>
      <x:c r="S251" s="13" t="n">
        <x:v>-0.00014541636334451557</x:v>
      </x:c>
      <x:c r="T251" s="13" t="n">
        <x:v>38</x:v>
      </x:c>
      <x:c r="U251" s="13" t="n">
        <x:v>778</x:v>
      </x:c>
      <x:c r="V251" s="13" t="n">
        <x:v>660</x:v>
      </x:c>
      <x:c r="W251" s="13" t="n">
        <x:v>118</x:v>
      </x:c>
      <x:c r="X251" s="13" t="n">
        <x:v>22</x:v>
      </x:c>
      <x:c r="Y251" s="13" t="n">
        <x:v>37443422.15</x:v>
      </x:c>
      <x:c r="Z251" s="13" t="n">
        <x:v>40426658.99</x:v>
      </x:c>
      <x:c r="AA251" s="13" t="n">
        <x:v>104</x:v>
      </x:c>
      <x:c r="AB251" s="13" t="n">
        <x:v>0.15167095115681234</x:v>
      </x:c>
      <x:c r="AC251" s="13" t="n">
        <x:v>0.03333333333333333</x:v>
      </x:c>
      <x:c r="AD251" s="13" t="n">
        <x:v>0.060851617064408205</x:v>
      </x:c>
      <x:c r="AE251" s="13" t="n">
        <x:v>0.14061031339260815</x:v>
      </x:c>
      <x:c r="AF251" s="13" t="n">
        <x:v>985353.2144736842</x:v>
      </x:c>
      <x:c r="AG251" s="13" t="n">
        <x:v>0.3799938085245569</x:v>
      </x:c>
      <x:c r="AH251" s="13" t="n">
        <x:v>0.004584793759062645</x:v>
      </x:c>
      <x:c r="AI251" s="13" t="n">
        <x:v>38</x:v>
      </x:c>
      <x:c r="AJ251" s="13" t="n">
        <x:v>27848699.409999996</x:v>
      </x:c>
      <x:c r="AK251" s="13" t="n">
        <x:v>0.23835149776743889</x:v>
      </x:c>
      <x:c r="AL251" s="13" t="n">
        <x:v>0.10682004930156122</x:v>
      </x:c>
      <x:c r="AM251" s="13" t="n">
        <x:v>0.028518859245630176</x:v>
      </x:c>
      <x:c r="AN251" s="13" t="n">
        <x:v>0.11711504117332504</x:v>
      </x:c>
      <x:c r="AO251" s="13" t="n">
        <x:v>0.6278536003906903</x:v>
      </x:c>
      <x:c r="AP251" s="13" t="n">
        <x:v>0.002219688697859065</x:v>
      </x:c>
    </x:row>
    <x:row r="252" ht="15" hidden="0" customHeight="1">
      <x:c r="A252" s="2" t="str">
        <x:v>E251</x:v>
      </x:c>
      <x:c r="B252" s="2" t="str">
        <x:v>***医疗器械有限责任公司</x:v>
      </x:c>
      <x:c r="C252" s="2" t="str">
        <x:v>无信贷记录</x:v>
      </x:c>
      <x:c r="D252" s="2" t="str"/>
      <x:c r="E252" s="2" t="str"/>
      <x:c r="F252" s="13" t="n">
        <x:v>1457</x:v>
      </x:c>
      <x:c r="G252" s="13" t="n">
        <x:v>1355</x:v>
      </x:c>
      <x:c r="H252" s="13" t="n">
        <x:v>102</x:v>
      </x:c>
      <x:c r="I252" s="13" t="n">
        <x:v>23</x:v>
      </x:c>
      <x:c r="J252" s="13" t="n">
        <x:v>10160269.83</x:v>
      </x:c>
      <x:c r="K252" s="13" t="n">
        <x:v>11213916.33</x:v>
      </x:c>
      <x:c r="L252" s="13" t="n">
        <x:v>354</x:v>
      </x:c>
      <x:c r="M252" s="13" t="n">
        <x:v>0.07000686341798215</x:v>
      </x:c>
      <x:c r="N252" s="13" t="n">
        <x:v>0.016974169741697416</x:v>
      </x:c>
      <x:c r="O252" s="13" t="n">
        <x:v>0.0463665970076295</x:v>
      </x:c>
      <x:c r="P252" s="13" t="n">
        <x:v>0.12963006118666126</x:v>
      </x:c>
      <x:c r="Q252" s="13" t="n">
        <x:v>338675.661</x:v>
      </x:c>
      <x:c r="R252" s="13" t="n">
        <x:v>1.1716181200721412</x:v>
      </x:c>
      <x:c r="S252" s="13" t="n">
        <x:v>0.07508752702698859</x:v>
      </x:c>
      <x:c r="T252" s="13" t="n">
        <x:v>30</x:v>
      </x:c>
      <x:c r="U252" s="13" t="n">
        <x:v>315</x:v>
      </x:c>
      <x:c r="V252" s="13" t="n">
        <x:v>274</x:v>
      </x:c>
      <x:c r="W252" s="13" t="n">
        <x:v>41</x:v>
      </x:c>
      <x:c r="X252" s="13" t="n">
        <x:v>14</x:v>
      </x:c>
      <x:c r="Y252" s="13" t="n">
        <x:v>14574975.8</x:v>
      </x:c>
      <x:c r="Z252" s="13" t="n">
        <x:v>16619975.8</x:v>
      </x:c>
      <x:c r="AA252" s="13" t="n">
        <x:v>138</x:v>
      </x:c>
      <x:c r="AB252" s="13" t="n">
        <x:v>0.13015873015873017</x:v>
      </x:c>
      <x:c r="AC252" s="13" t="n">
        <x:v>0.051094890510948905</x:v>
      </x:c>
      <x:c r="AD252" s="13" t="n">
        <x:v>0.11807148290590959</x:v>
      </x:c>
      <x:c r="AE252" s="13" t="n">
        <x:v>0.33184788993495407</x:v>
      </x:c>
      <x:c r="AF252" s="13" t="n">
        <x:v>393918.2648648649</x:v>
      </x:c>
      <x:c r="AG252" s="13" t="n">
        <x:v>1.9824484256237376</x:v>
      </x:c>
      <x:c r="AH252" s="13" t="n">
        <x:v>0.10062289055305587</x:v>
      </x:c>
      <x:c r="AI252" s="13" t="n">
        <x:v>23</x:v>
      </x:c>
      <x:c r="AJ252" s="13" t="n">
        <x:v>4414705.970000001</x:v>
      </x:c>
      <x:c r="AK252" s="13" t="n">
        <x:v>0.6747251900330684</x:v>
      </x:c>
      <x:c r="AL252" s="13" t="n">
        <x:v>0.0806997742663657</x:v>
      </x:c>
      <x:c r="AM252" s="13" t="n">
        <x:v>0.022713321055862493</x:v>
      </x:c>
      <x:c r="AN252" s="13" t="n">
        <x:v>0.08221903995676955</x:v>
      </x:c>
      <x:c r="AO252" s="13" t="n">
        <x:v>1.5770332728479395</x:v>
      </x:c>
      <x:c r="AP252" s="13" t="n">
        <x:v>0.08785520879002223</x:v>
      </x:c>
    </x:row>
    <x:row r="253" ht="15" hidden="0" customHeight="1">
      <x:c r="A253" s="2" t="str">
        <x:v>E252</x:v>
      </x:c>
      <x:c r="B253" s="2" t="str">
        <x:v>***印务有限公司</x:v>
      </x:c>
      <x:c r="C253" s="2" t="str">
        <x:v>无信贷记录</x:v>
      </x:c>
      <x:c r="D253" s="2" t="str"/>
      <x:c r="E253" s="2" t="str"/>
      <x:c r="F253" s="13" t="n">
        <x:v>958</x:v>
      </x:c>
      <x:c r="G253" s="13" t="n">
        <x:v>905</x:v>
      </x:c>
      <x:c r="H253" s="13" t="n">
        <x:v>53</x:v>
      </x:c>
      <x:c r="I253" s="13" t="n">
        <x:v>4</x:v>
      </x:c>
      <x:c r="J253" s="13" t="n">
        <x:v>30305520.78</x:v>
      </x:c>
      <x:c r="K253" s="13" t="n">
        <x:v>30389037.22</x:v>
      </x:c>
      <x:c r="L253" s="13" t="n">
        <x:v>111</x:v>
      </x:c>
      <x:c r="M253" s="13" t="n">
        <x:v>0.055323590814196244</x:v>
      </x:c>
      <x:c r="N253" s="13" t="n">
        <x:v>0.004419889502762431</x:v>
      </x:c>
      <x:c r="O253" s="13" t="n">
        <x:v>0.054457843820654606</x:v>
      </x:c>
      <x:c r="P253" s="13" t="n">
        <x:v>0.10036504868251303</x:v>
      </x:c>
      <x:c r="Q253" s="13" t="n">
        <x:v>819068.1291891893</x:v>
      </x:c>
      <x:c r="R253" s="13" t="n">
        <x:v>0.6604297234120827</x:v>
      </x:c>
      <x:c r="S253" s="13" t="n">
        <x:v>-0.0192362052777081</x:v>
      </x:c>
      <x:c r="T253" s="13" t="n">
        <x:v>37</x:v>
      </x:c>
      <x:c r="U253" s="13" t="n">
        <x:v>541</x:v>
      </x:c>
      <x:c r="V253" s="13" t="n">
        <x:v>517</x:v>
      </x:c>
      <x:c r="W253" s="13" t="n">
        <x:v>24</x:v>
      </x:c>
      <x:c r="X253" s="13" t="n">
        <x:v>10</x:v>
      </x:c>
      <x:c r="Y253" s="13" t="n">
        <x:v>44815818.58</x:v>
      </x:c>
      <x:c r="Z253" s="13" t="n">
        <x:v>46559614.38</x:v>
      </x:c>
      <x:c r="AA253" s="13" t="n">
        <x:v>41</x:v>
      </x:c>
      <x:c r="AB253" s="13" t="n">
        <x:v>0.04436229205175601</x:v>
      </x:c>
      <x:c r="AC253" s="13" t="n">
        <x:v>0.019342359767891684</x:v>
      </x:c>
      <x:c r="AD253" s="13" t="n">
        <x:v>0.13305140978241112</x:v>
      </x:c>
      <x:c r="AE253" s="13" t="n">
        <x:v>0.20365908322628165</x:v>
      </x:c>
      <x:c r="AF253" s="13" t="n">
        <x:v>1211238.34</x:v>
      </x:c>
      <x:c r="AG253" s="13" t="n">
        <x:v>1.1529965958640502</x:v>
      </x:c>
      <x:c r="AH253" s="13" t="n">
        <x:v>-0.011550130363139824</x:v>
      </x:c>
      <x:c r="AI253" s="13" t="n">
        <x:v>37</x:v>
      </x:c>
      <x:c r="AJ253" s="13" t="n">
        <x:v>14510297.799999997</x:v>
      </x:c>
      <x:c r="AK253" s="13" t="n">
        <x:v>0.6526909130298514</x:v>
      </x:c>
      <x:c r="AL253" s="13" t="n">
        <x:v>0.0513675783855904</x:v>
      </x:c>
      <x:c r="AM253" s="13" t="n">
        <x:v>0.009845288326300985</x:v>
      </x:c>
      <x:c r="AN253" s="13" t="n">
        <x:v>0.09375462680153286</x:v>
      </x:c>
      <x:c r="AO253" s="13" t="n">
        <x:v>0.9067131596380664</x:v>
      </x:c>
      <x:c r="AP253" s="13" t="n">
        <x:v>-0.01539316782042396</x:v>
      </x:c>
    </x:row>
    <x:row r="254" ht="15" hidden="0" customHeight="1">
      <x:c r="A254" s="2" t="str">
        <x:v>E253</x:v>
      </x:c>
      <x:c r="B254" s="2" t="str">
        <x:v>***钢结构工程有限公司</x:v>
      </x:c>
      <x:c r="C254" s="2" t="str">
        <x:v>无信贷记录</x:v>
      </x:c>
      <x:c r="D254" s="2" t="str"/>
      <x:c r="E254" s="2" t="str"/>
      <x:c r="F254" s="13" t="n">
        <x:v>1237</x:v>
      </x:c>
      <x:c r="G254" s="13" t="n">
        <x:v>1196</x:v>
      </x:c>
      <x:c r="H254" s="13" t="n">
        <x:v>41</x:v>
      </x:c>
      <x:c r="I254" s="13" t="n">
        <x:v>5</x:v>
      </x:c>
      <x:c r="J254" s="13" t="n">
        <x:v>19912674.39</x:v>
      </x:c>
      <x:c r="K254" s="13" t="n">
        <x:v>19986274.39</x:v>
      </x:c>
      <x:c r="L254" s="13" t="n">
        <x:v>320</x:v>
      </x:c>
      <x:c r="M254" s="13" t="n">
        <x:v>0.033144704931285365</x:v>
      </x:c>
      <x:c r="N254" s="13" t="n">
        <x:v>0.004180602006688963</x:v>
      </x:c>
      <x:c r="O254" s="13" t="n">
        <x:v>0.09210748402804671</x:v>
      </x:c>
      <x:c r="P254" s="13" t="n">
        <x:v>0.27125840935680257</x:v>
      </x:c>
      <x:c r="Q254" s="13" t="n">
        <x:v>553129.8441666666</x:v>
      </x:c>
      <x:c r="R254" s="13" t="n">
        <x:v>0.9524777192796366</x:v>
      </x:c>
      <x:c r="S254" s="13" t="n">
        <x:v>0.04746919441948883</x:v>
      </x:c>
      <x:c r="T254" s="13" t="n">
        <x:v>33</x:v>
      </x:c>
      <x:c r="U254" s="13" t="n">
        <x:v>381</x:v>
      </x:c>
      <x:c r="V254" s="13" t="n">
        <x:v>318</x:v>
      </x:c>
      <x:c r="W254" s="13" t="n">
        <x:v>63</x:v>
      </x:c>
      <x:c r="X254" s="13" t="n">
        <x:v>3</x:v>
      </x:c>
      <x:c r="Y254" s="13" t="n">
        <x:v>25318874.69</x:v>
      </x:c>
      <x:c r="Z254" s="13" t="n">
        <x:v>25627232.630000003</x:v>
      </x:c>
      <x:c r="AA254" s="13" t="n">
        <x:v>113</x:v>
      </x:c>
      <x:c r="AB254" s="13" t="n">
        <x:v>0.16535433070866143</x:v>
      </x:c>
      <x:c r="AC254" s="13" t="n">
        <x:v>0.009433962264150943</x:v>
      </x:c>
      <x:c r="AD254" s="13" t="n">
        <x:v>0.03397199829743172</x:v>
      </x:c>
      <x:c r="AE254" s="13" t="n">
        <x:v>0.08311470968217453</x:v>
      </x:c>
      <x:c r="AF254" s="13" t="n">
        <x:v>684293.9105405405</x:v>
      </x:c>
      <x:c r="AG254" s="13" t="n">
        <x:v>0.9467994603424147</x:v>
      </x:c>
      <x:c r="AH254" s="13" t="n">
        <x:v>0.042594439688540146</x:v>
      </x:c>
      <x:c r="AI254" s="13" t="n">
        <x:v>36</x:v>
      </x:c>
      <x:c r="AJ254" s="13" t="n">
        <x:v>5406200.300000001</x:v>
      </x:c>
      <x:c r="AK254" s="13" t="n">
        <x:v>0.779884222325413</x:v>
      </x:c>
      <x:c r="AL254" s="13" t="n">
        <x:v>0.06427688504326329</x:v>
      </x:c>
      <x:c r="AM254" s="13" t="n">
        <x:v>0.005284015852047556</x:v>
      </x:c>
      <x:c r="AN254" s="13" t="n">
        <x:v>0.06303974116273922</x:v>
      </x:c>
      <x:c r="AO254" s="13" t="n">
        <x:v>0.9496385898110257</x:v>
      </x:c>
      <x:c r="AP254" s="13" t="n">
        <x:v>0.04503181705401449</x:v>
      </x:c>
    </x:row>
    <x:row r="255" ht="15" hidden="0" customHeight="1">
      <x:c r="A255" s="2" t="str">
        <x:v>E254</x:v>
      </x:c>
      <x:c r="B255" s="2" t="str">
        <x:v>***设备安装工程有限公司</x:v>
      </x:c>
      <x:c r="C255" s="2" t="str">
        <x:v>无信贷记录</x:v>
      </x:c>
      <x:c r="D255" s="2" t="str"/>
      <x:c r="E255" s="2" t="str"/>
      <x:c r="F255" s="13" t="n">
        <x:v>237</x:v>
      </x:c>
      <x:c r="G255" s="13" t="n">
        <x:v>236</x:v>
      </x:c>
      <x:c r="H255" s="13" t="n">
        <x:v>1</x:v>
      </x:c>
      <x:c r="I255" s="13" t="n">
        <x:v>0</x:v>
      </x:c>
      <x:c r="J255" s="13" t="n">
        <x:v>3614013.5799999996</x:v>
      </x:c>
      <x:c r="K255" s="13" t="n">
        <x:v>3614013.5799999996</x:v>
      </x:c>
      <x:c r="L255" s="13" t="n">
        <x:v>39</x:v>
      </x:c>
      <x:c r="M255" s="13" t="n">
        <x:v>0.004219409282700422</x:v>
      </x:c>
      <x:c r="N255" s="13" t="n">
        <x:v>0</x:v>
      </x:c>
      <x:c r="O255" s="13" t="n">
        <x:v>0.24345914098163754</x:v>
      </x:c>
      <x:c r="P255" s="13" t="n">
        <x:v>0.3624778853210618</x:v>
      </x:c>
      <x:c r="Q255" s="13" t="n">
        <x:v>100389.26611111111</x:v>
      </x:c>
      <x:c r="R255" s="13" t="n">
        <x:v>2.7334641106917923</x:v>
      </x:c>
      <x:c r="S255" s="13" t="n">
        <x:v>0.10590225567929447</x:v>
      </x:c>
      <x:c r="T255" s="13" t="n">
        <x:v>28</x:v>
      </x:c>
      <x:c r="U255" s="13" t="n">
        <x:v>493</x:v>
      </x:c>
      <x:c r="V255" s="13" t="n">
        <x:v>456</x:v>
      </x:c>
      <x:c r="W255" s="13" t="n">
        <x:v>37</x:v>
      </x:c>
      <x:c r="X255" s="13" t="n">
        <x:v>2</x:v>
      </x:c>
      <x:c r="Y255" s="13" t="n">
        <x:v>38316369.22</x:v>
      </x:c>
      <x:c r="Z255" s="13" t="n">
        <x:v>38611369.22</x:v>
      </x:c>
      <x:c r="AA255" s="13" t="n">
        <x:v>23</x:v>
      </x:c>
      <x:c r="AB255" s="13" t="n">
        <x:v>0.07505070993914807</x:v>
      </x:c>
      <x:c r="AC255" s="13" t="n">
        <x:v>0.0043859649122807015</x:v>
      </x:c>
      <x:c r="AD255" s="13" t="n">
        <x:v>0.2592884922769302</x:v>
      </x:c>
      <x:c r="AE255" s="13" t="n">
        <x:v>0.4375473828379299</x:v>
      </x:c>
      <x:c r="AF255" s="13" t="n">
        <x:v>1035577.5464864864</x:v>
      </x:c>
      <x:c r="AG255" s="13" t="n">
        <x:v>0.9516203403808972</x:v>
      </x:c>
      <x:c r="AH255" s="13" t="n">
        <x:v>0.00115248722318561</x:v>
      </x:c>
      <x:c r="AI255" s="13" t="n">
        <x:v>33</x:v>
      </x:c>
      <x:c r="AJ255" s="13" t="n">
        <x:v>34702355.64</x:v>
      </x:c>
      <x:c r="AK255" s="13" t="n">
        <x:v>0.09359972601354953</x:v>
      </x:c>
      <x:c r="AL255" s="13" t="n">
        <x:v>0.052054794520547946</x:v>
      </x:c>
      <x:c r="AM255" s="13" t="n">
        <x:v>0.002890173410404624</x:v>
      </x:c>
      <x:c r="AN255" s="13" t="n">
        <x:v>0.2513738166292839</x:v>
      </x:c>
      <x:c r="AO255" s="13" t="n">
        <x:v>1.8425422255363446</x:v>
      </x:c>
      <x:c r="AP255" s="13" t="n">
        <x:v>0.05352737145124004</x:v>
      </x:c>
    </x:row>
    <x:row r="256" ht="15" hidden="0" customHeight="1">
      <x:c r="A256" s="2" t="str">
        <x:v>E255</x:v>
      </x:c>
      <x:c r="B256" s="2" t="str">
        <x:v>个体经营E255 </x:v>
      </x:c>
      <x:c r="C256" s="2" t="str">
        <x:v>无信贷记录</x:v>
      </x:c>
      <x:c r="D256" s="2" t="str"/>
      <x:c r="E256" s="2" t="str"/>
      <x:c r="F256" s="13" t="n">
        <x:v>1377</x:v>
      </x:c>
      <x:c r="G256" s="13" t="n">
        <x:v>1331</x:v>
      </x:c>
      <x:c r="H256" s="13" t="n">
        <x:v>46</x:v>
      </x:c>
      <x:c r="I256" s="13" t="n">
        <x:v>7</x:v>
      </x:c>
      <x:c r="J256" s="13" t="n">
        <x:v>12836662.39</x:v>
      </x:c>
      <x:c r="K256" s="13" t="n">
        <x:v>13424556.45</x:v>
      </x:c>
      <x:c r="L256" s="13" t="n">
        <x:v>312</x:v>
      </x:c>
      <x:c r="M256" s="13" t="n">
        <x:v>0.03340595497458242</x:v>
      </x:c>
      <x:c r="N256" s="13" t="n">
        <x:v>0.005259203606311044</x:v>
      </x:c>
      <x:c r="O256" s="13" t="n">
        <x:v>0.13582010569741515</x:v>
      </x:c>
      <x:c r="P256" s="13" t="n">
        <x:v>0.2747878273475471</x:v>
      </x:c>
      <x:c r="Q256" s="13" t="n">
        <x:v>377548.8938235294</x:v>
      </x:c>
      <x:c r="R256" s="13" t="n">
        <x:v>1.2136841248215604</x:v>
      </x:c>
      <x:c r="S256" s="13" t="n">
        <x:v>-0.004784263709686443</x:v>
      </x:c>
      <x:c r="T256" s="13" t="n">
        <x:v>34</x:v>
      </x:c>
      <x:c r="U256" s="13" t="n">
        <x:v>639</x:v>
      </x:c>
      <x:c r="V256" s="13" t="n">
        <x:v>599</x:v>
      </x:c>
      <x:c r="W256" s="13" t="n">
        <x:v>40</x:v>
      </x:c>
      <x:c r="X256" s="13" t="n">
        <x:v>30</x:v>
      </x:c>
      <x:c r="Y256" s="13" t="n">
        <x:v>44749893.25</x:v>
      </x:c>
      <x:c r="Z256" s="13" t="n">
        <x:v>48408237.33</x:v>
      </x:c>
      <x:c r="AA256" s="13" t="n">
        <x:v>20</x:v>
      </x:c>
      <x:c r="AB256" s="13" t="n">
        <x:v>0.06259780907668232</x:v>
      </x:c>
      <x:c r="AC256" s="13" t="n">
        <x:v>0.05008347245409015</x:v>
      </x:c>
      <x:c r="AD256" s="13" t="n">
        <x:v>0.4325440419001592</x:v>
      </x:c>
      <x:c r="AE256" s="13" t="n">
        <x:v>0.6149836893885514</x:v>
      </x:c>
      <x:c r="AF256" s="13" t="n">
        <x:v>1243052.590277778</x:v>
      </x:c>
      <x:c r="AG256" s="13" t="n">
        <x:v>1.0282100211920093</x:v>
      </x:c>
      <x:c r="AH256" s="13" t="n">
        <x:v>-0.005055976372632044</x:v>
      </x:c>
      <x:c r="AI256" s="13" t="n">
        <x:v>34</x:v>
      </x:c>
      <x:c r="AJ256" s="13" t="n">
        <x:v>31913230.86</x:v>
      </x:c>
      <x:c r="AK256" s="13" t="n">
        <x:v>0.2773196709990597</x:v>
      </x:c>
      <x:c r="AL256" s="13" t="n">
        <x:v>0.04265873015873016</x:v>
      </x:c>
      <x:c r="AM256" s="13" t="n">
        <x:v>0.01917098445595855</x:v>
      </x:c>
      <x:c r="AN256" s="13" t="n">
        <x:v>0.2841820737987872</x:v>
      </x:c>
      <x:c r="AO256" s="13" t="n">
        <x:v>1.1209470730067848</x:v>
      </x:c>
      <x:c r="AP256" s="13" t="n">
        <x:v>-0.004920120041159244</x:v>
      </x:c>
    </x:row>
    <x:row r="257" ht="15" hidden="0" customHeight="1">
      <x:c r="A257" s="2" t="str">
        <x:v>E256</x:v>
      </x:c>
      <x:c r="B257" s="2" t="str">
        <x:v>***物资有限公司</x:v>
      </x:c>
      <x:c r="C257" s="2" t="str">
        <x:v>无信贷记录</x:v>
      </x:c>
      <x:c r="D257" s="2" t="str"/>
      <x:c r="E257" s="2" t="str"/>
      <x:c r="F257" s="13" t="n">
        <x:v>280</x:v>
      </x:c>
      <x:c r="G257" s="13" t="n">
        <x:v>270</x:v>
      </x:c>
      <x:c r="H257" s="13" t="n">
        <x:v>10</x:v>
      </x:c>
      <x:c r="I257" s="13" t="n">
        <x:v>3</x:v>
      </x:c>
      <x:c r="J257" s="13" t="n">
        <x:v>11913715.21</x:v>
      </x:c>
      <x:c r="K257" s="13" t="n">
        <x:v>11938511.21</x:v>
      </x:c>
      <x:c r="L257" s="13" t="n">
        <x:v>54</x:v>
      </x:c>
      <x:c r="M257" s="13" t="n">
        <x:v>0.03571428571428571</x:v>
      </x:c>
      <x:c r="N257" s="13" t="n">
        <x:v>0.011111111111111112</x:v>
      </x:c>
      <x:c r="O257" s="13" t="n">
        <x:v>0.07795080897220497</x:v>
      </x:c>
      <x:c r="P257" s="13" t="n">
        <x:v>0.19036436453620417</x:v>
      </x:c>
      <x:c r="Q257" s="13" t="n">
        <x:v>321992.302972973</x:v>
      </x:c>
      <x:c r="R257" s="13" t="n">
        <x:v>0.8171288126280136</x:v>
      </x:c>
      <x:c r="S257" s="13" t="n">
        <x:v>-0.029514063312916696</x:v>
      </x:c>
      <x:c r="T257" s="13" t="n">
        <x:v>37</x:v>
      </x:c>
      <x:c r="U257" s="13" t="n">
        <x:v>919</x:v>
      </x:c>
      <x:c r="V257" s="13" t="n">
        <x:v>892</x:v>
      </x:c>
      <x:c r="W257" s="13" t="n">
        <x:v>27</x:v>
      </x:c>
      <x:c r="X257" s="13" t="n">
        <x:v>8</x:v>
      </x:c>
      <x:c r="Y257" s="13" t="n">
        <x:v>34629280.089999996</x:v>
      </x:c>
      <x:c r="Z257" s="13" t="n">
        <x:v>34879167.25</x:v>
      </x:c>
      <x:c r="AA257" s="13" t="n">
        <x:v>212</x:v>
      </x:c>
      <x:c r="AB257" s="13" t="n">
        <x:v>0.029379760609358</x:v>
      </x:c>
      <x:c r="AC257" s="13" t="n">
        <x:v>0.008968609865470852</x:v>
      </x:c>
      <x:c r="AD257" s="13" t="n">
        <x:v>0.043404697835833825</x:v>
      </x:c>
      <x:c r="AE257" s="13" t="n">
        <x:v>0.11666322366110962</x:v>
      </x:c>
      <x:c r="AF257" s="13" t="n">
        <x:v>935926.4889189188</x:v>
      </x:c>
      <x:c r="AG257" s="13" t="n">
        <x:v>0.2698388037208975</x:v>
      </x:c>
      <x:c r="AH257" s="13" t="n">
        <x:v>-0.0034098436947442934</x:v>
      </x:c>
      <x:c r="AI257" s="13" t="n">
        <x:v>37</x:v>
      </x:c>
      <x:c r="AJ257" s="13" t="n">
        <x:v>22715564.879999995</x:v>
      </x:c>
      <x:c r="AK257" s="13" t="n">
        <x:v>0.34228200244660373</x:v>
      </x:c>
      <x:c r="AL257" s="13" t="n">
        <x:v>0.030859049207673062</x:v>
      </x:c>
      <x:c r="AM257" s="13" t="n">
        <x:v>0.00946643717728055</x:v>
      </x:c>
      <x:c r="AN257" s="13" t="n">
        <x:v>0.060677753404019395</x:v>
      </x:c>
      <x:c r="AO257" s="13" t="n">
        <x:v>0.5427953831831435</x:v>
      </x:c>
      <x:c r="AP257" s="13" t="n">
        <x:v>-0.016461953503830496</x:v>
      </x:c>
    </x:row>
    <x:row r="258" ht="15" hidden="0" customHeight="1">
      <x:c r="A258" s="2" t="str">
        <x:v>E257</x:v>
      </x:c>
      <x:c r="B258" s="2" t="str">
        <x:v>***门窗安装有限公司</x:v>
      </x:c>
      <x:c r="C258" s="2" t="str">
        <x:v>无信贷记录</x:v>
      </x:c>
      <x:c r="D258" s="2" t="str"/>
      <x:c r="E258" s="2" t="str"/>
      <x:c r="F258" s="13" t="n">
        <x:v>352</x:v>
      </x:c>
      <x:c r="G258" s="13" t="n">
        <x:v>337</x:v>
      </x:c>
      <x:c r="H258" s="13" t="n">
        <x:v>15</x:v>
      </x:c>
      <x:c r="I258" s="13" t="n">
        <x:v>2</x:v>
      </x:c>
      <x:c r="J258" s="13" t="n">
        <x:v>17434981.259999998</x:v>
      </x:c>
      <x:c r="K258" s="13" t="n">
        <x:v>17645799.98</x:v>
      </x:c>
      <x:c r="L258" s="13" t="n">
        <x:v>98</x:v>
      </x:c>
      <x:c r="M258" s="13" t="n">
        <x:v>0.04261363636363636</x:v>
      </x:c>
      <x:c r="N258" s="13" t="n">
        <x:v>0.005934718100890208</x:v>
      </x:c>
      <x:c r="O258" s="13" t="n">
        <x:v>0.05425333403517039</x:v>
      </x:c>
      <x:c r="P258" s="13" t="n">
        <x:v>0.1335518362823469</x:v>
      </x:c>
      <x:c r="Q258" s="13" t="n">
        <x:v>581166.0419999999</x:v>
      </x:c>
      <x:c r="R258" s="13" t="n">
        <x:v>1.039133316892047</x:v>
      </x:c>
      <x:c r="S258" s="13" t="n">
        <x:v>-0.004488797576374746</x:v>
      </x:c>
      <x:c r="T258" s="13" t="n">
        <x:v>29</x:v>
      </x:c>
      <x:c r="U258" s="13" t="n">
        <x:v>361</x:v>
      </x:c>
      <x:c r="V258" s="13" t="n">
        <x:v>317</x:v>
      </x:c>
      <x:c r="W258" s="13" t="n">
        <x:v>44</x:v>
      </x:c>
      <x:c r="X258" s="13" t="n">
        <x:v>11</x:v>
      </x:c>
      <x:c r="Y258" s="13" t="n">
        <x:v>26519808.48</x:v>
      </x:c>
      <x:c r="Z258" s="13" t="n">
        <x:v>28286808.48</x:v>
      </x:c>
      <x:c r="AA258" s="13" t="n">
        <x:v>42</x:v>
      </x:c>
      <x:c r="AB258" s="13" t="n">
        <x:v>0.12188365650969529</x:v>
      </x:c>
      <x:c r="AC258" s="13" t="n">
        <x:v>0.03470031545741325</x:v>
      </x:c>
      <x:c r="AD258" s="13" t="n">
        <x:v>0.10196357003068082</x:v>
      </x:c>
      <x:c r="AE258" s="13" t="n">
        <x:v>0.19956933225575402</x:v>
      </x:c>
      <x:c r="AF258" s="13" t="n">
        <x:v>883993.616</x:v>
      </x:c>
      <x:c r="AG258" s="13" t="n">
        <x:v>0.867991765966913</x:v>
      </x:c>
      <x:c r="AH258" s="13" t="n">
        <x:v>-0.015481536206494267</x:v>
      </x:c>
      <x:c r="AI258" s="13" t="n">
        <x:v>30</x:v>
      </x:c>
      <x:c r="AJ258" s="13" t="n">
        <x:v>9084827.220000003</x:v>
      </x:c>
      <x:c r="AK258" s="13" t="n">
        <x:v>0.6238172819134525</x:v>
      </x:c>
      <x:c r="AL258" s="13" t="n">
        <x:v>0.08274894810659186</x:v>
      </x:c>
      <x:c r="AM258" s="13" t="n">
        <x:v>0.019877675840978593</x:v>
      </x:c>
      <x:c r="AN258" s="13" t="n">
        <x:v>0.0781084520329256</x:v>
      </x:c>
      <x:c r="AO258" s="13" t="n">
        <x:v>0.9535625414294799</x:v>
      </x:c>
      <x:c r="AP258" s="13" t="n">
        <x:v>-0.009985166891434506</x:v>
      </x:c>
    </x:row>
    <x:row r="259" ht="15" hidden="0" customHeight="1">
      <x:c r="A259" s="2" t="str">
        <x:v>E258</x:v>
      </x:c>
      <x:c r="B259" s="2" t="str">
        <x:v>***国际货运有限公司</x:v>
      </x:c>
      <x:c r="C259" s="2" t="str">
        <x:v>无信贷记录</x:v>
      </x:c>
      <x:c r="D259" s="2" t="str"/>
      <x:c r="E259" s="2" t="str"/>
      <x:c r="F259" s="13" t="n">
        <x:v>2318</x:v>
      </x:c>
      <x:c r="G259" s="13" t="n">
        <x:v>2233</x:v>
      </x:c>
      <x:c r="H259" s="13" t="n">
        <x:v>85</x:v>
      </x:c>
      <x:c r="I259" s="13" t="n">
        <x:v>23</x:v>
      </x:c>
      <x:c r="J259" s="13" t="n">
        <x:v>15662959.58</x:v>
      </x:c>
      <x:c r="K259" s="13" t="n">
        <x:v>16185939.64</x:v>
      </x:c>
      <x:c r="L259" s="13" t="n">
        <x:v>249</x:v>
      </x:c>
      <x:c r="M259" s="13" t="n">
        <x:v>0.036669542709232096</x:v>
      </x:c>
      <x:c r="N259" s="13" t="n">
        <x:v>0.010300044782803403</x:v>
      </x:c>
      <x:c r="O259" s="13" t="n">
        <x:v>0.07182820468176025</x:v>
      </x:c>
      <x:c r="P259" s="13" t="n">
        <x:v>0.18775249182876602</x:v>
      </x:c>
      <x:c r="Q259" s="13" t="n">
        <x:v>412183.14684210526</x:v>
      </x:c>
      <x:c r="R259" s="13" t="n">
        <x:v>0.635819070309672</x:v>
      </x:c>
      <x:c r="S259" s="13" t="n">
        <x:v>-0.0189935464782212</x:v>
      </x:c>
      <x:c r="T259" s="13" t="n">
        <x:v>38</x:v>
      </x:c>
      <x:c r="U259" s="13" t="n">
        <x:v>2495</x:v>
      </x:c>
      <x:c r="V259" s="13" t="n">
        <x:v>2380</x:v>
      </x:c>
      <x:c r="W259" s="13" t="n">
        <x:v>115</x:v>
      </x:c>
      <x:c r="X259" s="13" t="n">
        <x:v>52</x:v>
      </x:c>
      <x:c r="Y259" s="13" t="n">
        <x:v>71523803.33000001</x:v>
      </x:c>
      <x:c r="Z259" s="13" t="n">
        <x:v>73359595.28999999</x:v>
      </x:c>
      <x:c r="AA259" s="13" t="n">
        <x:v>196</x:v>
      </x:c>
      <x:c r="AB259" s="13" t="n">
        <x:v>0.04609218436873747</x:v>
      </x:c>
      <x:c r="AC259" s="13" t="n">
        <x:v>0.021848739495798318</x:v>
      </x:c>
      <x:c r="AD259" s="13" t="n">
        <x:v>0.16062630170144424</x:v>
      </x:c>
      <x:c r="AE259" s="13" t="n">
        <x:v>0.36278589112701737</x:v>
      </x:c>
      <x:c r="AF259" s="13" t="n">
        <x:v>1882205.3507894736</x:v>
      </x:c>
      <x:c r="AG259" s="13" t="n">
        <x:v>0.8473911760632898</x:v>
      </x:c>
      <x:c r="AH259" s="13" t="n">
        <x:v>-0.05863018125877804</x:v>
      </x:c>
      <x:c r="AI259" s="13" t="n">
        <x:v>38</x:v>
      </x:c>
      <x:c r="AJ259" s="13" t="n">
        <x:v>55860843.750000015</x:v>
      </x:c>
      <x:c r="AK259" s="13" t="n">
        <x:v>0.220638344254966</x:v>
      </x:c>
      <x:c r="AL259" s="13" t="n">
        <x:v>0.0415541242468315</x:v>
      </x:c>
      <x:c r="AM259" s="13" t="n">
        <x:v>0.016258400173422935</x:v>
      </x:c>
      <x:c r="AN259" s="13" t="n">
        <x:v>0.11622725319160224</x:v>
      </x:c>
      <x:c r="AO259" s="13" t="n">
        <x:v>0.7416051231864809</x:v>
      </x:c>
      <x:c r="AP259" s="13" t="n">
        <x:v>-0.03881186386849962</x:v>
      </x:c>
    </x:row>
    <x:row r="260" ht="15" hidden="0" customHeight="1">
      <x:c r="A260" s="2" t="str">
        <x:v>E259</x:v>
      </x:c>
      <x:c r="B260" s="2" t="str">
        <x:v>***文化传媒有限公司</x:v>
      </x:c>
      <x:c r="C260" s="2" t="str">
        <x:v>无信贷记录</x:v>
      </x:c>
      <x:c r="D260" s="2" t="str"/>
      <x:c r="E260" s="2" t="str"/>
      <x:c r="F260" s="13" t="n">
        <x:v>2462</x:v>
      </x:c>
      <x:c r="G260" s="13" t="n">
        <x:v>2321</x:v>
      </x:c>
      <x:c r="H260" s="13" t="n">
        <x:v>141</x:v>
      </x:c>
      <x:c r="I260" s="13" t="n">
        <x:v>22</x:v>
      </x:c>
      <x:c r="J260" s="13" t="n">
        <x:v>19761380.98</x:v>
      </x:c>
      <x:c r="K260" s="13" t="n">
        <x:v>20067901.02</x:v>
      </x:c>
      <x:c r="L260" s="13" t="n">
        <x:v>524</x:v>
      </x:c>
      <x:c r="M260" s="13" t="n">
        <x:v>0.05727051177904143</x:v>
      </x:c>
      <x:c r="N260" s="13" t="n">
        <x:v>0.009478672985781991</x:v>
      </x:c>
      <x:c r="O260" s="13" t="n">
        <x:v>0.0157003597311806</x:v>
      </x:c>
      <x:c r="P260" s="13" t="n">
        <x:v>0.05760443201548141</x:v>
      </x:c>
      <x:c r="Q260" s="13" t="n">
        <x:v>534091.3778378379</x:v>
      </x:c>
      <x:c r="R260" s="13" t="n">
        <x:v>0.7092935208945041</x:v>
      </x:c>
      <x:c r="S260" s="13" t="n">
        <x:v>0.029496000672047447</x:v>
      </x:c>
      <x:c r="T260" s="13" t="n">
        <x:v>37</x:v>
      </x:c>
      <x:c r="U260" s="13" t="n">
        <x:v>818</x:v>
      </x:c>
      <x:c r="V260" s="13" t="n">
        <x:v>707</x:v>
      </x:c>
      <x:c r="W260" s="13" t="n">
        <x:v>111</x:v>
      </x:c>
      <x:c r="X260" s="13" t="n">
        <x:v>16</x:v>
      </x:c>
      <x:c r="Y260" s="13" t="n">
        <x:v>33629160.56</x:v>
      </x:c>
      <x:c r="Z260" s="13" t="n">
        <x:v>35398428.56</x:v>
      </x:c>
      <x:c r="AA260" s="13" t="n">
        <x:v>223</x:v>
      </x:c>
      <x:c r="AB260" s="13" t="n">
        <x:v>0.1356968215158924</x:v>
      </x:c>
      <x:c r="AC260" s="13" t="n">
        <x:v>0.02263083451202263</x:v>
      </x:c>
      <x:c r="AD260" s="13" t="n">
        <x:v>0.014588396062433649</x:v>
      </x:c>
      <x:c r="AE260" s="13" t="n">
        <x:v>0.05729067878147639</x:v>
      </x:c>
      <x:c r="AF260" s="13" t="n">
        <x:v>908896.2313513514</x:v>
      </x:c>
      <x:c r="AG260" s="13" t="n">
        <x:v>0.5384811327662453</x:v>
      </x:c>
      <x:c r="AH260" s="13" t="n">
        <x:v>0.010174340132108753</x:v>
      </x:c>
      <x:c r="AI260" s="13" t="n">
        <x:v>37</x:v>
      </x:c>
      <x:c r="AJ260" s="13" t="n">
        <x:v>13867779.580000002</x:v>
      </x:c>
      <x:c r="AK260" s="13" t="n">
        <x:v>0.5669150252244982</x:v>
      </x:c>
      <x:c r="AL260" s="13" t="n">
        <x:v>0.07682926829268293</x:v>
      </x:c>
      <x:c r="AM260" s="13" t="n">
        <x:v>0.012549537648612946</x:v>
      </x:c>
      <x:c r="AN260" s="13" t="n">
        <x:v>0.026697377740847485</x:v>
      </x:c>
      <x:c r="AO260" s="13" t="n">
        <x:v>0.6238873268303747</x:v>
      </x:c>
      <x:c r="AP260" s="13" t="n">
        <x:v>0.0198351704020781</x:v>
      </x:c>
    </x:row>
    <x:row r="261" ht="15" hidden="0" customHeight="1">
      <x:c r="A261" s="2" t="str">
        <x:v>E260</x:v>
      </x:c>
      <x:c r="B261" s="2" t="str">
        <x:v>***广告有限公司</x:v>
      </x:c>
      <x:c r="C261" s="2" t="str">
        <x:v>无信贷记录</x:v>
      </x:c>
      <x:c r="D261" s="2" t="str"/>
      <x:c r="E261" s="2" t="str"/>
      <x:c r="F261" s="13" t="n">
        <x:v>1365</x:v>
      </x:c>
      <x:c r="G261" s="13" t="n">
        <x:v>1343</x:v>
      </x:c>
      <x:c r="H261" s="13" t="n">
        <x:v>22</x:v>
      </x:c>
      <x:c r="I261" s="13" t="n">
        <x:v>9</x:v>
      </x:c>
      <x:c r="J261" s="13" t="n">
        <x:v>20332238.69</x:v>
      </x:c>
      <x:c r="K261" s="13" t="n">
        <x:v>20468442.590000004</x:v>
      </x:c>
      <x:c r="L261" s="13" t="n">
        <x:v>259</x:v>
      </x:c>
      <x:c r="M261" s="13" t="n">
        <x:v>0.01611721611721612</x:v>
      </x:c>
      <x:c r="N261" s="13" t="n">
        <x:v>0.006701414743112435</x:v>
      </x:c>
      <x:c r="O261" s="13" t="n">
        <x:v>0.04307938959465804</x:v>
      </x:c>
      <x:c r="P261" s="13" t="n">
        <x:v>0.1159492222998682</x:v>
      </x:c>
      <x:c r="Q261" s="13" t="n">
        <x:v>549519.9645945948</x:v>
      </x:c>
      <x:c r="R261" s="13" t="n">
        <x:v>0.7511756906075079</x:v>
      </x:c>
      <x:c r="S261" s="13" t="n">
        <x:v>0.045872099667403646</x:v>
      </x:c>
      <x:c r="T261" s="13" t="n">
        <x:v>37</x:v>
      </x:c>
      <x:c r="U261" s="13" t="n">
        <x:v>1588</x:v>
      </x:c>
      <x:c r="V261" s="13" t="n">
        <x:v>1405</x:v>
      </x:c>
      <x:c r="W261" s="13" t="n">
        <x:v>183</x:v>
      </x:c>
      <x:c r="X261" s="13" t="n">
        <x:v>24</x:v>
      </x:c>
      <x:c r="Y261" s="13" t="n">
        <x:v>25312742.11</x:v>
      </x:c>
      <x:c r="Z261" s="13" t="n">
        <x:v>26227514.31</x:v>
      </x:c>
      <x:c r="AA261" s="13" t="n">
        <x:v>309</x:v>
      </x:c>
      <x:c r="AB261" s="13" t="n">
        <x:v>0.11523929471032746</x:v>
      </x:c>
      <x:c r="AC261" s="13" t="n">
        <x:v>0.01708185053380783</x:v>
      </x:c>
      <x:c r="AD261" s="13" t="n">
        <x:v>0.04436310838214136</x:v>
      </x:c>
      <x:c r="AE261" s="13" t="n">
        <x:v>0.1195366412898928</x:v>
      </x:c>
      <x:c r="AF261" s="13" t="n">
        <x:v>684128.1651351351</x:v>
      </x:c>
      <x:c r="AG261" s="13" t="n">
        <x:v>0.9428450143508993</x:v>
      </x:c>
      <x:c r="AH261" s="13" t="n">
        <x:v>0.05509426477748876</x:v>
      </x:c>
      <x:c r="AI261" s="13" t="n">
        <x:v>37</x:v>
      </x:c>
      <x:c r="AJ261" s="13" t="n">
        <x:v>4980503.419999998</x:v>
      </x:c>
      <x:c r="AK261" s="13" t="n">
        <x:v>0.7804186987783214</x:v>
      </x:c>
      <x:c r="AL261" s="13" t="n">
        <x:v>0.06942092786996275</x:v>
      </x:c>
      <x:c r="AM261" s="13" t="n">
        <x:v>0.012008733624454149</x:v>
      </x:c>
      <x:c r="AN261" s="13" t="n">
        <x:v>0.0437212489883997</x:v>
      </x:c>
      <x:c r="AO261" s="13" t="n">
        <x:v>0.8470103524792036</x:v>
      </x:c>
      <x:c r="AP261" s="13" t="n">
        <x:v>0.0504831822224462</x:v>
      </x:c>
    </x:row>
    <x:row r="262" ht="15" hidden="0" customHeight="1">
      <x:c r="A262" s="2" t="str">
        <x:v>E261</x:v>
      </x:c>
      <x:c r="B262" s="2" t="str">
        <x:v>***医疗器械有限公司</x:v>
      </x:c>
      <x:c r="C262" s="2" t="str">
        <x:v>无信贷记录</x:v>
      </x:c>
      <x:c r="D262" s="2" t="str"/>
      <x:c r="E262" s="2" t="str"/>
      <x:c r="F262" s="13" t="n">
        <x:v>1386</x:v>
      </x:c>
      <x:c r="G262" s="13" t="n">
        <x:v>1338</x:v>
      </x:c>
      <x:c r="H262" s="13" t="n">
        <x:v>48</x:v>
      </x:c>
      <x:c r="I262" s="13" t="n">
        <x:v>9</x:v>
      </x:c>
      <x:c r="J262" s="13" t="n">
        <x:v>9843435.94</x:v>
      </x:c>
      <x:c r="K262" s="13" t="n">
        <x:v>9851897</x:v>
      </x:c>
      <x:c r="L262" s="13" t="n">
        <x:v>461</x:v>
      </x:c>
      <x:c r="M262" s="13" t="n">
        <x:v>0.03463203463203463</x:v>
      </x:c>
      <x:c r="N262" s="13" t="n">
        <x:v>0.006726457399103139</x:v>
      </x:c>
      <x:c r="O262" s="13" t="n">
        <x:v>0.5563957163228096</x:v>
      </x:c>
      <x:c r="P262" s="13" t="n">
        <x:v>0.7437449863716602</x:v>
      </x:c>
      <x:c r="Q262" s="13" t="n">
        <x:v>266038.8091891891</x:v>
      </x:c>
      <x:c r="R262" s="13" t="n">
        <x:v>0.6823125256556007</x:v>
      </x:c>
      <x:c r="S262" s="13" t="n">
        <x:v>0.04572722011637564</x:v>
      </x:c>
      <x:c r="T262" s="13" t="n">
        <x:v>37</x:v>
      </x:c>
      <x:c r="U262" s="13" t="n">
        <x:v>1548</x:v>
      </x:c>
      <x:c r="V262" s="13" t="n">
        <x:v>1367</x:v>
      </x:c>
      <x:c r="W262" s="13" t="n">
        <x:v>181</x:v>
      </x:c>
      <x:c r="X262" s="13" t="n">
        <x:v>24</x:v>
      </x:c>
      <x:c r="Y262" s="13" t="n">
        <x:v>18385636.41</x:v>
      </x:c>
      <x:c r="Z262" s="13" t="n">
        <x:v>18909020.41</x:v>
      </x:c>
      <x:c r="AA262" s="13" t="n">
        <x:v>140</x:v>
      </x:c>
      <x:c r="AB262" s="13" t="n">
        <x:v>0.11692506459948321</x:v>
      </x:c>
      <x:c r="AC262" s="13" t="n">
        <x:v>0.01755669348939283</x:v>
      </x:c>
      <x:c r="AD262" s="13" t="n">
        <x:v>0.05169264676594363</x:v>
      </x:c>
      <x:c r="AE262" s="13" t="n">
        <x:v>0.1379083603199728</x:v>
      </x:c>
      <x:c r="AF262" s="13" t="n">
        <x:v>496909.0921621622</x:v>
      </x:c>
      <x:c r="AG262" s="13" t="n">
        <x:v>0.624188710074008</x:v>
      </x:c>
      <x:c r="AH262" s="13" t="n">
        <x:v>0.054785590930266574</x:v>
      </x:c>
      <x:c r="AI262" s="13" t="n">
        <x:v>37</x:v>
      </x:c>
      <x:c r="AJ262" s="13" t="n">
        <x:v>8542200.47</x:v>
      </x:c>
      <x:c r="AK262" s="13" t="n">
        <x:v>0.5210157261657956</x:v>
      </x:c>
      <x:c r="AL262" s="13" t="n">
        <x:v>0.07805044308111793</x:v>
      </x:c>
      <x:c r="AM262" s="13" t="n">
        <x:v>0.012199630314232901</x:v>
      </x:c>
      <x:c r="AN262" s="13" t="n">
        <x:v>0.3040441815443766</x:v>
      </x:c>
      <x:c r="AO262" s="13" t="n">
        <x:v>0.6532506178648043</x:v>
      </x:c>
      <x:c r="AP262" s="13" t="n">
        <x:v>0.050256405523321106</x:v>
      </x:c>
    </x:row>
    <x:row r="263" ht="15" hidden="0" customHeight="1">
      <x:c r="A263" s="2" t="str">
        <x:v>E262</x:v>
      </x:c>
      <x:c r="B263" s="2" t="str">
        <x:v>个体经营E262 </x:v>
      </x:c>
      <x:c r="C263" s="2" t="str">
        <x:v>无信贷记录</x:v>
      </x:c>
      <x:c r="D263" s="2" t="str"/>
      <x:c r="E263" s="2" t="str"/>
      <x:c r="F263" s="13" t="n">
        <x:v>329</x:v>
      </x:c>
      <x:c r="G263" s="13" t="n">
        <x:v>320</x:v>
      </x:c>
      <x:c r="H263" s="13" t="n">
        <x:v>9</x:v>
      </x:c>
      <x:c r="I263" s="13" t="n">
        <x:v>0</x:v>
      </x:c>
      <x:c r="J263" s="13" t="n">
        <x:v>18858875.21</x:v>
      </x:c>
      <x:c r="K263" s="13" t="n">
        <x:v>18858875.21</x:v>
      </x:c>
      <x:c r="L263" s="13" t="n">
        <x:v>42</x:v>
      </x:c>
      <x:c r="M263" s="13" t="n">
        <x:v>0.02735562310030395</x:v>
      </x:c>
      <x:c r="N263" s="13" t="n">
        <x:v>0</x:v>
      </x:c>
      <x:c r="O263" s="13" t="n">
        <x:v>0.0936796199646626</x:v>
      </x:c>
      <x:c r="P263" s="13" t="n">
        <x:v>0.16608253965958555</x:v>
      </x:c>
      <x:c r="Q263" s="13" t="n">
        <x:v>523857.64472222223</x:v>
      </x:c>
      <x:c r="R263" s="13" t="n">
        <x:v>1.1353930430525336</x:v>
      </x:c>
      <x:c r="S263" s="13" t="n">
        <x:v>0.0175893432588444</x:v>
      </x:c>
      <x:c r="T263" s="13" t="n">
        <x:v>32</x:v>
      </x:c>
      <x:c r="U263" s="13" t="n">
        <x:v>692</x:v>
      </x:c>
      <x:c r="V263" s="13" t="n">
        <x:v>656</x:v>
      </x:c>
      <x:c r="W263" s="13" t="n">
        <x:v>36</x:v>
      </x:c>
      <x:c r="X263" s="13" t="n">
        <x:v>9</x:v>
      </x:c>
      <x:c r="Y263" s="13" t="n">
        <x:v>28266974.63</x:v>
      </x:c>
      <x:c r="Z263" s="13" t="n">
        <x:v>28494667.029999997</x:v>
      </x:c>
      <x:c r="AA263" s="13" t="n">
        <x:v>202</x:v>
      </x:c>
      <x:c r="AB263" s="13" t="n">
        <x:v>0.05202312138728324</x:v>
      </x:c>
      <x:c r="AC263" s="13" t="n">
        <x:v>0.013719512195121951</x:v>
      </x:c>
      <x:c r="AD263" s="13" t="n">
        <x:v>0.23350272728768742</x:v>
      </x:c>
      <x:c r="AE263" s="13" t="n">
        <x:v>0.4166350295478431</x:v>
      </x:c>
      <x:c r="AF263" s="13" t="n">
        <x:v>785193.7397222222</x:v>
      </x:c>
      <x:c r="AG263" s="13" t="n">
        <x:v>1.2395492469611513</x:v>
      </x:c>
      <x:c r="AH263" s="13" t="n">
        <x:v>0.021112106560273094</x:v>
      </x:c>
      <x:c r="AI263" s="13" t="n">
        <x:v>30</x:v>
      </x:c>
      <x:c r="AJ263" s="13" t="n">
        <x:v>9408099.419999998</x:v>
      </x:c>
      <x:c r="AK263" s="13" t="n">
        <x:v>0.6618387640797782</x:v>
      </x:c>
      <x:c r="AL263" s="13" t="n">
        <x:v>0.04407443682664055</x:v>
      </x:c>
      <x:c r="AM263" s="13" t="n">
        <x:v>0.009221311475409836</x:v>
      </x:c>
      <x:c r="AN263" s="13" t="n">
        <x:v>0.163591173626175</x:v>
      </x:c>
      <x:c r="AO263" s="13" t="n">
        <x:v>1.1874711450068425</x:v>
      </x:c>
      <x:c r="AP263" s="13" t="n">
        <x:v>0.019350724909558747</x:v>
      </x:c>
    </x:row>
    <x:row r="264" ht="15" hidden="0" customHeight="1">
      <x:c r="A264" s="2" t="str">
        <x:v>E263</x:v>
      </x:c>
      <x:c r="B264" s="2" t="str">
        <x:v>***通信工程有限公司</x:v>
      </x:c>
      <x:c r="C264" s="2" t="str">
        <x:v>无信贷记录</x:v>
      </x:c>
      <x:c r="D264" s="2" t="str"/>
      <x:c r="E264" s="2" t="str"/>
      <x:c r="F264" s="13" t="n">
        <x:v>496</x:v>
      </x:c>
      <x:c r="G264" s="13" t="n">
        <x:v>490</x:v>
      </x:c>
      <x:c r="H264" s="13" t="n">
        <x:v>6</x:v>
      </x:c>
      <x:c r="I264" s="13" t="n">
        <x:v>1</x:v>
      </x:c>
      <x:c r="J264" s="13" t="n">
        <x:v>15049140.91</x:v>
      </x:c>
      <x:c r="K264" s="13" t="n">
        <x:v>15049940.91</x:v>
      </x:c>
      <x:c r="L264" s="13" t="n">
        <x:v>148</x:v>
      </x:c>
      <x:c r="M264" s="13" t="n">
        <x:v>0.012096774193548387</x:v>
      </x:c>
      <x:c r="N264" s="13" t="n">
        <x:v>0.0020408163265306124</x:v>
      </x:c>
      <x:c r="O264" s="13" t="n">
        <x:v>0.2021845847023684</x:v>
      </x:c>
      <x:c r="P264" s="13" t="n">
        <x:v>0.315969516985964</x:v>
      </x:c>
      <x:c r="Q264" s="13" t="n">
        <x:v>406733.5381081081</x:v>
      </x:c>
      <x:c r="R264" s="13" t="n">
        <x:v>2.3456776418938117</x:v>
      </x:c>
      <x:c r="S264" s="13" t="n">
        <x:v>0.08838493291937406</x:v>
      </x:c>
      <x:c r="T264" s="13" t="n">
        <x:v>37</x:v>
      </x:c>
      <x:c r="U264" s="13" t="n">
        <x:v>496</x:v>
      </x:c>
      <x:c r="V264" s="13" t="n">
        <x:v>404</x:v>
      </x:c>
      <x:c r="W264" s="13" t="n">
        <x:v>92</x:v>
      </x:c>
      <x:c r="X264" s="13" t="n">
        <x:v>18</x:v>
      </x:c>
      <x:c r="Y264" s="13" t="n">
        <x:v>28462497.86</x:v>
      </x:c>
      <x:c r="Z264" s="13" t="n">
        <x:v>30134165.020000003</x:v>
      </x:c>
      <x:c r="AA264" s="13" t="n">
        <x:v>17</x:v>
      </x:c>
      <x:c r="AB264" s="13" t="n">
        <x:v>0.18548387096774194</x:v>
      </x:c>
      <x:c r="AC264" s="13" t="n">
        <x:v>0.04455445544554455</x:v>
      </x:c>
      <x:c r="AD264" s="13" t="n">
        <x:v>0.25852571917236206</x:v>
      </x:c>
      <x:c r="AE264" s="13" t="n">
        <x:v>0.42008753657512155</x:v>
      </x:c>
      <x:c r="AF264" s="13" t="n">
        <x:v>769256.6989189188</x:v>
      </x:c>
      <x:c r="AG264" s="13" t="n">
        <x:v>1.0825861442891926</x:v>
      </x:c>
      <x:c r="AH264" s="13" t="n">
        <x:v>0.025889817247312805</x:v>
      </x:c>
      <x:c r="AI264" s="13" t="n">
        <x:v>36</x:v>
      </x:c>
      <x:c r="AJ264" s="13" t="n">
        <x:v>13413356.95</x:v>
      </x:c>
      <x:c r="AK264" s="13" t="n">
        <x:v>0.4994311572931049</x:v>
      </x:c>
      <x:c r="AL264" s="13" t="n">
        <x:v>0.09879032258064516</x:v>
      </x:c>
      <x:c r="AM264" s="13" t="n">
        <x:v>0.021252796420581657</x:v>
      </x:c>
      <x:c r="AN264" s="13" t="n">
        <x:v>0.23035515193736522</x:v>
      </x:c>
      <x:c r="AO264" s="13" t="n">
        <x:v>1.7141318930915022</x:v>
      </x:c>
      <x:c r="AP264" s="13" t="n">
        <x:v>0.057137375083343434</x:v>
      </x:c>
    </x:row>
    <x:row r="265" ht="15" hidden="0" customHeight="1">
      <x:c r="A265" s="2" t="str">
        <x:v>E264</x:v>
      </x:c>
      <x:c r="B265" s="2" t="str">
        <x:v>个体经营E264 </x:v>
      </x:c>
      <x:c r="C265" s="2" t="str">
        <x:v>无信贷记录</x:v>
      </x:c>
      <x:c r="D265" s="2" t="str"/>
      <x:c r="E265" s="2" t="str"/>
      <x:c r="F265" s="13" t="n">
        <x:v>1610</x:v>
      </x:c>
      <x:c r="G265" s="13" t="n">
        <x:v>1502</x:v>
      </x:c>
      <x:c r="H265" s="13" t="n">
        <x:v>108</x:v>
      </x:c>
      <x:c r="I265" s="13" t="n">
        <x:v>11</x:v>
      </x:c>
      <x:c r="J265" s="13" t="n">
        <x:v>27083599.909999996</x:v>
      </x:c>
      <x:c r="K265" s="13" t="n">
        <x:v>28038108.709999997</x:v>
      </x:c>
      <x:c r="L265" s="13" t="n">
        <x:v>1608.56</x:v>
      </x:c>
      <x:c r="M265" s="13" t="n">
        <x:v>0.0670807453416149</x:v>
      </x:c>
      <x:c r="N265" s="13" t="n">
        <x:v>0.007323568575233023</x:v>
      </x:c>
      <x:c r="O265" s="13" t="n">
        <x:v>0.01056490101357329</x:v>
      </x:c>
      <x:c r="P265" s="13" t="n">
        <x:v>0.04137191557692229</x:v>
      </x:c>
      <x:c r="Q265" s="13" t="n">
        <x:v>1083343.9964</x:v>
      </x:c>
      <x:c r="R265" s="13" t="n">
        <x:v>0.9519155462044642</x:v>
      </x:c>
      <x:c r="S265" s="13" t="n">
        <x:v>-0.04062738983692099</x:v>
      </x:c>
      <x:c r="T265" s="13" t="n">
        <x:v>25</x:v>
      </x:c>
      <x:c r="U265" s="13" t="n">
        <x:v>423</x:v>
      </x:c>
      <x:c r="V265" s="13" t="n">
        <x:v>24</x:v>
      </x:c>
      <x:c r="W265" s="13" t="n">
        <x:v>399</x:v>
      </x:c>
      <x:c r="X265" s="13" t="n">
        <x:v>0</x:v>
      </x:c>
      <x:c r="Y265" s="13" t="n">
        <x:v>1365389.73</x:v>
      </x:c>
      <x:c r="Z265" s="13" t="n">
        <x:v>1365389.73</x:v>
      </x:c>
      <x:c r="AA265" s="13" t="n">
        <x:v>15</x:v>
      </x:c>
      <x:c r="AB265" s="13" t="n">
        <x:v>0.8136218864842784</x:v>
      </x:c>
      <x:c r="AC265" s="13" t="n">
        <x:v>0</x:v>
      </x:c>
      <x:c r="AD265" s="13" t="n">
        <x:v>0.531394471510877</x:v>
      </x:c>
      <x:c r="AE265" s="13" t="n">
        <x:v>0.6995627028775147</x:v>
      </x:c>
      <x:c r="AF265" s="13" t="n">
        <x:v>62063.16954545455</x:v>
      </x:c>
      <x:c r="AG265" s="13" t="n">
        <x:v>1.2551011355802215</x:v>
      </x:c>
      <x:c r="AH265" s="13" t="n">
        <x:v>-0.10204008299261</x:v>
      </x:c>
      <x:c r="AI265" s="13" t="n">
        <x:v>13</x:v>
      </x:c>
      <x:c r="AJ265" s="13" t="n">
        <x:v>-25718210.179999996</x:v>
      </x:c>
      <x:c r="AK265" s="13" t="n">
        <x:v>20.534875936118237</x:v>
      </x:c>
      <x:c r="AL265" s="13" t="n">
        <x:v>0.24938514510575505</x:v>
      </x:c>
      <x:c r="AM265" s="13" t="n">
        <x:v>0.007208387942332897</x:v>
      </x:c>
      <x:c r="AN265" s="13" t="n">
        <x:v>0.2690888581189919</x:v>
      </x:c>
      <x:c r="AO265" s="13" t="n">
        <x:v>1.103508340892343</x:v>
      </x:c>
      <x:c r="AP265" s="13" t="n">
        <x:v>-0.0713337364147655</x:v>
      </x:c>
    </x:row>
    <x:row r="266" ht="15" hidden="0" customHeight="1">
      <x:c r="A266" s="2" t="str">
        <x:v>E265</x:v>
      </x:c>
      <x:c r="B266" s="2" t="str">
        <x:v>***净化工程有限公司</x:v>
      </x:c>
      <x:c r="C266" s="2" t="str">
        <x:v>无信贷记录</x:v>
      </x:c>
      <x:c r="D266" s="2" t="str"/>
      <x:c r="E266" s="2" t="str"/>
      <x:c r="F266" s="13" t="n">
        <x:v>2035</x:v>
      </x:c>
      <x:c r="G266" s="13" t="n">
        <x:v>1968</x:v>
      </x:c>
      <x:c r="H266" s="13" t="n">
        <x:v>67</x:v>
      </x:c>
      <x:c r="I266" s="13" t="n">
        <x:v>13</x:v>
      </x:c>
      <x:c r="J266" s="13" t="n">
        <x:v>23719602.21</x:v>
      </x:c>
      <x:c r="K266" s="13" t="n">
        <x:v>23936426.65</x:v>
      </x:c>
      <x:c r="L266" s="13" t="n">
        <x:v>481</x:v>
      </x:c>
      <x:c r="M266" s="13" t="n">
        <x:v>0.03292383292383293</x:v>
      </x:c>
      <x:c r="N266" s="13" t="n">
        <x:v>0.0066056910569105695</x:v>
      </x:c>
      <x:c r="O266" s="13" t="n">
        <x:v>0.11457571249390124</x:v>
      </x:c>
      <x:c r="P266" s="13" t="n">
        <x:v>0.2960090365033663</x:v>
      </x:c>
      <x:c r="Q266" s="13" t="n">
        <x:v>718775.8245454546</x:v>
      </x:c>
      <x:c r="R266" s="13" t="n">
        <x:v>0.9028208113564212</x:v>
      </x:c>
      <x:c r="S266" s="13" t="n">
        <x:v>0.003859272227602145</x:v>
      </x:c>
      <x:c r="T266" s="13" t="n">
        <x:v>33</x:v>
      </x:c>
      <x:c r="U266" s="13" t="n">
        <x:v>475</x:v>
      </x:c>
      <x:c r="V266" s="13" t="n">
        <x:v>401</x:v>
      </x:c>
      <x:c r="W266" s="13" t="n">
        <x:v>74</x:v>
      </x:c>
      <x:c r="X266" s="13" t="n">
        <x:v>16</x:v>
      </x:c>
      <x:c r="Y266" s="13" t="n">
        <x:v>26395523.04</x:v>
      </x:c>
      <x:c r="Z266" s="13" t="n">
        <x:v>29165245.6</x:v>
      </x:c>
      <x:c r="AA266" s="13" t="n">
        <x:v>67</x:v>
      </x:c>
      <x:c r="AB266" s="13" t="n">
        <x:v>0.15578947368421053</x:v>
      </x:c>
      <x:c r="AC266" s="13" t="n">
        <x:v>0.0399002493765586</x:v>
      </x:c>
      <x:c r="AD266" s="13" t="n">
        <x:v>0.0942524166157002</x:v>
      </x:c>
      <x:c r="AE266" s="13" t="n">
        <x:v>0.1934795028779048</x:v>
      </x:c>
      <x:c r="AF266" s="13" t="n">
        <x:v>799864.3345454545</x:v>
      </x:c>
      <x:c r="AG266" s="13" t="n">
        <x:v>0.9842343693706057</x:v>
      </x:c>
      <x:c r="AH266" s="13" t="n">
        <x:v>0.015646503011493024</x:v>
      </x:c>
      <x:c r="AI266" s="13" t="n">
        <x:v>32</x:v>
      </x:c>
      <x:c r="AJ266" s="13" t="n">
        <x:v>2675920.829999998</x:v>
      </x:c>
      <x:c r="AK266" s="13" t="n">
        <x:v>0.8207174723740368</x:v>
      </x:c>
      <x:c r="AL266" s="13" t="n">
        <x:v>0.05617529880478088</x:v>
      </x:c>
      <x:c r="AM266" s="13" t="n">
        <x:v>0.012241452089489235</x:v>
      </x:c>
      <x:c r="AN266" s="13" t="n">
        <x:v>0.10441406455480072</x:v>
      </x:c>
      <x:c r="AO266" s="13" t="n">
        <x:v>0.9435275903635134</x:v>
      </x:c>
      <x:c r="AP266" s="13" t="n">
        <x:v>0.009752887619547585</x:v>
      </x:c>
    </x:row>
    <x:row r="267" ht="15" hidden="0" customHeight="1">
      <x:c r="A267" s="2" t="str">
        <x:v>E266</x:v>
      </x:c>
      <x:c r="B267" s="2" t="str">
        <x:v>***煤矿机械有限公司</x:v>
      </x:c>
      <x:c r="C267" s="2" t="str">
        <x:v>无信贷记录</x:v>
      </x:c>
      <x:c r="D267" s="2" t="str"/>
      <x:c r="E267" s="2" t="str"/>
      <x:c r="F267" s="13" t="n">
        <x:v>295</x:v>
      </x:c>
      <x:c r="G267" s="13" t="n">
        <x:v>289</x:v>
      </x:c>
      <x:c r="H267" s="13" t="n">
        <x:v>6</x:v>
      </x:c>
      <x:c r="I267" s="13" t="n">
        <x:v>2</x:v>
      </x:c>
      <x:c r="J267" s="13" t="n">
        <x:v>1331567.42</x:v>
      </x:c>
      <x:c r="K267" s="13" t="n">
        <x:v>1339925.3199999998</x:v>
      </x:c>
      <x:c r="L267" s="13" t="n">
        <x:v>83</x:v>
      </x:c>
      <x:c r="M267" s="13" t="n">
        <x:v>0.020338983050847456</x:v>
      </x:c>
      <x:c r="N267" s="13" t="n">
        <x:v>0.006920415224913495</x:v>
      </x:c>
      <x:c r="O267" s="13" t="n">
        <x:v>0.31328194477904486</x:v>
      </x:c>
      <x:c r="P267" s="13" t="n">
        <x:v>0.5227903298371882</x:v>
      </x:c>
      <x:c r="Q267" s="13" t="n">
        <x:v>36987.983888888884</x:v>
      </x:c>
      <x:c r="R267" s="13" t="n">
        <x:v>1.84155626783704</x:v>
      </x:c>
      <x:c r="S267" s="13" t="n">
        <x:v>-0.018907645607841736</x:v>
      </x:c>
      <x:c r="T267" s="13" t="n">
        <x:v>34</x:v>
      </x:c>
      <x:c r="U267" s="13" t="n">
        <x:v>484</x:v>
      </x:c>
      <x:c r="V267" s="13" t="n">
        <x:v>450</x:v>
      </x:c>
      <x:c r="W267" s="13" t="n">
        <x:v>34</x:v>
      </x:c>
      <x:c r="X267" s="13" t="n">
        <x:v>9</x:v>
      </x:c>
      <x:c r="Y267" s="13" t="n">
        <x:v>30456385.44</x:v>
      </x:c>
      <x:c r="Z267" s="13" t="n">
        <x:v>32043545.44</x:v>
      </x:c>
      <x:c r="AA267" s="13" t="n">
        <x:v>16</x:v>
      </x:c>
      <x:c r="AB267" s="13" t="n">
        <x:v>0.07024793388429752</x:v>
      </x:c>
      <x:c r="AC267" s="13" t="n">
        <x:v>0.02</x:v>
      </x:c>
      <x:c r="AD267" s="13" t="n">
        <x:v>0.6746791494077339</x:v>
      </x:c>
      <x:c r="AE267" s="13" t="n">
        <x:v>0.8173630583120642</x:v>
      </x:c>
      <x:c r="AF267" s="13" t="n">
        <x:v>895776.0423529411</x:v>
      </x:c>
      <x:c r="AG267" s="13" t="n">
        <x:v>0.8809529281821771</x:v>
      </x:c>
      <x:c r="AH267" s="13" t="n">
        <x:v>-0.026546854409978515</x:v>
      </x:c>
      <x:c r="AI267" s="13" t="n">
        <x:v>28</x:v>
      </x:c>
      <x:c r="AJ267" s="13" t="n">
        <x:v>29124818.020000003</x:v>
      </x:c>
      <x:c r="AK267" s="13" t="n">
        <x:v>0.04181576356801545</x:v>
      </x:c>
      <x:c r="AL267" s="13" t="n">
        <x:v>0.051347881899871634</x:v>
      </x:c>
      <x:c r="AM267" s="13" t="n">
        <x:v>0.014884979702300407</x:v>
      </x:c>
      <x:c r="AN267" s="13" t="n">
        <x:v>0.49398054709338934</x:v>
      </x:c>
      <x:c r="AO267" s="13" t="n">
        <x:v>1.3612545980096087</x:v>
      </x:c>
      <x:c r="AP267" s="13" t="n">
        <x:v>-0.022727250008910127</x:v>
      </x:c>
    </x:row>
    <x:row r="268" ht="15" hidden="0" customHeight="1">
      <x:c r="A268" s="2" t="str">
        <x:v>E267</x:v>
      </x:c>
      <x:c r="B268" s="2" t="str">
        <x:v>***林园艺场</x:v>
      </x:c>
      <x:c r="C268" s="2" t="str">
        <x:v>无信贷记录</x:v>
      </x:c>
      <x:c r="D268" s="2" t="str"/>
      <x:c r="E268" s="2" t="str"/>
      <x:c r="F268" s="13" t="n">
        <x:v>192</x:v>
      </x:c>
      <x:c r="G268" s="13" t="n">
        <x:v>189</x:v>
      </x:c>
      <x:c r="H268" s="13" t="n">
        <x:v>3</x:v>
      </x:c>
      <x:c r="I268" s="13" t="n">
        <x:v>0</x:v>
      </x:c>
      <x:c r="J268" s="13" t="n">
        <x:v>1041604</x:v>
      </x:c>
      <x:c r="K268" s="13" t="n">
        <x:v>1041604</x:v>
      </x:c>
      <x:c r="L268" s="13" t="n">
        <x:v>42</x:v>
      </x:c>
      <x:c r="M268" s="13" t="n">
        <x:v>0.015625</x:v>
      </x:c>
      <x:c r="N268" s="13" t="n">
        <x:v>0</x:v>
      </x:c>
      <x:c r="O268" s="13" t="n">
        <x:v>0.33774625549362186</x:v>
      </x:c>
      <x:c r="P268" s="13" t="n">
        <x:v>0.5241915353627674</x:v>
      </x:c>
      <x:c r="Q268" s="13" t="n">
        <x:v>54821.26315789474</x:v>
      </x:c>
      <x:c r="R268" s="13" t="n">
        <x:v>2.9350919729645946</x:v>
      </x:c>
      <x:c r="S268" s="13" t="n">
        <x:v>-0.08806043371569067</x:v>
      </x:c>
      <x:c r="T268" s="13" t="n">
        <x:v>19</x:v>
      </x:c>
      <x:c r="U268" s="13" t="n">
        <x:v>227</x:v>
      </x:c>
      <x:c r="V268" s="13" t="n">
        <x:v>202</x:v>
      </x:c>
      <x:c r="W268" s="13" t="n">
        <x:v>25</x:v>
      </x:c>
      <x:c r="X268" s="13" t="n">
        <x:v>5</x:v>
      </x:c>
      <x:c r="Y268" s="13" t="n">
        <x:v>17736414.67</x:v>
      </x:c>
      <x:c r="Z268" s="13" t="n">
        <x:v>18339334.669999998</x:v>
      </x:c>
      <x:c r="AA268" s="13" t="n">
        <x:v>11</x:v>
      </x:c>
      <x:c r="AB268" s="13" t="n">
        <x:v>0.11013215859030837</x:v>
      </x:c>
      <x:c r="AC268" s="13" t="n">
        <x:v>0.024752475247524754</x:v>
      </x:c>
      <x:c r="AD268" s="13" t="n">
        <x:v>0.17594711901254065</x:v>
      </x:c>
      <x:c r="AE268" s="13" t="n">
        <x:v>0.292307507140334</x:v>
      </x:c>
      <x:c r="AF268" s="13" t="n">
        <x:v>985356.3705555554</x:v>
      </x:c>
      <x:c r="AG268" s="13" t="n">
        <x:v>1.115195813299179</x:v>
      </x:c>
      <x:c r="AH268" s="13" t="n">
        <x:v>-0.04573456401367567</x:v>
      </x:c>
      <x:c r="AI268" s="13" t="n">
        <x:v>14</x:v>
      </x:c>
      <x:c r="AJ268" s="13" t="n">
        <x:v>16694810.670000002</x:v>
      </x:c>
      <x:c r="AK268" s="13" t="n">
        <x:v>0.05679617165740943</x:v>
      </x:c>
      <x:c r="AL268" s="13" t="n">
        <x:v>0.06682577565632458</x:v>
      </x:c>
      <x:c r="AM268" s="13" t="n">
        <x:v>0.01278772378516624</x:v>
      </x:c>
      <x:c r="AN268" s="13" t="n">
        <x:v>0.25684668725308124</x:v>
      </x:c>
      <x:c r="AO268" s="13" t="n">
        <x:v>2.0251438931318866</x:v>
      </x:c>
      <x:c r="AP268" s="13" t="n">
        <x:v>-0.06689749886468317</x:v>
      </x:c>
    </x:row>
    <x:row r="269" ht="15" hidden="0" customHeight="1">
      <x:c r="A269" s="2" t="str">
        <x:v>E268</x:v>
      </x:c>
      <x:c r="B269" s="2" t="str">
        <x:v>***建筑劳务有限公司</x:v>
      </x:c>
      <x:c r="C269" s="2" t="str">
        <x:v>无信贷记录</x:v>
      </x:c>
      <x:c r="D269" s="2" t="str"/>
      <x:c r="E269" s="2" t="str"/>
      <x:c r="F269" s="13" t="n">
        <x:v>47</x:v>
      </x:c>
      <x:c r="G269" s="13" t="n">
        <x:v>42</x:v>
      </x:c>
      <x:c r="H269" s="13" t="n">
        <x:v>5</x:v>
      </x:c>
      <x:c r="I269" s="13" t="n">
        <x:v>0</x:v>
      </x:c>
      <x:c r="J269" s="13" t="n">
        <x:v>6029728</x:v>
      </x:c>
      <x:c r="K269" s="13" t="n">
        <x:v>6029728</x:v>
      </x:c>
      <x:c r="L269" s="13" t="n">
        <x:v>20</x:v>
      </x:c>
      <x:c r="M269" s="13" t="n">
        <x:v>0.10638297872340426</x:v>
      </x:c>
      <x:c r="N269" s="13" t="n">
        <x:v>0</x:v>
      </x:c>
      <x:c r="O269" s="13" t="n">
        <x:v>0.17858676259021358</x:v>
      </x:c>
      <x:c r="P269" s="13" t="n">
        <x:v>0.323397672332815</x:v>
      </x:c>
      <x:c r="Q269" s="13" t="n">
        <x:v>223323.25925925927</x:v>
      </x:c>
      <x:c r="R269" s="13" t="n">
        <x:v>1.9885069752845104</x:v>
      </x:c>
      <x:c r="S269" s="13" t="n">
        <x:v>0.08484682380876332</x:v>
      </x:c>
      <x:c r="T269" s="13" t="n">
        <x:v>12</x:v>
      </x:c>
      <x:c r="U269" s="13" t="n">
        <x:v>360</x:v>
      </x:c>
      <x:c r="V269" s="13" t="n">
        <x:v>342</x:v>
      </x:c>
      <x:c r="W269" s="13" t="n">
        <x:v>18</x:v>
      </x:c>
      <x:c r="X269" s="13" t="n">
        <x:v>9</x:v>
      </x:c>
      <x:c r="Y269" s="13" t="n">
        <x:v>27065832.92</x:v>
      </x:c>
      <x:c r="Z269" s="13" t="n">
        <x:v>28815438.52</x:v>
      </x:c>
      <x:c r="AA269" s="13" t="n">
        <x:v>11</x:v>
      </x:c>
      <x:c r="AB269" s="13" t="n">
        <x:v>0.05</x:v>
      </x:c>
      <x:c r="AC269" s="13" t="n">
        <x:v>0.02631578947368421</x:v>
      </x:c>
      <x:c r="AD269" s="13" t="n">
        <x:v>0.2958875821016277</x:v>
      </x:c>
      <x:c r="AE269" s="13" t="n">
        <x:v>0.4313659808221444</x:v>
      </x:c>
      <x:c r="AF269" s="13" t="n">
        <x:v>731508.9978378379</x:v>
      </x:c>
      <x:c r="AG269" s="13" t="n">
        <x:v>1.3001783179753916</x:v>
      </x:c>
      <x:c r="AH269" s="13" t="n">
        <x:v>0.006801318636812493</x:v>
      </x:c>
      <x:c r="AI269" s="13" t="n">
        <x:v>20</x:v>
      </x:c>
      <x:c r="AJ269" s="13" t="n">
        <x:v>21036104.92</x:v>
      </x:c>
      <x:c r="AK269" s="13" t="n">
        <x:v>0.20925338324505915</x:v>
      </x:c>
      <x:c r="AL269" s="13" t="n">
        <x:v>0.056511056511056514</x:v>
      </x:c>
      <x:c r="AM269" s="13" t="n">
        <x:v>0.0234375</x:v>
      </x:c>
      <x:c r="AN269" s="13" t="n">
        <x:v>0.23723717234592062</x:v>
      </x:c>
      <x:c r="AO269" s="13" t="n">
        <x:v>1.6443426466299509</x:v>
      </x:c>
      <x:c r="AP269" s="13" t="n">
        <x:v>0.04582407122278791</x:v>
      </x:c>
    </x:row>
    <x:row r="270" ht="15" hidden="0" customHeight="1">
      <x:c r="A270" s="2" t="str">
        <x:v>E269</x:v>
      </x:c>
      <x:c r="B270" s="2" t="str">
        <x:v>***节能服务有限公司</x:v>
      </x:c>
      <x:c r="C270" s="2" t="str">
        <x:v>无信贷记录</x:v>
      </x:c>
      <x:c r="D270" s="2" t="str"/>
      <x:c r="E270" s="2" t="str"/>
      <x:c r="F270" s="13" t="n">
        <x:v>170</x:v>
      </x:c>
      <x:c r="G270" s="13" t="n">
        <x:v>169</x:v>
      </x:c>
      <x:c r="H270" s="13" t="n">
        <x:v>1</x:v>
      </x:c>
      <x:c r="I270" s="13" t="n">
        <x:v>0</x:v>
      </x:c>
      <x:c r="J270" s="13" t="n">
        <x:v>1035305.25</x:v>
      </x:c>
      <x:c r="K270" s="13" t="n">
        <x:v>1035305.25</x:v>
      </x:c>
      <x:c r="L270" s="13" t="n">
        <x:v>69</x:v>
      </x:c>
      <x:c r="M270" s="13" t="n">
        <x:v>0.0058823529411764705</x:v>
      </x:c>
      <x:c r="N270" s="13" t="n">
        <x:v>0</x:v>
      </x:c>
      <x:c r="O270" s="13" t="n">
        <x:v>0.16642673823946302</x:v>
      </x:c>
      <x:c r="P270" s="13" t="n">
        <x:v>0.309087585521275</x:v>
      </x:c>
      <x:c r="Q270" s="13" t="n">
        <x:v>32353.2890625</x:v>
      </x:c>
      <x:c r="R270" s="13" t="n">
        <x:v>1.9802331067565617</x:v>
      </x:c>
      <x:c r="S270" s="13" t="n">
        <x:v>-0.08620967360426472</x:v>
      </x:c>
      <x:c r="T270" s="13" t="n">
        <x:v>30</x:v>
      </x:c>
      <x:c r="U270" s="13" t="n">
        <x:v>223</x:v>
      </x:c>
      <x:c r="V270" s="13" t="n">
        <x:v>194</x:v>
      </x:c>
      <x:c r="W270" s="13" t="n">
        <x:v>29</x:v>
      </x:c>
      <x:c r="X270" s="13" t="n">
        <x:v>9</x:v>
      </x:c>
      <x:c r="Y270" s="13" t="n">
        <x:v>34536444.730000004</x:v>
      </x:c>
      <x:c r="Z270" s="13" t="n">
        <x:v>35605824.93</x:v>
      </x:c>
      <x:c r="AA270" s="13" t="n">
        <x:v>21</x:v>
      </x:c>
      <x:c r="AB270" s="13" t="n">
        <x:v>0.13004484304932734</x:v>
      </x:c>
      <x:c r="AC270" s="13" t="n">
        <x:v>0.04639175257731959</x:v>
      </x:c>
      <x:c r="AD270" s="13" t="n">
        <x:v>0.7179872104368</x:v>
      </x:c>
      <x:c r="AE270" s="13" t="n">
        <x:v>0.8434785473737372</x:v>
      </x:c>
      <x:c r="AF270" s="13" t="n">
        <x:v>959345.6869444443</x:v>
      </x:c>
      <x:c r="AG270" s="13" t="n">
        <x:v>1.775627688552449</x:v>
      </x:c>
      <x:c r="AH270" s="13" t="n">
        <x:v>-0.04995711515611562</x:v>
      </x:c>
      <x:c r="AI270" s="13" t="n">
        <x:v>35</x:v>
      </x:c>
      <x:c r="AJ270" s="13" t="n">
        <x:v>33501139.480000004</x:v>
      </x:c>
      <x:c r="AK270" s="13" t="n">
        <x:v>0.029076850544408943</x:v>
      </x:c>
      <x:c r="AL270" s="13" t="n">
        <x:v>0.07633587786259542</x:v>
      </x:c>
      <x:c r="AM270" s="13" t="n">
        <x:v>0.024793388429752067</x:v>
      </x:c>
      <x:c r="AN270" s="13" t="n">
        <x:v>0.4422069743381315</x:v>
      </x:c>
      <x:c r="AO270" s="13" t="n">
        <x:v>1.8779303976545054</x:v>
      </x:c>
      <x:c r="AP270" s="13" t="n">
        <x:v>-0.06808339438019018</x:v>
      </x:c>
    </x:row>
    <x:row r="271" ht="15" hidden="0" customHeight="1">
      <x:c r="A271" s="2" t="str">
        <x:v>E270</x:v>
      </x:c>
      <x:c r="B271" s="2" t="str">
        <x:v>个体经营E270 </x:v>
      </x:c>
      <x:c r="C271" s="2" t="str">
        <x:v>无信贷记录</x:v>
      </x:c>
      <x:c r="D271" s="2" t="str"/>
      <x:c r="E271" s="2" t="str"/>
      <x:c r="F271" s="13" t="n">
        <x:v>561</x:v>
      </x:c>
      <x:c r="G271" s="13" t="n">
        <x:v>548</x:v>
      </x:c>
      <x:c r="H271" s="13" t="n">
        <x:v>13</x:v>
      </x:c>
      <x:c r="I271" s="13" t="n">
        <x:v>4</x:v>
      </x:c>
      <x:c r="J271" s="13" t="n">
        <x:v>6742372.370000001</x:v>
      </x:c>
      <x:c r="K271" s="13" t="n">
        <x:v>6806372.370000001</x:v>
      </x:c>
      <x:c r="L271" s="13" t="n">
        <x:v>90</x:v>
      </x:c>
      <x:c r="M271" s="13" t="n">
        <x:v>0.023172905525846704</x:v>
      </x:c>
      <x:c r="N271" s="13" t="n">
        <x:v>0.0072992700729927005</x:v>
      </x:c>
      <x:c r="O271" s="13" t="n">
        <x:v>0.2614042595235331</x:v>
      </x:c>
      <x:c r="P271" s="13" t="n">
        <x:v>0.48905243778191937</x:v>
      </x:c>
      <x:c r="Q271" s="13" t="n">
        <x:v>187288.12138888886</x:v>
      </x:c>
      <x:c r="R271" s="13" t="n">
        <x:v>0.9375116791408015</x:v>
      </x:c>
      <x:c r="S271" s="13" t="n">
        <x:v>-0.010782880516020978</x:v>
      </x:c>
      <x:c r="T271" s="13" t="n">
        <x:v>36</x:v>
      </x:c>
      <x:c r="U271" s="13" t="n">
        <x:v>415</x:v>
      </x:c>
      <x:c r="V271" s="13" t="n">
        <x:v>335</x:v>
      </x:c>
      <x:c r="W271" s="13" t="n">
        <x:v>80</x:v>
      </x:c>
      <x:c r="X271" s="13" t="n">
        <x:v>10</x:v>
      </x:c>
      <x:c r="Y271" s="13" t="n">
        <x:v>23111924.82</x:v>
      </x:c>
      <x:c r="Z271" s="13" t="n">
        <x:v>24033827.08</x:v>
      </x:c>
      <x:c r="AA271" s="13" t="n">
        <x:v>40</x:v>
      </x:c>
      <x:c r="AB271" s="13" t="n">
        <x:v>0.1927710843373494</x:v>
      </x:c>
      <x:c r="AC271" s="13" t="n">
        <x:v>0.029850746268656716</x:v>
      </x:c>
      <x:c r="AD271" s="13" t="n">
        <x:v>0.3356253959196852</x:v>
      </x:c>
      <x:c r="AE271" s="13" t="n">
        <x:v>0.5577926072854145</x:v>
      </x:c>
      <x:c r="AF271" s="13" t="n">
        <x:v>660340.7091428571</x:v>
      </x:c>
      <x:c r="AG271" s="13" t="n">
        <x:v>0.7682138444266713</x:v>
      </x:c>
      <x:c r="AH271" s="13" t="n">
        <x:v>0.02423643932264274</x:v>
      </x:c>
      <x:c r="AI271" s="13" t="n">
        <x:v>32</x:v>
      </x:c>
      <x:c r="AJ271" s="13" t="n">
        <x:v>16369552.45</x:v>
      </x:c>
      <x:c r="AK271" s="13" t="n">
        <x:v>0.2831996896434357</x:v>
      </x:c>
      <x:c r="AL271" s="13" t="n">
        <x:v>0.09528688524590163</x:v>
      </x:c>
      <x:c r="AM271" s="13" t="n">
        <x:v>0.015855039637599093</x:v>
      </x:c>
      <x:c r="AN271" s="13" t="n">
        <x:v>0.29851482772160914</x:v>
      </x:c>
      <x:c r="AO271" s="13" t="n">
        <x:v>0.8528627617837363</x:v>
      </x:c>
      <x:c r="AP271" s="13" t="n">
        <x:v>0.006726779403310882</x:v>
      </x:c>
    </x:row>
    <x:row r="272" ht="15" hidden="0" customHeight="1">
      <x:c r="A272" s="2" t="str">
        <x:v>E271</x:v>
      </x:c>
      <x:c r="B272" s="2" t="str">
        <x:v>***科技有限公司</x:v>
      </x:c>
      <x:c r="C272" s="2" t="str">
        <x:v>无信贷记录</x:v>
      </x:c>
      <x:c r="D272" s="2" t="str"/>
      <x:c r="E272" s="2" t="str"/>
      <x:c r="F272" s="13" t="n">
        <x:v>1698</x:v>
      </x:c>
      <x:c r="G272" s="13" t="n">
        <x:v>1638</x:v>
      </x:c>
      <x:c r="H272" s="13" t="n">
        <x:v>60</x:v>
      </x:c>
      <x:c r="I272" s="13" t="n">
        <x:v>8</x:v>
      </x:c>
      <x:c r="J272" s="13" t="n">
        <x:v>30113470.369999997</x:v>
      </x:c>
      <x:c r="K272" s="13" t="n">
        <x:v>31150016.369999997</x:v>
      </x:c>
      <x:c r="L272" s="13" t="n">
        <x:v>510</x:v>
      </x:c>
      <x:c r="M272" s="13" t="n">
        <x:v>0.0353356890459364</x:v>
      </x:c>
      <x:c r="N272" s="13" t="n">
        <x:v>0.004884004884004884</x:v>
      </x:c>
      <x:c r="O272" s="13" t="n">
        <x:v>0.04760136962054235</x:v>
      </x:c>
      <x:c r="P272" s="13" t="n">
        <x:v>0.10229015491204378</x:v>
      </x:c>
      <x:c r="Q272" s="13" t="n">
        <x:v>813877.5775675677</x:v>
      </x:c>
      <x:c r="R272" s="13" t="n">
        <x:v>1.2431616953754814</x:v>
      </x:c>
      <x:c r="S272" s="13" t="n">
        <x:v>-0.03398235479461694</x:v>
      </x:c>
      <x:c r="T272" s="13" t="n">
        <x:v>37</x:v>
      </x:c>
      <x:c r="U272" s="13" t="n">
        <x:v>557</x:v>
      </x:c>
      <x:c r="V272" s="13" t="n">
        <x:v>440</x:v>
      </x:c>
      <x:c r="W272" s="13" t="n">
        <x:v>117</x:v>
      </x:c>
      <x:c r="X272" s="13" t="n">
        <x:v>15</x:v>
      </x:c>
      <x:c r="Y272" s="13" t="n">
        <x:v>35017134.71</x:v>
      </x:c>
      <x:c r="Z272" s="13" t="n">
        <x:v>40371382.71</x:v>
      </x:c>
      <x:c r="AA272" s="13" t="n">
        <x:v>99</x:v>
      </x:c>
      <x:c r="AB272" s="13" t="n">
        <x:v>0.21005385996409337</x:v>
      </x:c>
      <x:c r="AC272" s="13" t="n">
        <x:v>0.03409090909090909</x:v>
      </x:c>
      <x:c r="AD272" s="13" t="n">
        <x:v>0.06363883729818448</x:v>
      </x:c>
      <x:c r="AE272" s="13" t="n">
        <x:v>0.12429596568554092</x:v>
      </x:c>
      <x:c r="AF272" s="13" t="n">
        <x:v>946409.0462162163</x:v>
      </x:c>
      <x:c r="AG272" s="13" t="n">
        <x:v>1.2725771358825502</x:v>
      </x:c>
      <x:c r="AH272" s="13" t="n">
        <x:v>-0.025217466154756184</x:v>
      </x:c>
      <x:c r="AI272" s="13" t="n">
        <x:v>37</x:v>
      </x:c>
      <x:c r="AJ272" s="13" t="n">
        <x:v>4903664.340000004</x:v>
      </x:c>
      <x:c r="AK272" s="13" t="n">
        <x:v>0.7715865615443518</x:v>
      </x:c>
      <x:c r="AL272" s="13" t="n">
        <x:v>0.07849223946784922</x:v>
      </x:c>
      <x:c r="AM272" s="13" t="n">
        <x:v>0.011068334937439845</x:v>
      </x:c>
      <x:c r="AN272" s="13" t="n">
        <x:v>0.05562010345936341</x:v>
      </x:c>
      <x:c r="AO272" s="13" t="n">
        <x:v>1.2578694156290158</x:v>
      </x:c>
      <x:c r="AP272" s="13" t="n">
        <x:v>-0.02959991047468656</x:v>
      </x:c>
    </x:row>
    <x:row r="273" ht="15" hidden="0" customHeight="1">
      <x:c r="A273" s="2" t="str">
        <x:v>E272</x:v>
      </x:c>
      <x:c r="B273" s="2" t="str">
        <x:v>个体经营E272 </x:v>
      </x:c>
      <x:c r="C273" s="2" t="str">
        <x:v>无信贷记录</x:v>
      </x:c>
      <x:c r="D273" s="2" t="str"/>
      <x:c r="E273" s="2" t="str"/>
      <x:c r="F273" s="13" t="n">
        <x:v>1206</x:v>
      </x:c>
      <x:c r="G273" s="13" t="n">
        <x:v>1168</x:v>
      </x:c>
      <x:c r="H273" s="13" t="n">
        <x:v>38</x:v>
      </x:c>
      <x:c r="I273" s="13" t="n">
        <x:v>14</x:v>
      </x:c>
      <x:c r="J273" s="13" t="n">
        <x:v>4830779.880000001</x:v>
      </x:c>
      <x:c r="K273" s="13" t="n">
        <x:v>5103959.96</x:v>
      </x:c>
      <x:c r="L273" s="13" t="n">
        <x:v>284</x:v>
      </x:c>
      <x:c r="M273" s="13" t="n">
        <x:v>0.03150912106135987</x:v>
      </x:c>
      <x:c r="N273" s="13" t="n">
        <x:v>0.011986301369863013</x:v>
      </x:c>
      <x:c r="O273" s="13" t="n">
        <x:v>0.08507989074928048</x:v>
      </x:c>
      <x:c r="P273" s="13" t="n">
        <x:v>0.23918327721364024</x:v>
      </x:c>
      <x:c r="Q273" s="13" t="n">
        <x:v>134188.33</x:v>
      </x:c>
      <x:c r="R273" s="13" t="n">
        <x:v>0.7487082923047418</x:v>
      </x:c>
      <x:c r="S273" s="13" t="n">
        <x:v>0.02800069353074352</x:v>
      </x:c>
      <x:c r="T273" s="13" t="n">
        <x:v>36</x:v>
      </x:c>
      <x:c r="U273" s="13" t="n">
        <x:v>595</x:v>
      </x:c>
      <x:c r="V273" s="13" t="n">
        <x:v>542</x:v>
      </x:c>
      <x:c r="W273" s="13" t="n">
        <x:v>53</x:v>
      </x:c>
      <x:c r="X273" s="13" t="n">
        <x:v>33</x:v>
      </x:c>
      <x:c r="Y273" s="13" t="n">
        <x:v>15958046.440000001</x:v>
      </x:c>
      <x:c r="Z273" s="13" t="n">
        <x:v>19241921.44</x:v>
      </x:c>
      <x:c r="AA273" s="13" t="n">
        <x:v>74</x:v>
      </x:c>
      <x:c r="AB273" s="13" t="n">
        <x:v>0.08907563025210084</x:v>
      </x:c>
      <x:c r="AC273" s="13" t="n">
        <x:v>0.06088560885608856</x:v>
      </x:c>
      <x:c r="AD273" s="13" t="n">
        <x:v>0.14945877007335395</x:v>
      </x:c>
      <x:c r="AE273" s="13" t="n">
        <x:v>0.2339534029404082</x:v>
      </x:c>
      <x:c r="AF273" s="13" t="n">
        <x:v>443279.0677777778</x:v>
      </x:c>
      <x:c r="AG273" s="13" t="n">
        <x:v>1.0025324081212035</x:v>
      </x:c>
      <x:c r="AH273" s="13" t="n">
        <x:v>0.04000861890695019</x:v>
      </x:c>
      <x:c r="AI273" s="13" t="n">
        <x:v>36</x:v>
      </x:c>
      <x:c r="AJ273" s="13" t="n">
        <x:v>11127266.56</x:v>
      </x:c>
      <x:c r="AK273" s="13" t="n">
        <x:v>0.26525209428357377</x:v>
      </x:c>
      <x:c r="AL273" s="13" t="n">
        <x:v>0.05052748473070516</x:v>
      </x:c>
      <x:c r="AM273" s="13" t="n">
        <x:v>0.027485380116959064</x:v>
      </x:c>
      <x:c r="AN273" s="13" t="n">
        <x:v>0.11726933041131721</x:v>
      </x:c>
      <x:c r="AO273" s="13" t="n">
        <x:v>0.8756203502129727</x:v>
      </x:c>
      <x:c r="AP273" s="13" t="n">
        <x:v>0.03400465621884685</x:v>
      </x:c>
    </x:row>
    <x:row r="274" ht="15" hidden="0" customHeight="1">
      <x:c r="A274" s="2" t="str">
        <x:v>E273</x:v>
      </x:c>
      <x:c r="B274" s="2" t="str">
        <x:v>个体经营E273 </x:v>
      </x:c>
      <x:c r="C274" s="2" t="str">
        <x:v>无信贷记录</x:v>
      </x:c>
      <x:c r="D274" s="2" t="str"/>
      <x:c r="E274" s="2" t="str"/>
      <x:c r="F274" s="13" t="n">
        <x:v>1546</x:v>
      </x:c>
      <x:c r="G274" s="13" t="n">
        <x:v>1460</x:v>
      </x:c>
      <x:c r="H274" s="13" t="n">
        <x:v>86</x:v>
      </x:c>
      <x:c r="I274" s="13" t="n">
        <x:v>18</x:v>
      </x:c>
      <x:c r="J274" s="13" t="n">
        <x:v>10496619.8</x:v>
      </x:c>
      <x:c r="K274" s="13" t="n">
        <x:v>11691520.22</x:v>
      </x:c>
      <x:c r="L274" s="13" t="n">
        <x:v>325</x:v>
      </x:c>
      <x:c r="M274" s="13" t="n">
        <x:v>0.055627425614489</x:v>
      </x:c>
      <x:c r="N274" s="13" t="n">
        <x:v>0.012328767123287671</x:v>
      </x:c>
      <x:c r="O274" s="13" t="n">
        <x:v>0.38250040974347205</x:v>
      </x:c>
      <x:c r="P274" s="13" t="n">
        <x:v>0.6075097084337934</x:v>
      </x:c>
      <x:c r="Q274" s="13" t="n">
        <x:v>361952.40689655184</x:v>
      </x:c>
      <x:c r="R274" s="13" t="n">
        <x:v>1.2665061812455907</x:v>
      </x:c>
      <x:c r="S274" s="13" t="n">
        <x:v>-0.021891806024204787</x:v>
      </x:c>
      <x:c r="T274" s="13" t="n">
        <x:v>29</x:v>
      </x:c>
      <x:c r="U274" s="13" t="n">
        <x:v>8046</x:v>
      </x:c>
      <x:c r="V274" s="13" t="n">
        <x:v>7961</x:v>
      </x:c>
      <x:c r="W274" s="13" t="n">
        <x:v>85</x:v>
      </x:c>
      <x:c r="X274" s="13" t="n">
        <x:v>13</x:v>
      </x:c>
      <x:c r="Y274" s="13" t="n">
        <x:v>23824472.15</x:v>
      </x:c>
      <x:c r="Z274" s="13" t="n">
        <x:v>23941672.15</x:v>
      </x:c>
      <x:c r="AA274" s="13" t="n">
        <x:v>2694.279999999999</x:v>
      </x:c>
      <x:c r="AB274" s="13" t="n">
        <x:v>0.010564255530698483</x:v>
      </x:c>
      <x:c r="AC274" s="13" t="n">
        <x:v>0.0016329606833312398</x:v>
      </x:c>
      <x:c r="AD274" s="13" t="n">
        <x:v>0.004886626984096743</x:v>
      </x:c>
      <x:c r="AE274" s="13" t="n">
        <x:v>0.0343133643548063</x:v>
      </x:c>
      <x:c r="AF274" s="13" t="n">
        <x:v>680699.2042857142</x:v>
      </x:c>
      <x:c r="AG274" s="13" t="n">
        <x:v>0.4940372323941354</x:v>
      </x:c>
      <x:c r="AH274" s="13" t="n">
        <x:v>-0.007807541223169228</x:v>
      </x:c>
      <x:c r="AI274" s="13" t="n">
        <x:v>35</x:v>
      </x:c>
      <x:c r="AJ274" s="13" t="n">
        <x:v>13327852.349999998</x:v>
      </x:c>
      <x:c r="AK274" s="13" t="n">
        <x:v>0.4883334859298874</x:v>
      </x:c>
      <x:c r="AL274" s="13" t="n">
        <x:v>0.017827356130108423</x:v>
      </x:c>
      <x:c r="AM274" s="13" t="n">
        <x:v>0.0032905211760959558</x:v>
      </x:c>
      <x:c r="AN274" s="13" t="n">
        <x:v>0.19171686392281548</x:v>
      </x:c>
      <x:c r="AO274" s="13" t="n">
        <x:v>0.880271706819863</x:v>
      </x:c>
      <x:c r="AP274" s="13" t="n">
        <x:v>-0.014849673623687007</x:v>
      </x:c>
    </x:row>
    <x:row r="275" ht="15" hidden="0" customHeight="1">
      <x:c r="A275" s="2" t="str">
        <x:v>E274</x:v>
      </x:c>
      <x:c r="B275" s="2" t="str">
        <x:v>***建筑劳务有限公司</x:v>
      </x:c>
      <x:c r="C275" s="2" t="str">
        <x:v>无信贷记录</x:v>
      </x:c>
      <x:c r="D275" s="2" t="str"/>
      <x:c r="E275" s="2" t="str"/>
      <x:c r="F275" s="13" t="n">
        <x:v>12</x:v>
      </x:c>
      <x:c r="G275" s="13" t="n">
        <x:v>12</x:v>
      </x:c>
      <x:c r="H275" s="13" t="n">
        <x:v>0</x:v>
      </x:c>
      <x:c r="I275" s="13" t="n">
        <x:v>0</x:v>
      </x:c>
      <x:c r="J275" s="13" t="n">
        <x:v>36788</x:v>
      </x:c>
      <x:c r="K275" s="13" t="n">
        <x:v>36788</x:v>
      </x:c>
      <x:c r="L275" s="13" t="n">
        <x:v>9</x:v>
      </x:c>
      <x:c r="M275" s="13" t="n">
        <x:v>0</x:v>
      </x:c>
      <x:c r="N275" s="13" t="n">
        <x:v>0</x:v>
      </x:c>
      <x:c r="O275" s="13" t="n">
        <x:v>0.48006413894012573</x:v>
      </x:c>
      <x:c r="P275" s="13" t="n">
        <x:v>0.6360769816244427</x:v>
      </x:c>
      <x:c r="Q275" s="13" t="n">
        <x:v>1751.8095238095239</x:v>
      </x:c>
      <x:c r="R275" s="13" t="n">
        <x:v>3.018004952752088</x:v>
      </x:c>
      <x:c r="S275" s="13" t="n">
        <x:v>0.17261326934540813</x:v>
      </x:c>
      <x:c r="T275" s="13" t="n">
        <x:v>7</x:v>
      </x:c>
      <x:c r="U275" s="13" t="n">
        <x:v>154</x:v>
      </x:c>
      <x:c r="V275" s="13" t="n">
        <x:v>136</x:v>
      </x:c>
      <x:c r="W275" s="13" t="n">
        <x:v>18</x:v>
      </x:c>
      <x:c r="X275" s="13" t="n">
        <x:v>2</x:v>
      </x:c>
      <x:c r="Y275" s="13" t="n">
        <x:v>12085701.52</x:v>
      </x:c>
      <x:c r="Z275" s="13" t="n">
        <x:v>12285645.28</x:v>
      </x:c>
      <x:c r="AA275" s="13" t="n">
        <x:v>17</x:v>
      </x:c>
      <x:c r="AB275" s="13" t="n">
        <x:v>0.11688311688311688</x:v>
      </x:c>
      <x:c r="AC275" s="13" t="n">
        <x:v>0.014705882352941176</x:v>
      </x:c>
      <x:c r="AD275" s="13" t="n">
        <x:v>0.14491301736017176</x:v>
      </x:c>
      <x:c r="AE275" s="13" t="n">
        <x:v>0.27180648015583925</x:v>
      </x:c>
      <x:c r="AF275" s="13" t="n">
        <x:v>575509.5961904762</x:v>
      </x:c>
      <x:c r="AG275" s="13" t="n">
        <x:v>1.3849338954881714</x:v>
      </x:c>
      <x:c r="AH275" s="13" t="n">
        <x:v>0.08038144774419485</x:v>
      </x:c>
      <x:c r="AI275" s="13" t="n">
        <x:v>15</x:v>
      </x:c>
      <x:c r="AJ275" s="13" t="n">
        <x:v>12048913.52</x:v>
      </x:c>
      <x:c r="AK275" s="13" t="n">
        <x:v>0.0029943889117397663</x:v>
      </x:c>
      <x:c r="AL275" s="13" t="n">
        <x:v>0.10843373493975904</x:v>
      </x:c>
      <x:c r="AM275" s="13" t="n">
        <x:v>0.013513513513513514</x:v>
      </x:c>
      <x:c r="AN275" s="13" t="n">
        <x:v>0.31248857815014874</x:v>
      </x:c>
      <x:c r="AO275" s="13" t="n">
        <x:v>2.2014694241201296</x:v>
      </x:c>
      <x:c r="AP275" s="13" t="n">
        <x:v>0.12661564504199482</x:v>
      </x:c>
    </x:row>
    <x:row r="276" ht="15" hidden="0" customHeight="1">
      <x:c r="A276" s="2" t="str">
        <x:v>E275</x:v>
      </x:c>
      <x:c r="B276" s="2" t="str">
        <x:v>***网络工程有限公司</x:v>
      </x:c>
      <x:c r="C276" s="2" t="str">
        <x:v>无信贷记录</x:v>
      </x:c>
      <x:c r="D276" s="2" t="str"/>
      <x:c r="E276" s="2" t="str"/>
      <x:c r="F276" s="13" t="n">
        <x:v>379</x:v>
      </x:c>
      <x:c r="G276" s="13" t="n">
        <x:v>364</x:v>
      </x:c>
      <x:c r="H276" s="13" t="n">
        <x:v>15</x:v>
      </x:c>
      <x:c r="I276" s="13" t="n">
        <x:v>6</x:v>
      </x:c>
      <x:c r="J276" s="13" t="n">
        <x:v>1784574.95</x:v>
      </x:c>
      <x:c r="K276" s="13" t="n">
        <x:v>1794097.7500000002</x:v>
      </x:c>
      <x:c r="L276" s="13" t="n">
        <x:v>97</x:v>
      </x:c>
      <x:c r="M276" s="13" t="n">
        <x:v>0.0395778364116095</x:v>
      </x:c>
      <x:c r="N276" s="13" t="n">
        <x:v>0.016483516483516484</x:v>
      </x:c>
      <x:c r="O276" s="13" t="n">
        <x:v>0.1326320828023269</x:v>
      </x:c>
      <x:c r="P276" s="13" t="n">
        <x:v>0.2562234972982938</x:v>
      </x:c>
      <x:c r="Q276" s="13" t="n">
        <x:v>50987.85571428571</x:v>
      </x:c>
      <x:c r="R276" s="13" t="n">
        <x:v>1.628631975482916</x:v>
      </x:c>
      <x:c r="S276" s="13" t="n">
        <x:v>-0.009793118754560778</x:v>
      </x:c>
      <x:c r="T276" s="13" t="n">
        <x:v>34</x:v>
      </x:c>
      <x:c r="U276" s="13" t="n">
        <x:v>441</x:v>
      </x:c>
      <x:c r="V276" s="13" t="n">
        <x:v>357</x:v>
      </x:c>
      <x:c r="W276" s="13" t="n">
        <x:v>84</x:v>
      </x:c>
      <x:c r="X276" s="13" t="n">
        <x:v>24</x:v>
      </x:c>
      <x:c r="Y276" s="13" t="n">
        <x:v>22230844.15</x:v>
      </x:c>
      <x:c r="Z276" s="13" t="n">
        <x:v>26364477.19</x:v>
      </x:c>
      <x:c r="AA276" s="13" t="n">
        <x:v>48</x:v>
      </x:c>
      <x:c r="AB276" s="13" t="n">
        <x:v>0.19047619047619047</x:v>
      </x:c>
      <x:c r="AC276" s="13" t="n">
        <x:v>0.06722689075630252</x:v>
      </x:c>
      <x:c r="AD276" s="13" t="n">
        <x:v>0.07336474795898748</x:v>
      </x:c>
      <x:c r="AE276" s="13" t="n">
        <x:v>0.17661632189566662</x:v>
      </x:c>
      <x:c r="AF276" s="13" t="n">
        <x:v>585022.2144736842</x:v>
      </x:c>
      <x:c r="AG276" s="13" t="n">
        <x:v>1.0415263294637025</x:v>
      </x:c>
      <x:c r="AH276" s="13" t="n">
        <x:v>0.002102152532172081</x:v>
      </x:c>
      <x:c r="AI276" s="13" t="n">
        <x:v>34</x:v>
      </x:c>
      <x:c r="AJ276" s="13" t="n">
        <x:v>20446269.2</x:v>
      </x:c>
      <x:c r="AK276" s="13" t="n">
        <x:v>0.06804981327983618</x:v>
      </x:c>
      <x:c r="AL276" s="13" t="n">
        <x:v>0.12073170731707317</x:v>
      </x:c>
      <x:c r="AM276" s="13" t="n">
        <x:v>0.04160887656033287</x:v>
      </x:c>
      <x:c r="AN276" s="13" t="n">
        <x:v>0.1029984153806572</x:v>
      </x:c>
      <x:c r="AO276" s="13" t="n">
        <x:v>1.3350791524733092</x:v>
      </x:c>
      <x:c r="AP276" s="13" t="n">
        <x:v>-0.0038454831111943487</x:v>
      </x:c>
    </x:row>
    <x:row r="277" ht="15" hidden="0" customHeight="1">
      <x:c r="A277" s="2" t="str">
        <x:v>E276</x:v>
      </x:c>
      <x:c r="B277" s="2" t="str">
        <x:v>***体育设施工程有限公司</x:v>
      </x:c>
      <x:c r="C277" s="2" t="str">
        <x:v>无信贷记录</x:v>
      </x:c>
      <x:c r="D277" s="2" t="str"/>
      <x:c r="E277" s="2" t="str"/>
      <x:c r="F277" s="13" t="n">
        <x:v>1040</x:v>
      </x:c>
      <x:c r="G277" s="13" t="n">
        <x:v>1022</x:v>
      </x:c>
      <x:c r="H277" s="13" t="n">
        <x:v>18</x:v>
      </x:c>
      <x:c r="I277" s="13" t="n">
        <x:v>1</x:v>
      </x:c>
      <x:c r="J277" s="13" t="n">
        <x:v>4290675.12</x:v>
      </x:c>
      <x:c r="K277" s="13" t="n">
        <x:v>4294193.12</x:v>
      </x:c>
      <x:c r="L277" s="13" t="n">
        <x:v>245</x:v>
      </x:c>
      <x:c r="M277" s="13" t="n">
        <x:v>0.01730769230769231</x:v>
      </x:c>
      <x:c r="N277" s="13" t="n">
        <x:v>0.0009784735812133072</x:v>
      </x:c>
      <x:c r="O277" s="13" t="n">
        <x:v>0.21903243602683797</x:v>
      </x:c>
      <x:c r="P277" s="13" t="n">
        <x:v>0.4408744430199264</x:v>
      </x:c>
      <x:c r="Q277" s="13" t="n">
        <x:v>130020.45818181819</x:v>
      </x:c>
      <x:c r="R277" s="13" t="n">
        <x:v>2.15056549077044</x:v>
      </x:c>
      <x:c r="S277" s="13" t="n">
        <x:v>0.06851612864425978</x:v>
      </x:c>
      <x:c r="T277" s="13" t="n">
        <x:v>32</x:v>
      </x:c>
      <x:c r="U277" s="13" t="n">
        <x:v>212</x:v>
      </x:c>
      <x:c r="V277" s="13" t="n">
        <x:v>169</x:v>
      </x:c>
      <x:c r="W277" s="13" t="n">
        <x:v>43</x:v>
      </x:c>
      <x:c r="X277" s="13" t="n">
        <x:v>8</x:v>
      </x:c>
      <x:c r="Y277" s="13" t="n">
        <x:v>13180153.620000001</x:v>
      </x:c>
      <x:c r="Z277" s="13" t="n">
        <x:v>14510913.459999999</x:v>
      </x:c>
      <x:c r="AA277" s="13" t="n">
        <x:v>23</x:v>
      </x:c>
      <x:c r="AB277" s="13" t="n">
        <x:v>0.2028301886792453</x:v>
      </x:c>
      <x:c r="AC277" s="13" t="n">
        <x:v>0.047337278106508875</x:v>
      </x:c>
      <x:c r="AD277" s="13" t="n">
        <x:v>0.15626657711320988</x:v>
      </x:c>
      <x:c r="AE277" s="13" t="n">
        <x:v>0.2899364958379402</x:v>
      </x:c>
      <x:c r="AF277" s="13" t="n">
        <x:v>356220.36810810806</x:v>
      </x:c>
      <x:c r="AG277" s="13" t="n">
        <x:v>1.7590286886905524</x:v>
      </x:c>
      <x:c r="AH277" s="13" t="n">
        <x:v>0.01930926291477146</x:v>
      </x:c>
      <x:c r="AI277" s="13" t="n">
        <x:v>24</x:v>
      </x:c>
      <x:c r="AJ277" s="13" t="n">
        <x:v>8889478.5</x:v>
      </x:c>
      <x:c r="AK277" s="13" t="n">
        <x:v>0.29592851834153244</x:v>
      </x:c>
      <x:c r="AL277" s="13" t="n">
        <x:v>0.048722044728434506</x:v>
      </x:c>
      <x:c r="AM277" s="13" t="n">
        <x:v>0.007556675062972292</x:v>
      </x:c>
      <x:c r="AN277" s="13" t="n">
        <x:v>0.18764950657002394</x:v>
      </x:c>
      <x:c r="AO277" s="13" t="n">
        <x:v>1.9547970897304963</x:v>
      </x:c>
      <x:c r="AP277" s="13" t="n">
        <x:v>0.04391269577951562</x:v>
      </x:c>
    </x:row>
    <x:row r="278" ht="15" hidden="0" customHeight="1">
      <x:c r="A278" s="2" t="str">
        <x:v>E277</x:v>
      </x:c>
      <x:c r="B278" s="2" t="str">
        <x:v>***消防设备制造有限公司</x:v>
      </x:c>
      <x:c r="C278" s="2" t="str">
        <x:v>无信贷记录</x:v>
      </x:c>
      <x:c r="D278" s="2" t="str"/>
      <x:c r="E278" s="2" t="str"/>
      <x:c r="F278" s="13" t="n">
        <x:v>334</x:v>
      </x:c>
      <x:c r="G278" s="13" t="n">
        <x:v>319</x:v>
      </x:c>
      <x:c r="H278" s="13" t="n">
        <x:v>15</x:v>
      </x:c>
      <x:c r="I278" s="13" t="n">
        <x:v>2</x:v>
      </x:c>
      <x:c r="J278" s="13" t="n">
        <x:v>14119097.81</x:v>
      </x:c>
      <x:c r="K278" s="13" t="n">
        <x:v>14190175.510000002</x:v>
      </x:c>
      <x:c r="L278" s="13" t="n">
        <x:v>81</x:v>
      </x:c>
      <x:c r="M278" s="13" t="n">
        <x:v>0.04491017964071856</x:v>
      </x:c>
      <x:c r="N278" s="13" t="n">
        <x:v>0.006269592476489028</x:v>
      </x:c>
      <x:c r="O278" s="13" t="n">
        <x:v>0.08493008164255032</x:v>
      </x:c>
      <x:c r="P278" s="13" t="n">
        <x:v>0.20238652284294403</x:v>
      </x:c>
      <x:c r="Q278" s="13" t="n">
        <x:v>470636.5936666666</x:v>
      </x:c>
      <x:c r="R278" s="13" t="n">
        <x:v>0.4711956464101815</x:v>
      </x:c>
      <x:c r="S278" s="13" t="n">
        <x:v>0.013084448106312228</x:v>
      </x:c>
      <x:c r="T278" s="13" t="n">
        <x:v>30</x:v>
      </x:c>
      <x:c r="U278" s="13" t="n">
        <x:v>271</x:v>
      </x:c>
      <x:c r="V278" s="13" t="n">
        <x:v>254</x:v>
      </x:c>
      <x:c r="W278" s="13" t="n">
        <x:v>17</x:v>
      </x:c>
      <x:c r="X278" s="13" t="n">
        <x:v>1</x:v>
      </x:c>
      <x:c r="Y278" s="13" t="n">
        <x:v>20946120.060000002</x:v>
      </x:c>
      <x:c r="Z278" s="13" t="n">
        <x:v>21157320.060000002</x:v>
      </x:c>
      <x:c r="AA278" s="13" t="n">
        <x:v>36</x:v>
      </x:c>
      <x:c r="AB278" s="13" t="n">
        <x:v>0.06273062730627306</x:v>
      </x:c>
      <x:c r="AC278" s="13" t="n">
        <x:v>0.003937007874015748</x:v>
      </x:c>
      <x:c r="AD278" s="13" t="n">
        <x:v>0.7491416445246173</x:v>
      </x:c>
      <x:c r="AE278" s="13" t="n">
        <x:v>0.8645374725214607</x:v>
      </x:c>
      <x:c r="AF278" s="13" t="n">
        <x:v>698204.002</x:v>
      </x:c>
      <x:c r="AG278" s="13" t="n">
        <x:v>0.31914269008733953</x:v>
      </x:c>
      <x:c r="AH278" s="13" t="n">
        <x:v>-0.010732650808244544</x:v>
      </x:c>
      <x:c r="AI278" s="13" t="n">
        <x:v>30</x:v>
      </x:c>
      <x:c r="AJ278" s="13" t="n">
        <x:v>6827022.250000002</x:v>
      </x:c>
      <x:c r="AK278" s="13" t="n">
        <x:v>0.6706981541026042</x:v>
      </x:c>
      <x:c r="AL278" s="13" t="n">
        <x:v>0.05289256198347107</x:v>
      </x:c>
      <x:c r="AM278" s="13" t="n">
        <x:v>0.005235602094240838</x:v>
      </x:c>
      <x:c r="AN278" s="13" t="n">
        <x:v>0.4170358630835838</x:v>
      </x:c>
      <x:c r="AO278" s="13" t="n">
        <x:v>0.3951691682487605</x:v>
      </x:c>
      <x:c r="AP278" s="13" t="n">
        <x:v>0.0011758986490338422</x:v>
      </x:c>
    </x:row>
    <x:row r="279" ht="15" hidden="0" customHeight="1">
      <x:c r="A279" s="2" t="str">
        <x:v>E278</x:v>
      </x:c>
      <x:c r="B279" s="2" t="str">
        <x:v>***贸易有限公司</x:v>
      </x:c>
      <x:c r="C279" s="2" t="str">
        <x:v>无信贷记录</x:v>
      </x:c>
      <x:c r="D279" s="2" t="str"/>
      <x:c r="E279" s="2" t="str"/>
      <x:c r="F279" s="13" t="n">
        <x:v>405</x:v>
      </x:c>
      <x:c r="G279" s="13" t="n">
        <x:v>389</x:v>
      </x:c>
      <x:c r="H279" s="13" t="n">
        <x:v>16</x:v>
      </x:c>
      <x:c r="I279" s="13" t="n">
        <x:v>2</x:v>
      </x:c>
      <x:c r="J279" s="13" t="n">
        <x:v>12680187.66</x:v>
      </x:c>
      <x:c r="K279" s="13" t="n">
        <x:v>12684673.86</x:v>
      </x:c>
      <x:c r="L279" s="13" t="n">
        <x:v>98</x:v>
      </x:c>
      <x:c r="M279" s="13" t="n">
        <x:v>0.03950617283950617</x:v>
      </x:c>
      <x:c r="N279" s="13" t="n">
        <x:v>0.005141388174807198</x:v>
      </x:c>
      <x:c r="O279" s="13" t="n">
        <x:v>0.05748577832812701</x:v>
      </x:c>
      <x:c r="P279" s="13" t="n">
        <x:v>0.12333292501380876</x:v>
      </x:c>
      <x:c r="Q279" s="13" t="n">
        <x:v>342707.7745945946</x:v>
      </x:c>
      <x:c r="R279" s="13" t="n">
        <x:v>1.2170469775588102</x:v>
      </x:c>
      <x:c r="S279" s="13" t="n">
        <x:v>0.036850301402026865</x:v>
      </x:c>
      <x:c r="T279" s="13" t="n">
        <x:v>36</x:v>
      </x:c>
      <x:c r="U279" s="13" t="n">
        <x:v>238</x:v>
      </x:c>
      <x:c r="V279" s="13" t="n">
        <x:v>222</x:v>
      </x:c>
      <x:c r="W279" s="13" t="n">
        <x:v>16</x:v>
      </x:c>
      <x:c r="X279" s="13" t="n">
        <x:v>2</x:v>
      </x:c>
      <x:c r="Y279" s="13" t="n">
        <x:v>14964986.83</x:v>
      </x:c>
      <x:c r="Z279" s="13" t="n">
        <x:v>15369682.870000001</x:v>
      </x:c>
      <x:c r="AA279" s="13" t="n">
        <x:v>39</x:v>
      </x:c>
      <x:c r="AB279" s="13" t="n">
        <x:v>0.06722689075630252</x:v>
      </x:c>
      <x:c r="AC279" s="13" t="n">
        <x:v>0.009009009009009009</x:v>
      </x:c>
      <x:c r="AD279" s="13" t="n">
        <x:v>0.137271108422762</x:v>
      </x:c>
      <x:c r="AE279" s="13" t="n">
        <x:v>0.31555197534144047</x:v>
      </x:c>
      <x:c r="AF279" s="13" t="n">
        <x:v>404459.1035135136</x:v>
      </x:c>
      <x:c r="AG279" s="13" t="n">
        <x:v>1.1171993282269126</x:v>
      </x:c>
      <x:c r="AH279" s="13" t="n">
        <x:v>0.04377510491325772</x:v>
      </x:c>
      <x:c r="AI279" s="13" t="n">
        <x:v>36</x:v>
      </x:c>
      <x:c r="AJ279" s="13" t="n">
        <x:v>2284799.17</x:v>
      </x:c>
      <x:c r="AK279" s="13" t="n">
        <x:v>0.8253048528905657</x:v>
      </x:c>
      <x:c r="AL279" s="13" t="n">
        <x:v>0.049766718506998445</x:v>
      </x:c>
      <x:c r="AM279" s="13" t="n">
        <x:v>0.006546644844517185</x:v>
      </x:c>
      <x:c r="AN279" s="13" t="n">
        <x:v>0.0973784433754445</x:v>
      </x:c>
      <x:c r="AO279" s="13" t="n">
        <x:v>1.1671231528928614</x:v>
      </x:c>
      <x:c r="AP279" s="13" t="n">
        <x:v>0.04031270315764229</x:v>
      </x:c>
    </x:row>
    <x:row r="280" ht="15" hidden="0" customHeight="1">
      <x:c r="A280" s="2" t="str">
        <x:v>E279</x:v>
      </x:c>
      <x:c r="B280" s="2" t="str">
        <x:v>***环保包装有限公司</x:v>
      </x:c>
      <x:c r="C280" s="2" t="str">
        <x:v>无信贷记录</x:v>
      </x:c>
      <x:c r="D280" s="2" t="str"/>
      <x:c r="E280" s="2" t="str"/>
      <x:c r="F280" s="13" t="n">
        <x:v>619</x:v>
      </x:c>
      <x:c r="G280" s="13" t="n">
        <x:v>600</x:v>
      </x:c>
      <x:c r="H280" s="13" t="n">
        <x:v>19</x:v>
      </x:c>
      <x:c r="I280" s="13" t="n">
        <x:v>4</x:v>
      </x:c>
      <x:c r="J280" s="13" t="n">
        <x:v>18815634.03</x:v>
      </x:c>
      <x:c r="K280" s="13" t="n">
        <x:v>19440061.31</x:v>
      </x:c>
      <x:c r="L280" s="13" t="n">
        <x:v>91</x:v>
      </x:c>
      <x:c r="M280" s="13" t="n">
        <x:v>0.030694668820678513</x:v>
      </x:c>
      <x:c r="N280" s="13" t="n">
        <x:v>0.006666666666666667</x:v>
      </x:c>
      <x:c r="O280" s="13" t="n">
        <x:v>0.11987258031271139</x:v>
      </x:c>
      <x:c r="P280" s="13" t="n">
        <x:v>0.2204414693792959</x:v>
      </x:c>
      <x:c r="Q280" s="13" t="n">
        <x:v>627187.8010000001</x:v>
      </x:c>
      <x:c r="R280" s="13" t="n">
        <x:v>0.6394618576547844</x:v>
      </x:c>
      <x:c r="S280" s="13" t="n">
        <x:v>-0.029183068633913987</x:v>
      </x:c>
      <x:c r="T280" s="13" t="n">
        <x:v>30</x:v>
      </x:c>
      <x:c r="U280" s="13" t="n">
        <x:v>526</x:v>
      </x:c>
      <x:c r="V280" s="13" t="n">
        <x:v>500</x:v>
      </x:c>
      <x:c r="W280" s="13" t="n">
        <x:v>26</x:v>
      </x:c>
      <x:c r="X280" s="13" t="n">
        <x:v>33</x:v>
      </x:c>
      <x:c r="Y280" s="13" t="n">
        <x:v>23289521.66</x:v>
      </x:c>
      <x:c r="Z280" s="13" t="n">
        <x:v>27718236.220000003</x:v>
      </x:c>
      <x:c r="AA280" s="13" t="n">
        <x:v>7</x:v>
      </x:c>
      <x:c r="AB280" s="13" t="n">
        <x:v>0.049429657794676805</x:v>
      </x:c>
      <x:c r="AC280" s="13" t="n">
        <x:v>0.066</x:v>
      </x:c>
      <x:c r="AD280" s="13" t="n">
        <x:v>0.8433250786731018</x:v>
      </x:c>
      <x:c r="AE280" s="13" t="n">
        <x:v>0.9154850654490886</x:v>
      </x:c>
      <x:c r="AF280" s="13" t="n">
        <x:v>776317.3886666667</x:v>
      </x:c>
      <x:c r="AG280" s="13" t="n">
        <x:v>0.6470181529356073</x:v>
      </x:c>
      <x:c r="AH280" s="13" t="n">
        <x:v>-0.03408887759359852</x:v>
      </x:c>
      <x:c r="AI280" s="13" t="n">
        <x:v>29</x:v>
      </x:c>
      <x:c r="AJ280" s="13" t="n">
        <x:v>4473887.629999999</x:v>
      </x:c>
      <x:c r="AK280" s="13" t="n">
        <x:v>0.7013455385726559</x:v>
      </x:c>
      <x:c r="AL280" s="13" t="n">
        <x:v>0.039301310043668124</x:v>
      </x:c>
      <x:c r="AM280" s="13" t="n">
        <x:v>0.03363636363636364</x:v>
      </x:c>
      <x:c r="AN280" s="13" t="n">
        <x:v>0.4815988294929066</x:v>
      </x:c>
      <x:c r="AO280" s="13" t="n">
        <x:v>0.6432400052951959</x:v>
      </x:c>
      <x:c r="AP280" s="13" t="n">
        <x:v>-0.03163597311375625</x:v>
      </x:c>
    </x:row>
    <x:row r="281" ht="15" hidden="0" customHeight="1">
      <x:c r="A281" s="2" t="str">
        <x:v>E280</x:v>
      </x:c>
      <x:c r="B281" s="2" t="str">
        <x:v>个体经营E280 </x:v>
      </x:c>
      <x:c r="C281" s="2" t="str">
        <x:v>无信贷记录</x:v>
      </x:c>
      <x:c r="D281" s="2" t="str"/>
      <x:c r="E281" s="2" t="str"/>
      <x:c r="F281" s="13" t="n">
        <x:v>555</x:v>
      </x:c>
      <x:c r="G281" s="13" t="n">
        <x:v>544</x:v>
      </x:c>
      <x:c r="H281" s="13" t="n">
        <x:v>11</x:v>
      </x:c>
      <x:c r="I281" s="13" t="n">
        <x:v>0</x:v>
      </x:c>
      <x:c r="J281" s="13" t="n">
        <x:v>14112182.98</x:v>
      </x:c>
      <x:c r="K281" s="13" t="n">
        <x:v>14112182.98</x:v>
      </x:c>
      <x:c r="L281" s="13" t="n">
        <x:v>104</x:v>
      </x:c>
      <x:c r="M281" s="13" t="n">
        <x:v>0.01981981981981982</x:v>
      </x:c>
      <x:c r="N281" s="13" t="n">
        <x:v>0</x:v>
      </x:c>
      <x:c r="O281" s="13" t="n">
        <x:v>0.09179471852274346</x:v>
      </x:c>
      <x:c r="P281" s="13" t="n">
        <x:v>0.1905012359753289</x:v>
      </x:c>
      <x:c r="Q281" s="13" t="n">
        <x:v>486626.99931034487</x:v>
      </x:c>
      <x:c r="R281" s="13" t="n">
        <x:v>0.5872604920521634</x:v>
      </x:c>
      <x:c r="S281" s="13" t="n">
        <x:v>-0.009786838439728199</x:v>
      </x:c>
      <x:c r="T281" s="13" t="n">
        <x:v>29</x:v>
      </x:c>
      <x:c r="U281" s="13" t="n">
        <x:v>588</x:v>
      </x:c>
      <x:c r="V281" s="13" t="n">
        <x:v>549</x:v>
      </x:c>
      <x:c r="W281" s="13" t="n">
        <x:v>39</x:v>
      </x:c>
      <x:c r="X281" s="13" t="n">
        <x:v>4</x:v>
      </x:c>
      <x:c r="Y281" s="13" t="n">
        <x:v>19742329.56</x:v>
      </x:c>
      <x:c r="Z281" s="13" t="n">
        <x:v>20044275.56</x:v>
      </x:c>
      <x:c r="AA281" s="13" t="n">
        <x:v>127</x:v>
      </x:c>
      <x:c r="AB281" s="13" t="n">
        <x:v>0.0663265306122449</x:v>
      </x:c>
      <x:c r="AC281" s="13" t="n">
        <x:v>0.007285974499089253</x:v>
      </x:c>
      <x:c r="AD281" s="13" t="n">
        <x:v>0.03464529110155739</x:v>
      </x:c>
      <x:c r="AE281" s="13" t="n">
        <x:v>0.1049050959065941</x:v>
      </x:c>
      <x:c r="AF281" s="13" t="n">
        <x:v>548398.0433333333</x:v>
      </x:c>
      <x:c r="AG281" s="13" t="n">
        <x:v>0.532656778648409</x:v>
      </x:c>
      <x:c r="AH281" s="13" t="n">
        <x:v>0.018019830315049216</x:v>
      </x:c>
      <x:c r="AI281" s="13" t="n">
        <x:v>36</x:v>
      </x:c>
      <x:c r="AJ281" s="13" t="n">
        <x:v>5630146.579999998</x:v>
      </x:c>
      <x:c r="AK281" s="13" t="n">
        <x:v>0.7040505374093949</x:v>
      </x:c>
      <x:c r="AL281" s="13" t="n">
        <x:v>0.04374453193350831</x:v>
      </x:c>
      <x:c r="AM281" s="13" t="n">
        <x:v>0.0036596523330283625</x:v>
      </x:c>
      <x:c r="AN281" s="13" t="n">
        <x:v>0.06322000481215043</x:v>
      </x:c>
      <x:c r="AO281" s="13" t="n">
        <x:v>0.5599586353502861</x:v>
      </x:c>
      <x:c r="AP281" s="13" t="n">
        <x:v>0.004116495937660509</x:v>
      </x:c>
    </x:row>
    <x:row r="282" ht="15" hidden="0" customHeight="1">
      <x:c r="A282" s="2" t="str">
        <x:v>E281</x:v>
      </x:c>
      <x:c r="B282" s="2" t="str">
        <x:v>***商业管理有限责任公司</x:v>
      </x:c>
      <x:c r="C282" s="2" t="str">
        <x:v>无信贷记录</x:v>
      </x:c>
      <x:c r="D282" s="2" t="str"/>
      <x:c r="E282" s="2" t="str"/>
      <x:c r="F282" s="13" t="n">
        <x:v>1062</x:v>
      </x:c>
      <x:c r="G282" s="13" t="n">
        <x:v>1002</x:v>
      </x:c>
      <x:c r="H282" s="13" t="n">
        <x:v>60</x:v>
      </x:c>
      <x:c r="I282" s="13" t="n">
        <x:v>0</x:v>
      </x:c>
      <x:c r="J282" s="13" t="n">
        <x:v>21614464.91</x:v>
      </x:c>
      <x:c r="K282" s="13" t="n">
        <x:v>21614464.91</x:v>
      </x:c>
      <x:c r="L282" s="13" t="n">
        <x:v>189</x:v>
      </x:c>
      <x:c r="M282" s="13" t="n">
        <x:v>0.05649717514124294</x:v>
      </x:c>
      <x:c r="N282" s="13" t="n">
        <x:v>0</x:v>
      </x:c>
      <x:c r="O282" s="13" t="n">
        <x:v>0.33290982105441813</x:v>
      </x:c>
      <x:c r="P282" s="13" t="n">
        <x:v>0.5669847993475032</x:v>
      </x:c>
      <x:c r="Q282" s="13" t="n">
        <x:v>635719.5561764706</x:v>
      </x:c>
      <x:c r="R282" s="13" t="n">
        <x:v>0.543179924140449</x:v>
      </x:c>
      <x:c r="S282" s="13" t="n">
        <x:v>-0.00334301311354385</x:v>
      </x:c>
      <x:c r="T282" s="13" t="n">
        <x:v>34</x:v>
      </x:c>
      <x:c r="U282" s="13" t="n">
        <x:v>581</x:v>
      </x:c>
      <x:c r="V282" s="13" t="n">
        <x:v>551</x:v>
      </x:c>
      <x:c r="W282" s="13" t="n">
        <x:v>30</x:v>
      </x:c>
      <x:c r="X282" s="13" t="n">
        <x:v>3</x:v>
      </x:c>
      <x:c r="Y282" s="13" t="n">
        <x:v>17774526.18</x:v>
      </x:c>
      <x:c r="Z282" s="13" t="n">
        <x:v>17838526.18</x:v>
      </x:c>
      <x:c r="AA282" s="13" t="n">
        <x:v>43</x:v>
      </x:c>
      <x:c r="AB282" s="13" t="n">
        <x:v>0.05163511187607573</x:v>
      </x:c>
      <x:c r="AC282" s="13" t="n">
        <x:v>0.0054446460980036296</x:v>
      </x:c>
      <x:c r="AD282" s="13" t="n">
        <x:v>0.20500045637121866</x:v>
      </x:c>
      <x:c r="AE282" s="13" t="n">
        <x:v>0.38186918197521186</x:v>
      </x:c>
      <x:c r="AF282" s="13" t="n">
        <x:v>538622.0054545456</x:v>
      </x:c>
      <x:c r="AG282" s="13" t="n">
        <x:v>0.5974547208508427</x:v>
      </x:c>
      <x:c r="AH282" s="13" t="n">
        <x:v>0.015382780925382242</x:v>
      </x:c>
      <x:c r="AI282" s="13" t="n">
        <x:v>33</x:v>
      </x:c>
      <x:c r="AJ282" s="13" t="n">
        <x:v>-3839938.7300000004</x:v>
      </x:c>
      <x:c r="AK282" s="13" t="n">
        <x:v>1.211673245418305</x:v>
      </x:c>
      <x:c r="AL282" s="13" t="n">
        <x:v>0.054777845404747415</x:v>
      </x:c>
      <x:c r="AM282" s="13" t="n">
        <x:v>0.0019317450096587251</x:v>
      </x:c>
      <x:c r="AN282" s="13" t="n">
        <x:v>0.2689551387128184</x:v>
      </x:c>
      <x:c r="AO282" s="13" t="n">
        <x:v>0.5703173224956459</x:v>
      </x:c>
      <x:c r="AP282" s="13" t="n">
        <x:v>0.006019883905919196</x:v>
      </x:c>
    </x:row>
    <x:row r="283" ht="15" hidden="0" customHeight="1">
      <x:c r="A283" s="2" t="str">
        <x:v>E282</x:v>
      </x:c>
      <x:c r="B283" s="2" t="str">
        <x:v>***影城有限公司***分公司</x:v>
      </x:c>
      <x:c r="C283" s="2" t="str">
        <x:v>无信贷记录</x:v>
      </x:c>
      <x:c r="D283" s="2" t="str"/>
      <x:c r="E283" s="2" t="str"/>
      <x:c r="F283" s="13" t="n">
        <x:v>795</x:v>
      </x:c>
      <x:c r="G283" s="13" t="n">
        <x:v>752</x:v>
      </x:c>
      <x:c r="H283" s="13" t="n">
        <x:v>43</x:v>
      </x:c>
      <x:c r="I283" s="13" t="n">
        <x:v>19</x:v>
      </x:c>
      <x:c r="J283" s="13" t="n">
        <x:v>12876647.509999998</x:v>
      </x:c>
      <x:c r="K283" s="13" t="n">
        <x:v>13639714.989999998</x:v>
      </x:c>
      <x:c r="L283" s="13" t="n">
        <x:v>93</x:v>
      </x:c>
      <x:c r="M283" s="13" t="n">
        <x:v>0.05408805031446541</x:v>
      </x:c>
      <x:c r="N283" s="13" t="n">
        <x:v>0.02526595744680851</x:v>
      </x:c>
      <x:c r="O283" s="13" t="n">
        <x:v>0.5168252093996654</x:v>
      </x:c>
      <x:c r="P283" s="13" t="n">
        <x:v>0.7083589764950067</x:v>
      </x:c>
      <x:c r="Q283" s="13" t="n">
        <x:v>338859.145</x:v>
      </x:c>
      <x:c r="R283" s="13" t="n">
        <x:v>0.32422736494682114</x:v>
      </x:c>
      <x:c r="S283" s="13" t="n">
        <x:v>0.0003533761211515482</x:v>
      </x:c>
      <x:c r="T283" s="13" t="n">
        <x:v>38</x:v>
      </x:c>
      <x:c r="U283" s="13" t="n">
        <x:v>2711</x:v>
      </x:c>
      <x:c r="V283" s="13" t="n">
        <x:v>1959</x:v>
      </x:c>
      <x:c r="W283" s="13" t="n">
        <x:v>752</x:v>
      </x:c>
      <x:c r="X283" s="13" t="n">
        <x:v>18</x:v>
      </x:c>
      <x:c r="Y283" s="13" t="n">
        <x:v>22048760.630000003</x:v>
      </x:c>
      <x:c r="Z283" s="13" t="n">
        <x:v>22577740.55</x:v>
      </x:c>
      <x:c r="AA283" s="13" t="n">
        <x:v>593</x:v>
      </x:c>
      <x:c r="AB283" s="13" t="n">
        <x:v>0.2773884175580966</x:v>
      </x:c>
      <x:c r="AC283" s="13" t="n">
        <x:v>0.009188361408882083</x:v>
      </x:c>
      <x:c r="AD283" s="13" t="n">
        <x:v>0.09840428844068463</x:v>
      </x:c>
      <x:c r="AE283" s="13" t="n">
        <x:v>0.23346003061409082</x:v>
      </x:c>
      <x:c r="AF283" s="13" t="n">
        <x:v>580230.5428947369</x:v>
      </x:c>
      <x:c r="AG283" s="13" t="n">
        <x:v>0.5009557728926948</x:v>
      </x:c>
      <x:c r="AH283" s="13" t="n">
        <x:v>-0.004842077976409063</x:v>
      </x:c>
      <x:c r="AI283" s="13" t="n">
        <x:v>38</x:v>
      </x:c>
      <x:c r="AJ283" s="13" t="n">
        <x:v>9172113.120000005</x:v>
      </x:c>
      <x:c r="AK283" s="13" t="n">
        <x:v>0.6041222309111882</x:v>
      </x:c>
      <x:c r="AL283" s="13" t="n">
        <x:v>0.22675413576725614</x:v>
      </x:c>
      <x:c r="AM283" s="13" t="n">
        <x:v>0.01364810033198082</x:v>
      </x:c>
      <x:c r="AN283" s="13" t="n">
        <x:v>0.307614748920175</x:v>
      </x:c>
      <x:c r="AO283" s="13" t="n">
        <x:v>0.35185067339818643</x:v>
      </x:c>
      <x:c r="AP283" s="13" t="n">
        <x:v>-0.0022443509276287577</x:v>
      </x:c>
    </x:row>
    <x:row r="284" ht="15" hidden="0" customHeight="1">
      <x:c r="A284" s="2" t="str">
        <x:v>E283</x:v>
      </x:c>
      <x:c r="B284" s="2" t="str">
        <x:v>***机械铸造有限责任公司</x:v>
      </x:c>
      <x:c r="C284" s="2" t="str">
        <x:v>无信贷记录</x:v>
      </x:c>
      <x:c r="D284" s="2" t="str"/>
      <x:c r="E284" s="2" t="str"/>
      <x:c r="F284" s="13" t="n">
        <x:v>609</x:v>
      </x:c>
      <x:c r="G284" s="13" t="n">
        <x:v>582</x:v>
      </x:c>
      <x:c r="H284" s="13" t="n">
        <x:v>27</x:v>
      </x:c>
      <x:c r="I284" s="13" t="n">
        <x:v>0</x:v>
      </x:c>
      <x:c r="J284" s="13" t="n">
        <x:v>17369732.990000002</x:v>
      </x:c>
      <x:c r="K284" s="13" t="n">
        <x:v>17369732.990000002</x:v>
      </x:c>
      <x:c r="L284" s="13" t="n">
        <x:v>107</x:v>
      </x:c>
      <x:c r="M284" s="13" t="n">
        <x:v>0.04433497536945813</x:v>
      </x:c>
      <x:c r="N284" s="13" t="n">
        <x:v>0</x:v>
      </x:c>
      <x:c r="O284" s="13" t="n">
        <x:v>0.10141292584760565</x:v>
      </x:c>
      <x:c r="P284" s="13" t="n">
        <x:v>0.20720274641366265</x:v>
      </x:c>
      <x:c r="Q284" s="13" t="n">
        <x:v>469452.2429729729</x:v>
      </x:c>
      <x:c r="R284" s="13" t="n">
        <x:v>0.5116291952796859</x:v>
      </x:c>
      <x:c r="S284" s="13" t="n">
        <x:v>0.01336064508607613</x:v>
      </x:c>
      <x:c r="T284" s="13" t="n">
        <x:v>37</x:v>
      </x:c>
      <x:c r="U284" s="13" t="n">
        <x:v>299</x:v>
      </x:c>
      <x:c r="V284" s="13" t="n">
        <x:v>291</x:v>
      </x:c>
      <x:c r="W284" s="13" t="n">
        <x:v>8</x:v>
      </x:c>
      <x:c r="X284" s="13" t="n">
        <x:v>0</x:v>
      </x:c>
      <x:c r="Y284" s="13" t="n">
        <x:v>22691463.44</x:v>
      </x:c>
      <x:c r="Z284" s="13" t="n">
        <x:v>22691463.44</x:v>
      </x:c>
      <x:c r="AA284" s="13" t="n">
        <x:v>20</x:v>
      </x:c>
      <x:c r="AB284" s="13" t="n">
        <x:v>0.026755852842809364</x:v>
      </x:c>
      <x:c r="AC284" s="13" t="n">
        <x:v>0</x:v>
      </x:c>
      <x:c r="AD284" s="13" t="n">
        <x:v>0.14841188594961646</x:v>
      </x:c>
      <x:c r="AE284" s="13" t="n">
        <x:v>0.2501219405706166</x:v>
      </x:c>
      <x:c r="AF284" s="13" t="n">
        <x:v>613282.7956756756</x:v>
      </x:c>
      <x:c r="AG284" s="13" t="n">
        <x:v>0.5064390263333685</x:v>
      </x:c>
      <x:c r="AH284" s="13" t="n">
        <x:v>0.021075594768157194</x:v>
      </x:c>
      <x:c r="AI284" s="13" t="n">
        <x:v>37</x:v>
      </x:c>
      <x:c r="AJ284" s="13" t="n">
        <x:v>5321730.449999999</x:v>
      </x:c>
      <x:c r="AK284" s="13" t="n">
        <x:v>0.7654743395430824</x:v>
      </x:c>
      <x:c r="AL284" s="13" t="n">
        <x:v>0.03854625550660793</x:v>
      </x:c>
      <x:c r="AM284" s="13" t="n">
        <x:v>0</x:v>
      </x:c>
      <x:c r="AN284" s="13" t="n">
        <x:v>0.12491240589861105</x:v>
      </x:c>
      <x:c r="AO284" s="13" t="n">
        <x:v>0.5090341108065272</x:v>
      </x:c>
      <x:c r="AP284" s="13" t="n">
        <x:v>0.01721811992711666</x:v>
      </x:c>
    </x:row>
    <x:row r="285" ht="15" hidden="0" customHeight="1">
      <x:c r="A285" s="2" t="str">
        <x:v>E284</x:v>
      </x:c>
      <x:c r="B285" s="2" t="str">
        <x:v>***成焊科技有限公司</x:v>
      </x:c>
      <x:c r="C285" s="2" t="str">
        <x:v>无信贷记录</x:v>
      </x:c>
      <x:c r="D285" s="2" t="str"/>
      <x:c r="E285" s="2" t="str"/>
      <x:c r="F285" s="13" t="n">
        <x:v>1058</x:v>
      </x:c>
      <x:c r="G285" s="13" t="n">
        <x:v>1007</x:v>
      </x:c>
      <x:c r="H285" s="13" t="n">
        <x:v>51</x:v>
      </x:c>
      <x:c r="I285" s="13" t="n">
        <x:v>5</x:v>
      </x:c>
      <x:c r="J285" s="13" t="n">
        <x:v>12229856.17</x:v>
      </x:c>
      <x:c r="K285" s="13" t="n">
        <x:v>12275303.809999999</x:v>
      </x:c>
      <x:c r="L285" s="13" t="n">
        <x:v>122</x:v>
      </x:c>
      <x:c r="M285" s="13" t="n">
        <x:v>0.048204158790170135</x:v>
      </x:c>
      <x:c r="N285" s="13" t="n">
        <x:v>0.004965243296921549</x:v>
      </x:c>
      <x:c r="O285" s="13" t="n">
        <x:v>0.08356171572541377</x:v>
      </x:c>
      <x:c r="P285" s="13" t="n">
        <x:v>0.19912045256336508</x:v>
      </x:c>
      <x:c r="Q285" s="13" t="n">
        <x:v>321838.32026315783</x:v>
      </x:c>
      <x:c r="R285" s="13" t="n">
        <x:v>0.49486907587429546</x:v>
      </x:c>
      <x:c r="S285" s="13" t="n">
        <x:v>0.013183025791375992</x:v>
      </x:c>
      <x:c r="T285" s="13" t="n">
        <x:v>38</x:v>
      </x:c>
      <x:c r="U285" s="13" t="n">
        <x:v>466</x:v>
      </x:c>
      <x:c r="V285" s="13" t="n">
        <x:v>429</x:v>
      </x:c>
      <x:c r="W285" s="13" t="n">
        <x:v>37</x:v>
      </x:c>
      <x:c r="X285" s="13" t="n">
        <x:v>2</x:v>
      </x:c>
      <x:c r="Y285" s="13" t="n">
        <x:v>18471740.5</x:v>
      </x:c>
      <x:c r="Z285" s="13" t="n">
        <x:v>18488300.5</x:v>
      </x:c>
      <x:c r="AA285" s="13" t="n">
        <x:v>127</x:v>
      </x:c>
      <x:c r="AB285" s="13" t="n">
        <x:v>0.07939914163090128</x:v>
      </x:c>
      <x:c r="AC285" s="13" t="n">
        <x:v>0.004662004662004662</x:v>
      </x:c>
      <x:c r="AD285" s="13" t="n">
        <x:v>0.32903438981434235</x:v>
      </x:c>
      <x:c r="AE285" s="13" t="n">
        <x:v>0.557468329768872</x:v>
      </x:c>
      <x:c r="AF285" s="13" t="n">
        <x:v>499236.2297297297</x:v>
      </x:c>
      <x:c r="AG285" s="13" t="n">
        <x:v>0.48666701546341856</x:v>
      </x:c>
      <x:c r="AH285" s="13" t="n">
        <x:v>0.025162416222067253</x:v>
      </x:c>
      <x:c r="AI285" s="13" t="n">
        <x:v>37</x:v>
      </x:c>
      <x:c r="AJ285" s="13" t="n">
        <x:v>6241884.33</x:v>
      </x:c>
      <x:c r="AK285" s="13" t="n">
        <x:v>0.663949821131477</x:v>
      </x:c>
      <x:c r="AL285" s="13" t="n">
        <x:v>0.05774278215223097</x:v>
      </x:c>
      <x:c r="AM285" s="13" t="n">
        <x:v>0.004874651810584958</x:v>
      </x:c>
      <x:c r="AN285" s="13" t="n">
        <x:v>0.20629805276987806</x:v>
      </x:c>
      <x:c r="AO285" s="13" t="n">
        <x:v>0.490768045668857</x:v>
      </x:c>
      <x:c r="AP285" s="13" t="n">
        <x:v>0.019172721006721623</x:v>
      </x:c>
    </x:row>
    <x:row r="286" ht="15" hidden="0" customHeight="1">
      <x:c r="A286" s="2" t="str">
        <x:v>E285</x:v>
      </x:c>
      <x:c r="B286" s="2" t="str">
        <x:v>个体经营E285 </x:v>
      </x:c>
      <x:c r="C286" s="2" t="str">
        <x:v>无信贷记录</x:v>
      </x:c>
      <x:c r="D286" s="2" t="str"/>
      <x:c r="E286" s="2" t="str"/>
      <x:c r="F286" s="13" t="n">
        <x:v>772</x:v>
      </x:c>
      <x:c r="G286" s="13" t="n">
        <x:v>730</x:v>
      </x:c>
      <x:c r="H286" s="13" t="n">
        <x:v>42</x:v>
      </x:c>
      <x:c r="I286" s="13" t="n">
        <x:v>4</x:v>
      </x:c>
      <x:c r="J286" s="13" t="n">
        <x:v>18423110.880000003</x:v>
      </x:c>
      <x:c r="K286" s="13" t="n">
        <x:v>18808321.660000004</x:v>
      </x:c>
      <x:c r="L286" s="13" t="n">
        <x:v>226</x:v>
      </x:c>
      <x:c r="M286" s="13" t="n">
        <x:v>0.054404145077720206</x:v>
      </x:c>
      <x:c r="N286" s="13" t="n">
        <x:v>0.005479452054794521</x:v>
      </x:c>
      <x:c r="O286" s="13" t="n">
        <x:v>0.07158385803605552</x:v>
      </x:c>
      <x:c r="P286" s="13" t="n">
        <x:v>0.1738207411112513</x:v>
      </x:c>
      <x:c r="Q286" s="13" t="n">
        <x:v>511753.0800000001</x:v>
      </x:c>
      <x:c r="R286" s="13" t="n">
        <x:v>1.6792092976044128</x:v>
      </x:c>
      <x:c r="S286" s="13" t="n">
        <x:v>-0.0036105918479260035</x:v>
      </x:c>
      <x:c r="T286" s="13" t="n">
        <x:v>36</x:v>
      </x:c>
      <x:c r="U286" s="13" t="n">
        <x:v>564</x:v>
      </x:c>
      <x:c r="V286" s="13" t="n">
        <x:v>458</x:v>
      </x:c>
      <x:c r="W286" s="13" t="n">
        <x:v>106</x:v>
      </x:c>
      <x:c r="X286" s="13" t="n">
        <x:v>7</x:v>
      </x:c>
      <x:c r="Y286" s="13" t="n">
        <x:v>34052493.51</x:v>
      </x:c>
      <x:c r="Z286" s="13" t="n">
        <x:v>35045355.51</x:v>
      </x:c>
      <x:c r="AA286" s="13" t="n">
        <x:v>55</x:v>
      </x:c>
      <x:c r="AB286" s="13" t="n">
        <x:v>0.1879432624113475</x:v>
      </x:c>
      <x:c r="AC286" s="13" t="n">
        <x:v>0.015283842794759825</x:v>
      </x:c>
      <x:c r="AD286" s="13" t="n">
        <x:v>0.06963007105214296</x:v>
      </x:c>
      <x:c r="AE286" s="13" t="n">
        <x:v>0.19441469207113204</x:v>
      </x:c>
      <x:c r="AF286" s="13" t="n">
        <x:v>945902.5974999999</x:v>
      </x:c>
      <x:c r="AG286" s="13" t="n">
        <x:v>1.3754265663931977</x:v>
      </x:c>
      <x:c r="AH286" s="13" t="n">
        <x:v>0.03207635988665854</x:v>
      </x:c>
      <x:c r="AI286" s="13" t="n">
        <x:v>36</x:v>
      </x:c>
      <x:c r="AJ286" s="13" t="n">
        <x:v>15629382.629999995</x:v>
      </x:c>
      <x:c r="AK286" s="13" t="n">
        <x:v>0.5366851437598672</x:v>
      </x:c>
      <x:c r="AL286" s="13" t="n">
        <x:v>0.11077844311377245</x:v>
      </x:c>
      <x:c r="AM286" s="13" t="n">
        <x:v>0.009259259259259259</x:v>
      </x:c>
      <x:c r="AN286" s="13" t="n">
        <x:v>0.07060696454409923</x:v>
      </x:c>
      <x:c r="AO286" s="13" t="n">
        <x:v>1.5273179319988053</x:v>
      </x:c>
      <x:c r="AP286" s="13" t="n">
        <x:v>0.014232884019366267</x:v>
      </x:c>
    </x:row>
    <x:row r="287" ht="15" hidden="0" customHeight="1">
      <x:c r="A287" s="2" t="str">
        <x:v>E286</x:v>
      </x:c>
      <x:c r="B287" s="2" t="str">
        <x:v>***印务有限公司</x:v>
      </x:c>
      <x:c r="C287" s="2" t="str">
        <x:v>无信贷记录</x:v>
      </x:c>
      <x:c r="D287" s="2" t="str"/>
      <x:c r="E287" s="2" t="str"/>
      <x:c r="F287" s="13" t="n">
        <x:v>305</x:v>
      </x:c>
      <x:c r="G287" s="13" t="n">
        <x:v>290</x:v>
      </x:c>
      <x:c r="H287" s="13" t="n">
        <x:v>15</x:v>
      </x:c>
      <x:c r="I287" s="13" t="n">
        <x:v>0</x:v>
      </x:c>
      <x:c r="J287" s="13" t="n">
        <x:v>12889214.059999999</x:v>
      </x:c>
      <x:c r="K287" s="13" t="n">
        <x:v>12889214.059999999</x:v>
      </x:c>
      <x:c r="L287" s="13" t="n">
        <x:v>81</x:v>
      </x:c>
      <x:c r="M287" s="13" t="n">
        <x:v>0.04918032786885246</x:v>
      </x:c>
      <x:c r="N287" s="13" t="n">
        <x:v>0</x:v>
      </x:c>
      <x:c r="O287" s="13" t="n">
        <x:v>0.07997926330319281</x:v>
      </x:c>
      <x:c r="P287" s="13" t="n">
        <x:v>0.14973760161137395</x:v>
      </x:c>
      <x:c r="Q287" s="13" t="n">
        <x:v>537050.5858333333</x:v>
      </x:c>
      <x:c r="R287" s="13" t="n">
        <x:v>0.9786191484121239</x:v>
      </x:c>
      <x:c r="S287" s="13" t="n">
        <x:v>0.06859970546634664</x:v>
      </x:c>
      <x:c r="T287" s="13" t="n">
        <x:v>24</x:v>
      </x:c>
      <x:c r="U287" s="13" t="n">
        <x:v>258</x:v>
      </x:c>
      <x:c r="V287" s="13" t="n">
        <x:v>199</x:v>
      </x:c>
      <x:c r="W287" s="13" t="n">
        <x:v>59</x:v>
      </x:c>
      <x:c r="X287" s="13" t="n">
        <x:v>5</x:v>
      </x:c>
      <x:c r="Y287" s="13" t="n">
        <x:v>13842740</x:v>
      </x:c>
      <x:c r="Z287" s="13" t="n">
        <x:v>14394029.12</x:v>
      </x:c>
      <x:c r="AA287" s="13" t="n">
        <x:v>35</x:v>
      </x:c>
      <x:c r="AB287" s="13" t="n">
        <x:v>0.22868217054263565</x:v>
      </x:c>
      <x:c r="AC287" s="13" t="n">
        <x:v>0.02512562814070352</x:v>
      </x:c>
      <x:c r="AD287" s="13" t="n">
        <x:v>0.14795110127051161</x:v>
      </x:c>
      <x:c r="AE287" s="13" t="n">
        <x:v>0.24821459719264485</x:v>
      </x:c>
      <x:c r="AF287" s="13" t="n">
        <x:v>576780.8333333333</x:v>
      </x:c>
      <x:c r="AG287" s="13" t="n">
        <x:v>1.0172232560492875</x:v>
      </x:c>
      <x:c r="AH287" s="13" t="n">
        <x:v>0.07932480315815825</x:v>
      </x:c>
      <x:c r="AI287" s="13" t="n">
        <x:v>23</x:v>
      </x:c>
      <x:c r="AJ287" s="13" t="n">
        <x:v>953525.9400000013</x:v>
      </x:c>
      <x:c r="AK287" s="13" t="n">
        <x:v>0.8954556054142537</x:v>
      </x:c>
      <x:c r="AL287" s="13" t="n">
        <x:v>0.13143872113676733</x:v>
      </x:c>
      <x:c r="AM287" s="13" t="n">
        <x:v>0.010224948875255624</x:v>
      </x:c>
      <x:c r="AN287" s="13" t="n">
        <x:v>0.1139651822868522</x:v>
      </x:c>
      <x:c r="AO287" s="13" t="n">
        <x:v>0.9979212022307058</x:v>
      </x:c>
      <x:c r="AP287" s="13" t="n">
        <x:v>0.07396225431225245</x:v>
      </x:c>
    </x:row>
    <x:row r="288" ht="15" hidden="0" customHeight="1">
      <x:c r="A288" s="2" t="str">
        <x:v>E287</x:v>
      </x:c>
      <x:c r="B288" s="2" t="str">
        <x:v>***鞋材有限公司</x:v>
      </x:c>
      <x:c r="C288" s="2" t="str">
        <x:v>无信贷记录</x:v>
      </x:c>
      <x:c r="D288" s="2" t="str"/>
      <x:c r="E288" s="2" t="str"/>
      <x:c r="F288" s="13" t="n">
        <x:v>462</x:v>
      </x:c>
      <x:c r="G288" s="13" t="n">
        <x:v>422</x:v>
      </x:c>
      <x:c r="H288" s="13" t="n">
        <x:v>40</x:v>
      </x:c>
      <x:c r="I288" s="13" t="n">
        <x:v>3</x:v>
      </x:c>
      <x:c r="J288" s="13" t="n">
        <x:v>16489546.81</x:v>
      </x:c>
      <x:c r="K288" s="13" t="n">
        <x:v>16746076.030000001</x:v>
      </x:c>
      <x:c r="L288" s="13" t="n">
        <x:v>94</x:v>
      </x:c>
      <x:c r="M288" s="13" t="n">
        <x:v>0.08658008658008658</x:v>
      </x:c>
      <x:c r="N288" s="13" t="n">
        <x:v>0.0071090047393364926</x:v>
      </x:c>
      <x:c r="O288" s="13" t="n">
        <x:v>0.06069880221596188</x:v>
      </x:c>
      <x:c r="P288" s="13" t="n">
        <x:v>0.1835944727882619</x:v>
      </x:c>
      <x:c r="Q288" s="13" t="n">
        <x:v>445663.4272972973</x:v>
      </x:c>
      <x:c r="R288" s="13" t="n">
        <x:v>0.5933124328642673</x:v>
      </x:c>
      <x:c r="S288" s="13" t="n">
        <x:v>0.017843242420823715</x:v>
      </x:c>
      <x:c r="T288" s="13" t="n">
        <x:v>37</x:v>
      </x:c>
      <x:c r="U288" s="13" t="n">
        <x:v>309</x:v>
      </x:c>
      <x:c r="V288" s="13" t="n">
        <x:v>267</x:v>
      </x:c>
      <x:c r="W288" s="13" t="n">
        <x:v>42</x:v>
      </x:c>
      <x:c r="X288" s="13" t="n">
        <x:v>1</x:v>
      </x:c>
      <x:c r="Y288" s="13" t="n">
        <x:v>17369176.9</x:v>
      </x:c>
      <x:c r="Z288" s="13" t="n">
        <x:v>17533795.700000003</x:v>
      </x:c>
      <x:c r="AA288" s="13" t="n">
        <x:v>26</x:v>
      </x:c>
      <x:c r="AB288" s="13" t="n">
        <x:v>0.13592233009708737</x:v>
      </x:c>
      <x:c r="AC288" s="13" t="n">
        <x:v>0.003745318352059925</x:v>
      </x:c>
      <x:c r="AD288" s="13" t="n">
        <x:v>0.12947370433416314</x:v>
      </x:c>
      <x:c r="AE288" s="13" t="n">
        <x:v>0.2396400683509732</x:v>
      </x:c>
      <x:c r="AF288" s="13" t="n">
        <x:v>469437.21351351344</x:v>
      </x:c>
      <x:c r="AG288" s="13" t="n">
        <x:v>0.44057223069133117</x:v>
      </x:c>
      <x:c r="AH288" s="13" t="n">
        <x:v>0.020133873703312176</x:v>
      </x:c>
      <x:c r="AI288" s="13" t="n">
        <x:v>37</x:v>
      </x:c>
      <x:c r="AJ288" s="13" t="n">
        <x:v>879630.089999998</x:v>
      </x:c>
      <x:c r="AK288" s="13" t="n">
        <x:v>0.9550742073491821</x:v>
      </x:c>
      <x:c r="AL288" s="13" t="n">
        <x:v>0.10635538261997406</x:v>
      </x:c>
      <x:c r="AM288" s="13" t="n">
        <x:v>0.005805515239477504</x:v>
      </x:c>
      <x:c r="AN288" s="13" t="n">
        <x:v>0.09508625327506251</x:v>
      </x:c>
      <x:c r="AO288" s="13" t="n">
        <x:v>0.5169423317777992</x:v>
      </x:c>
      <x:c r="AP288" s="13" t="n">
        <x:v>0.018988558062067944</x:v>
      </x:c>
    </x:row>
    <x:row r="289" ht="15" hidden="0" customHeight="1">
      <x:c r="A289" s="2" t="str">
        <x:v>E288</x:v>
      </x:c>
      <x:c r="B289" s="2" t="str">
        <x:v>个体经营E288 </x:v>
      </x:c>
      <x:c r="C289" s="2" t="str">
        <x:v>无信贷记录</x:v>
      </x:c>
      <x:c r="D289" s="2" t="str"/>
      <x:c r="E289" s="2" t="str"/>
      <x:c r="F289" s="13" t="n">
        <x:v>582</x:v>
      </x:c>
      <x:c r="G289" s="13" t="n">
        <x:v>575</x:v>
      </x:c>
      <x:c r="H289" s="13" t="n">
        <x:v>7</x:v>
      </x:c>
      <x:c r="I289" s="13" t="n">
        <x:v>1</x:v>
      </x:c>
      <x:c r="J289" s="13" t="n">
        <x:v>15170160.33</x:v>
      </x:c>
      <x:c r="K289" s="13" t="n">
        <x:v>15170346.129999999</x:v>
      </x:c>
      <x:c r="L289" s="13" t="n">
        <x:v>126</x:v>
      </x:c>
      <x:c r="M289" s="13" t="n">
        <x:v>0.012027491408934709</x:v>
      </x:c>
      <x:c r="N289" s="13" t="n">
        <x:v>0.0017391304347826088</x:v>
      </x:c>
      <x:c r="O289" s="13" t="n">
        <x:v>0.18981285782571422</x:v>
      </x:c>
      <x:c r="P289" s="13" t="n">
        <x:v>0.32001962172764215</x:v>
      </x:c>
      <x:c r="Q289" s="13" t="n">
        <x:v>474067.5103125</x:v>
      </x:c>
      <x:c r="R289" s="13" t="n">
        <x:v>0.7383487329554251</x:v>
      </x:c>
      <x:c r="S289" s="13" t="n">
        <x:v>0.014118492279349614</x:v>
      </x:c>
      <x:c r="T289" s="13" t="n">
        <x:v>31</x:v>
      </x:c>
      <x:c r="U289" s="13" t="n">
        <x:v>308</x:v>
      </x:c>
      <x:c r="V289" s="13" t="n">
        <x:v>240</x:v>
      </x:c>
      <x:c r="W289" s="13" t="n">
        <x:v>68</x:v>
      </x:c>
      <x:c r="X289" s="13" t="n">
        <x:v>4</x:v>
      </x:c>
      <x:c r="Y289" s="13" t="n">
        <x:v>18556702.73</x:v>
      </x:c>
      <x:c r="Z289" s="13" t="n">
        <x:v>19353257.73</x:v>
      </x:c>
      <x:c r="AA289" s="13" t="n">
        <x:v>40</x:v>
      </x:c>
      <x:c r="AB289" s="13" t="n">
        <x:v>0.22077922077922077</x:v>
      </x:c>
      <x:c r="AC289" s="13" t="n">
        <x:v>0.016666666666666666</x:v>
      </x:c>
      <x:c r="AD289" s="13" t="n">
        <x:v>0.12487472100790244</x:v>
      </x:c>
      <x:c r="AE289" s="13" t="n">
        <x:v>0.2694361684605127</x:v>
      </x:c>
      <x:c r="AF289" s="13" t="n">
        <x:v>545785.3744117647</x:v>
      </x:c>
      <x:c r="AG289" s="13" t="n">
        <x:v>0.8522590318213095</x:v>
      </x:c>
      <x:c r="AH289" s="13" t="n">
        <x:v>-0.0034562952880687636</x:v>
      </x:c>
      <x:c r="AI289" s="13" t="n">
        <x:v>33</x:v>
      </x:c>
      <x:c r="AJ289" s="13" t="n">
        <x:v>3386542.4000000004</x:v>
      </x:c>
      <x:c r="AK289" s="13" t="n">
        <x:v>0.7838652459262215</x:v>
      </x:c>
      <x:c r="AL289" s="13" t="n">
        <x:v>0.08426966292134831</x:v>
      </x:c>
      <x:c r="AM289" s="13" t="n">
        <x:v>0.006134969325153374</x:v>
      </x:c>
      <x:c r="AN289" s="13" t="n">
        <x:v>0.15734378941680832</x:v>
      </x:c>
      <x:c r="AO289" s="13" t="n">
        <x:v>0.7953038823883674</x:v>
      </x:c>
      <x:c r="AP289" s="13" t="n">
        <x:v>0.005331098495640426</x:v>
      </x:c>
    </x:row>
    <x:row r="290" ht="15" hidden="0" customHeight="1">
      <x:c r="A290" s="2" t="str">
        <x:v>E289</x:v>
      </x:c>
      <x:c r="B290" s="2" t="str">
        <x:v>***运业有限公司***分公司</x:v>
      </x:c>
      <x:c r="C290" s="2" t="str">
        <x:v>无信贷记录</x:v>
      </x:c>
      <x:c r="D290" s="2" t="str"/>
      <x:c r="E290" s="2" t="str"/>
      <x:c r="F290" s="13" t="n">
        <x:v>3335</x:v>
      </x:c>
      <x:c r="G290" s="13" t="n">
        <x:v>3307</x:v>
      </x:c>
      <x:c r="H290" s="13" t="n">
        <x:v>28</x:v>
      </x:c>
      <x:c r="I290" s="13" t="n">
        <x:v>9</x:v>
      </x:c>
      <x:c r="J290" s="13" t="n">
        <x:v>7872247.51</x:v>
      </x:c>
      <x:c r="K290" s="13" t="n">
        <x:v>7934650.25</x:v>
      </x:c>
      <x:c r="L290" s="13" t="n">
        <x:v>171</x:v>
      </x:c>
      <x:c r="M290" s="13" t="n">
        <x:v>0.008395802098950524</x:v>
      </x:c>
      <x:c r="N290" s="13" t="n">
        <x:v>0.002721499848805564</x:v>
      </x:c>
      <x:c r="O290" s="13" t="n">
        <x:v>0.16899100584735668</x:v>
      </x:c>
      <x:c r="P290" s="13" t="n">
        <x:v>0.26604829872621044</x:v>
      </x:c>
      <x:c r="Q290" s="13" t="n">
        <x:v>207164.40815789474</x:v>
      </x:c>
      <x:c r="R290" s="13" t="n">
        <x:v>1.0166750071893405</x:v>
      </x:c>
      <x:c r="S290" s="13" t="n">
        <x:v>0.02279278890676733</x:v>
      </x:c>
      <x:c r="T290" s="13" t="n">
        <x:v>38</x:v>
      </x:c>
      <x:c r="U290" s="13" t="n">
        <x:v>1679</x:v>
      </x:c>
      <x:c r="V290" s="13" t="n">
        <x:v>1567</x:v>
      </x:c>
      <x:c r="W290" s="13" t="n">
        <x:v>112</x:v>
      </x:c>
      <x:c r="X290" s="13" t="n">
        <x:v>24</x:v>
      </x:c>
      <x:c r="Y290" s="13" t="n">
        <x:v>21683150.51</x:v>
      </x:c>
      <x:c r="Z290" s="13" t="n">
        <x:v>21898854.91</x:v>
      </x:c>
      <x:c r="AA290" s="13" t="n">
        <x:v>405</x:v>
      </x:c>
      <x:c r="AB290" s="13" t="n">
        <x:v>0.06670637284097677</x:v>
      </x:c>
      <x:c r="AC290" s="13" t="n">
        <x:v>0.015315890236119975</x:v>
      </x:c>
      <x:c r="AD290" s="13" t="n">
        <x:v>0.08077625871701019</x:v>
      </x:c>
      <x:c r="AE290" s="13" t="n">
        <x:v>0.18086817855445575</x:v>
      </x:c>
      <x:c r="AF290" s="13" t="n">
        <x:v>586031.094864865</x:v>
      </x:c>
      <x:c r="AG290" s="13" t="n">
        <x:v>0.2698388037208975</x:v>
      </x:c>
      <x:c r="AH290" s="13" t="n">
        <x:v>-0.009063989700394142</x:v>
      </x:c>
      <x:c r="AI290" s="13" t="n">
        <x:v>37</x:v>
      </x:c>
      <x:c r="AJ290" s="13" t="n">
        <x:v>13810903.000000002</x:v>
      </x:c>
      <x:c r="AK290" s="13" t="n">
        <x:v>0.36233174212121394</x:v>
      </x:c>
      <x:c r="AL290" s="13" t="n">
        <x:v>0.02792181890706023</x:v>
      </x:c>
      <x:c r="AM290" s="13" t="n">
        <x:v>0.006770619614279852</x:v>
      </x:c>
      <x:c r="AN290" s="13" t="n">
        <x:v>0.12488363228218344</x:v>
      </x:c>
      <x:c r="AO290" s="13" t="n">
        <x:v>0.6105712857609826</x:v>
      </x:c>
      <x:c r="AP290" s="13" t="n">
        <x:v>0.006864399603186594</x:v>
      </x:c>
    </x:row>
    <x:row r="291" ht="15" hidden="0" customHeight="1">
      <x:c r="A291" s="2" t="str">
        <x:v>E290</x:v>
      </x:c>
      <x:c r="B291" s="2" t="str">
        <x:v>***机电有限公司</x:v>
      </x:c>
      <x:c r="C291" s="2" t="str">
        <x:v>无信贷记录</x:v>
      </x:c>
      <x:c r="D291" s="2" t="str"/>
      <x:c r="E291" s="2" t="str"/>
      <x:c r="F291" s="13" t="n">
        <x:v>871</x:v>
      </x:c>
      <x:c r="G291" s="13" t="n">
        <x:v>859</x:v>
      </x:c>
      <x:c r="H291" s="13" t="n">
        <x:v>12</x:v>
      </x:c>
      <x:c r="I291" s="13" t="n">
        <x:v>6</x:v>
      </x:c>
      <x:c r="J291" s="13" t="n">
        <x:v>6097913.970000001</x:v>
      </x:c>
      <x:c r="K291" s="13" t="n">
        <x:v>6112651.13</x:v>
      </x:c>
      <x:c r="L291" s="13" t="n">
        <x:v>219</x:v>
      </x:c>
      <x:c r="M291" s="13" t="n">
        <x:v>0.013777267508610792</x:v>
      </x:c>
      <x:c r="N291" s="13" t="n">
        <x:v>0.006984866123399301</x:v>
      </x:c>
      <x:c r="O291" s="13" t="n">
        <x:v>0.045133548558525645</x:v>
      </x:c>
      <x:c r="P291" s="13" t="n">
        <x:v>0.08896908860558513</x:v>
      </x:c>
      <x:c r="Q291" s="13" t="n">
        <x:v>160471.42026315787</x:v>
      </x:c>
      <x:c r="R291" s="13" t="n">
        <x:v>0.9656178224532931</x:v>
      </x:c>
      <x:c r="S291" s="13" t="n">
        <x:v>0.005609323399108452</x:v>
      </x:c>
      <x:c r="T291" s="13" t="n">
        <x:v>38</x:v>
      </x:c>
      <x:c r="U291" s="13" t="n">
        <x:v>1125</x:v>
      </x:c>
      <x:c r="V291" s="13" t="n">
        <x:v>988</x:v>
      </x:c>
      <x:c r="W291" s="13" t="n">
        <x:v>137</x:v>
      </x:c>
      <x:c r="X291" s="13" t="n">
        <x:v>19</x:v>
      </x:c>
      <x:c r="Y291" s="13" t="n">
        <x:v>19389050.37</x:v>
      </x:c>
      <x:c r="Z291" s="13" t="n">
        <x:v>19801590.37</x:v>
      </x:c>
      <x:c r="AA291" s="13" t="n">
        <x:v>113</x:v>
      </x:c>
      <x:c r="AB291" s="13" t="n">
        <x:v>0.12177777777777778</x:v>
      </x:c>
      <x:c r="AC291" s="13" t="n">
        <x:v>0.019230769230769232</x:v>
      </x:c>
      <x:c r="AD291" s="13" t="n">
        <x:v>0.13301826317719614</x:v>
      </x:c>
      <x:c r="AE291" s="13" t="n">
        <x:v>0.3427311278129424</x:v>
      </x:c>
      <x:c r="AF291" s="13" t="n">
        <x:v>524028.3883783783</x:v>
      </x:c>
      <x:c r="AG291" s="13" t="n">
        <x:v>0.8252202666661315</x:v>
      </x:c>
      <x:c r="AH291" s="13" t="n">
        <x:v>0.0077811306145496775</x:v>
      </x:c>
      <x:c r="AI291" s="13" t="n">
        <x:v>37</x:v>
      </x:c>
      <x:c r="AJ291" s="13" t="n">
        <x:v>13291136.4</x:v>
      </x:c>
      <x:c r="AK291" s="13" t="n">
        <x:v>0.30869495913120437</x:v>
      </x:c>
      <x:c r="AL291" s="13" t="n">
        <x:v>0.0746492985971944</x:v>
      </x:c>
      <x:c r="AM291" s="13" t="n">
        <x:v>0.01353546291283162</x:v>
      </x:c>
      <x:c r="AN291" s="13" t="n">
        <x:v>0.08907590586786089</x:v>
      </x:c>
      <x:c r="AO291" s="13" t="n">
        <x:v>0.8954190445597123</x:v>
      </x:c>
      <x:c r="AP291" s="13" t="n">
        <x:v>0.006695227006829065</x:v>
      </x:c>
    </x:row>
    <x:row r="292" ht="15" hidden="0" customHeight="1">
      <x:c r="A292" s="2" t="str">
        <x:v>E291</x:v>
      </x:c>
      <x:c r="B292" s="2" t="str">
        <x:v>***文业建设工程有限公司</x:v>
      </x:c>
      <x:c r="C292" s="2" t="str">
        <x:v>无信贷记录</x:v>
      </x:c>
      <x:c r="D292" s="2" t="str"/>
      <x:c r="E292" s="2" t="str"/>
      <x:c r="F292" s="13" t="n">
        <x:v>393</x:v>
      </x:c>
      <x:c r="G292" s="13" t="n">
        <x:v>372</x:v>
      </x:c>
      <x:c r="H292" s="13" t="n">
        <x:v>21</x:v>
      </x:c>
      <x:c r="I292" s="13" t="n">
        <x:v>9</x:v>
      </x:c>
      <x:c r="J292" s="13" t="n">
        <x:v>18636178.8</x:v>
      </x:c>
      <x:c r="K292" s="13" t="n">
        <x:v>18788386.6</x:v>
      </x:c>
      <x:c r="L292" s="13" t="n">
        <x:v>118</x:v>
      </x:c>
      <x:c r="M292" s="13" t="n">
        <x:v>0.05343511450381679</x:v>
      </x:c>
      <x:c r="N292" s="13" t="n">
        <x:v>0.024193548387096774</x:v>
      </x:c>
      <x:c r="O292" s="13" t="n">
        <x:v>0.574095216145241</x:v>
      </x:c>
      <x:c r="P292" s="13" t="n">
        <x:v>0.7456641859817809</x:v>
      </x:c>
      <x:c r="Q292" s="13" t="n">
        <x:v>517671.63333333336</x:v>
      </x:c>
      <x:c r="R292" s="13" t="n">
        <x:v>3.135890310361815</x:v>
      </x:c>
      <x:c r="S292" s="13" t="n">
        <x:v>-0.015113480575811898</x:v>
      </x:c>
      <x:c r="T292" s="13" t="n">
        <x:v>29</x:v>
      </x:c>
      <x:c r="U292" s="13" t="n">
        <x:v>162</x:v>
      </x:c>
      <x:c r="V292" s="13" t="n">
        <x:v>129</x:v>
      </x:c>
      <x:c r="W292" s="13" t="n">
        <x:v>33</x:v>
      </x:c>
      <x:c r="X292" s="13" t="n">
        <x:v>2</x:v>
      </x:c>
      <x:c r="Y292" s="13" t="n">
        <x:v>12997289.02</x:v>
      </x:c>
      <x:c r="Z292" s="13" t="n">
        <x:v>13248849.02</x:v>
      </x:c>
      <x:c r="AA292" s="13" t="n">
        <x:v>31</x:v>
      </x:c>
      <x:c r="AB292" s="13" t="n">
        <x:v>0.2037037037037037</x:v>
      </x:c>
      <x:c r="AC292" s="13" t="n">
        <x:v>0.015503875968992248</x:v>
      </x:c>
      <x:c r="AD292" s="13" t="n">
        <x:v>0.9446691799432569</x:v>
      </x:c>
      <x:c r="AE292" s="13" t="n">
        <x:v>0.9717893743497426</x:v>
      </x:c>
      <x:c r="AF292" s="13" t="n">
        <x:v>481381.0748148148</x:v>
      </x:c>
      <x:c r="AG292" s="13" t="n">
        <x:v>2.9949577460867824</x:v>
      </x:c>
      <x:c r="AH292" s="13" t="n">
        <x:v>-0.026069633672438114</x:v>
      </x:c>
      <x:c r="AI292" s="13" t="n">
        <x:v>7</x:v>
      </x:c>
      <x:c r="AJ292" s="13" t="n">
        <x:v>-5638889.780000001</x:v>
      </x:c>
      <x:c r="AK292" s="13" t="n">
        <x:v>1.418114628043365</x:v>
      </x:c>
      <x:c r="AL292" s="13" t="n">
        <x:v>0.0972972972972973</x:v>
      </x:c>
      <x:c r="AM292" s="13" t="n">
        <x:v>0.021956087824351298</x:v>
      </x:c>
      <x:c r="AN292" s="13" t="n">
        <x:v>0.759382198044249</x:v>
      </x:c>
      <x:c r="AO292" s="13" t="n">
        <x:v>3.0654240282242986</x:v>
      </x:c>
      <x:c r="AP292" s="13" t="n">
        <x:v>-0.020591557124125005</x:v>
      </x:c>
    </x:row>
    <x:row r="293" ht="15" hidden="0" customHeight="1">
      <x:c r="A293" s="2" t="str">
        <x:v>E292</x:v>
      </x:c>
      <x:c r="B293" s="2" t="str">
        <x:v>***物流有限公司</x:v>
      </x:c>
      <x:c r="C293" s="2" t="str">
        <x:v>无信贷记录</x:v>
      </x:c>
      <x:c r="D293" s="2" t="str"/>
      <x:c r="E293" s="2" t="str"/>
      <x:c r="F293" s="13" t="n">
        <x:v>335</x:v>
      </x:c>
      <x:c r="G293" s="13" t="n">
        <x:v>323</x:v>
      </x:c>
      <x:c r="H293" s="13" t="n">
        <x:v>12</x:v>
      </x:c>
      <x:c r="I293" s="13" t="n">
        <x:v>0</x:v>
      </x:c>
      <x:c r="J293" s="13" t="n">
        <x:v>7488457</x:v>
      </x:c>
      <x:c r="K293" s="13" t="n">
        <x:v>7488457</x:v>
      </x:c>
      <x:c r="L293" s="13" t="n">
        <x:v>83</x:v>
      </x:c>
      <x:c r="M293" s="13" t="n">
        <x:v>0.03582089552238806</x:v>
      </x:c>
      <x:c r="N293" s="13" t="n">
        <x:v>0</x:v>
      </x:c>
      <x:c r="O293" s="13" t="n">
        <x:v>0.19817802563630788</x:v>
      </x:c>
      <x:c r="P293" s="13" t="n">
        <x:v>0.3949438449069014</x:v>
      </x:c>
      <x:c r="Q293" s="13" t="n">
        <x:v>213955.91428571427</x:v>
      </x:c>
      <x:c r="R293" s="13" t="n">
        <x:v>1.069474235686372</x:v>
      </x:c>
      <x:c r="S293" s="13" t="n">
        <x:v>0.06365493937837217</x:v>
      </x:c>
      <x:c r="T293" s="13" t="n">
        <x:v>34</x:v>
      </x:c>
      <x:c r="U293" s="13" t="n">
        <x:v>1317</x:v>
      </x:c>
      <x:c r="V293" s="13" t="n">
        <x:v>1278</x:v>
      </x:c>
      <x:c r="W293" s="13" t="n">
        <x:v>39</x:v>
      </x:c>
      <x:c r="X293" s="13" t="n">
        <x:v>2</x:v>
      </x:c>
      <x:c r="Y293" s="13" t="n">
        <x:v>12466899.79</x:v>
      </x:c>
      <x:c r="Z293" s="13" t="n">
        <x:v>12493106.99</x:v>
      </x:c>
      <x:c r="AA293" s="13" t="n">
        <x:v>20</x:v>
      </x:c>
      <x:c r="AB293" s="13" t="n">
        <x:v>0.029612756264236904</x:v>
      </x:c>
      <x:c r="AC293" s="13" t="n">
        <x:v>0.001564945226917058</x:v>
      </x:c>
      <x:c r="AD293" s="13" t="n">
        <x:v>0.21162971841579575</x:v>
      </x:c>
      <x:c r="AE293" s="13" t="n">
        <x:v>0.34266420142136317</x:v>
      </x:c>
      <x:c r="AF293" s="13" t="n">
        <x:v>356197.13685714285</x:v>
      </x:c>
      <x:c r="AG293" s="13" t="n">
        <x:v>0.7974015906927153</x:v>
      </x:c>
      <x:c r="AH293" s="13" t="n">
        <x:v>0.0505275872410541</x:v>
      </x:c>
      <x:c r="AI293" s="13" t="n">
        <x:v>33</x:v>
      </x:c>
      <x:c r="AJ293" s="13" t="n">
        <x:v>4978442.789999999</x:v>
      </x:c>
      <x:c r="AK293" s="13" t="n">
        <x:v>0.5994070975293871</x:v>
      </x:c>
      <x:c r="AL293" s="13" t="n">
        <x:v>0.030871670702179176</x:v>
      </x:c>
      <x:c r="AM293" s="13" t="n">
        <x:v>0.0012492192379762648</x:v>
      </x:c>
      <x:c r="AN293" s="13" t="n">
        <x:v>0.20490387202605181</x:v>
      </x:c>
      <x:c r="AO293" s="13" t="n">
        <x:v>0.9334379131895436</x:v>
      </x:c>
      <x:c r="AP293" s="13" t="n">
        <x:v>0.05709126330971313</x:v>
      </x:c>
    </x:row>
    <x:row r="294" ht="15" hidden="0" customHeight="1">
      <x:c r="A294" s="2" t="str">
        <x:v>E293</x:v>
      </x:c>
      <x:c r="B294" s="2" t="str">
        <x:v>***物资有限公司</x:v>
      </x:c>
      <x:c r="C294" s="2" t="str">
        <x:v>无信贷记录</x:v>
      </x:c>
      <x:c r="D294" s="2" t="str"/>
      <x:c r="E294" s="2" t="str"/>
      <x:c r="F294" s="13" t="n">
        <x:v>59</x:v>
      </x:c>
      <x:c r="G294" s="13" t="n">
        <x:v>56</x:v>
      </x:c>
      <x:c r="H294" s="13" t="n">
        <x:v>3</x:v>
      </x:c>
      <x:c r="I294" s="13" t="n">
        <x:v>0</x:v>
      </x:c>
      <x:c r="J294" s="13" t="n">
        <x:v>8573544.459999999</x:v>
      </x:c>
      <x:c r="K294" s="13" t="n">
        <x:v>8573544.459999999</x:v>
      </x:c>
      <x:c r="L294" s="13" t="n">
        <x:v>27</x:v>
      </x:c>
      <x:c r="M294" s="13" t="n">
        <x:v>0.05084745762711865</x:v>
      </x:c>
      <x:c r="N294" s="13" t="n">
        <x:v>0</x:v>
      </x:c>
      <x:c r="O294" s="13" t="n">
        <x:v>0.667540899389283</x:v>
      </x:c>
      <x:c r="P294" s="13" t="n">
        <x:v>0.8137879452951482</x:v>
      </x:c>
      <x:c r="Q294" s="13" t="n">
        <x:v>238154.01277777774</x:v>
      </x:c>
      <x:c r="R294" s="13" t="n">
        <x:v>1.7116646997477354</x:v>
      </x:c>
      <x:c r="S294" s="13" t="n">
        <x:v>0.072706134429532</x:v>
      </x:c>
      <x:c r="T294" s="13" t="n">
        <x:v>23</x:v>
      </x:c>
      <x:c r="U294" s="13" t="n">
        <x:v>117</x:v>
      </x:c>
      <x:c r="V294" s="13" t="n">
        <x:v>107</x:v>
      </x:c>
      <x:c r="W294" s="13" t="n">
        <x:v>10</x:v>
      </x:c>
      <x:c r="X294" s="13" t="n">
        <x:v>0</x:v>
      </x:c>
      <x:c r="Y294" s="13" t="n">
        <x:v>8831231.14</x:v>
      </x:c>
      <x:c r="Z294" s="13" t="n">
        <x:v>8831231.14</x:v>
      </x:c>
      <x:c r="AA294" s="13" t="n">
        <x:v>3</x:v>
      </x:c>
      <x:c r="AB294" s="13" t="n">
        <x:v>0.08547008547008547</x:v>
      </x:c>
      <x:c r="AC294" s="13" t="n">
        <x:v>0</x:v>
      </x:c>
      <x:c r="AD294" s="13" t="n">
        <x:v>0.6363826735296351</x:v>
      </x:c>
      <x:c r="AE294" s="13" t="n">
        <x:v>0.7785838204207618</x:v>
      </x:c>
      <x:c r="AF294" s="13" t="n">
        <x:v>238681.92270270272</x:v>
      </x:c>
      <x:c r="AG294" s="13" t="n">
        <x:v>1.688498362291617</x:v>
      </x:c>
      <x:c r="AH294" s="13" t="n">
        <x:v>0.0636642829373905</x:v>
      </x:c>
      <x:c r="AI294" s="13" t="n">
        <x:v>37</x:v>
      </x:c>
      <x:c r="AJ294" s="13" t="n">
        <x:v>257686.68000000156</x:v>
      </x:c>
      <x:c r="AK294" s="13" t="n">
        <x:v>0.9708209788742996</x:v>
      </x:c>
      <x:c r="AL294" s="13" t="n">
        <x:v>0.07386363636363637</x:v>
      </x:c>
      <x:c r="AM294" s="13" t="n">
        <x:v>0</x:v>
      </x:c>
      <x:c r="AN294" s="13" t="n">
        <x:v>0.651961786459459</x:v>
      </x:c>
      <x:c r="AO294" s="13" t="n">
        <x:v>1.7000815310196762</x:v>
      </x:c>
      <x:c r="AP294" s="13" t="n">
        <x:v>0.06818520868346126</x:v>
      </x:c>
    </x:row>
    <x:row r="295" ht="15" hidden="0" customHeight="1">
      <x:c r="A295" s="2" t="str">
        <x:v>E294</x:v>
      </x:c>
      <x:c r="B295" s="2" t="str">
        <x:v>个体经营E294 </x:v>
      </x:c>
      <x:c r="C295" s="2" t="str">
        <x:v>无信贷记录</x:v>
      </x:c>
      <x:c r="D295" s="2" t="str"/>
      <x:c r="E295" s="2" t="str"/>
      <x:c r="F295" s="13" t="n">
        <x:v>867</x:v>
      </x:c>
      <x:c r="G295" s="13" t="n">
        <x:v>845</x:v>
      </x:c>
      <x:c r="H295" s="13" t="n">
        <x:v>22</x:v>
      </x:c>
      <x:c r="I295" s="13" t="n">
        <x:v>4</x:v>
      </x:c>
      <x:c r="J295" s="13" t="n">
        <x:v>4566083.58</x:v>
      </x:c>
      <x:c r="K295" s="13" t="n">
        <x:v>4606561.58</x:v>
      </x:c>
      <x:c r="L295" s="13" t="n">
        <x:v>235</x:v>
      </x:c>
      <x:c r="M295" s="13" t="n">
        <x:v>0.025374855824682813</x:v>
      </x:c>
      <x:c r="N295" s="13" t="n">
        <x:v>0.004733727810650888</x:v>
      </x:c>
      <x:c r="O295" s="13" t="n">
        <x:v>0.08618243906278686</x:v>
      </x:c>
      <x:c r="P295" s="13" t="n">
        <x:v>0.22639803286858481</x:v>
      </x:c>
      <x:c r="Q295" s="13" t="n">
        <x:v>152202.786</x:v>
      </x:c>
      <x:c r="R295" s="13" t="n">
        <x:v>1.1343831551405406</x:v>
      </x:c>
      <x:c r="S295" s="13" t="n">
        <x:v>-0.007366692362803245</x:v>
      </x:c>
      <x:c r="T295" s="13" t="n">
        <x:v>30</x:v>
      </x:c>
      <x:c r="U295" s="13" t="n">
        <x:v>359</x:v>
      </x:c>
      <x:c r="V295" s="13" t="n">
        <x:v>310</x:v>
      </x:c>
      <x:c r="W295" s="13" t="n">
        <x:v>49</x:v>
      </x:c>
      <x:c r="X295" s="13" t="n">
        <x:v>1</x:v>
      </x:c>
      <x:c r="Y295" s="13" t="n">
        <x:v>26189024.009999998</x:v>
      </x:c>
      <x:c r="Z295" s="13" t="n">
        <x:v>26420024.009999998</x:v>
      </x:c>
      <x:c r="AA295" s="13" t="n">
        <x:v>47</x:v>
      </x:c>
      <x:c r="AB295" s="13" t="n">
        <x:v>0.13649025069637882</x:v>
      </x:c>
      <x:c r="AC295" s="13" t="n">
        <x:v>0.0032258064516129032</x:v>
      </x:c>
      <x:c r="AD295" s="13" t="n">
        <x:v>0.07201861346218191</x:v>
      </x:c>
      <x:c r="AE295" s="13" t="n">
        <x:v>0.1427001307255814</x:v>
      </x:c>
      <x:c r="AF295" s="13" t="n">
        <x:v>727472.8891666667</x:v>
      </x:c>
      <x:c r="AG295" s="13" t="n">
        <x:v>0.6392835705011055</x:v>
      </x:c>
      <x:c r="AH295" s="13" t="n">
        <x:v>-0.01075306503837299</x:v>
      </x:c>
      <x:c r="AI295" s="13" t="n">
        <x:v>36</x:v>
      </x:c>
      <x:c r="AJ295" s="13" t="n">
        <x:v>21622940.43</x:v>
      </x:c>
      <x:c r="AK295" s="13" t="n">
        <x:v>0.17435872042570488</x:v>
      </x:c>
      <x:c r="AL295" s="13" t="n">
        <x:v>0.05791190864600326</x:v>
      </x:c>
      <x:c r="AM295" s="13" t="n">
        <x:v>0.004329004329004329</x:v>
      </x:c>
      <x:c r="AN295" s="13" t="n">
        <x:v>0.07910052626248439</x:v>
      </x:c>
      <x:c r="AO295" s="13" t="n">
        <x:v>0.886833362820823</x:v>
      </x:c>
      <x:c r="AP295" s="13" t="n">
        <x:v>-0.009059878700588117</x:v>
      </x:c>
    </x:row>
    <x:row r="296" ht="15" hidden="0" customHeight="1">
      <x:c r="A296" s="2" t="str">
        <x:v>E295</x:v>
      </x:c>
      <x:c r="B296" s="2" t="str">
        <x:v>***电器设备制造有限公司</x:v>
      </x:c>
      <x:c r="C296" s="2" t="str">
        <x:v>无信贷记录</x:v>
      </x:c>
      <x:c r="D296" s="2" t="str"/>
      <x:c r="E296" s="2" t="str"/>
      <x:c r="F296" s="13" t="n">
        <x:v>854</x:v>
      </x:c>
      <x:c r="G296" s="13" t="n">
        <x:v>818</x:v>
      </x:c>
      <x:c r="H296" s="13" t="n">
        <x:v>36</x:v>
      </x:c>
      <x:c r="I296" s="13" t="n">
        <x:v>1</x:v>
      </x:c>
      <x:c r="J296" s="13" t="n">
        <x:v>12865263.94</x:v>
      </x:c>
      <x:c r="K296" s="13" t="n">
        <x:v>12921396.44</x:v>
      </x:c>
      <x:c r="L296" s="13" t="n">
        <x:v>216</x:v>
      </x:c>
      <x:c r="M296" s="13" t="n">
        <x:v>0.04215456674473068</x:v>
      </x:c>
      <x:c r="N296" s="13" t="n">
        <x:v>0.0012224938875305623</x:v>
      </x:c>
      <x:c r="O296" s="13" t="n">
        <x:v>0.06865300760557859</x:v>
      </x:c>
      <x:c r="P296" s="13" t="n">
        <x:v>0.22628414069462605</x:v>
      </x:c>
      <x:c r="Q296" s="13" t="n">
        <x:v>347709.83621621627</x:v>
      </x:c>
      <x:c r="R296" s="13" t="n">
        <x:v>1.1425684286166882</x:v>
      </x:c>
      <x:c r="S296" s="13" t="n">
        <x:v>0.014903591618390145</x:v>
      </x:c>
      <x:c r="T296" s="13" t="n">
        <x:v>37</x:v>
      </x:c>
      <x:c r="U296" s="13" t="n">
        <x:v>251</x:v>
      </x:c>
      <x:c r="V296" s="13" t="n">
        <x:v>206</x:v>
      </x:c>
      <x:c r="W296" s="13" t="n">
        <x:v>45</x:v>
      </x:c>
      <x:c r="X296" s="13" t="n">
        <x:v>3</x:v>
      </x:c>
      <x:c r="Y296" s="13" t="n">
        <x:v>15791956.189999998</x:v>
      </x:c>
      <x:c r="Z296" s="13" t="n">
        <x:v>16100447.93</x:v>
      </x:c>
      <x:c r="AA296" s="13" t="n">
        <x:v>59</x:v>
      </x:c>
      <x:c r="AB296" s="13" t="n">
        <x:v>0.17928286852589642</x:v>
      </x:c>
      <x:c r="AC296" s="13" t="n">
        <x:v>0.014563106796116505</x:v>
      </x:c>
      <x:c r="AD296" s="13" t="n">
        <x:v>0.05687074579506028</x:v>
      </x:c>
      <x:c r="AE296" s="13" t="n">
        <x:v>0.1535554830989103</x:v>
      </x:c>
      <x:c r="AF296" s="13" t="n">
        <x:v>426809.62675675674</x:v>
      </x:c>
      <x:c r="AG296" s="13" t="n">
        <x:v>1.0311269797388851</x:v>
      </x:c>
      <x:c r="AH296" s="13" t="n">
        <x:v>0.01086895109740064</x:v>
      </x:c>
      <x:c r="AI296" s="13" t="n">
        <x:v>33</x:v>
      </x:c>
      <x:c r="AJ296" s="13" t="n">
        <x:v>2926692.249999998</x:v>
      </x:c>
      <x:c r="AK296" s="13" t="n">
        <x:v>0.802548879147861</x:v>
      </x:c>
      <x:c r="AL296" s="13" t="n">
        <x:v>0.07330316742081448</x:v>
      </x:c>
      <x:c r="AM296" s="13" t="n">
        <x:v>0.00390625</x:v>
      </x:c>
      <x:c r="AN296" s="13" t="n">
        <x:v>0.06276187670031944</x:v>
      </x:c>
      <x:c r="AO296" s="13" t="n">
        <x:v>1.0868477041777866</x:v>
      </x:c>
      <x:c r="AP296" s="13" t="n">
        <x:v>0.012886271357895392</x:v>
      </x:c>
    </x:row>
    <x:row r="297" ht="15" hidden="0" customHeight="1">
      <x:c r="A297" s="2" t="str">
        <x:v>E296</x:v>
      </x:c>
      <x:c r="B297" s="2" t="str">
        <x:v>***装饰设计工程有限公司</x:v>
      </x:c>
      <x:c r="C297" s="2" t="str">
        <x:v>无信贷记录</x:v>
      </x:c>
      <x:c r="D297" s="2" t="str"/>
      <x:c r="E297" s="2" t="str"/>
      <x:c r="F297" s="13" t="n">
        <x:v>1544</x:v>
      </x:c>
      <x:c r="G297" s="13" t="n">
        <x:v>1446</x:v>
      </x:c>
      <x:c r="H297" s="13" t="n">
        <x:v>98</x:v>
      </x:c>
      <x:c r="I297" s="13" t="n">
        <x:v>28</x:v>
      </x:c>
      <x:c r="J297" s="13" t="n">
        <x:v>5806430.69</x:v>
      </x:c>
      <x:c r="K297" s="13" t="n">
        <x:v>7143624.61</x:v>
      </x:c>
      <x:c r="L297" s="13" t="n">
        <x:v>386</x:v>
      </x:c>
      <x:c r="M297" s="13" t="n">
        <x:v>0.06347150259067358</x:v>
      </x:c>
      <x:c r="N297" s="13" t="n">
        <x:v>0.019363762102351315</x:v>
      </x:c>
      <x:c r="O297" s="13" t="n">
        <x:v>0.044377190996802526</x:v>
      </x:c>
      <x:c r="P297" s="13" t="n">
        <x:v>0.11128804261174635</x:v>
      </x:c>
      <x:c r="Q297" s="13" t="n">
        <x:v>175952.44515151516</x:v>
      </x:c>
      <x:c r="R297" s="13" t="n">
        <x:v>1.228221042970877</x:v>
      </x:c>
      <x:c r="S297" s="13" t="n">
        <x:v>0.01867896171871496</x:v>
      </x:c>
      <x:c r="T297" s="13" t="n">
        <x:v>28</x:v>
      </x:c>
      <x:c r="U297" s="13" t="n">
        <x:v>252</x:v>
      </x:c>
      <x:c r="V297" s="13" t="n">
        <x:v>219</x:v>
      </x:c>
      <x:c r="W297" s="13" t="n">
        <x:v>33</x:v>
      </x:c>
      <x:c r="X297" s="13" t="n">
        <x:v>19</x:v>
      </x:c>
      <x:c r="Y297" s="13" t="n">
        <x:v>13194399.370000001</x:v>
      </x:c>
      <x:c r="Z297" s="13" t="n">
        <x:v>16873297.39</x:v>
      </x:c>
      <x:c r="AA297" s="13" t="n">
        <x:v>19</x:v>
      </x:c>
      <x:c r="AB297" s="13" t="n">
        <x:v>0.13095238095238096</x:v>
      </x:c>
      <x:c r="AC297" s="13" t="n">
        <x:v>0.0867579908675799</x:v>
      </x:c>
      <x:c r="AD297" s="13" t="n">
        <x:v>0.3904781761789698</x:v>
      </x:c>
      <x:c r="AE297" s="13" t="n">
        <x:v>0.6105462359778867</x:v>
      </x:c>
      <x:c r="AF297" s="13" t="n">
        <x:v>388070.56970588234</x:v>
      </x:c>
      <x:c r="AG297" s="13" t="n">
        <x:v>1.6860383634004792</x:v>
      </x:c>
      <x:c r="AH297" s="13" t="n">
        <x:v>0.04450186089453254</x:v>
      </x:c>
      <x:c r="AI297" s="13" t="n">
        <x:v>20</x:v>
      </x:c>
      <x:c r="AJ297" s="13" t="n">
        <x:v>7387968.680000001</x:v>
      </x:c>
      <x:c r="AK297" s="13" t="n">
        <x:v>0.42336861876408854</x:v>
      </x:c>
      <x:c r="AL297" s="13" t="n">
        <x:v>0.07293986636971046</x:v>
      </x:c>
      <x:c r="AM297" s="13" t="n">
        <x:v>0.02822822822822823</x:v>
      </x:c>
      <x:c r="AN297" s="13" t="n">
        <x:v>0.21742768358788617</x:v>
      </x:c>
      <x:c r="AO297" s="13" t="n">
        <x:v>1.4571297031856782</x:v>
      </x:c>
      <x:c r="AP297" s="13" t="n">
        <x:v>0.03159041130662375</x:v>
      </x:c>
    </x:row>
    <x:row r="298" ht="15" hidden="0" customHeight="1">
      <x:c r="A298" s="2" t="str">
        <x:v>E297</x:v>
      </x:c>
      <x:c r="B298" s="2" t="str">
        <x:v>***建筑机械租赁有限公司</x:v>
      </x:c>
      <x:c r="C298" s="2" t="str">
        <x:v>无信贷记录</x:v>
      </x:c>
      <x:c r="D298" s="2" t="str"/>
      <x:c r="E298" s="2" t="str"/>
      <x:c r="F298" s="13" t="n">
        <x:v>50</x:v>
      </x:c>
      <x:c r="G298" s="13" t="n">
        <x:v>50</x:v>
      </x:c>
      <x:c r="H298" s="13" t="n">
        <x:v>0</x:v>
      </x:c>
      <x:c r="I298" s="13" t="n">
        <x:v>0</x:v>
      </x:c>
      <x:c r="J298" s="13" t="n">
        <x:v>11818960</x:v>
      </x:c>
      <x:c r="K298" s="13" t="n">
        <x:v>11818960</x:v>
      </x:c>
      <x:c r="L298" s="13" t="n">
        <x:v>10</x:v>
      </x:c>
      <x:c r="M298" s="13" t="n">
        <x:v>0</x:v>
      </x:c>
      <x:c r="N298" s="13" t="n">
        <x:v>0</x:v>
      </x:c>
      <x:c r="O298" s="13" t="n">
        <x:v>0.5873312153754091</x:v>
      </x:c>
      <x:c r="P298" s="13" t="n">
        <x:v>0.7502335230849415</x:v>
      </x:c>
      <x:c r="Q298" s="13" t="n">
        <x:v>369342.5</x:v>
      </x:c>
      <x:c r="R298" s="13" t="n">
        <x:v>1.9664910385866616</x:v>
      </x:c>
      <x:c r="S298" s="13" t="n">
        <x:v>0.03407220808904743</x:v>
      </x:c>
      <x:c r="T298" s="13" t="n">
        <x:v>13</x:v>
      </x:c>
      <x:c r="U298" s="13" t="n">
        <x:v>183</x:v>
      </x:c>
      <x:c r="V298" s="13" t="n">
        <x:v>162</x:v>
      </x:c>
      <x:c r="W298" s="13" t="n">
        <x:v>21</x:v>
      </x:c>
      <x:c r="X298" s="13" t="n">
        <x:v>0</x:v>
      </x:c>
      <x:c r="Y298" s="13" t="n">
        <x:v>15690373</x:v>
      </x:c>
      <x:c r="Z298" s="13" t="n">
        <x:v>15690373</x:v>
      </x:c>
      <x:c r="AA298" s="13" t="n">
        <x:v>3</x:v>
      </x:c>
      <x:c r="AB298" s="13" t="n">
        <x:v>0.11475409836065574</x:v>
      </x:c>
      <x:c r="AC298" s="13" t="n">
        <x:v>0</x:v>
      </x:c>
      <x:c r="AD298" s="13" t="n">
        <x:v>0.4940782576081245</x:v>
      </x:c>
      <x:c r="AE298" s="13" t="n">
        <x:v>0.6502971599209273</x:v>
      </x:c>
      <x:c r="AF298" s="13" t="n">
        <x:v>653765.5416666666</x:v>
      </x:c>
      <x:c r="AG298" s="13" t="n">
        <x:v>1.2281719324286355</x:v>
      </x:c>
      <x:c r="AH298" s="13" t="n">
        <x:v>-0.022419182713529842</x:v>
      </x:c>
      <x:c r="AI298" s="13" t="n">
        <x:v>14</x:v>
      </x:c>
      <x:c r="AJ298" s="13" t="n">
        <x:v>3871413</x:v>
      </x:c>
      <x:c r="AK298" s="13" t="n">
        <x:v>0.7532618886753042</x:v>
      </x:c>
      <x:c r="AL298" s="13" t="n">
        <x:v>0.09012875536480687</x:v>
      </x:c>
      <x:c r="AM298" s="13" t="n">
        <x:v>0</x:v>
      </x:c>
      <x:c r="AN298" s="13" t="n">
        <x:v>0.5407047364917668</x:v>
      </x:c>
      <x:c r="AO298" s="13" t="n">
        <x:v>1.5973314855076486</x:v>
      </x:c>
      <x:c r="AP298" s="13" t="n">
        <x:v>0.005826512687758793</x:v>
      </x:c>
    </x:row>
    <x:row r="299" ht="15" hidden="0" customHeight="1">
      <x:c r="A299" s="2" t="str">
        <x:v>E298</x:v>
      </x:c>
      <x:c r="B299" s="2" t="str">
        <x:v>***电器维护服务有限公司</x:v>
      </x:c>
      <x:c r="C299" s="2" t="str">
        <x:v>无信贷记录</x:v>
      </x:c>
      <x:c r="D299" s="2" t="str"/>
      <x:c r="E299" s="2" t="str"/>
      <x:c r="F299" s="13" t="n">
        <x:v>909</x:v>
      </x:c>
      <x:c r="G299" s="13" t="n">
        <x:v>902</x:v>
      </x:c>
      <x:c r="H299" s="13" t="n">
        <x:v>7</x:v>
      </x:c>
      <x:c r="I299" s="13" t="n">
        <x:v>10</x:v>
      </x:c>
      <x:c r="J299" s="13" t="n">
        <x:v>5748300.0600000005</x:v>
      </x:c>
      <x:c r="K299" s="13" t="n">
        <x:v>5834734</x:v>
      </x:c>
      <x:c r="L299" s="13" t="n">
        <x:v>70</x:v>
      </x:c>
      <x:c r="M299" s="13" t="n">
        <x:v>0.007700770077007701</x:v>
      </x:c>
      <x:c r="N299" s="13" t="n">
        <x:v>0.011086474501108648</x:v>
      </x:c>
      <x:c r="O299" s="13" t="n">
        <x:v>0.10165810120125719</x:v>
      </x:c>
      <x:c r="P299" s="13" t="n">
        <x:v>0.13399788233705257</x:v>
      </x:c>
      <x:c r="Q299" s="13" t="n">
        <x:v>198217.24344827584</x:v>
      </x:c>
      <x:c r="R299" s="13" t="n">
        <x:v>1.243315581126584</x:v>
      </x:c>
      <x:c r="S299" s="13" t="n">
        <x:v>0.08986221185183786</x:v>
      </x:c>
      <x:c r="T299" s="13" t="n">
        <x:v>28</x:v>
      </x:c>
      <x:c r="U299" s="13" t="n">
        <x:v>2813</x:v>
      </x:c>
      <x:c r="V299" s="13" t="n">
        <x:v>2436</x:v>
      </x:c>
      <x:c r="W299" s="13" t="n">
        <x:v>377</x:v>
      </x:c>
      <x:c r="X299" s="13" t="n">
        <x:v>29</x:v>
      </x:c>
      <x:c r="Y299" s="13" t="n">
        <x:v>16738275.44</x:v>
      </x:c>
      <x:c r="Z299" s="13" t="n">
        <x:v>17023616.3</x:v>
      </x:c>
      <x:c r="AA299" s="13" t="n">
        <x:v>263</x:v>
      </x:c>
      <x:c r="AB299" s="13" t="n">
        <x:v>0.13402061855670103</x:v>
      </x:c>
      <x:c r="AC299" s="13" t="n">
        <x:v>0.011904761904761904</x:v>
      </x:c>
      <x:c r="AD299" s="13" t="n">
        <x:v>0.2909860290778349</x:v>
      </x:c>
      <x:c r="AE299" s="13" t="n">
        <x:v>0.495498454109307</x:v>
      </x:c>
      <x:c r="AF299" s="13" t="n">
        <x:v>440480.93263157894</x:v>
      </x:c>
      <x:c r="AG299" s="13" t="n">
        <x:v>0.5514928216632025</x:v>
      </x:c>
      <x:c r="AH299" s="13" t="n">
        <x:v>0.024401062865302588</x:v>
      </x:c>
      <x:c r="AI299" s="13" t="n">
        <x:v>38</x:v>
      </x:c>
      <x:c r="AJ299" s="13" t="n">
        <x:v>10989975.379999999</x:v>
      </x:c>
      <x:c r="AK299" s="13" t="n">
        <x:v>0.3427435097911599</x:v>
      </x:c>
      <x:c r="AL299" s="13" t="n">
        <x:v>0.1031703385276733</x:v>
      </x:c>
      <x:c r="AM299" s="13" t="n">
        <x:v>0.011683642899940084</x:v>
      </x:c>
      <x:c r="AN299" s="13" t="n">
        <x:v>0.19632206513954603</x:v>
      </x:c>
      <x:c r="AO299" s="13" t="n">
        <x:v>0.8974042013948932</x:v>
      </x:c>
      <x:c r="AP299" s="13" t="n">
        <x:v>0.05713163735857023</x:v>
      </x:c>
    </x:row>
    <x:row r="300" ht="15" hidden="0" customHeight="1">
      <x:c r="A300" s="2" t="str">
        <x:v>E299</x:v>
      </x:c>
      <x:c r="B300" s="2" t="str">
        <x:v>***压缩天然气有限责任公司</x:v>
      </x:c>
      <x:c r="C300" s="2" t="str">
        <x:v>无信贷记录</x:v>
      </x:c>
      <x:c r="D300" s="2" t="str"/>
      <x:c r="E300" s="2" t="str"/>
      <x:c r="F300" s="13" t="n">
        <x:v>592</x:v>
      </x:c>
      <x:c r="G300" s="13" t="n">
        <x:v>570</x:v>
      </x:c>
      <x:c r="H300" s="13" t="n">
        <x:v>22</x:v>
      </x:c>
      <x:c r="I300" s="13" t="n">
        <x:v>6</x:v>
      </x:c>
      <x:c r="J300" s="13" t="n">
        <x:v>26824293.29</x:v>
      </x:c>
      <x:c r="K300" s="13" t="n">
        <x:v>27325580.89</x:v>
      </x:c>
      <x:c r="L300" s="13" t="n">
        <x:v>109</x:v>
      </x:c>
      <x:c r="M300" s="13" t="n">
        <x:v>0.037162162162162164</x:v>
      </x:c>
      <x:c r="N300" s="13" t="n">
        <x:v>0.010526315789473684</x:v>
      </x:c>
      <x:c r="O300" s="13" t="n">
        <x:v>0.41737240365516914</x:v>
      </x:c>
      <x:c r="P300" s="13" t="n">
        <x:v>0.6183401651374738</x:v>
      </x:c>
      <x:c r="Q300" s="13" t="n">
        <x:v>705902.4550000001</x:v>
      </x:c>
      <x:c r="R300" s="13" t="n">
        <x:v>0.754538152110569</x:v>
      </x:c>
      <x:c r="S300" s="13" t="n">
        <x:v>0.027444729761013545</x:v>
      </x:c>
      <x:c r="T300" s="13" t="n">
        <x:v>38</x:v>
      </x:c>
      <x:c r="U300" s="13" t="n">
        <x:v>545</x:v>
      </x:c>
      <x:c r="V300" s="13" t="n">
        <x:v>495</x:v>
      </x:c>
      <x:c r="W300" s="13" t="n">
        <x:v>50</x:v>
      </x:c>
      <x:c r="X300" s="13" t="n">
        <x:v>6</x:v>
      </x:c>
      <x:c r="Y300" s="13" t="n">
        <x:v>21871451.740000002</x:v>
      </x:c>
      <x:c r="Z300" s="13" t="n">
        <x:v>22972443.160000004</x:v>
      </x:c>
      <x:c r="AA300" s="13" t="n">
        <x:v>279</x:v>
      </x:c>
      <x:c r="AB300" s="13" t="n">
        <x:v>0.09174311926605505</x:v>
      </x:c>
      <x:c r="AC300" s="13" t="n">
        <x:v>0.012121212121212121</x:v>
      </x:c>
      <x:c r="AD300" s="13" t="n">
        <x:v>0.3233224816854719</x:v>
      </x:c>
      <x:c r="AE300" s="13" t="n">
        <x:v>0.4870160336050212</x:v>
      </x:c>
      <x:c r="AF300" s="13" t="n">
        <x:v>575564.5194736841</x:v>
      </x:c>
      <x:c r="AG300" s="13" t="n">
        <x:v>0.7753612142157176</x:v>
      </x:c>
      <x:c r="AH300" s="13" t="n">
        <x:v>0.00873948031481533</x:v>
      </x:c>
      <x:c r="AI300" s="13" t="n">
        <x:v>38</x:v>
      </x:c>
      <x:c r="AJ300" s="13" t="n">
        <x:v>-4952841.549999997</x:v>
      </x:c>
      <x:c r="AK300" s="13" t="n">
        <x:v>1.1894938949105662</x:v>
      </x:c>
      <x:c r="AL300" s="13" t="n">
        <x:v>0.0633245382585752</x:v>
      </x:c>
      <x:c r="AM300" s="13" t="n">
        <x:v>0.011267605633802818</x:v>
      </x:c>
      <x:c r="AN300" s="13" t="n">
        <x:v>0.3703474426703205</x:v>
      </x:c>
      <x:c r="AO300" s="13" t="n">
        <x:v>0.7649496831631433</x:v>
      </x:c>
      <x:c r="AP300" s="13" t="n">
        <x:v>0.018092105037914436</x:v>
      </x:c>
    </x:row>
    <x:row r="301" ht="15" hidden="0" customHeight="1">
      <x:c r="A301" s="2" t="str">
        <x:v>E300</x:v>
      </x:c>
      <x:c r="B301" s="2" t="str">
        <x:v>***建设工程有限公司</x:v>
      </x:c>
      <x:c r="C301" s="2" t="str">
        <x:v>无信贷记录</x:v>
      </x:c>
      <x:c r="D301" s="2" t="str"/>
      <x:c r="E301" s="2" t="str"/>
      <x:c r="F301" s="13" t="n">
        <x:v>771</x:v>
      </x:c>
      <x:c r="G301" s="13" t="n">
        <x:v>747</x:v>
      </x:c>
      <x:c r="H301" s="13" t="n">
        <x:v>24</x:v>
      </x:c>
      <x:c r="I301" s="13" t="n">
        <x:v>2</x:v>
      </x:c>
      <x:c r="J301" s="13" t="n">
        <x:v>16132911.690000001</x:v>
      </x:c>
      <x:c r="K301" s="13" t="n">
        <x:v>16333842.469999999</x:v>
      </x:c>
      <x:c r="L301" s="13" t="n">
        <x:v>234</x:v>
      </x:c>
      <x:c r="M301" s="13" t="n">
        <x:v>0.0311284046692607</x:v>
      </x:c>
      <x:c r="N301" s="13" t="n">
        <x:v>0.002677376171352075</x:v>
      </x:c>
      <x:c r="O301" s="13" t="n">
        <x:v>0.059862356712001234</x:v>
      </x:c>
      <x:c r="P301" s="13" t="n">
        <x:v>0.15975411999917494</x:v>
      </x:c>
      <x:c r="Q301" s="13" t="n">
        <x:v>460940.334</x:v>
      </x:c>
      <x:c r="R301" s="13" t="n">
        <x:v>1.8774204574432962</x:v>
      </x:c>
      <x:c r="S301" s="13" t="n">
        <x:v>0.12472725623629036</x:v>
      </x:c>
      <x:c r="T301" s="13" t="n">
        <x:v>35</x:v>
      </x:c>
      <x:c r="U301" s="13" t="n">
        <x:v>246</x:v>
      </x:c>
      <x:c r="V301" s="13" t="n">
        <x:v>223</x:v>
      </x:c>
      <x:c r="W301" s="13" t="n">
        <x:v>23</x:v>
      </x:c>
      <x:c r="X301" s="13" t="n">
        <x:v>4</x:v>
      </x:c>
      <x:c r="Y301" s="13" t="n">
        <x:v>20246738.77</x:v>
      </x:c>
      <x:c r="Z301" s="13" t="n">
        <x:v>21038738.770000003</x:v>
      </x:c>
      <x:c r="AA301" s="13" t="n">
        <x:v>23</x:v>
      </x:c>
      <x:c r="AB301" s="13" t="n">
        <x:v>0.09349593495934959</x:v>
      </x:c>
      <x:c r="AC301" s="13" t="n">
        <x:v>0.017937219730941704</x:v>
      </x:c>
      <x:c r="AD301" s="13" t="n">
        <x:v>0.1539367268785865</x:v>
      </x:c>
      <x:c r="AE301" s="13" t="n">
        <x:v>0.30065954804381084</x:v>
      </x:c>
      <x:c r="AF301" s="13" t="n">
        <x:v>613537.5384848486</x:v>
      </x:c>
      <x:c r="AG301" s="13" t="n">
        <x:v>1.823406929668842</x:v>
      </x:c>
      <x:c r="AH301" s="13" t="n">
        <x:v>0.12463954456724097</x:v>
      </x:c>
      <x:c r="AI301" s="13" t="n">
        <x:v>18</x:v>
      </x:c>
      <x:c r="AJ301" s="13" t="n">
        <x:v>4113827.079999998</x:v>
      </x:c>
      <x:c r="AK301" s="13" t="n">
        <x:v>0.7763698503301487</x:v>
      </x:c>
      <x:c r="AL301" s="13" t="n">
        <x:v>0.046214355948869225</x:v>
      </x:c>
      <x:c r="AM301" s="13" t="n">
        <x:v>0.006185567010309278</x:v>
      </x:c>
      <x:c r="AN301" s="13" t="n">
        <x:v>0.10689954179529387</x:v>
      </x:c>
      <x:c r="AO301" s="13" t="n">
        <x:v>1.850413693556069</x:v>
      </x:c>
      <x:c r="AP301" s="13" t="n">
        <x:v>0.12468340040176566</x:v>
      </x:c>
    </x:row>
    <x:row r="302" ht="15" hidden="0" customHeight="1">
      <x:c r="A302" s="2" t="str">
        <x:v>E301</x:v>
      </x:c>
      <x:c r="B302" s="2" t="str">
        <x:v>***企业管理咨询有限公司</x:v>
      </x:c>
      <x:c r="C302" s="2" t="str">
        <x:v>无信贷记录</x:v>
      </x:c>
      <x:c r="D302" s="2" t="str"/>
      <x:c r="E302" s="2" t="str"/>
      <x:c r="F302" s="13" t="n">
        <x:v>3029</x:v>
      </x:c>
      <x:c r="G302" s="13" t="n">
        <x:v>2971</x:v>
      </x:c>
      <x:c r="H302" s="13" t="n">
        <x:v>58</x:v>
      </x:c>
      <x:c r="I302" s="13" t="n">
        <x:v>7</x:v>
      </x:c>
      <x:c r="J302" s="13" t="n">
        <x:v>4118577.67</x:v>
      </x:c>
      <x:c r="K302" s="13" t="n">
        <x:v>4136788.6700000004</x:v>
      </x:c>
      <x:c r="L302" s="13" t="n">
        <x:v>789</x:v>
      </x:c>
      <x:c r="M302" s="13" t="n">
        <x:v>0.01914823374050842</x:v>
      </x:c>
      <x:c r="N302" s="13" t="n">
        <x:v>0.0023561090541905083</x:v>
      </x:c>
      <x:c r="O302" s="13" t="n">
        <x:v>0.0643779641296795</x:v>
      </x:c>
      <x:c r="P302" s="13" t="n">
        <x:v>0.21632722176257557</x:v>
      </x:c>
      <x:c r="Q302" s="13" t="n">
        <x:v>114404.93527777778</x:v>
      </x:c>
      <x:c r="R302" s="13" t="n">
        <x:v>0.7969355674600227</x:v>
      </x:c>
      <x:c r="S302" s="13" t="n">
        <x:v>0.051295325938227145</x:v>
      </x:c>
      <x:c r="T302" s="13" t="n">
        <x:v>35</x:v>
      </x:c>
      <x:c r="U302" s="13" t="n">
        <x:v>458</x:v>
      </x:c>
      <x:c r="V302" s="13" t="n">
        <x:v>428</x:v>
      </x:c>
      <x:c r="W302" s="13" t="n">
        <x:v>30</x:v>
      </x:c>
      <x:c r="X302" s="13" t="n">
        <x:v>8</x:v>
      </x:c>
      <x:c r="Y302" s="13" t="n">
        <x:v>16238685.06</x:v>
      </x:c>
      <x:c r="Z302" s="13" t="n">
        <x:v>16609162.16</x:v>
      </x:c>
      <x:c r="AA302" s="13" t="n">
        <x:v>121</x:v>
      </x:c>
      <x:c r="AB302" s="13" t="n">
        <x:v>0.06550218340611354</x:v>
      </x:c>
      <x:c r="AC302" s="13" t="n">
        <x:v>0.018691588785046728</x:v>
      </x:c>
      <x:c r="AD302" s="13" t="n">
        <x:v>0.11284800775451194</x:v>
      </x:c>
      <x:c r="AE302" s="13" t="n">
        <x:v>0.2976572606357165</x:v>
      </x:c>
      <x:c r="AF302" s="13" t="n">
        <x:v>477608.384117647</x:v>
      </x:c>
      <x:c r="AG302" s="13" t="n">
        <x:v>1.111379332398064</x:v>
      </x:c>
      <x:c r="AH302" s="13" t="n">
        <x:v>0.046905006235769584</x:v>
      </x:c>
      <x:c r="AI302" s="13" t="n">
        <x:v>34</x:v>
      </x:c>
      <x:c r="AJ302" s="13" t="n">
        <x:v>12120107.39</x:v>
      </x:c>
      <x:c r="AK302" s="13" t="n">
        <x:v>0.24906666755067675</x:v>
      </x:c>
      <x:c r="AL302" s="13" t="n">
        <x:v>0.025236593059936908</x:v>
      </x:c>
      <x:c r="AM302" s="13" t="n">
        <x:v>0.00441306266548985</x:v>
      </x:c>
      <x:c r="AN302" s="13" t="n">
        <x:v>0.08861298594209571</x:v>
      </x:c>
      <x:c r="AO302" s="13" t="n">
        <x:v>0.9541574499290434</x:v>
      </x:c>
      <x:c r="AP302" s="13" t="n">
        <x:v>0.04910016608699837</x:v>
      </x:c>
    </x:row>
    <x:row r="303" ht="15" hidden="0" customHeight="1">
      <x:c r="A303" s="2" t="str">
        <x:v>E302</x:v>
      </x:c>
      <x:c r="B303" s="2" t="str">
        <x:v>***机电设备有限公司</x:v>
      </x:c>
      <x:c r="C303" s="2" t="str">
        <x:v>无信贷记录</x:v>
      </x:c>
      <x:c r="D303" s="2" t="str"/>
      <x:c r="E303" s="2" t="str"/>
      <x:c r="F303" s="13" t="n">
        <x:v>955</x:v>
      </x:c>
      <x:c r="G303" s="13" t="n">
        <x:v>899</x:v>
      </x:c>
      <x:c r="H303" s="13" t="n">
        <x:v>56</x:v>
      </x:c>
      <x:c r="I303" s="13" t="n">
        <x:v>8</x:v>
      </x:c>
      <x:c r="J303" s="13" t="n">
        <x:v>3494287.41</x:v>
      </x:c>
      <x:c r="K303" s="13" t="n">
        <x:v>3630375.41</x:v>
      </x:c>
      <x:c r="L303" s="13" t="n">
        <x:v>237</x:v>
      </x:c>
      <x:c r="M303" s="13" t="n">
        <x:v>0.05863874345549738</x:v>
      </x:c>
      <x:c r="N303" s="13" t="n">
        <x:v>0.008898776418242492</x:v>
      </x:c>
      <x:c r="O303" s="13" t="n">
        <x:v>0.10136188001214458</x:v>
      </x:c>
      <x:c r="P303" s="13" t="n">
        <x:v>0.2508195040909006</x:v>
      </x:c>
      <x:c r="Q303" s="13" t="n">
        <x:v>91954.93184210527</x:v>
      </x:c>
      <x:c r="R303" s="13" t="n">
        <x:v>1.7355161783312947</x:v>
      </x:c>
      <x:c r="S303" s="13" t="n">
        <x:v>0.032977719392182615</x:v>
      </x:c>
      <x:c r="T303" s="13" t="n">
        <x:v>38</x:v>
      </x:c>
      <x:c r="U303" s="13" t="n">
        <x:v>289</x:v>
      </x:c>
      <x:c r="V303" s="13" t="n">
        <x:v>261</x:v>
      </x:c>
      <x:c r="W303" s="13" t="n">
        <x:v>28</x:v>
      </x:c>
      <x:c r="X303" s="13" t="n">
        <x:v>1</x:v>
      </x:c>
      <x:c r="Y303" s="13" t="n">
        <x:v>10753014.6</x:v>
      </x:c>
      <x:c r="Z303" s="13" t="n">
        <x:v>10941062.2</x:v>
      </x:c>
      <x:c r="AA303" s="13" t="n">
        <x:v>34</x:v>
      </x:c>
      <x:c r="AB303" s="13" t="n">
        <x:v>0.09688581314878893</x:v>
      </x:c>
      <x:c r="AC303" s="13" t="n">
        <x:v>0.0038314176245210726</x:v>
      </x:c>
      <x:c r="AD303" s="13" t="n">
        <x:v>0.0924845700017668</x:v>
      </x:c>
      <x:c r="AE303" s="13" t="n">
        <x:v>0.1521650247084785</x:v>
      </x:c>
      <x:c r="AF303" s="13" t="n">
        <x:v>290622.0162162162</x:v>
      </x:c>
      <x:c r="AG303" s="13" t="n">
        <x:v>0.8586142929790735</x:v>
      </x:c>
      <x:c r="AH303" s="13" t="n">
        <x:v>0.04872706027259685</x:v>
      </x:c>
      <x:c r="AI303" s="13" t="n">
        <x:v>36</x:v>
      </x:c>
      <x:c r="AJ303" s="13" t="n">
        <x:v>7258727.1899999995</x:v>
      </x:c>
      <x:c r="AK303" s="13" t="n">
        <x:v>0.3318119706878186</x:v>
      </x:c>
      <x:c r="AL303" s="13" t="n">
        <x:v>0.06752411575562701</x:v>
      </x:c>
      <x:c r="AM303" s="13" t="n">
        <x:v>0.007758620689655172</x:v>
      </x:c>
      <x:c r="AN303" s="13" t="n">
        <x:v>0.09692322500695569</x:v>
      </x:c>
      <x:c r="AO303" s="13" t="n">
        <x:v>1.2970652356551842</x:v>
      </x:c>
      <x:c r="AP303" s="13" t="n">
        <x:v>0.04085238983238973</x:v>
      </x:c>
    </x:row>
    <x:row r="304" ht="15" hidden="0" customHeight="1">
      <x:c r="A304" s="2" t="str">
        <x:v>E303</x:v>
      </x:c>
      <x:c r="B304" s="2" t="str">
        <x:v>***图书发行有限公司</x:v>
      </x:c>
      <x:c r="C304" s="2" t="str">
        <x:v>无信贷记录</x:v>
      </x:c>
      <x:c r="D304" s="2" t="str"/>
      <x:c r="E304" s="2" t="str"/>
      <x:c r="F304" s="13" t="n">
        <x:v>693</x:v>
      </x:c>
      <x:c r="G304" s="13" t="n">
        <x:v>682</x:v>
      </x:c>
      <x:c r="H304" s="13" t="n">
        <x:v>11</x:v>
      </x:c>
      <x:c r="I304" s="13" t="n">
        <x:v>1</x:v>
      </x:c>
      <x:c r="J304" s="13" t="n">
        <x:v>2423111.9699999997</x:v>
      </x:c>
      <x:c r="K304" s="13" t="n">
        <x:v>2423671.9699999997</x:v>
      </x:c>
      <x:c r="L304" s="13" t="n">
        <x:v>112</x:v>
      </x:c>
      <x:c r="M304" s="13" t="n">
        <x:v>0.015873015873015872</x:v>
      </x:c>
      <x:c r="N304" s="13" t="n">
        <x:v>0.001466275659824047</x:v>
      </x:c>
      <x:c r="O304" s="13" t="n">
        <x:v>0.29765144880737887</x:v>
      </x:c>
      <x:c r="P304" s="13" t="n">
        <x:v>0.43322694366102693</x:v>
      </x:c>
      <x:c r="Q304" s="13" t="n">
        <x:v>63766.1044736842</x:v>
      </x:c>
      <x:c r="R304" s="13" t="n">
        <x:v>2.8707049393153876</x:v>
      </x:c>
      <x:c r="S304" s="13" t="n">
        <x:v>0.025688799904982344</x:v>
      </x:c>
      <x:c r="T304" s="13" t="n">
        <x:v>34</x:v>
      </x:c>
      <x:c r="U304" s="13" t="n">
        <x:v>360</x:v>
      </x:c>
      <x:c r="V304" s="13" t="n">
        <x:v>315</x:v>
      </x:c>
      <x:c r="W304" s="13" t="n">
        <x:v>45</x:v>
      </x:c>
      <x:c r="X304" s="13" t="n">
        <x:v>1</x:v>
      </x:c>
      <x:c r="Y304" s="13" t="n">
        <x:v>16428418.700000001</x:v>
      </x:c>
      <x:c r="Z304" s="13" t="n">
        <x:v>16431556.12</x:v>
      </x:c>
      <x:c r="AA304" s="13" t="n">
        <x:v>48</x:v>
      </x:c>
      <x:c r="AB304" s="13" t="n">
        <x:v>0.125</x:v>
      </x:c>
      <x:c r="AC304" s="13" t="n">
        <x:v>0.0031746031746031746</x:v>
      </x:c>
      <x:c r="AD304" s="13" t="n">
        <x:v>0.10659402015658866</x:v>
      </x:c>
      <x:c r="AE304" s="13" t="n">
        <x:v>0.23481822791595713</x:v>
      </x:c>
      <x:c r="AF304" s="13" t="n">
        <x:v>432326.8078947368</x:v>
      </x:c>
      <x:c r="AG304" s="13" t="n">
        <x:v>0.6376967341082121</x:v>
      </x:c>
      <x:c r="AH304" s="13" t="n">
        <x:v>0.017197917346960877</x:v>
      </x:c>
      <x:c r="AI304" s="13" t="n">
        <x:v>33</x:v>
      </x:c>
      <x:c r="AJ304" s="13" t="n">
        <x:v>14005306.73</x:v>
      </x:c>
      <x:c r="AK304" s="13" t="n">
        <x:v>0.1475010615123651</x:v>
      </x:c>
      <x:c r="AL304" s="13" t="n">
        <x:v>0.05318138651471985</x:v>
      </x:c>
      <x:c r="AM304" s="13" t="n">
        <x:v>0.0020060180541624875</x:v>
      </x:c>
      <x:c r="AN304" s="13" t="n">
        <x:v>0.20212273448198376</x:v>
      </x:c>
      <x:c r="AO304" s="13" t="n">
        <x:v>1.7542008367117998</x:v>
      </x:c>
      <x:c r="AP304" s="13" t="n">
        <x:v>0.02144335862597161</x:v>
      </x:c>
    </x:row>
    <x:row r="305" ht="15" hidden="0" customHeight="1">
      <x:c r="A305" s="2" t="str">
        <x:v>E304</x:v>
      </x:c>
      <x:c r="B305" s="2" t="str">
        <x:v>***环保科技有限公司</x:v>
      </x:c>
      <x:c r="C305" s="2" t="str">
        <x:v>无信贷记录</x:v>
      </x:c>
      <x:c r="D305" s="2" t="str"/>
      <x:c r="E305" s="2" t="str"/>
      <x:c r="F305" s="13" t="n">
        <x:v>607</x:v>
      </x:c>
      <x:c r="G305" s="13" t="n">
        <x:v>588</x:v>
      </x:c>
      <x:c r="H305" s="13" t="n">
        <x:v>19</x:v>
      </x:c>
      <x:c r="I305" s="13" t="n">
        <x:v>1</x:v>
      </x:c>
      <x:c r="J305" s="13" t="n">
        <x:v>19039870.27</x:v>
      </x:c>
      <x:c r="K305" s="13" t="n">
        <x:v>19042870.27</x:v>
      </x:c>
      <x:c r="L305" s="13" t="n">
        <x:v>143</x:v>
      </x:c>
      <x:c r="M305" s="13" t="n">
        <x:v>0.03130148270181219</x:v>
      </x:c>
      <x:c r="N305" s="13" t="n">
        <x:v>0.0017006802721088435</x:v>
      </x:c>
      <x:c r="O305" s="13" t="n">
        <x:v>0.21354100541127194</x:v>
      </x:c>
      <x:c r="P305" s="13" t="n">
        <x:v>0.4222840299798986</x:v>
      </x:c>
      <x:c r="Q305" s="13" t="n">
        <x:v>514591.08837837836</x:v>
      </x:c>
      <x:c r="R305" s="13" t="n">
        <x:v>0.8406654381459118</x:v>
      </x:c>
      <x:c r="S305" s="13" t="n">
        <x:v>0.058049584848187105</x:v>
      </x:c>
      <x:c r="T305" s="13" t="n">
        <x:v>37</x:v>
      </x:c>
      <x:c r="U305" s="13" t="n">
        <x:v>1029</x:v>
      </x:c>
      <x:c r="V305" s="13" t="n">
        <x:v>951</x:v>
      </x:c>
      <x:c r="W305" s="13" t="n">
        <x:v>78</x:v>
      </x:c>
      <x:c r="X305" s="13" t="n">
        <x:v>0</x:v>
      </x:c>
      <x:c r="Y305" s="13" t="n">
        <x:v>10784176.790000001</x:v>
      </x:c>
      <x:c r="Z305" s="13" t="n">
        <x:v>10784176.790000001</x:v>
      </x:c>
      <x:c r="AA305" s="13" t="n">
        <x:v>202</x:v>
      </x:c>
      <x:c r="AB305" s="13" t="n">
        <x:v>0.07580174927113703</x:v>
      </x:c>
      <x:c r="AC305" s="13" t="n">
        <x:v>0</x:v>
      </x:c>
      <x:c r="AD305" s="13" t="n">
        <x:v>0.046979442402059195</x:v>
      </x:c>
      <x:c r="AE305" s="13" t="n">
        <x:v>0.1511102823825276</x:v>
      </x:c>
      <x:c r="AF305" s="13" t="n">
        <x:v>291464.2375675676</x:v>
      </x:c>
      <x:c r="AG305" s="13" t="n">
        <x:v>0.6380889326198673</x:v>
      </x:c>
      <x:c r="AH305" s="13" t="n">
        <x:v>0.04742599667117084</x:v>
      </x:c>
      <x:c r="AI305" s="13" t="n">
        <x:v>37</x:v>
      </x:c>
      <x:c r="AJ305" s="13" t="n">
        <x:v>-8255693.479999999</x:v>
      </x:c>
      <x:c r="AK305" s="13" t="n">
        <x:v>1.7658158467559761</x:v>
      </x:c>
      <x:c r="AL305" s="13" t="n">
        <x:v>0.059290953545232276</x:v>
      </x:c>
      <x:c r="AM305" s="13" t="n">
        <x:v>0.000649772579597141</x:v>
      </x:c>
      <x:c r="AN305" s="13" t="n">
        <x:v>0.13026022390666556</x:v>
      </x:c>
      <x:c r="AO305" s="13" t="n">
        <x:v>0.7393771853828895</x:v>
      </x:c>
      <x:c r="AP305" s="13" t="n">
        <x:v>0.05273779075967897</x:v>
      </x:c>
    </x:row>
    <x:row r="306" ht="15" hidden="0" customHeight="1">
      <x:c r="A306" s="2" t="str">
        <x:v>E305</x:v>
      </x:c>
      <x:c r="B306" s="2" t="str">
        <x:v>***劳务有限公司</x:v>
      </x:c>
      <x:c r="C306" s="2" t="str">
        <x:v>无信贷记录</x:v>
      </x:c>
      <x:c r="D306" s="2" t="str"/>
      <x:c r="E306" s="2" t="str"/>
      <x:c r="F306" s="13" t="n">
        <x:v>590</x:v>
      </x:c>
      <x:c r="G306" s="13" t="n">
        <x:v>575</x:v>
      </x:c>
      <x:c r="H306" s="13" t="n">
        <x:v>15</x:v>
      </x:c>
      <x:c r="I306" s="13" t="n">
        <x:v>0</x:v>
      </x:c>
      <x:c r="J306" s="13" t="n">
        <x:v>19564194.07</x:v>
      </x:c>
      <x:c r="K306" s="13" t="n">
        <x:v>19564194.07</x:v>
      </x:c>
      <x:c r="L306" s="13" t="n">
        <x:v>164</x:v>
      </x:c>
      <x:c r="M306" s="13" t="n">
        <x:v>0.025423728813559324</x:v>
      </x:c>
      <x:c r="N306" s="13" t="n">
        <x:v>0</x:v>
      </x:c>
      <x:c r="O306" s="13" t="n">
        <x:v>0.390651749351576</x:v>
      </x:c>
      <x:c r="P306" s="13" t="n">
        <x:v>0.5834688594458417</x:v>
      </x:c>
      <x:c r="Q306" s="13" t="n">
        <x:v>543449.8352777777</x:v>
      </x:c>
      <x:c r="R306" s="13" t="n">
        <x:v>3.2159761869460777</x:v>
      </x:c>
      <x:c r="S306" s="13" t="n">
        <x:v>-0.06694445442445293</x:v>
      </x:c>
      <x:c r="T306" s="13" t="n">
        <x:v>36</x:v>
      </x:c>
      <x:c r="U306" s="13" t="n">
        <x:v>359</x:v>
      </x:c>
      <x:c r="V306" s="13" t="n">
        <x:v>321</x:v>
      </x:c>
      <x:c r="W306" s="13" t="n">
        <x:v>38</x:v>
      </x:c>
      <x:c r="X306" s="13" t="n">
        <x:v>2</x:v>
      </x:c>
      <x:c r="Y306" s="13" t="n">
        <x:v>50508527.989999995</x:v>
      </x:c>
      <x:c r="Z306" s="13" t="n">
        <x:v>51122985.23</x:v>
      </x:c>
      <x:c r="AA306" s="13" t="n">
        <x:v>5</x:v>
      </x:c>
      <x:c r="AB306" s="13" t="n">
        <x:v>0.10584958217270195</x:v>
      </x:c>
      <x:c r="AC306" s="13" t="n">
        <x:v>0.006230529595015576</x:v>
      </x:c>
      <x:c r="AD306" s="13" t="n">
        <x:v>0.32952620895480955</x:v>
      </x:c>
      <x:c r="AE306" s="13" t="n">
        <x:v>0.4662666701241851</x:v>
      </x:c>
      <x:c r="AF306" s="13" t="n">
        <x:v>1365095.3510810812</x:v>
      </x:c>
      <x:c r="AG306" s="13" t="n">
        <x:v>1.285601351538861</x:v>
      </x:c>
      <x:c r="AH306" s="13" t="n">
        <x:v>-0.036996595320199915</x:v>
      </x:c>
      <x:c r="AI306" s="13" t="n">
        <x:v>26</x:v>
      </x:c>
      <x:c r="AJ306" s="13" t="n">
        <x:v>30944333.919999994</x:v>
      </x:c>
      <x:c r="AK306" s="13" t="n">
        <x:v>0.38268880391044413</x:v>
      </x:c>
      <x:c r="AL306" s="13" t="n">
        <x:v>0.05584826132771338</x:v>
      </x:c>
      <x:c r="AM306" s="13" t="n">
        <x:v>0.002232142857142857</x:v>
      </x:c>
      <x:c r="AN306" s="13" t="n">
        <x:v>0.36008897915319277</x:v>
      </x:c>
      <x:c r="AO306" s="13" t="n">
        <x:v>2.2507887692424693</x:v>
      </x:c>
      <x:c r="AP306" s="13" t="n">
        <x:v>-0.051970524872326423</x:v>
      </x:c>
    </x:row>
    <x:row r="307" ht="15" hidden="0" customHeight="1">
      <x:c r="A307" s="2" t="str">
        <x:v>E306</x:v>
      </x:c>
      <x:c r="B307" s="2" t="str">
        <x:v>个体经营E306 </x:v>
      </x:c>
      <x:c r="C307" s="2" t="str">
        <x:v>无信贷记录</x:v>
      </x:c>
      <x:c r="D307" s="2" t="str"/>
      <x:c r="E307" s="2" t="str"/>
      <x:c r="F307" s="13" t="n">
        <x:v>1251</x:v>
      </x:c>
      <x:c r="G307" s="13" t="n">
        <x:v>1225</x:v>
      </x:c>
      <x:c r="H307" s="13" t="n">
        <x:v>26</x:v>
      </x:c>
      <x:c r="I307" s="13" t="n">
        <x:v>5</x:v>
      </x:c>
      <x:c r="J307" s="13" t="n">
        <x:v>3947691.98</x:v>
      </x:c>
      <x:c r="K307" s="13" t="n">
        <x:v>4039762.78</x:v>
      </x:c>
      <x:c r="L307" s="13" t="n">
        <x:v>340</x:v>
      </x:c>
      <x:c r="M307" s="13" t="n">
        <x:v>0.020783373301358914</x:v>
      </x:c>
      <x:c r="N307" s="13" t="n">
        <x:v>0.004081632653061225</x:v>
      </x:c>
      <x:c r="O307" s="13" t="n">
        <x:v>0.23588471234181344</x:v>
      </x:c>
      <x:c r="P307" s="13" t="n">
        <x:v>0.36170366419386635</x:v>
      </x:c>
      <x:c r="Q307" s="13" t="n">
        <x:v>127344.90258064514</x:v>
      </x:c>
      <x:c r="R307" s="13" t="n">
        <x:v>1.6951003904607138</x:v>
      </x:c>
      <x:c r="S307" s="13" t="n">
        <x:v>0.07236045864196271</x:v>
      </x:c>
      <x:c r="T307" s="13" t="n">
        <x:v>31</x:v>
      </x:c>
      <x:c r="U307" s="13" t="n">
        <x:v>382</x:v>
      </x:c>
      <x:c r="V307" s="13" t="n">
        <x:v>329</x:v>
      </x:c>
      <x:c r="W307" s="13" t="n">
        <x:v>53</x:v>
      </x:c>
      <x:c r="X307" s="13" t="n">
        <x:v>7</x:v>
      </x:c>
      <x:c r="Y307" s="13" t="n">
        <x:v>13395256.239999998</x:v>
      </x:c>
      <x:c r="Z307" s="13" t="n">
        <x:v>14115656.239999998</x:v>
      </x:c>
      <x:c r="AA307" s="13" t="n">
        <x:v>67</x:v>
      </x:c>
      <x:c r="AB307" s="13" t="n">
        <x:v>0.1387434554973822</x:v>
      </x:c>
      <x:c r="AC307" s="13" t="n">
        <x:v>0.02127659574468085</x:v>
      </x:c>
      <x:c r="AD307" s="13" t="n">
        <x:v>0.07860659718596695</x:v>
      </x:c>
      <x:c r="AE307" s="13" t="n">
        <x:v>0.22289303993421705</x:v>
      </x:c>
      <x:c r="AF307" s="13" t="n">
        <x:v>372090.4511111111</x:v>
      </x:c>
      <x:c r="AG307" s="13" t="n">
        <x:v>1.03018707674779</x:v>
      </x:c>
      <x:c r="AH307" s="13" t="n">
        <x:v>0.035499644580233865</x:v>
      </x:c>
      <x:c r="AI307" s="13" t="n">
        <x:v>34</x:v>
      </x:c>
      <x:c r="AJ307" s="13" t="n">
        <x:v>9447564.259999998</x:v>
      </x:c>
      <x:c r="AK307" s="13" t="n">
        <x:v>0.2861902210789457</x:v>
      </x:c>
      <x:c r="AL307" s="13" t="n">
        <x:v>0.04837721984078383</x:v>
      </x:c>
      <x:c r="AM307" s="13" t="n">
        <x:v>0.007722007722007722</x:v>
      </x:c>
      <x:c r="AN307" s="13" t="n">
        <x:v>0.15724565476389019</x:v>
      </x:c>
      <x:c r="AO307" s="13" t="n">
        <x:v>1.3626437336042518</x:v>
      </x:c>
      <x:c r="AP307" s="13" t="n">
        <x:v>0.05393005161109829</x:v>
      </x:c>
    </x:row>
    <x:row r="308" ht="15" hidden="0" customHeight="1">
      <x:c r="A308" s="2" t="str">
        <x:v>E307</x:v>
      </x:c>
      <x:c r="B308" s="2" t="str">
        <x:v>***通信工程有限公司</x:v>
      </x:c>
      <x:c r="C308" s="2" t="str">
        <x:v>无信贷记录</x:v>
      </x:c>
      <x:c r="D308" s="2" t="str"/>
      <x:c r="E308" s="2" t="str"/>
      <x:c r="F308" s="13" t="n">
        <x:v>461</x:v>
      </x:c>
      <x:c r="G308" s="13" t="n">
        <x:v>452</x:v>
      </x:c>
      <x:c r="H308" s="13" t="n">
        <x:v>9</x:v>
      </x:c>
      <x:c r="I308" s="13" t="n">
        <x:v>0</x:v>
      </x:c>
      <x:c r="J308" s="13" t="n">
        <x:v>3229215.4300000006</x:v>
      </x:c>
      <x:c r="K308" s="13" t="n">
        <x:v>3229215.4300000006</x:v>
      </x:c>
      <x:c r="L308" s="13" t="n">
        <x:v>111</x:v>
      </x:c>
      <x:c r="M308" s="13" t="n">
        <x:v>0.019522776572668113</x:v>
      </x:c>
      <x:c r="N308" s="13" t="n">
        <x:v>0</x:v>
      </x:c>
      <x:c r="O308" s="13" t="n">
        <x:v>0.39960351568479613</x:v>
      </x:c>
      <x:c r="P308" s="13" t="n">
        <x:v>0.6193617438524379</x:v>
      </x:c>
      <x:c r="Q308" s="13" t="n">
        <x:v>97855.01303030305</x:v>
      </x:c>
      <x:c r="R308" s="13" t="n">
        <x:v>3.6146297311163353</x:v>
      </x:c>
      <x:c r="S308" s="13" t="n">
        <x:v>0.11695419359002432</x:v>
      </x:c>
      <x:c r="T308" s="13" t="n">
        <x:v>33</x:v>
      </x:c>
      <x:c r="U308" s="13" t="n">
        <x:v>115</x:v>
      </x:c>
      <x:c r="V308" s="13" t="n">
        <x:v>98</x:v>
      </x:c>
      <x:c r="W308" s="13" t="n">
        <x:v>17</x:v>
      </x:c>
      <x:c r="X308" s="13" t="n">
        <x:v>0</x:v>
      </x:c>
      <x:c r="Y308" s="13" t="n">
        <x:v>6688991.92</x:v>
      </x:c>
      <x:c r="Z308" s="13" t="n">
        <x:v>6688991.92</x:v>
      </x:c>
      <x:c r="AA308" s="13" t="n">
        <x:v>10</x:v>
      </x:c>
      <x:c r="AB308" s="13" t="n">
        <x:v>0.14782608695652175</x:v>
      </x:c>
      <x:c r="AC308" s="13" t="n">
        <x:v>0</x:v>
      </x:c>
      <x:c r="AD308" s="13" t="n">
        <x:v>0.32737675946500927</x:v>
      </x:c>
      <x:c r="AE308" s="13" t="n">
        <x:v>0.44849807502832206</x:v>
      </x:c>
      <x:c r="AF308" s="13" t="n">
        <x:v>215773.9329032258</x:v>
      </x:c>
      <x:c r="AG308" s="13" t="n">
        <x:v>2.89179839600632</x:v>
      </x:c>
      <x:c r="AH308" s="13" t="n">
        <x:v>0.05882290742847814</x:v>
      </x:c>
      <x:c r="AI308" s="13" t="n">
        <x:v>14</x:v>
      </x:c>
      <x:c r="AJ308" s="13" t="n">
        <x:v>3459776.4899999993</x:v>
      </x:c>
      <x:c r="AK308" s="13" t="n">
        <x:v>0.48276563473558515</x:v>
      </x:c>
      <x:c r="AL308" s="13" t="n">
        <x:v>0.04513888888888889</x:v>
      </x:c>
      <x:c r="AM308" s="13" t="n">
        <x:v>0</x:v>
      </x:c>
      <x:c r="AN308" s="13" t="n">
        <x:v>0.36349013757490267</x:v>
      </x:c>
      <x:c r="AO308" s="13" t="n">
        <x:v>3.2532140635613276</x:v>
      </x:c>
      <x:c r="AP308" s="13" t="n">
        <x:v>0.08788855050925123</x:v>
      </x:c>
    </x:row>
    <x:row r="309" ht="15" hidden="0" customHeight="1">
      <x:c r="A309" s="2" t="str">
        <x:v>E308</x:v>
      </x:c>
      <x:c r="B309" s="2" t="str">
        <x:v>***餐饮文化服务有限公司</x:v>
      </x:c>
      <x:c r="C309" s="2" t="str">
        <x:v>无信贷记录</x:v>
      </x:c>
      <x:c r="D309" s="2" t="str"/>
      <x:c r="E309" s="2" t="str"/>
      <x:c r="F309" s="13" t="n">
        <x:v>514</x:v>
      </x:c>
      <x:c r="G309" s="13" t="n">
        <x:v>487</x:v>
      </x:c>
      <x:c r="H309" s="13" t="n">
        <x:v>27</x:v>
      </x:c>
      <x:c r="I309" s="13" t="n">
        <x:v>9</x:v>
      </x:c>
      <x:c r="J309" s="13" t="n">
        <x:v>8393697.35</x:v>
      </x:c>
      <x:c r="K309" s="13" t="n">
        <x:v>8531115.35</x:v>
      </x:c>
      <x:c r="L309" s="13" t="n">
        <x:v>66</x:v>
      </x:c>
      <x:c r="M309" s="13" t="n">
        <x:v>0.05252918287937743</x:v>
      </x:c>
      <x:c r="N309" s="13" t="n">
        <x:v>0.018480492813141684</x:v>
      </x:c>
      <x:c r="O309" s="13" t="n">
        <x:v>0.06932838742137713</x:v>
      </x:c>
      <x:c r="P309" s="13" t="n">
        <x:v>0.1334731688981324</x:v>
      </x:c>
      <x:c r="Q309" s="13" t="n">
        <x:v>226856.68513513514</x:v>
      </x:c>
      <x:c r="R309" s="13" t="n">
        <x:v>1.3375015020011773</x:v>
      </x:c>
      <x:c r="S309" s="13" t="n">
        <x:v>0.05951959267160132</x:v>
      </x:c>
      <x:c r="T309" s="13" t="n">
        <x:v>37</x:v>
      </x:c>
      <x:c r="U309" s="13" t="n">
        <x:v>2015</x:v>
      </x:c>
      <x:c r="V309" s="13" t="n">
        <x:v>1613</x:v>
      </x:c>
      <x:c r="W309" s="13" t="n">
        <x:v>402</x:v>
      </x:c>
      <x:c r="X309" s="13" t="n">
        <x:v>11</x:v>
      </x:c>
      <x:c r="Y309" s="13" t="n">
        <x:v>12296994.39</x:v>
      </x:c>
      <x:c r="Z309" s="13" t="n">
        <x:v>12436161.53</x:v>
      </x:c>
      <x:c r="AA309" s="13" t="n">
        <x:v>1713</x:v>
      </x:c>
      <x:c r="AB309" s="13" t="n">
        <x:v>0.19950372208436726</x:v>
      </x:c>
      <x:c r="AC309" s="13" t="n">
        <x:v>0.006819590824550527</x:v>
      </x:c>
      <x:c r="AD309" s="13" t="n">
        <x:v>0.004886626984096743</x:v>
      </x:c>
      <x:c r="AE309" s="13" t="n">
        <x:v>0.0343133643548063</x:v>
      </x:c>
      <x:c r="AF309" s="13" t="n">
        <x:v>332351.19972972973</x:v>
      </x:c>
      <x:c r="AG309" s="13" t="n">
        <x:v>0.47813434006000427</x:v>
      </x:c>
      <x:c r="AH309" s="13" t="n">
        <x:v>0.02115896794968269</x:v>
      </x:c>
      <x:c r="AI309" s="13" t="n">
        <x:v>37</x:v>
      </x:c>
      <x:c r="AJ309" s="13" t="n">
        <x:v>3903297.040000001</x:v>
      </x:c>
      <x:c r="AK309" s="13" t="n">
        <x:v>0.6859926456744888</x:v>
      </x:c>
      <x:c r="AL309" s="13" t="n">
        <x:v>0.16963226571767498</x:v>
      </x:c>
      <x:c r="AM309" s="13" t="n">
        <x:v>0.009523809523809525</x:v>
      </x:c>
      <x:c r="AN309" s="13" t="n">
        <x:v>0.03535551193736742</x:v>
      </x:c>
      <x:c r="AO309" s="13" t="n">
        <x:v>0.9078179210305908</x:v>
      </x:c>
      <x:c r="AP309" s="13" t="n">
        <x:v>0.040339280310642</x:v>
      </x:c>
    </x:row>
    <x:row r="310" ht="15" hidden="0" customHeight="1">
      <x:c r="A310" s="2" t="str">
        <x:v>E309</x:v>
      </x:c>
      <x:c r="B310" s="2" t="str">
        <x:v>个体经营E309 </x:v>
      </x:c>
      <x:c r="C310" s="2" t="str">
        <x:v>无信贷记录</x:v>
      </x:c>
      <x:c r="D310" s="2" t="str"/>
      <x:c r="E310" s="2" t="str"/>
      <x:c r="F310" s="13" t="n">
        <x:v>986</x:v>
      </x:c>
      <x:c r="G310" s="13" t="n">
        <x:v>934</x:v>
      </x:c>
      <x:c r="H310" s="13" t="n">
        <x:v>52</x:v>
      </x:c>
      <x:c r="I310" s="13" t="n">
        <x:v>14</x:v>
      </x:c>
      <x:c r="J310" s="13" t="n">
        <x:v>6796476.2</x:v>
      </x:c>
      <x:c r="K310" s="13" t="n">
        <x:v>6987278.739999999</x:v>
      </x:c>
      <x:c r="L310" s="13" t="n">
        <x:v>195</x:v>
      </x:c>
      <x:c r="M310" s="13" t="n">
        <x:v>0.05273833671399594</x:v>
      </x:c>
      <x:c r="N310" s="13" t="n">
        <x:v>0.014989293361884369</x:v>
      </x:c>
      <x:c r="O310" s="13" t="n">
        <x:v>0.07653495415815198</x:v>
      </x:c>
      <x:c r="P310" s="13" t="n">
        <x:v>0.22096176314843852</x:v>
      </x:c>
      <x:c r="Q310" s="13" t="n">
        <x:v>212389.88125</x:v>
      </x:c>
      <x:c r="R310" s="13" t="n">
        <x:v>1.01352284177242</x:v>
      </x:c>
      <x:c r="S310" s="13" t="n">
        <x:v>0.023372779291394776</x:v>
      </x:c>
      <x:c r="T310" s="13" t="n">
        <x:v>31</x:v>
      </x:c>
      <x:c r="U310" s="13" t="n">
        <x:v>211</x:v>
      </x:c>
      <x:c r="V310" s="13" t="n">
        <x:v>172</x:v>
      </x:c>
      <x:c r="W310" s="13" t="n">
        <x:v>39</x:v>
      </x:c>
      <x:c r="X310" s="13" t="n">
        <x:v>2</x:v>
      </x:c>
      <x:c r="Y310" s="13" t="n">
        <x:v>13443105.5</x:v>
      </x:c>
      <x:c r="Z310" s="13" t="n">
        <x:v>13613105.5</x:v>
      </x:c>
      <x:c r="AA310" s="13" t="n">
        <x:v>41</x:v>
      </x:c>
      <x:c r="AB310" s="13" t="n">
        <x:v>0.1848341232227488</x:v>
      </x:c>
      <x:c r="AC310" s="13" t="n">
        <x:v>0.011627906976744186</x:v>
      </x:c>
      <x:c r="AD310" s="13" t="n">
        <x:v>0.09212839169365725</x:v>
      </x:c>
      <x:c r="AE310" s="13" t="n">
        <x:v>0.16225241183945868</x:v>
      </x:c>
      <x:c r="AF310" s="13" t="n">
        <x:v>373419.59722222225</x:v>
      </x:c>
      <x:c r="AG310" s="13" t="n">
        <x:v>1.0595705902194557</x:v>
      </x:c>
      <x:c r="AH310" s="13" t="n">
        <x:v>-0.007495935913364412</x:v>
      </x:c>
      <x:c r="AI310" s="13" t="n">
        <x:v>33</x:v>
      </x:c>
      <x:c r="AJ310" s="13" t="n">
        <x:v>6646629.3</x:v>
      </x:c>
      <x:c r="AK310" s="13" t="n">
        <x:v>0.513275882567721</x:v>
      </x:c>
      <x:c r="AL310" s="13" t="n">
        <x:v>0.07602339181286549</x:v>
      </x:c>
      <x:c r="AM310" s="13" t="n">
        <x:v>0.014466546112115732</x:v>
      </x:c>
      <x:c r="AN310" s="13" t="n">
        <x:v>0.08433167292590461</x:v>
      </x:c>
      <x:c r="AO310" s="13" t="n">
        <x:v>1.0365467159959378</x:v>
      </x:c>
      <x:c r="AP310" s="13" t="n">
        <x:v>0.007938421689015183</x:v>
      </x:c>
    </x:row>
    <x:row r="311" ht="15" hidden="0" customHeight="1">
      <x:c r="A311" s="2" t="str">
        <x:v>E310</x:v>
      </x:c>
      <x:c r="B311" s="2" t="str">
        <x:v>***律师事务所</x:v>
      </x:c>
      <x:c r="C311" s="2" t="str">
        <x:v>无信贷记录</x:v>
      </x:c>
      <x:c r="D311" s="2" t="str"/>
      <x:c r="E311" s="2" t="str"/>
      <x:c r="F311" s="13" t="n">
        <x:v>1862</x:v>
      </x:c>
      <x:c r="G311" s="13" t="n">
        <x:v>1839</x:v>
      </x:c>
      <x:c r="H311" s="13" t="n">
        <x:v>23</x:v>
      </x:c>
      <x:c r="I311" s="13" t="n">
        <x:v>9</x:v>
      </x:c>
      <x:c r="J311" s="13" t="n">
        <x:v>3856558.9200000004</x:v>
      </x:c>
      <x:c r="K311" s="13" t="n">
        <x:v>4673030.100000001</x:v>
      </x:c>
      <x:c r="L311" s="13" t="n">
        <x:v>482</x:v>
      </x:c>
      <x:c r="M311" s="13" t="n">
        <x:v>0.012352309344790547</x:v>
      </x:c>
      <x:c r="N311" s="13" t="n">
        <x:v>0.004893964110929853</x:v>
      </x:c>
      <x:c r="O311" s="13" t="n">
        <x:v>0.05555786961986719</x:v>
      </x:c>
      <x:c r="P311" s="13" t="n">
        <x:v>0.17119513097080202</x:v>
      </x:c>
      <x:c r="Q311" s="13" t="n">
        <x:v>124405.12645161289</x:v>
      </x:c>
      <x:c r="R311" s="13" t="n">
        <x:v>1.4538060652962588</x:v>
      </x:c>
      <x:c r="S311" s="13" t="n">
        <x:v>0.04113357326560086</x:v>
      </x:c>
      <x:c r="T311" s="13" t="n">
        <x:v>31</x:v>
      </x:c>
      <x:c r="U311" s="13" t="n">
        <x:v>997</x:v>
      </x:c>
      <x:c r="V311" s="13" t="n">
        <x:v>938</x:v>
      </x:c>
      <x:c r="W311" s="13" t="n">
        <x:v>59</x:v>
      </x:c>
      <x:c r="X311" s="13" t="n">
        <x:v>30</x:v>
      </x:c>
      <x:c r="Y311" s="13" t="n">
        <x:v>11560120.530000001</x:v>
      </x:c>
      <x:c r="Z311" s="13" t="n">
        <x:v>12355560.530000001</x:v>
      </x:c>
      <x:c r="AA311" s="13" t="n">
        <x:v>456</x:v>
      </x:c>
      <x:c r="AB311" s="13" t="n">
        <x:v>0.05917753259779338</x:v>
      </x:c>
      <x:c r="AC311" s="13" t="n">
        <x:v>0.031982942430703626</x:v>
      </x:c>
      <x:c r="AD311" s="13" t="n">
        <x:v>0.023398947629139726</x:v>
      </x:c>
      <x:c r="AE311" s="13" t="n">
        <x:v>0.10718345127155475</x:v>
      </x:c>
      <x:c r="AF311" s="13" t="n">
        <x:v>372907.1138709677</x:v>
      </x:c>
      <x:c r="AG311" s="13" t="n">
        <x:v>0.550934059846357</x:v>
      </x:c>
      <x:c r="AH311" s="13" t="n">
        <x:v>0.01041241656500269</x:v>
      </x:c>
      <x:c r="AI311" s="13" t="n">
        <x:v>31</x:v>
      </x:c>
      <x:c r="AJ311" s="13" t="n">
        <x:v>7703561.610000001</x:v>
      </x:c>
      <x:c r="AK311" s="13" t="n">
        <x:v>0.378212715534323</x:v>
      </x:c>
      <x:c r="AL311" s="13" t="n">
        <x:v>0.028681357117873382</x:v>
      </x:c>
      <x:c r="AM311" s="13" t="n">
        <x:v>0.014043932301044292</x:v>
      </x:c>
      <x:c r="AN311" s="13" t="n">
        <x:v>0.039478408624503455</x:v>
      </x:c>
      <x:c r="AO311" s="13" t="n">
        <x:v>1.002370062571308</x:v>
      </x:c>
      <x:c r="AP311" s="13" t="n">
        <x:v>0.025772994915301776</x:v>
      </x:c>
    </x:row>
    <x:row r="312" ht="15" hidden="0" customHeight="1">
      <x:c r="A312" s="2" t="str">
        <x:v>E311</x:v>
      </x:c>
      <x:c r="B312" s="2" t="str">
        <x:v>***律师事务所</x:v>
      </x:c>
      <x:c r="C312" s="2" t="str">
        <x:v>无信贷记录</x:v>
      </x:c>
      <x:c r="D312" s="2" t="str"/>
      <x:c r="E312" s="2" t="str"/>
      <x:c r="F312" s="13" t="n">
        <x:v>2544</x:v>
      </x:c>
      <x:c r="G312" s="13" t="n">
        <x:v>2514</x:v>
      </x:c>
      <x:c r="H312" s="13" t="n">
        <x:v>30</x:v>
      </x:c>
      <x:c r="I312" s="13" t="n">
        <x:v>22</x:v>
      </x:c>
      <x:c r="J312" s="13" t="n">
        <x:v>2146017.87</x:v>
      </x:c>
      <x:c r="K312" s="13" t="n">
        <x:v>2173121.99</x:v>
      </x:c>
      <x:c r="L312" s="13" t="n">
        <x:v>348</x:v>
      </x:c>
      <x:c r="M312" s="13" t="n">
        <x:v>0.01179245283018868</x:v>
      </x:c>
      <x:c r="N312" s="13" t="n">
        <x:v>0.008750994431185362</x:v>
      </x:c>
      <x:c r="O312" s="13" t="n">
        <x:v>0.04877242138206172</x:v>
      </x:c>
      <x:c r="P312" s="13" t="n">
        <x:v>0.14783661546768478</x:v>
      </x:c>
      <x:c r="Q312" s="13" t="n">
        <x:v>79482.14333333334</x:v>
      </x:c>
      <x:c r="R312" s="13" t="n">
        <x:v>0.5581368543400573</x:v>
      </x:c>
      <x:c r="S312" s="13" t="n">
        <x:v>0.0015628911876592849</x:v>
      </x:c>
      <x:c r="T312" s="13" t="n">
        <x:v>27</x:v>
      </x:c>
      <x:c r="U312" s="13" t="n">
        <x:v>467</x:v>
      </x:c>
      <x:c r="V312" s="13" t="n">
        <x:v>411</x:v>
      </x:c>
      <x:c r="W312" s="13" t="n">
        <x:v>56</x:v>
      </x:c>
      <x:c r="X312" s="13" t="n">
        <x:v>18</x:v>
      </x:c>
      <x:c r="Y312" s="13" t="n">
        <x:v>10991572.01</x:v>
      </x:c>
      <x:c r="Z312" s="13" t="n">
        <x:v>12301140.01</x:v>
      </x:c>
      <x:c r="AA312" s="13" t="n">
        <x:v>134</x:v>
      </x:c>
      <x:c r="AB312" s="13" t="n">
        <x:v>0.11991434689507495</x:v>
      </x:c>
      <x:c r="AC312" s="13" t="n">
        <x:v>0.043795620437956206</x:v>
      </x:c>
      <x:c r="AD312" s="13" t="n">
        <x:v>0.04838761617982297</x:v>
      </x:c>
      <x:c r="AE312" s="13" t="n">
        <x:v>0.16014775853282887</x:v>
      </x:c>
      <x:c r="AF312" s="13" t="n">
        <x:v>422752.7696153847</x:v>
      </x:c>
      <x:c r="AG312" s="13" t="n">
        <x:v>0.6719682442507192</x:v>
      </x:c>
      <x:c r="AH312" s="13" t="n">
        <x:v>0.013407441366645265</x:v>
      </x:c>
      <x:c r="AI312" s="13" t="n">
        <x:v>26</x:v>
      </x:c>
      <x:c r="AJ312" s="13" t="n">
        <x:v>8845554.14</x:v>
      </x:c>
      <x:c r="AK312" s="13" t="n">
        <x:v>0.17666021102380738</x:v>
      </x:c>
      <x:c r="AL312" s="13" t="n">
        <x:v>0.028561939554965127</x:v>
      </x:c>
      <x:c r="AM312" s="13" t="n">
        <x:v>0.013675213675213675</x:v>
      </x:c>
      <x:c r="AN312" s="13" t="n">
        <x:v>0.04858001878094234</x:v>
      </x:c>
      <x:c r="AO312" s="13" t="n">
        <x:v>0.6150525492953882</x:v>
      </x:c>
      <x:c r="AP312" s="13" t="n">
        <x:v>0.007485166277152275</x:v>
      </x:c>
    </x:row>
    <x:row r="313" ht="15" hidden="0" customHeight="1">
      <x:c r="A313" s="2" t="str">
        <x:v>E312</x:v>
      </x:c>
      <x:c r="B313" s="2" t="str">
        <x:v>***家居用品有限公司</x:v>
      </x:c>
      <x:c r="C313" s="2" t="str">
        <x:v>无信贷记录</x:v>
      </x:c>
      <x:c r="D313" s="2" t="str"/>
      <x:c r="E313" s="2" t="str"/>
      <x:c r="F313" s="13" t="n">
        <x:v>4652</x:v>
      </x:c>
      <x:c r="G313" s="13" t="n">
        <x:v>4433</x:v>
      </x:c>
      <x:c r="H313" s="13" t="n">
        <x:v>219</x:v>
      </x:c>
      <x:c r="I313" s="13" t="n">
        <x:v>31</x:v>
      </x:c>
      <x:c r="J313" s="13" t="n">
        <x:v>83614546.00999999</x:v>
      </x:c>
      <x:c r="K313" s="13" t="n">
        <x:v>85463449.95</x:v>
      </x:c>
      <x:c r="L313" s="13" t="n">
        <x:v>908</x:v>
      </x:c>
      <x:c r="M313" s="13" t="n">
        <x:v>0.04707652622527945</x:v>
      </x:c>
      <x:c r="N313" s="13" t="n">
        <x:v>0.006993006993006993</x:v>
      </x:c>
      <x:c r="O313" s="13" t="n">
        <x:v>0.06573006614763811</x:v>
      </x:c>
      <x:c r="P313" s="13" t="n">
        <x:v>0.21236447289008603</x:v>
      </x:c>
      <x:c r="Q313" s="13" t="n">
        <x:v>2259852.594864865</x:v>
      </x:c>
      <x:c r="R313" s="13" t="n">
        <x:v>0.6661979970132822</x:v>
      </x:c>
      <x:c r="S313" s="13" t="n">
        <x:v>0.053841188271344015</x:v>
      </x:c>
      <x:c r="T313" s="13" t="n">
        <x:v>37</x:v>
      </x:c>
      <x:c r="U313" s="13" t="n">
        <x:v>683</x:v>
      </x:c>
      <x:c r="V313" s="13" t="n">
        <x:v>666</x:v>
      </x:c>
      <x:c r="W313" s="13" t="n">
        <x:v>17</x:v>
      </x:c>
      <x:c r="X313" s="13" t="n">
        <x:v>15</x:v>
      </x:c>
      <x:c r="Y313" s="13" t="n">
        <x:v>14193546.55</x:v>
      </x:c>
      <x:c r="Z313" s="13" t="n">
        <x:v>15268705.049999999</x:v>
      </x:c>
      <x:c r="AA313" s="13" t="n">
        <x:v>192</x:v>
      </x:c>
      <x:c r="AB313" s="13" t="n">
        <x:v>0.024890190336749635</x:v>
      </x:c>
      <x:c r="AC313" s="13" t="n">
        <x:v>0.02252252252252252</x:v>
      </x:c>
      <x:c r="AD313" s="13" t="n">
        <x:v>0.16579435201333642</x:v>
      </x:c>
      <x:c r="AE313" s="13" t="n">
        <x:v>0.38837669275692766</x:v>
      </x:c>
      <x:c r="AF313" s="13" t="n">
        <x:v>383609.36621621624</x:v>
      </x:c>
      <x:c r="AG313" s="13" t="n">
        <x:v>0.5382180923648465</x:v>
      </x:c>
      <x:c r="AH313" s="13" t="n">
        <x:v>-0.0034776964776365217</x:v>
      </x:c>
      <x:c r="AI313" s="13" t="n">
        <x:v>37</x:v>
      </x:c>
      <x:c r="AJ313" s="13" t="n">
        <x:v>-66758721.217599995</x:v>
      </x:c>
      <x:c r="AK313" s="13" t="n">
        <x:v>5.59729523035092</x:v>
      </x:c>
      <x:c r="AL313" s="13" t="n">
        <x:v>0.04423617619493908</x:v>
      </x:c>
      <x:c r="AM313" s="13" t="n">
        <x:v>0.00902137674053736</x:v>
      </x:c>
      <x:c r="AN313" s="13" t="n">
        <x:v>0.11576220908048726</x:v>
      </x:c>
      <x:c r="AO313" s="13" t="n">
        <x:v>0.6022080446890643</x:v>
      </x:c>
      <x:c r="AP313" s="13" t="n">
        <x:v>0.025181745896853746</x:v>
      </x:c>
    </x:row>
    <x:row r="314" ht="15" hidden="0" customHeight="1">
      <x:c r="A314" s="2" t="str">
        <x:v>E313</x:v>
      </x:c>
      <x:c r="B314" s="2" t="str">
        <x:v>***物流有限公司</x:v>
      </x:c>
      <x:c r="C314" s="2" t="str">
        <x:v>无信贷记录</x:v>
      </x:c>
      <x:c r="D314" s="2" t="str"/>
      <x:c r="E314" s="2" t="str"/>
      <x:c r="F314" s="13" t="n">
        <x:v>331</x:v>
      </x:c>
      <x:c r="G314" s="13" t="n">
        <x:v>325</x:v>
      </x:c>
      <x:c r="H314" s="13" t="n">
        <x:v>6</x:v>
      </x:c>
      <x:c r="I314" s="13" t="n">
        <x:v>5</x:v>
      </x:c>
      <x:c r="J314" s="13" t="n">
        <x:v>8138200.39</x:v>
      </x:c>
      <x:c r="K314" s="13" t="n">
        <x:v>8183833.91</x:v>
      </x:c>
      <x:c r="L314" s="13" t="n">
        <x:v>63</x:v>
      </x:c>
      <x:c r="M314" s="13" t="n">
        <x:v>0.01812688821752266</x:v>
      </x:c>
      <x:c r="N314" s="13" t="n">
        <x:v>0.015384615384615385</x:v>
      </x:c>
      <x:c r="O314" s="13" t="n">
        <x:v>0.1934126839785365</x:v>
      </x:c>
      <x:c r="P314" s="13" t="n">
        <x:v>0.36091498464929134</x:v>
      </x:c>
      <x:c r="Q314" s="13" t="n">
        <x:v>214163.16815789475</x:v>
      </x:c>
      <x:c r="R314" s="13" t="n">
        <x:v>0.6205897552560043</x:v>
      </x:c>
      <x:c r="S314" s="13" t="n">
        <x:v>-0.010200706369823393</x:v>
      </x:c>
      <x:c r="T314" s="13" t="n">
        <x:v>38</x:v>
      </x:c>
      <x:c r="U314" s="13" t="n">
        <x:v>297</x:v>
      </x:c>
      <x:c r="V314" s="13" t="n">
        <x:v>279</x:v>
      </x:c>
      <x:c r="W314" s="13" t="n">
        <x:v>18</x:v>
      </x:c>
      <x:c r="X314" s="13" t="n">
        <x:v>8</x:v>
      </x:c>
      <x:c r="Y314" s="13" t="n">
        <x:v>14560245.07</x:v>
      </x:c>
      <x:c r="Z314" s="13" t="n">
        <x:v>15349203.91</x:v>
      </x:c>
      <x:c r="AA314" s="13" t="n">
        <x:v>29</x:v>
      </x:c>
      <x:c r="AB314" s="13" t="n">
        <x:v>0.06060606060606061</x:v>
      </x:c>
      <x:c r="AC314" s="13" t="n">
        <x:v>0.02867383512544803</x:v>
      </x:c>
      <x:c r="AD314" s="13" t="n">
        <x:v>0.1979913357569045</x:v>
      </x:c>
      <x:c r="AE314" s="13" t="n">
        <x:v>0.310035057055933</x:v>
      </x:c>
      <x:c r="AF314" s="13" t="n">
        <x:v>383164.3439473684</x:v>
      </x:c>
      <x:c r="AG314" s="13" t="n">
        <x:v>0.6636408102625279</x:v>
      </x:c>
      <x:c r="AH314" s="13" t="n">
        <x:v>0.0051797283533205046</x:v>
      </x:c>
      <x:c r="AI314" s="13" t="n">
        <x:v>37</x:v>
      </x:c>
      <x:c r="AJ314" s="13" t="n">
        <x:v>6422044.680000001</x:v>
      </x:c>
      <x:c r="AK314" s="13" t="n">
        <x:v>0.533176440809952</x:v>
      </x:c>
      <x:c r="AL314" s="13" t="n">
        <x:v>0.03821656050955414</x:v>
      </x:c>
      <x:c r="AM314" s="13" t="n">
        <x:v>0.02152317880794702</x:v>
      </x:c>
      <x:c r="AN314" s="13" t="n">
        <x:v>0.19570200986772052</x:v>
      </x:c>
      <x:c r="AO314" s="13" t="n">
        <x:v>0.6421152827592661</x:v>
      </x:c>
      <x:c r="AP314" s="13" t="n">
        <x:v>-0.002510489008251444</x:v>
      </x:c>
    </x:row>
    <x:row r="315" ht="15" hidden="0" customHeight="1">
      <x:c r="A315" s="2" t="str">
        <x:v>E314</x:v>
      </x:c>
      <x:c r="B315" s="2" t="str">
        <x:v>***房地产营销策划有限公司</x:v>
      </x:c>
      <x:c r="C315" s="2" t="str">
        <x:v>无信贷记录</x:v>
      </x:c>
      <x:c r="D315" s="2" t="str"/>
      <x:c r="E315" s="2" t="str"/>
      <x:c r="F315" s="13" t="n">
        <x:v>1249</x:v>
      </x:c>
      <x:c r="G315" s="13" t="n">
        <x:v>1237</x:v>
      </x:c>
      <x:c r="H315" s="13" t="n">
        <x:v>12</x:v>
      </x:c>
      <x:c r="I315" s="13" t="n">
        <x:v>39</x:v>
      </x:c>
      <x:c r="J315" s="13" t="n">
        <x:v>3092942.8499999996</x:v>
      </x:c>
      <x:c r="K315" s="13" t="n">
        <x:v>3121332.55</x:v>
      </x:c>
      <x:c r="L315" s="13" t="n">
        <x:v>233</x:v>
      </x:c>
      <x:c r="M315" s="13" t="n">
        <x:v>0.009607686148919135</x:v>
      </x:c>
      <x:c r="N315" s="13" t="n">
        <x:v>0.03152789005658852</x:v>
      </x:c>
      <x:c r="O315" s="13" t="n">
        <x:v>0.32838928317135646</x:v>
      </x:c>
      <x:c r="P315" s="13" t="n">
        <x:v>0.5190619628145678</x:v>
      </x:c>
      <x:c r="Q315" s="13" t="n">
        <x:v>93725.54090909091</x:v>
      </x:c>
      <x:c r="R315" s="13" t="n">
        <x:v>2.0352609213563686</x:v>
      </x:c>
      <x:c r="S315" s="13" t="n">
        <x:v>0.05010180820137939</x:v>
      </x:c>
      <x:c r="T315" s="13" t="n">
        <x:v>32</x:v>
      </x:c>
      <x:c r="U315" s="13" t="n">
        <x:v>127</x:v>
      </x:c>
      <x:c r="V315" s="13" t="n">
        <x:v>110</x:v>
      </x:c>
      <x:c r="W315" s="13" t="n">
        <x:v>17</x:v>
      </x:c>
      <x:c r="X315" s="13" t="n">
        <x:v>2</x:v>
      </x:c>
      <x:c r="Y315" s="13" t="n">
        <x:v>7627606</x:v>
      </x:c>
      <x:c r="Z315" s="13" t="n">
        <x:v>7929048</x:v>
      </x:c>
      <x:c r="AA315" s="13" t="n">
        <x:v>5</x:v>
      </x:c>
      <x:c r="AB315" s="13" t="n">
        <x:v>0.13385826771653545</x:v>
      </x:c>
      <x:c r="AC315" s="13" t="n">
        <x:v>0.01818181818181818</x:v>
      </x:c>
      <x:c r="AD315" s="13" t="n">
        <x:v>0.2933825677981243</x:v>
      </x:c>
      <x:c r="AE315" s="13" t="n">
        <x:v>0.4669389061587217</x:v>
      </x:c>
      <x:c r="AF315" s="13" t="n">
        <x:v>211877.94444444444</x:v>
      </x:c>
      <x:c r="AG315" s="13" t="n">
        <x:v>1.1437051574886654</x:v>
      </x:c>
      <x:c r="AH315" s="13" t="n">
        <x:v>0.03839575012842205</x:v>
      </x:c>
      <x:c r="AI315" s="13" t="n">
        <x:v>31</x:v>
      </x:c>
      <x:c r="AJ315" s="13" t="n">
        <x:v>4534663.15</x:v>
      </x:c>
      <x:c r="AK315" s="13" t="n">
        <x:v>0.39365792085001877</x:v>
      </x:c>
      <x:c r="AL315" s="13" t="n">
        <x:v>0.021075581395348836</x:v>
      </x:c>
      <x:c r="AM315" s="13" t="n">
        <x:v>0.030438010393466965</x:v>
      </x:c>
      <x:c r="AN315" s="13" t="n">
        <x:v>0.31088592548474037</x:v>
      </x:c>
      <x:c r="AO315" s="13" t="n">
        <x:v>1.589483039422517</x:v>
      </x:c>
      <x:c r="AP315" s="13" t="n">
        <x:v>0.04424877916490072</x:v>
      </x:c>
    </x:row>
    <x:row r="316" ht="15" hidden="0" customHeight="1">
      <x:c r="A316" s="2" t="str">
        <x:v>E315</x:v>
      </x:c>
      <x:c r="B316" s="2" t="str">
        <x:v>***轮胎有限公司</x:v>
      </x:c>
      <x:c r="C316" s="2" t="str">
        <x:v>无信贷记录</x:v>
      </x:c>
      <x:c r="D316" s="2" t="str"/>
      <x:c r="E316" s="2" t="str"/>
      <x:c r="F316" s="13" t="n">
        <x:v>388</x:v>
      </x:c>
      <x:c r="G316" s="13" t="n">
        <x:v>376</x:v>
      </x:c>
      <x:c r="H316" s="13" t="n">
        <x:v>12</x:v>
      </x:c>
      <x:c r="I316" s="13" t="n">
        <x:v>4</x:v>
      </x:c>
      <x:c r="J316" s="13" t="n">
        <x:v>2443360.33</x:v>
      </x:c>
      <x:c r="K316" s="13" t="n">
        <x:v>2612809.51</x:v>
      </x:c>
      <x:c r="L316" s="13" t="n">
        <x:v>95</x:v>
      </x:c>
      <x:c r="M316" s="13" t="n">
        <x:v>0.030927835051546393</x:v>
      </x:c>
      <x:c r="N316" s="13" t="n">
        <x:v>0.010638297872340425</x:v>
      </x:c>
      <x:c r="O316" s="13" t="n">
        <x:v>0.059215388941642765</x:v>
      </x:c>
      <x:c r="P316" s="13" t="n">
        <x:v>0.14807202688113302</x:v>
      </x:c>
      <x:c r="Q316" s="13" t="n">
        <x:v>66036.76567567568</x:v>
      </x:c>
      <x:c r="R316" s="13" t="n">
        <x:v>1.18209471149734</x:v>
      </x:c>
      <x:c r="S316" s="13" t="n">
        <x:v>0.016959520983291405</x:v>
      </x:c>
      <x:c r="T316" s="13" t="n">
        <x:v>37</x:v>
      </x:c>
      <x:c r="U316" s="13" t="n">
        <x:v>1580</x:v>
      </x:c>
      <x:c r="V316" s="13" t="n">
        <x:v>1533</x:v>
      </x:c>
      <x:c r="W316" s="13" t="n">
        <x:v>47</x:v>
      </x:c>
      <x:c r="X316" s="13" t="n">
        <x:v>3</x:v>
      </x:c>
      <x:c r="Y316" s="13" t="n">
        <x:v>13218795.030000001</x:v>
      </x:c>
      <x:c r="Z316" s="13" t="n">
        <x:v>13258475.030000001</x:v>
      </x:c>
      <x:c r="AA316" s="13" t="n">
        <x:v>141</x:v>
      </x:c>
      <x:c r="AB316" s="13" t="n">
        <x:v>0.029746835443037974</x:v>
      </x:c>
      <x:c r="AC316" s="13" t="n">
        <x:v>0.0019569471624266144</x:v>
      </x:c>
      <x:c r="AD316" s="13" t="n">
        <x:v>0.14743125421024098</x:v>
      </x:c>
      <x:c r="AE316" s="13" t="n">
        <x:v>0.3302899066515043</x:v>
      </x:c>
      <x:c r="AF316" s="13" t="n">
        <x:v>357264.7305405406</x:v>
      </x:c>
      <x:c r="AG316" s="13" t="n">
        <x:v>0.3989423796588609</x:v>
      </x:c>
      <x:c r="AH316" s="13" t="n">
        <x:v>0.008148516484753014</x:v>
      </x:c>
      <x:c r="AI316" s="13" t="n">
        <x:v>37</x:v>
      </x:c>
      <x:c r="AJ316" s="13" t="n">
        <x:v>10775434.700000001</x:v>
      </x:c>
      <x:c r="AK316" s="13" t="n">
        <x:v>0.1970671215270222</x:v>
      </x:c>
      <x:c r="AL316" s="13" t="n">
        <x:v>0.029979674796747968</x:v>
      </x:c>
      <x:c r="AM316" s="13" t="n">
        <x:v>0.003666841278156103</x:v>
      </x:c>
      <x:c r="AN316" s="13" t="n">
        <x:v>0.10332332157594187</x:v>
      </x:c>
      <x:c r="AO316" s="13" t="n">
        <x:v>0.7905185455781004</x:v>
      </x:c>
      <x:c r="AP316" s="13" t="n">
        <x:v>0.01255401873402221</x:v>
      </x:c>
    </x:row>
    <x:row r="317" ht="15" hidden="0" customHeight="1">
      <x:c r="A317" s="2" t="str">
        <x:v>E316</x:v>
      </x:c>
      <x:c r="B317" s="2" t="str">
        <x:v>个体经营E316 </x:v>
      </x:c>
      <x:c r="C317" s="2" t="str">
        <x:v>无信贷记录</x:v>
      </x:c>
      <x:c r="D317" s="2" t="str"/>
      <x:c r="E317" s="2" t="str"/>
      <x:c r="F317" s="13" t="n">
        <x:v>767</x:v>
      </x:c>
      <x:c r="G317" s="13" t="n">
        <x:v>754</x:v>
      </x:c>
      <x:c r="H317" s="13" t="n">
        <x:v>13</x:v>
      </x:c>
      <x:c r="I317" s="13" t="n">
        <x:v>3</x:v>
      </x:c>
      <x:c r="J317" s="13" t="n">
        <x:v>2817553.6500000004</x:v>
      </x:c>
      <x:c r="K317" s="13" t="n">
        <x:v>2830335.6500000004</x:v>
      </x:c>
      <x:c r="L317" s="13" t="n">
        <x:v>185</x:v>
      </x:c>
      <x:c r="M317" s="13" t="n">
        <x:v>0.01694915254237288</x:v>
      </x:c>
      <x:c r="N317" s="13" t="n">
        <x:v>0.003978779840848806</x:v>
      </x:c>
      <x:c r="O317" s="13" t="n">
        <x:v>0.09207537529260298</x:v>
      </x:c>
      <x:c r="P317" s="13" t="n">
        <x:v>0.2403633646772601</x:v>
      </x:c>
      <x:c r="Q317" s="13" t="n">
        <x:v>78265.37916666667</x:v>
      </x:c>
      <x:c r="R317" s="13" t="n">
        <x:v>1.4625332960492514</x:v>
      </x:c>
      <x:c r="S317" s="13" t="n">
        <x:v>0.07440359799236561</x:v>
      </x:c>
      <x:c r="T317" s="13" t="n">
        <x:v>36</x:v>
      </x:c>
      <x:c r="U317" s="13" t="n">
        <x:v>456</x:v>
      </x:c>
      <x:c r="V317" s="13" t="n">
        <x:v>404</x:v>
      </x:c>
      <x:c r="W317" s="13" t="n">
        <x:v>52</x:v>
      </x:c>
      <x:c r="X317" s="13" t="n">
        <x:v>13</x:v>
      </x:c>
      <x:c r="Y317" s="13" t="n">
        <x:v>12409487.580000002</x:v>
      </x:c>
      <x:c r="Z317" s="13" t="n">
        <x:v>13409978.4</x:v>
      </x:c>
      <x:c r="AA317" s="13" t="n">
        <x:v>23</x:v>
      </x:c>
      <x:c r="AB317" s="13" t="n">
        <x:v>0.11403508771929824</x:v>
      </x:c>
      <x:c r="AC317" s="13" t="n">
        <x:v>0.03217821782178218</x:v>
      </x:c>
      <x:c r="AD317" s="13" t="n">
        <x:v>0.5256407200321228</x:v>
      </x:c>
      <x:c r="AE317" s="13" t="n">
        <x:v>0.7145673254775713</x:v>
      </x:c>
      <x:c r="AF317" s="13" t="n">
        <x:v>354556.788</x:v>
      </x:c>
      <x:c r="AG317" s="13" t="n">
        <x:v>1.233331348950115</x:v>
      </x:c>
      <x:c r="AH317" s="13" t="n">
        <x:v>0.05950305287998623</x:v>
      </x:c>
      <x:c r="AI317" s="13" t="n">
        <x:v>33</x:v>
      </x:c>
      <x:c r="AJ317" s="13" t="n">
        <x:v>9591933.930000002</x:v>
      </x:c>
      <x:c r="AK317" s="13" t="n">
        <x:v>0.2110619096895786</x:v>
      </x:c>
      <x:c r="AL317" s="13" t="n">
        <x:v>0.053147996729354045</x:v>
      </x:c>
      <x:c r="AM317" s="13" t="n">
        <x:v>0.013816925734024179</x:v>
      </x:c>
      <x:c r="AN317" s="13" t="n">
        <x:v>0.3088580476623629</x:v>
      </x:c>
      <x:c r="AO317" s="13" t="n">
        <x:v>1.347932322499683</x:v>
      </x:c>
      <x:c r="AP317" s="13" t="n">
        <x:v>0.06695332543617592</x:v>
      </x:c>
    </x:row>
    <x:row r="318" ht="15" hidden="0" customHeight="1">
      <x:c r="A318" s="2" t="str">
        <x:v>E317</x:v>
      </x:c>
      <x:c r="B318" s="2" t="str">
        <x:v>***科技有限公司</x:v>
      </x:c>
      <x:c r="C318" s="2" t="str">
        <x:v>无信贷记录</x:v>
      </x:c>
      <x:c r="D318" s="2" t="str"/>
      <x:c r="E318" s="2" t="str"/>
      <x:c r="F318" s="13" t="n">
        <x:v>354</x:v>
      </x:c>
      <x:c r="G318" s="13" t="n">
        <x:v>347</x:v>
      </x:c>
      <x:c r="H318" s="13" t="n">
        <x:v>7</x:v>
      </x:c>
      <x:c r="I318" s="13" t="n">
        <x:v>3</x:v>
      </x:c>
      <x:c r="J318" s="13" t="n">
        <x:v>1734789.89</x:v>
      </x:c>
      <x:c r="K318" s="13" t="n">
        <x:v>1735945.89</x:v>
      </x:c>
      <x:c r="L318" s="13" t="n">
        <x:v>107</x:v>
      </x:c>
      <x:c r="M318" s="13" t="n">
        <x:v>0.01977401129943503</x:v>
      </x:c>
      <x:c r="N318" s="13" t="n">
        <x:v>0.008645533141210375</x:v>
      </x:c>
      <x:c r="O318" s="13" t="n">
        <x:v>0.10314200920838994</x:v>
      </x:c>
      <x:c r="P318" s="13" t="n">
        <x:v>0.19355442006317375</x:v>
      </x:c>
      <x:c r="Q318" s="13" t="n">
        <x:v>54212.1840625</x:v>
      </x:c>
      <x:c r="R318" s="13" t="n">
        <x:v>1.5196246839863565</x:v>
      </x:c>
      <x:c r="S318" s="13" t="n">
        <x:v>0.08476567036976268</x:v>
      </x:c>
      <x:c r="T318" s="13" t="n">
        <x:v>31</x:v>
      </x:c>
      <x:c r="U318" s="13" t="n">
        <x:v>209</x:v>
      </x:c>
      <x:c r="V318" s="13" t="n">
        <x:v>171</x:v>
      </x:c>
      <x:c r="W318" s="13" t="n">
        <x:v>38</x:v>
      </x:c>
      <x:c r="X318" s="13" t="n">
        <x:v>10</x:v>
      </x:c>
      <x:c r="Y318" s="13" t="n">
        <x:v>6081654.529999999</x:v>
      </x:c>
      <x:c r="Z318" s="13" t="n">
        <x:v>6723373.1899999995</x:v>
      </x:c>
      <x:c r="AA318" s="13" t="n">
        <x:v>35</x:v>
      </x:c>
      <x:c r="AB318" s="13" t="n">
        <x:v>0.18181818181818182</x:v>
      </x:c>
      <x:c r="AC318" s="13" t="n">
        <x:v>0.05847953216374269</x:v>
      </x:c>
      <x:c r="AD318" s="13" t="n">
        <x:v>0.07809860860894909</x:v>
      </x:c>
      <x:c r="AE318" s="13" t="n">
        <x:v>0.1300261929979228</x:v>
      </x:c>
      <x:c r="AF318" s="13" t="n">
        <x:v>190051.70406249998</x:v>
      </x:c>
      <x:c r="AG318" s="13" t="n">
        <x:v>1.3516315413168944</x:v>
      </x:c>
      <x:c r="AH318" s="13" t="n">
        <x:v>0.10188350040804652</x:v>
      </x:c>
      <x:c r="AI318" s="13" t="n">
        <x:v>25</x:v>
      </x:c>
      <x:c r="AJ318" s="13" t="n">
        <x:v>4346864.64</x:v>
      </x:c>
      <x:c r="AK318" s="13" t="n">
        <x:v>0.2581956766258277</x:v>
      </x:c>
      <x:c r="AL318" s="13" t="n">
        <x:v>0.07992895204262877</x:v>
      </x:c>
      <x:c r="AM318" s="13" t="n">
        <x:v>0.025096525096525095</x:v>
      </x:c>
      <x:c r="AN318" s="13" t="n">
        <x:v>0.09062030890866951</x:v>
      </x:c>
      <x:c r="AO318" s="13" t="n">
        <x:v>1.4356281126516255</x:v>
      </x:c>
      <x:c r="AP318" s="13" t="n">
        <x:v>0.09332458538890459</x:v>
      </x:c>
    </x:row>
    <x:row r="319" ht="15" hidden="0" customHeight="1">
      <x:c r="A319" s="2" t="str">
        <x:v>E318</x:v>
      </x:c>
      <x:c r="B319" s="2" t="str">
        <x:v>***商贸有限公司</x:v>
      </x:c>
      <x:c r="C319" s="2" t="str">
        <x:v>无信贷记录</x:v>
      </x:c>
      <x:c r="D319" s="2" t="str"/>
      <x:c r="E319" s="2" t="str"/>
      <x:c r="F319" s="13" t="n">
        <x:v>300</x:v>
      </x:c>
      <x:c r="G319" s="13" t="n">
        <x:v>297</x:v>
      </x:c>
      <x:c r="H319" s="13" t="n">
        <x:v>3</x:v>
      </x:c>
      <x:c r="I319" s="13" t="n">
        <x:v>2</x:v>
      </x:c>
      <x:c r="J319" s="13" t="n">
        <x:v>1276891.5599999998</x:v>
      </x:c>
      <x:c r="K319" s="13" t="n">
        <x:v>1479003</x:v>
      </x:c>
      <x:c r="L319" s="13" t="n">
        <x:v>25</x:v>
      </x:c>
      <x:c r="M319" s="13" t="n">
        <x:v>0.01</x:v>
      </x:c>
      <x:c r="N319" s="13" t="n">
        <x:v>0.006734006734006734</x:v>
      </x:c>
      <x:c r="O319" s="13" t="n">
        <x:v>0.31150894444164234</x:v>
      </x:c>
      <x:c r="P319" s="13" t="n">
        <x:v>0.5198847128775264</x:v>
      </x:c>
      <x:c r="Q319" s="13" t="n">
        <x:v>33602.40947368421</x:v>
      </x:c>
      <x:c r="R319" s="13" t="n">
        <x:v>1.2144409235650007</x:v>
      </x:c>
      <x:c r="S319" s="13" t="n">
        <x:v>0.014401609578665526</x:v>
      </x:c>
      <x:c r="T319" s="13" t="n">
        <x:v>38</x:v>
      </x:c>
      <x:c r="U319" s="13" t="n">
        <x:v>409</x:v>
      </x:c>
      <x:c r="V319" s="13" t="n">
        <x:v>349</x:v>
      </x:c>
      <x:c r="W319" s="13" t="n">
        <x:v>60</x:v>
      </x:c>
      <x:c r="X319" s="13" t="n">
        <x:v>2</x:v>
      </x:c>
      <x:c r="Y319" s="13" t="n">
        <x:v>12866601.950000001</x:v>
      </x:c>
      <x:c r="Z319" s="13" t="n">
        <x:v>12934721.47</x:v>
      </x:c>
      <x:c r="AA319" s="13" t="n">
        <x:v>17</x:v>
      </x:c>
      <x:c r="AB319" s="13" t="n">
        <x:v>0.1466992665036675</x:v>
      </x:c>
      <x:c r="AC319" s="13" t="n">
        <x:v>0.0057306590257879654</x:v>
      </x:c>
      <x:c r="AD319" s="13" t="n">
        <x:v>0.20108577771912597</x:v>
      </x:c>
      <x:c r="AE319" s="13" t="n">
        <x:v>0.380053777841418</x:v>
      </x:c>
      <x:c r="AF319" s="13" t="n">
        <x:v>338594.78815789474</x:v>
      </x:c>
      <x:c r="AG319" s="13" t="n">
        <x:v>0.32267864372852506</x:v>
      </x:c>
      <x:c r="AH319" s="13" t="n">
        <x:v>0.00459671256822946</x:v>
      </x:c>
      <x:c r="AI319" s="13" t="n">
        <x:v>38</x:v>
      </x:c>
      <x:c r="AJ319" s="13" t="n">
        <x:v>11589710.39</x:v>
      </x:c>
      <x:c r="AK319" s="13" t="n">
        <x:v>0.11434362954241485</x:v>
      </x:c>
      <x:c r="AL319" s="13" t="n">
        <x:v>0.08885754583921016</x:v>
      </x:c>
      <x:c r="AM319" s="13" t="n">
        <x:v>0.006191950464396285</x:v>
      </x:c>
      <x:c r="AN319" s="13" t="n">
        <x:v>0.25629736108038415</x:v>
      </x:c>
      <x:c r="AO319" s="13" t="n">
        <x:v>0.7685597836467628</x:v>
      </x:c>
      <x:c r="AP319" s="13" t="n">
        <x:v>0.009499161073447494</x:v>
      </x:c>
    </x:row>
    <x:row r="320" ht="15" hidden="0" customHeight="1">
      <x:c r="A320" s="2" t="str">
        <x:v>E319</x:v>
      </x:c>
      <x:c r="B320" s="2" t="str">
        <x:v>个体经营E319 </x:v>
      </x:c>
      <x:c r="C320" s="2" t="str">
        <x:v>无信贷记录</x:v>
      </x:c>
      <x:c r="D320" s="2" t="str"/>
      <x:c r="E320" s="2" t="str"/>
      <x:c r="F320" s="13" t="n">
        <x:v>182</x:v>
      </x:c>
      <x:c r="G320" s="13" t="n">
        <x:v>176</x:v>
      </x:c>
      <x:c r="H320" s="13" t="n">
        <x:v>6</x:v>
      </x:c>
      <x:c r="I320" s="13" t="n">
        <x:v>1</x:v>
      </x:c>
      <x:c r="J320" s="13" t="n">
        <x:v>8395262.15</x:v>
      </x:c>
      <x:c r="K320" s="13" t="n">
        <x:v>8409262.15</x:v>
      </x:c>
      <x:c r="L320" s="13" t="n">
        <x:v>37</x:v>
      </x:c>
      <x:c r="M320" s="13" t="n">
        <x:v>0.03296703296703297</x:v>
      </x:c>
      <x:c r="N320" s="13" t="n">
        <x:v>0.005681818181818182</x:v>
      </x:c>
      <x:c r="O320" s="13" t="n">
        <x:v>0.089726236617484</x:v>
      </x:c>
      <x:c r="P320" s="13" t="n">
        <x:v>0.17191861476217624</x:v>
      </x:c>
      <x:c r="Q320" s="13" t="n">
        <x:v>279842.0716666666</x:v>
      </x:c>
      <x:c r="R320" s="13" t="n">
        <x:v>0.8549268543765681</x:v>
      </x:c>
      <x:c r="S320" s="13" t="n">
        <x:v>-0.0036629133860947966</x:v>
      </x:c>
      <x:c r="T320" s="13" t="n">
        <x:v>30</x:v>
      </x:c>
      <x:c r="U320" s="13" t="n">
        <x:v>742</x:v>
      </x:c>
      <x:c r="V320" s="13" t="n">
        <x:v>691</x:v>
      </x:c>
      <x:c r="W320" s="13" t="n">
        <x:v>51</x:v>
      </x:c>
      <x:c r="X320" s="13" t="n">
        <x:v>6</x:v>
      </x:c>
      <x:c r="Y320" s="13" t="n">
        <x:v>15716166.969999999</x:v>
      </x:c>
      <x:c r="Z320" s="13" t="n">
        <x:v>15834642.969999999</x:v>
      </x:c>
      <x:c r="AA320" s="13" t="n">
        <x:v>177</x:v>
      </x:c>
      <x:c r="AB320" s="13" t="n">
        <x:v>0.06873315363881402</x:v>
      </x:c>
      <x:c r="AC320" s="13" t="n">
        <x:v>0.008683068017366137</x:v>
      </x:c>
      <x:c r="AD320" s="13" t="n">
        <x:v>0.03207834525771488</x:v>
      </x:c>
      <x:c r="AE320" s="13" t="n">
        <x:v>0.09732106009081681</x:v>
      </x:c>
      <x:c r="AF320" s="13" t="n">
        <x:v>436560.1936111111</x:v>
      </x:c>
      <x:c r="AG320" s="13" t="n">
        <x:v>0.46343331951069355</x:v>
      </x:c>
      <x:c r="AH320" s="13" t="n">
        <x:v>-0.017955121106851674</x:v>
      </x:c>
      <x:c r="AI320" s="13" t="n">
        <x:v>36</x:v>
      </x:c>
      <x:c r="AJ320" s="13" t="n">
        <x:v>7320904.819999998</x:v>
      </x:c>
      <x:c r="AK320" s="13" t="n">
        <x:v>0.5310673670339155</x:v>
      </x:c>
      <x:c r="AL320" s="13" t="n">
        <x:v>0.06168831168831169</x:v>
      </x:c>
      <x:c r="AM320" s="13" t="n">
        <x:v>0.008073817762399077</x:v>
      </x:c>
      <x:c r="AN320" s="13" t="n">
        <x:v>0.06090229093759944</x:v>
      </x:c>
      <x:c r="AO320" s="13" t="n">
        <x:v>0.6591800869436308</x:v>
      </x:c>
      <x:c r="AP320" s="13" t="n">
        <x:v>-0.010809017246473235</x:v>
      </x:c>
    </x:row>
    <x:row r="321" ht="15" hidden="0" customHeight="1">
      <x:c r="A321" s="2" t="str">
        <x:v>E320</x:v>
      </x:c>
      <x:c r="B321" s="2" t="str">
        <x:v>***建筑设计有限公司</x:v>
      </x:c>
      <x:c r="C321" s="2" t="str">
        <x:v>无信贷记录</x:v>
      </x:c>
      <x:c r="D321" s="2" t="str"/>
      <x:c r="E321" s="2" t="str"/>
      <x:c r="F321" s="13" t="n">
        <x:v>244</x:v>
      </x:c>
      <x:c r="G321" s="13" t="n">
        <x:v>231</x:v>
      </x:c>
      <x:c r="H321" s="13" t="n">
        <x:v>13</x:v>
      </x:c>
      <x:c r="I321" s="13" t="n">
        <x:v>0</x:v>
      </x:c>
      <x:c r="J321" s="13" t="n">
        <x:v>6765048.12</x:v>
      </x:c>
      <x:c r="K321" s="13" t="n">
        <x:v>6765048.12</x:v>
      </x:c>
      <x:c r="L321" s="13" t="n">
        <x:v>77</x:v>
      </x:c>
      <x:c r="M321" s="13" t="n">
        <x:v>0.05327868852459016</x:v>
      </x:c>
      <x:c r="N321" s="13" t="n">
        <x:v>0</x:v>
      </x:c>
      <x:c r="O321" s="13" t="n">
        <x:v>0.6332129823673902</x:v>
      </x:c>
      <x:c r="P321" s="13" t="n">
        <x:v>0.7878731836721954</x:v>
      </x:c>
      <x:c r="Q321" s="13" t="n">
        <x:v>205001.45818181816</x:v>
      </x:c>
      <x:c r="R321" s="13" t="n">
        <x:v>4.465726097544905</x:v>
      </x:c>
      <x:c r="S321" s="13" t="n">
        <x:v>0.05934012266232796</x:v>
      </x:c>
      <x:c r="T321" s="13" t="n">
        <x:v>30</x:v>
      </x:c>
      <x:c r="U321" s="13" t="n">
        <x:v>98</x:v>
      </x:c>
      <x:c r="V321" s="13" t="n">
        <x:v>92</x:v>
      </x:c>
      <x:c r="W321" s="13" t="n">
        <x:v>6</x:v>
      </x:c>
      <x:c r="X321" s="13" t="n">
        <x:v>0</x:v>
      </x:c>
      <x:c r="Y321" s="13" t="n">
        <x:v>9009170.31</x:v>
      </x:c>
      <x:c r="Z321" s="13" t="n">
        <x:v>9009170.31</x:v>
      </x:c>
      <x:c r="AA321" s="13" t="n">
        <x:v>6</x:v>
      </x:c>
      <x:c r="AB321" s="13" t="n">
        <x:v>0.061224489795918366</x:v>
      </x:c>
      <x:c r="AC321" s="13" t="n">
        <x:v>0</x:v>
      </x:c>
      <x:c r="AD321" s="13" t="n">
        <x:v>0.46640336227309387</x:v>
      </x:c>
      <x:c r="AE321" s="13" t="n">
        <x:v>0.607538843385457</x:v>
      </x:c>
      <x:c r="AF321" s="13" t="n">
        <x:v>563073.144375</x:v>
      </x:c>
      <x:c r="AG321" s="13" t="n">
        <x:v>1.9413290261835179</x:v>
      </x:c>
      <x:c r="AH321" s="13" t="n">
        <x:v>0.008237576188470284</x:v>
      </x:c>
      <x:c r="AI321" s="13" t="n">
        <x:v>6</x:v>
      </x:c>
      <x:c r="AJ321" s="13" t="n">
        <x:v>2244122.1900000004</x:v>
      </x:c>
      <x:c r="AK321" s="13" t="n">
        <x:v>0.7509068967750481</x:v>
      </x:c>
      <x:c r="AL321" s="13" t="n">
        <x:v>0.05555555555555555</x:v>
      </x:c>
      <x:c r="AM321" s="13" t="n">
        <x:v>0</x:v>
      </x:c>
      <x:c r="AN321" s="13" t="n">
        <x:v>0.549808172320242</x:v>
      </x:c>
      <x:c r="AO321" s="13" t="n">
        <x:v>3.2035275618642114</x:v>
      </x:c>
      <x:c r="AP321" s="13" t="n">
        <x:v>0.03378884942539912</x:v>
      </x:c>
    </x:row>
    <x:row r="322" ht="15" hidden="0" customHeight="1">
      <x:c r="A322" s="2" t="str">
        <x:v>E321</x:v>
      </x:c>
      <x:c r="B322" s="2" t="str">
        <x:v>***生物流有限公司</x:v>
      </x:c>
      <x:c r="C322" s="2" t="str">
        <x:v>无信贷记录</x:v>
      </x:c>
      <x:c r="D322" s="2" t="str"/>
      <x:c r="E322" s="2" t="str"/>
      <x:c r="F322" s="13" t="n">
        <x:v>63</x:v>
      </x:c>
      <x:c r="G322" s="13" t="n">
        <x:v>62</x:v>
      </x:c>
      <x:c r="H322" s="13" t="n">
        <x:v>1</x:v>
      </x:c>
      <x:c r="I322" s="13" t="n">
        <x:v>1</x:v>
      </x:c>
      <x:c r="J322" s="13" t="n">
        <x:v>5929272.51</x:v>
      </x:c>
      <x:c r="K322" s="13" t="n">
        <x:v>6031672.51</x:v>
      </x:c>
      <x:c r="L322" s="13" t="n">
        <x:v>15</x:v>
      </x:c>
      <x:c r="M322" s="13" t="n">
        <x:v>0.015873015873015872</x:v>
      </x:c>
      <x:c r="N322" s="13" t="n">
        <x:v>0.016129032258064516</x:v>
      </x:c>
      <x:c r="O322" s="13" t="n">
        <x:v>0.6544642989714573</x:v>
      </x:c>
      <x:c r="P322" s="13" t="n">
        <x:v>0.8048879480693159</x:v>
      </x:c>
      <x:c r="Q322" s="13" t="n">
        <x:v>160250.60837837838</x:v>
      </x:c>
      <x:c r="R322" s="13" t="n">
        <x:v>0.631328227963122</x:v>
      </x:c>
      <x:c r="S322" s="13" t="n">
        <x:v>0.024013313477083433</x:v>
      </x:c>
      <x:c r="T322" s="13" t="n">
        <x:v>33</x:v>
      </x:c>
      <x:c r="U322" s="13" t="n">
        <x:v>427</x:v>
      </x:c>
      <x:c r="V322" s="13" t="n">
        <x:v>365</x:v>
      </x:c>
      <x:c r="W322" s="13" t="n">
        <x:v>62</x:v>
      </x:c>
      <x:c r="X322" s="13" t="n">
        <x:v>6</x:v>
      </x:c>
      <x:c r="Y322" s="13" t="n">
        <x:v>12442307.91</x:v>
      </x:c>
      <x:c r="Z322" s="13" t="n">
        <x:v>13112707.91</x:v>
      </x:c>
      <x:c r="AA322" s="13" t="n">
        <x:v>128</x:v>
      </x:c>
      <x:c r="AB322" s="13" t="n">
        <x:v>0.1451990632318501</x:v>
      </x:c>
      <x:c r="AC322" s="13" t="n">
        <x:v>0.01643835616438356</x:v>
      </x:c>
      <x:c r="AD322" s="13" t="n">
        <x:v>0.0372819540150705</x:v>
      </x:c>
      <x:c r="AE322" s="13" t="n">
        <x:v>0.1052642985319117</x:v>
      </x:c>
      <x:c r="AF322" s="13" t="n">
        <x:v>336278.5921621621</x:v>
      </x:c>
      <x:c r="AG322" s="13" t="n">
        <x:v>0.8500870664051199</x:v>
      </x:c>
      <x:c r="AH322" s="13" t="n">
        <x:v>0.03210622700951151</x:v>
      </x:c>
      <x:c r="AI322" s="13" t="n">
        <x:v>37</x:v>
      </x:c>
      <x:c r="AJ322" s="13" t="n">
        <x:v>6513035.4</x:v>
      </x:c>
      <x:c r="AK322" s="13" t="n">
        <x:v>0.4599867968842752</x:v>
      </x:c>
      <x:c r="AL322" s="13" t="n">
        <x:v>0.12857142857142856</x:v>
      </x:c>
      <x:c r="AM322" s="13" t="n">
        <x:v>0.01639344262295082</x:v>
      </x:c>
      <x:c r="AN322" s="13" t="n">
        <x:v>0.3458731264932639</x:v>
      </x:c>
      <x:c r="AO322" s="13" t="n">
        <x:v>0.740707647184121</x:v>
      </x:c>
      <x:c r="AP322" s="13" t="n">
        <x:v>0.02805977024329747</x:v>
      </x:c>
    </x:row>
    <x:row r="323" ht="15" hidden="0" customHeight="1">
      <x:c r="A323" s="2" t="str">
        <x:v>E322</x:v>
      </x:c>
      <x:c r="B323" s="2" t="str">
        <x:v>***装饰工程设计有限公司</x:v>
      </x:c>
      <x:c r="C323" s="2" t="str">
        <x:v>无信贷记录</x:v>
      </x:c>
      <x:c r="D323" s="2" t="str"/>
      <x:c r="E323" s="2" t="str"/>
      <x:c r="F323" s="13" t="n">
        <x:v>904</x:v>
      </x:c>
      <x:c r="G323" s="13" t="n">
        <x:v>884</x:v>
      </x:c>
      <x:c r="H323" s="13" t="n">
        <x:v>20</x:v>
      </x:c>
      <x:c r="I323" s="13" t="n">
        <x:v>12</x:v>
      </x:c>
      <x:c r="J323" s="13" t="n">
        <x:v>10250591.05</x:v>
      </x:c>
      <x:c r="K323" s="13" t="n">
        <x:v>10321581.65</x:v>
      </x:c>
      <x:c r="L323" s="13" t="n">
        <x:v>231</x:v>
      </x:c>
      <x:c r="M323" s="13" t="n">
        <x:v>0.022123893805309734</x:v>
      </x:c>
      <x:c r="N323" s="13" t="n">
        <x:v>0.013574660633484163</x:v>
      </x:c>
      <x:c r="O323" s="13" t="n">
        <x:v>0.0899959087665655</x:v>
      </x:c>
      <x:c r="P323" s="13" t="n">
        <x:v>0.2410947453968937</x:v>
      </x:c>
      <x:c r="Q323" s="13" t="n">
        <x:v>341686.3683333333</x:v>
      </x:c>
      <x:c r="R323" s="13" t="n">
        <x:v>0.741618445509938</x:v>
      </x:c>
      <x:c r="S323" s="13" t="n">
        <x:v>0.018336355934219083</x:v>
      </x:c>
      <x:c r="T323" s="13" t="n">
        <x:v>30</x:v>
      </x:c>
      <x:c r="U323" s="13" t="n">
        <x:v>880</x:v>
      </x:c>
      <x:c r="V323" s="13" t="n">
        <x:v>832</x:v>
      </x:c>
      <x:c r="W323" s="13" t="n">
        <x:v>48</x:v>
      </x:c>
      <x:c r="X323" s="13" t="n">
        <x:v>43</x:v>
      </x:c>
      <x:c r="Y323" s="13" t="n">
        <x:v>11278085.22</x:v>
      </x:c>
      <x:c r="Z323" s="13" t="n">
        <x:v>14705401.12</x:v>
      </x:c>
      <x:c r="AA323" s="13" t="n">
        <x:v>14</x:v>
      </x:c>
      <x:c r="AB323" s="13" t="n">
        <x:v>0.05454545454545454</x:v>
      </x:c>
      <x:c r="AC323" s="13" t="n">
        <x:v>0.051682692307692304</x:v>
      </x:c>
      <x:c r="AD323" s="13" t="n">
        <x:v>0.23692231237970304</x:v>
      </x:c>
      <x:c r="AE323" s="13" t="n">
        <x:v>0.33101807154241025</x:v>
      </x:c>
      <x:c r="AF323" s="13" t="n">
        <x:v>375936.174</x:v>
      </x:c>
      <x:c r="AG323" s="13" t="n">
        <x:v>0.8769843826105431</x:v>
      </x:c>
      <x:c r="AH323" s="13" t="n">
        <x:v>0.03951146101697287</x:v>
      </x:c>
      <x:c r="AI323" s="13" t="n">
        <x:v>29</x:v>
      </x:c>
      <x:c r="AJ323" s="13" t="n">
        <x:v>1027494.1699999999</x:v>
      </x:c>
      <x:c r="AK323" s="13" t="n">
        <x:v>0.7018905207530987</x:v>
      </x:c>
      <x:c r="AL323" s="13" t="n">
        <x:v>0.03811659192825112</x:v>
      </x:c>
      <x:c r="AM323" s="13" t="n">
        <x:v>0.03205128205128205</x:v>
      </x:c>
      <x:c r="AN323" s="13" t="n">
        <x:v>0.16345911057313428</x:v>
      </x:c>
      <x:c r="AO323" s="13" t="n">
        <x:v>0.8093014140602406</x:v>
      </x:c>
      <x:c r="AP323" s="13" t="n">
        <x:v>0.028923908475595977</x:v>
      </x:c>
    </x:row>
    <x:row r="324" ht="15" hidden="0" customHeight="1">
      <x:c r="A324" s="2" t="str">
        <x:v>E323</x:v>
      </x:c>
      <x:c r="B324" s="2" t="str">
        <x:v>***建筑装饰工程有限公司</x:v>
      </x:c>
      <x:c r="C324" s="2" t="str">
        <x:v>无信贷记录</x:v>
      </x:c>
      <x:c r="D324" s="2" t="str"/>
      <x:c r="E324" s="2" t="str"/>
      <x:c r="F324" s="13" t="n">
        <x:v>501</x:v>
      </x:c>
      <x:c r="G324" s="13" t="n">
        <x:v>468</x:v>
      </x:c>
      <x:c r="H324" s="13" t="n">
        <x:v>33</x:v>
      </x:c>
      <x:c r="I324" s="13" t="n">
        <x:v>4</x:v>
      </x:c>
      <x:c r="J324" s="13" t="n">
        <x:v>4315841.96</x:v>
      </x:c>
      <x:c r="K324" s="13" t="n">
        <x:v>4818901.919999999</x:v>
      </x:c>
      <x:c r="L324" s="13" t="n">
        <x:v>147</x:v>
      </x:c>
      <x:c r="M324" s="13" t="n">
        <x:v>0.0658682634730539</x:v>
      </x:c>
      <x:c r="N324" s="13" t="n">
        <x:v>0.008547008547008548</x:v>
      </x:c>
      <x:c r="O324" s="13" t="n">
        <x:v>0.07298598575081161</x:v>
      </x:c>
      <x:c r="P324" s="13" t="n">
        <x:v>0.19921550924613962</x:v>
      </x:c>
      <x:c r="Q324" s="13" t="n">
        <x:v>165993.92153846152</x:v>
      </x:c>
      <x:c r="R324" s="13" t="n">
        <x:v>1.7366814704878148</x:v>
      </x:c>
      <x:c r="S324" s="13" t="n">
        <x:v>0.15116525482987914</x:v>
      </x:c>
      <x:c r="T324" s="13" t="n">
        <x:v>26</x:v>
      </x:c>
      <x:c r="U324" s="13" t="n">
        <x:v>165</x:v>
      </x:c>
      <x:c r="V324" s="13" t="n">
        <x:v>117</x:v>
      </x:c>
      <x:c r="W324" s="13" t="n">
        <x:v>48</x:v>
      </x:c>
      <x:c r="X324" s="13" t="n">
        <x:v>0</x:v>
      </x:c>
      <x:c r="Y324" s="13" t="n">
        <x:v>5969410.87</x:v>
      </x:c>
      <x:c r="Z324" s="13" t="n">
        <x:v>5969410.87</x:v>
      </x:c>
      <x:c r="AA324" s="13" t="n">
        <x:v>15</x:v>
      </x:c>
      <x:c r="AB324" s="13" t="n">
        <x:v>0.2909090909090909</x:v>
      </x:c>
      <x:c r="AC324" s="13" t="n">
        <x:v>0</x:v>
      </x:c>
      <x:c r="AD324" s="13" t="n">
        <x:v>0.3825116847189998</x:v>
      </x:c>
      <x:c r="AE324" s="13" t="n">
        <x:v>0.5211521685723737</x:v>
      </x:c>
      <x:c r="AF324" s="13" t="n">
        <x:v>259539.60304347827</x:v>
      </x:c>
      <x:c r="AG324" s="13" t="n">
        <x:v>1.5527809539431692</x:v>
      </x:c>
      <x:c r="AH324" s="13" t="n">
        <x:v>0.1360756728301767</x:v>
      </x:c>
      <x:c r="AI324" s="13" t="n">
        <x:v>16</x:v>
      </x:c>
      <x:c r="AJ324" s="13" t="n">
        <x:v>1653568.9100000001</x:v>
      </x:c>
      <x:c r="AK324" s="13" t="n">
        <x:v>0.8072659136629338</x:v>
      </x:c>
      <x:c r="AL324" s="13" t="n">
        <x:v>0.12162162162162163</x:v>
      </x:c>
      <x:c r="AM324" s="13" t="n">
        <x:v>0.006837606837606838</x:v>
      </x:c>
      <x:c r="AN324" s="13" t="n">
        <x:v>0.22774883523490572</x:v>
      </x:c>
      <x:c r="AO324" s="13" t="n">
        <x:v>1.644731212215492</x:v>
      </x:c>
      <x:c r="AP324" s="13" t="n">
        <x:v>0.1467615396131856</x:v>
      </x:c>
    </x:row>
    <x:row r="325" ht="15" hidden="0" customHeight="1">
      <x:c r="A325" s="2" t="str">
        <x:v>E324</x:v>
      </x:c>
      <x:c r="B325" s="2" t="str">
        <x:v>***汽贸有限公司</x:v>
      </x:c>
      <x:c r="C325" s="2" t="str">
        <x:v>无信贷记录</x:v>
      </x:c>
      <x:c r="D325" s="2" t="str"/>
      <x:c r="E325" s="2" t="str"/>
      <x:c r="F325" s="13" t="n">
        <x:v>1621</x:v>
      </x:c>
      <x:c r="G325" s="13" t="n">
        <x:v>1569</x:v>
      </x:c>
      <x:c r="H325" s="13" t="n">
        <x:v>52</x:v>
      </x:c>
      <x:c r="I325" s="13" t="n">
        <x:v>6</x:v>
      </x:c>
      <x:c r="J325" s="13" t="n">
        <x:v>91927033.15</x:v>
      </x:c>
      <x:c r="K325" s="13" t="n">
        <x:v>92014235.15</x:v>
      </x:c>
      <x:c r="L325" s="13" t="n">
        <x:v>82</x:v>
      </x:c>
      <x:c r="M325" s="13" t="n">
        <x:v>0.032078963602714373</x:v>
      </x:c>
      <x:c r="N325" s="13" t="n">
        <x:v>0.0038240917782026767</x:v>
      </x:c>
      <x:c r="O325" s="13" t="n">
        <x:v>0.2694956005555338</x:v>
      </x:c>
      <x:c r="P325" s="13" t="n">
        <x:v>0.4780301336885046</x:v>
      </x:c>
      <x:c r="Q325" s="13" t="n">
        <x:v>2484514.409459459</x:v>
      </x:c>
      <x:c r="R325" s="13" t="n">
        <x:v>0.4258691915844231</x:v>
      </x:c>
      <x:c r="S325" s="13" t="n">
        <x:v>0.01288908377918325</x:v>
      </x:c>
      <x:c r="T325" s="13" t="n">
        <x:v>37</x:v>
      </x:c>
      <x:c r="U325" s="13" t="n">
        <x:v>416</x:v>
      </x:c>
      <x:c r="V325" s="13" t="n">
        <x:v>339</x:v>
      </x:c>
      <x:c r="W325" s="13" t="n">
        <x:v>77</x:v>
      </x:c>
      <x:c r="X325" s="13" t="n">
        <x:v>6</x:v>
      </x:c>
      <x:c r="Y325" s="13" t="n">
        <x:v>14963640.68</x:v>
      </x:c>
      <x:c r="Z325" s="13" t="n">
        <x:v>15398344.04</x:v>
      </x:c>
      <x:c r="AA325" s="13" t="n">
        <x:v>43</x:v>
      </x:c>
      <x:c r="AB325" s="13" t="n">
        <x:v>0.18509615384615385</x:v>
      </x:c>
      <x:c r="AC325" s="13" t="n">
        <x:v>0.017699115044247787</x:v>
      </x:c>
      <x:c r="AD325" s="13" t="n">
        <x:v>0.38735165679094175</x:v>
      </x:c>
      <x:c r="AE325" s="13" t="n">
        <x:v>0.6115410842580447</x:v>
      </x:c>
      <x:c r="AF325" s="13" t="n">
        <x:v>404422.7210810811</x:v>
      </x:c>
      <x:c r="AG325" s="13" t="n">
        <x:v>0.7302791975088189</x:v>
      </x:c>
      <x:c r="AH325" s="13" t="n">
        <x:v>-0.012731548890329018</x:v>
      </x:c>
      <x:c r="AI325" s="13" t="n">
        <x:v>37</x:v>
      </x:c>
      <x:c r="AJ325" s="13" t="n">
        <x:v>-66758721.217599995</x:v>
      </x:c>
      <x:c r="AK325" s="13" t="n">
        <x:v>5.975592889142903</x:v>
      </x:c>
      <x:c r="AL325" s="13" t="n">
        <x:v>0.06332842415316642</x:v>
      </x:c>
      <x:c r="AM325" s="13" t="n">
        <x:v>0.006289308176100629</x:v>
      </x:c>
      <x:c r="AN325" s="13" t="n">
        <x:v>0.32842362867323777</x:v>
      </x:c>
      <x:c r="AO325" s="13" t="n">
        <x:v>0.578074194546621</x:v>
      </x:c>
      <x:c r="AP325" s="13" t="n">
        <x:v>0.00007876744442711619</x:v>
      </x:c>
    </x:row>
    <x:row r="326" ht="15" hidden="0" customHeight="1">
      <x:c r="A326" s="2" t="str">
        <x:v>E325</x:v>
      </x:c>
      <x:c r="B326" s="2" t="str">
        <x:v>***通讯器材有限公司</x:v>
      </x:c>
      <x:c r="C326" s="2" t="str">
        <x:v>无信贷记录</x:v>
      </x:c>
      <x:c r="D326" s="2" t="str"/>
      <x:c r="E326" s="2" t="str"/>
      <x:c r="F326" s="13" t="n">
        <x:v>530</x:v>
      </x:c>
      <x:c r="G326" s="13" t="n">
        <x:v>513</x:v>
      </x:c>
      <x:c r="H326" s="13" t="n">
        <x:v>17</x:v>
      </x:c>
      <x:c r="I326" s="13" t="n">
        <x:v>12</x:v>
      </x:c>
      <x:c r="J326" s="13" t="n">
        <x:v>35538257.46</x:v>
      </x:c>
      <x:c r="K326" s="13" t="n">
        <x:v>35540512.7</x:v>
      </x:c>
      <x:c r="L326" s="13" t="n">
        <x:v>63</x:v>
      </x:c>
      <x:c r="M326" s="13" t="n">
        <x:v>0.03207547169811321</x:v>
      </x:c>
      <x:c r="N326" s="13" t="n">
        <x:v>0.023391812865497075</x:v>
      </x:c>
      <x:c r="O326" s="13" t="n">
        <x:v>0.591268762603272</x:v>
      </x:c>
      <x:c r="P326" s="13" t="n">
        <x:v>0.7630364901854667</x:v>
      </x:c>
      <x:c r="Q326" s="13" t="n">
        <x:v>960493.4448648649</x:v>
      </x:c>
      <x:c r="R326" s="13" t="n">
        <x:v>0.44232340169532747</x:v>
      </x:c>
      <x:c r="S326" s="13" t="n">
        <x:v>0.02701936633919642</x:v>
      </x:c>
      <x:c r="T326" s="13" t="n">
        <x:v>37</x:v>
      </x:c>
      <x:c r="U326" s="13" t="n">
        <x:v>4180</x:v>
      </x:c>
      <x:c r="V326" s="13" t="n">
        <x:v>4001</x:v>
      </x:c>
      <x:c r="W326" s="13" t="n">
        <x:v>179</x:v>
      </x:c>
      <x:c r="X326" s="13" t="n">
        <x:v>29</x:v>
      </x:c>
      <x:c r="Y326" s="13" t="n">
        <x:v>13065285.05</x:v>
      </x:c>
      <x:c r="Z326" s="13" t="n">
        <x:v>13368199.57</x:v>
      </x:c>
      <x:c r="AA326" s="13" t="n">
        <x:v>1519</x:v>
      </x:c>
      <x:c r="AB326" s="13" t="n">
        <x:v>0.042822966507177034</x:v>
      </x:c>
      <x:c r="AC326" s="13" t="n">
        <x:v>0.007248187953011747</x:v>
      </x:c>
      <x:c r="AD326" s="13" t="n">
        <x:v>0.1468224845396342</x:v>
      </x:c>
      <x:c r="AE326" s="13" t="n">
        <x:v>0.3021521236909541</x:v>
      </x:c>
      <x:c r="AF326" s="13" t="n">
        <x:v>343823.2907894737</x:v>
      </x:c>
      <x:c r="AG326" s="13" t="n">
        <x:v>0.46143128828836705</x:v>
      </x:c>
      <x:c r="AH326" s="13" t="n">
        <x:v>-0.010615942879263793</x:v>
      </x:c>
      <x:c r="AI326" s="13" t="n">
        <x:v>38</x:v>
      </x:c>
      <x:c r="AJ326" s="13" t="n">
        <x:v>-22472972.41</x:v>
      </x:c>
      <x:c r="AK326" s="13" t="n">
        <x:v>2.6585863349734535</x:v>
      </x:c>
      <x:c r="AL326" s="13" t="n">
        <x:v>0.041613588110403395</x:v>
      </x:c>
      <x:c r="AM326" s="13" t="n">
        <x:v>0.009082853345148427</x:v>
      </x:c>
      <x:c r="AN326" s="13" t="n">
        <x:v>0.3690456235714531</x:v>
      </x:c>
      <x:c r="AO326" s="13" t="n">
        <x:v>0.4518773449918473</x:v>
      </x:c>
      <x:c r="AP326" s="13" t="n">
        <x:v>0.008201711729966314</x:v>
      </x:c>
    </x:row>
    <x:row r="327" ht="15" hidden="0" customHeight="1">
      <x:c r="A327" s="2" t="str">
        <x:v>E326</x:v>
      </x:c>
      <x:c r="B327" s="2" t="str">
        <x:v>***包装材料有限公司</x:v>
      </x:c>
      <x:c r="C327" s="2" t="str">
        <x:v>无信贷记录</x:v>
      </x:c>
      <x:c r="D327" s="2" t="str"/>
      <x:c r="E327" s="2" t="str"/>
      <x:c r="F327" s="13" t="n">
        <x:v>286</x:v>
      </x:c>
      <x:c r="G327" s="13" t="n">
        <x:v>270</x:v>
      </x:c>
      <x:c r="H327" s="13" t="n">
        <x:v>16</x:v>
      </x:c>
      <x:c r="I327" s="13" t="n">
        <x:v>0</x:v>
      </x:c>
      <x:c r="J327" s="13" t="n">
        <x:v>10208729.25</x:v>
      </x:c>
      <x:c r="K327" s="13" t="n">
        <x:v>10208729.25</x:v>
      </x:c>
      <x:c r="L327" s="13" t="n">
        <x:v>38</x:v>
      </x:c>
      <x:c r="M327" s="13" t="n">
        <x:v>0.055944055944055944</x:v>
      </x:c>
      <x:c r="N327" s="13" t="n">
        <x:v>0</x:v>
      </x:c>
      <x:c r="O327" s="13" t="n">
        <x:v>0.0919740865989707</x:v>
      </x:c>
      <x:c r="P327" s="13" t="n">
        <x:v>0.2119971846642911</x:v>
      </x:c>
      <x:c r="Q327" s="13" t="n">
        <x:v>300256.7426470588</x:v>
      </x:c>
      <x:c r="R327" s="13" t="n">
        <x:v>0.5541295141687682</x:v>
      </x:c>
      <x:c r="S327" s="13" t="n">
        <x:v>-0.024503238361602866</x:v>
      </x:c>
      <x:c r="T327" s="13" t="n">
        <x:v>33</x:v>
      </x:c>
      <x:c r="U327" s="13" t="n">
        <x:v>198</x:v>
      </x:c>
      <x:c r="V327" s="13" t="n">
        <x:v>181</x:v>
      </x:c>
      <x:c r="W327" s="13" t="n">
        <x:v>17</x:v>
      </x:c>
      <x:c r="X327" s="13" t="n">
        <x:v>0</x:v>
      </x:c>
      <x:c r="Y327" s="13" t="n">
        <x:v>12813213.69</x:v>
      </x:c>
      <x:c r="Z327" s="13" t="n">
        <x:v>12813213.69</x:v>
      </x:c>
      <x:c r="AA327" s="13" t="n">
        <x:v>36</x:v>
      </x:c>
      <x:c r="AB327" s="13" t="n">
        <x:v>0.08585858585858586</x:v>
      </x:c>
      <x:c r="AC327" s="13" t="n">
        <x:v>0</x:v>
      </x:c>
      <x:c r="AD327" s="13" t="n">
        <x:v>0.18558673386710367</x:v>
      </x:c>
      <x:c r="AE327" s="13" t="n">
        <x:v>0.37922024228724155</x:v>
      </x:c>
      <x:c r="AF327" s="13" t="n">
        <x:v>388279.20272727276</x:v>
      </x:c>
      <x:c r="AG327" s="13" t="n">
        <x:v>0.5961385971324914</x:v>
      </x:c>
      <x:c r="AH327" s="13" t="n">
        <x:v>-0.0169075351670168</x:v>
      </x:c>
      <x:c r="AI327" s="13" t="n">
        <x:v>33</x:v>
      </x:c>
      <x:c r="AJ327" s="13" t="n">
        <x:v>2604484.4399999995</x:v>
      </x:c>
      <x:c r="AK327" s="13" t="n">
        <x:v>0.7967344880829814</x:v>
      </x:c>
      <x:c r="AL327" s="13" t="n">
        <x:v>0.06818181818181818</x:v>
      </x:c>
      <x:c r="AM327" s="13" t="n">
        <x:v>0</x:v>
      </x:c>
      <x:c r="AN327" s="13" t="n">
        <x:v>0.1387804102330372</x:v>
      </x:c>
      <x:c r="AO327" s="13" t="n">
        <x:v>0.5751340556506298</x:v>
      </x:c>
      <x:c r="AP327" s="13" t="n">
        <x:v>-0.020705386764309833</x:v>
      </x:c>
    </x:row>
    <x:row r="328" ht="15" hidden="0" customHeight="1">
      <x:c r="A328" s="2" t="str">
        <x:v>E327</x:v>
      </x:c>
      <x:c r="B328" s="2" t="str">
        <x:v>个体经营E327 </x:v>
      </x:c>
      <x:c r="C328" s="2" t="str">
        <x:v>无信贷记录</x:v>
      </x:c>
      <x:c r="D328" s="2" t="str"/>
      <x:c r="E328" s="2" t="str"/>
      <x:c r="F328" s="13" t="n">
        <x:v>480</x:v>
      </x:c>
      <x:c r="G328" s="13" t="n">
        <x:v>466</x:v>
      </x:c>
      <x:c r="H328" s="13" t="n">
        <x:v>14</x:v>
      </x:c>
      <x:c r="I328" s="13" t="n">
        <x:v>0</x:v>
      </x:c>
      <x:c r="J328" s="13" t="n">
        <x:v>12361512.569999998</x:v>
      </x:c>
      <x:c r="K328" s="13" t="n">
        <x:v>12361512.569999998</x:v>
      </x:c>
      <x:c r="L328" s="13" t="n">
        <x:v>61</x:v>
      </x:c>
      <x:c r="M328" s="13" t="n">
        <x:v>0.029166666666666667</x:v>
      </x:c>
      <x:c r="N328" s="13" t="n">
        <x:v>0</x:v>
      </x:c>
      <x:c r="O328" s="13" t="n">
        <x:v>0.1890646394563403</x:v>
      </x:c>
      <x:c r="P328" s="13" t="n">
        <x:v>0.35134641941313816</x:v>
      </x:c>
      <x:c r="Q328" s="13" t="n">
        <x:v>412050.419</x:v>
      </x:c>
      <x:c r="R328" s="13" t="n">
        <x:v>0.8887180344857719</x:v>
      </x:c>
      <x:c r="S328" s="13" t="n">
        <x:v>-0.037328550943008916</x:v>
      </x:c>
      <x:c r="T328" s="13" t="n">
        <x:v>30</x:v>
      </x:c>
      <x:c r="U328" s="13" t="n">
        <x:v>271</x:v>
      </x:c>
      <x:c r="V328" s="13" t="n">
        <x:v>251</x:v>
      </x:c>
      <x:c r="W328" s="13" t="n">
        <x:v>20</x:v>
      </x:c>
      <x:c r="X328" s="13" t="n">
        <x:v>1</x:v>
      </x:c>
      <x:c r="Y328" s="13" t="n">
        <x:v>20893631.68</x:v>
      </x:c>
      <x:c r="Z328" s="13" t="n">
        <x:v>20943719.36</x:v>
      </x:c>
      <x:c r="AA328" s="13" t="n">
        <x:v>7</x:v>
      </x:c>
      <x:c r="AB328" s="13" t="n">
        <x:v>0.07380073800738007</x:v>
      </x:c>
      <x:c r="AC328" s="13" t="n">
        <x:v>0.00398406374501992</x:v>
      </x:c>
      <x:c r="AD328" s="13" t="n">
        <x:v>0.8511248558850496</x:v>
      </x:c>
      <x:c r="AE328" s="13" t="n">
        <x:v>0.9214478869907852</x:v>
      </x:c>
      <x:c r="AF328" s="13" t="n">
        <x:v>580378.6577777778</x:v>
      </x:c>
      <x:c r="AG328" s="13" t="n">
        <x:v>0.6028721505996388</x:v>
      </x:c>
      <x:c r="AH328" s="13" t="n">
        <x:v>-0.03236902764561319</x:v>
      </x:c>
      <x:c r="AI328" s="13" t="n">
        <x:v>36</x:v>
      </x:c>
      <x:c r="AJ328" s="13" t="n">
        <x:v>8532119.110000001</x:v>
      </x:c>
      <x:c r="AK328" s="13" t="n">
        <x:v>0.590225277445658</x:v>
      </x:c>
      <x:c r="AL328" s="13" t="n">
        <x:v>0.045272969374167776</x:v>
      </x:c>
      <x:c r="AM328" s="13" t="n">
        <x:v>0.001394700139470014</x:v>
      </x:c>
      <x:c r="AN328" s="13" t="n">
        <x:v>0.520094747670695</x:v>
      </x:c>
      <x:c r="AO328" s="13" t="n">
        <x:v>0.7457950925427054</x:v>
      </x:c>
      <x:c r="AP328" s="13" t="n">
        <x:v>-0.03484878929431105</x:v>
      </x:c>
    </x:row>
    <x:row r="329" ht="15" hidden="0" customHeight="1">
      <x:c r="A329" s="2" t="str">
        <x:v>E328</x:v>
      </x:c>
      <x:c r="B329" s="2" t="str">
        <x:v>***科技有限公司</x:v>
      </x:c>
      <x:c r="C329" s="2" t="str">
        <x:v>无信贷记录</x:v>
      </x:c>
      <x:c r="D329" s="2" t="str"/>
      <x:c r="E329" s="2" t="str"/>
      <x:c r="F329" s="13" t="n">
        <x:v>465</x:v>
      </x:c>
      <x:c r="G329" s="13" t="n">
        <x:v>447</x:v>
      </x:c>
      <x:c r="H329" s="13" t="n">
        <x:v>18</x:v>
      </x:c>
      <x:c r="I329" s="13" t="n">
        <x:v>5</x:v>
      </x:c>
      <x:c r="J329" s="13" t="n">
        <x:v>2600801.2199999997</x:v>
      </x:c>
      <x:c r="K329" s="13" t="n">
        <x:v>2604973.42</x:v>
      </x:c>
      <x:c r="L329" s="13" t="n">
        <x:v>93</x:v>
      </x:c>
      <x:c r="M329" s="13" t="n">
        <x:v>0.03870967741935484</x:v>
      </x:c>
      <x:c r="N329" s="13" t="n">
        <x:v>0.011185682326621925</x:v>
      </x:c>
      <x:c r="O329" s="13" t="n">
        <x:v>0.1626828407240749</x:v>
      </x:c>
      <x:c r="P329" s="13" t="n">
        <x:v>0.34702849290492954</x:v>
      </x:c>
      <x:c r="Q329" s="13" t="n">
        <x:v>86693.37400000001</x:v>
      </x:c>
      <x:c r="R329" s="13" t="n">
        <x:v>1.9369414524195607</x:v>
      </x:c>
      <x:c r="S329" s="13" t="n">
        <x:v>0.07743338433413088</x:v>
      </x:c>
      <x:c r="T329" s="13" t="n">
        <x:v>29</x:v>
      </x:c>
      <x:c r="U329" s="13" t="n">
        <x:v>164</x:v>
      </x:c>
      <x:c r="V329" s="13" t="n">
        <x:v>144</x:v>
      </x:c>
      <x:c r="W329" s="13" t="n">
        <x:v>20</x:v>
      </x:c>
      <x:c r="X329" s="13" t="n">
        <x:v>4</x:v>
      </x:c>
      <x:c r="Y329" s="13" t="n">
        <x:v>9087803.58</x:v>
      </x:c>
      <x:c r="Z329" s="13" t="n">
        <x:v>10015290.78</x:v>
      </x:c>
      <x:c r="AA329" s="13" t="n">
        <x:v>44</x:v>
      </x:c>
      <x:c r="AB329" s="13" t="n">
        <x:v>0.12195121951219512</x:v>
      </x:c>
      <x:c r="AC329" s="13" t="n">
        <x:v>0.027777777777777776</x:v>
      </x:c>
      <x:c r="AD329" s="13" t="n">
        <x:v>0.08565141986957954</x:v>
      </x:c>
      <x:c r="AE329" s="13" t="n">
        <x:v>0.15771883559830102</x:v>
      </x:c>
      <x:c r="AF329" s="13" t="n">
        <x:v>313372.5372413793</x:v>
      </x:c>
      <x:c r="AG329" s="13" t="n">
        <x:v>1.3671065224576908</x:v>
      </x:c>
      <x:c r="AH329" s="13" t="n">
        <x:v>0.09958876483237387</x:v>
      </x:c>
      <x:c r="AI329" s="13" t="n">
        <x:v>26</x:v>
      </x:c>
      <x:c r="AJ329" s="13" t="n">
        <x:v>6487002.36</x:v>
      </x:c>
      <x:c r="AK329" s="13" t="n">
        <x:v>0.2600996293789085</x:v>
      </x:c>
      <x:c r="AL329" s="13" t="n">
        <x:v>0.06041335453100159</x:v>
      </x:c>
      <x:c r="AM329" s="13" t="n">
        <x:v>0.015228426395939087</x:v>
      </x:c>
      <x:c r="AN329" s="13" t="n">
        <x:v>0.12416713029682722</x:v>
      </x:c>
      <x:c r="AO329" s="13" t="n">
        <x:v>1.6520239874386258</x:v>
      </x:c>
      <x:c r="AP329" s="13" t="n">
        <x:v>0.08851107458325239</x:v>
      </x:c>
    </x:row>
    <x:row r="330" ht="15" hidden="0" customHeight="1">
      <x:c r="A330" s="2" t="str">
        <x:v>E329</x:v>
      </x:c>
      <x:c r="B330" s="2" t="str">
        <x:v>***园艺有限责任公司</x:v>
      </x:c>
      <x:c r="C330" s="2" t="str">
        <x:v>无信贷记录</x:v>
      </x:c>
      <x:c r="D330" s="2" t="str"/>
      <x:c r="E330" s="2" t="str"/>
      <x:c r="F330" s="13" t="n">
        <x:v>5</x:v>
      </x:c>
      <x:c r="G330" s="13" t="n">
        <x:v>5</x:v>
      </x:c>
      <x:c r="H330" s="13" t="n">
        <x:v>0</x:v>
      </x:c>
      <x:c r="I330" s="13" t="n">
        <x:v>0</x:v>
      </x:c>
      <x:c r="J330" s="13" t="n">
        <x:v>1327</x:v>
      </x:c>
      <x:c r="K330" s="13" t="n">
        <x:v>1327</x:v>
      </x:c>
      <x:c r="L330" s="13" t="n">
        <x:v>4</x:v>
      </x:c>
      <x:c r="M330" s="13" t="n">
        <x:v>0</x:v>
      </x:c>
      <x:c r="N330" s="13" t="n">
        <x:v>0</x:v>
      </x:c>
      <x:c r="O330" s="13" t="n">
        <x:v>0.2934502186062016</x:v>
      </x:c>
      <x:c r="P330" s="13" t="n">
        <x:v>0.42200452147701584</x:v>
      </x:c>
      <x:c r="Q330" s="13" t="n">
        <x:v>51.03846153846154</x:v>
      </x:c>
      <x:c r="R330" s="13" t="n">
        <x:v>2.6051496268839487</x:v>
      </x:c>
      <x:c r="S330" s="13" t="n">
        <x:v>-0.03161014820334954</x:v>
      </x:c>
      <x:c r="T330" s="13" t="n">
        <x:v>4</x:v>
      </x:c>
      <x:c r="U330" s="13" t="n">
        <x:v>129</x:v>
      </x:c>
      <x:c r="V330" s="13" t="n">
        <x:v>124</x:v>
      </x:c>
      <x:c r="W330" s="13" t="n">
        <x:v>5</x:v>
      </x:c>
      <x:c r="X330" s="13" t="n">
        <x:v>0</x:v>
      </x:c>
      <x:c r="Y330" s="13" t="n">
        <x:v>11070606.100000001</x:v>
      </x:c>
      <x:c r="Z330" s="13" t="n">
        <x:v>11070606.100000001</x:v>
      </x:c>
      <x:c r="AA330" s="13" t="n">
        <x:v>16</x:v>
      </x:c>
      <x:c r="AB330" s="13" t="n">
        <x:v>0.03875968992248062</x:v>
      </x:c>
      <x:c r="AC330" s="13" t="n">
        <x:v>0</x:v>
      </x:c>
      <x:c r="AD330" s="13" t="n">
        <x:v>0.2362761024962342</x:v>
      </x:c>
      <x:c r="AE330" s="13" t="n">
        <x:v>0.38957108229151066</x:v>
      </x:c>
      <x:c r="AF330" s="13" t="n">
        <x:v>369020.2033333333</x:v>
      </x:c>
      <x:c r="AG330" s="13" t="n">
        <x:v>1.1753146261191916</x:v>
      </x:c>
      <x:c r="AH330" s="13" t="n">
        <x:v>0.059175656615092456</x:v>
      </x:c>
      <x:c r="AI330" s="13" t="n">
        <x:v>18</x:v>
      </x:c>
      <x:c r="AJ330" s="13" t="n">
        <x:v>11069279.100000001</x:v>
      </x:c>
      <x:c r="AK330" s="13" t="n">
        <x:v>0.000324549550467228</x:v>
      </x:c>
      <x:c r="AL330" s="13" t="n">
        <x:v>0.03731343283582089</x:v>
      </x:c>
      <x:c r="AM330" s="13" t="n">
        <x:v>0</x:v>
      </x:c>
      <x:c r="AN330" s="13" t="n">
        <x:v>0.2648631605512179</x:v>
      </x:c>
      <x:c r="AO330" s="13" t="n">
        <x:v>1.8902321265015702</x:v>
      </x:c>
      <x:c r="AP330" s="13" t="n">
        <x:v>0.013782754205871457</x:v>
      </x:c>
    </x:row>
    <x:row r="331" ht="15" hidden="0" customHeight="1">
      <x:c r="A331" s="2" t="str">
        <x:v>E330</x:v>
      </x:c>
      <x:c r="B331" s="2" t="str">
        <x:v>***酒店管理有限公司</x:v>
      </x:c>
      <x:c r="C331" s="2" t="str">
        <x:v>无信贷记录</x:v>
      </x:c>
      <x:c r="D331" s="2" t="str"/>
      <x:c r="E331" s="2" t="str"/>
      <x:c r="F331" s="13" t="n">
        <x:v>1374</x:v>
      </x:c>
      <x:c r="G331" s="13" t="n">
        <x:v>1344</x:v>
      </x:c>
      <x:c r="H331" s="13" t="n">
        <x:v>30</x:v>
      </x:c>
      <x:c r="I331" s="13" t="n">
        <x:v>6</x:v>
      </x:c>
      <x:c r="J331" s="13" t="n">
        <x:v>2871321.34</x:v>
      </x:c>
      <x:c r="K331" s="13" t="n">
        <x:v>2886815.88</x:v>
      </x:c>
      <x:c r="L331" s="13" t="n">
        <x:v>235</x:v>
      </x:c>
      <x:c r="M331" s="13" t="n">
        <x:v>0.021834061135371178</x:v>
      </x:c>
      <x:c r="N331" s="13" t="n">
        <x:v>0.004464285714285714</x:v>
      </x:c>
      <x:c r="O331" s="13" t="n">
        <x:v>0.07668298206933061</x:v>
      </x:c>
      <x:c r="P331" s="13" t="n">
        <x:v>0.18890476659010205</x:v>
      </x:c>
      <x:c r="Q331" s="13" t="n">
        <x:v>82037.75257142859</x:v>
      </x:c>
      <x:c r="R331" s="13" t="n">
        <x:v>0.7038607940545354</x:v>
      </x:c>
      <x:c r="S331" s="13" t="n">
        <x:v>0.032051838456052736</x:v>
      </x:c>
      <x:c r="T331" s="13" t="n">
        <x:v>34</x:v>
      </x:c>
      <x:c r="U331" s="13" t="n">
        <x:v>7833</x:v>
      </x:c>
      <x:c r="V331" s="13" t="n">
        <x:v>7773</x:v>
      </x:c>
      <x:c r="W331" s="13" t="n">
        <x:v>60</x:v>
      </x:c>
      <x:c r="X331" s="13" t="n">
        <x:v>34</x:v>
      </x:c>
      <x:c r="Y331" s="13" t="n">
        <x:v>8545933.74</x:v>
      </x:c>
      <x:c r="Z331" s="13" t="n">
        <x:v>8596053.74</x:v>
      </x:c>
      <x:c r="AA331" s="13" t="n">
        <x:v>1421</x:v>
      </x:c>
      <x:c r="AB331" s="13" t="n">
        <x:v>0.0076599004212945234</x:v>
      </x:c>
      <x:c r="AC331" s="13" t="n">
        <x:v>0.004374115528110125</x:v>
      </x:c>
      <x:c r="AD331" s="13" t="n">
        <x:v>0.24988278147900625</x:v>
      </x:c>
      <x:c r="AE331" s="13" t="n">
        <x:v>0.4455128034134416</x:v>
      </x:c>
      <x:c r="AF331" s="13" t="n">
        <x:v>224892.99315789473</x:v>
      </x:c>
      <x:c r="AG331" s="13" t="n">
        <x:v>0.4839217674220424</x:v>
      </x:c>
      <x:c r="AH331" s="13" t="n">
        <x:v>0.018631364011544704</x:v>
      </x:c>
      <x:c r="AI331" s="13" t="n">
        <x:v>38</x:v>
      </x:c>
      <x:c r="AJ331" s="13" t="n">
        <x:v>5674612.4</x:v>
      </x:c>
      <x:c r="AK331" s="13" t="n">
        <x:v>0.3358303667375629</x:v>
      </x:c>
      <x:c r="AL331" s="13" t="n">
        <x:v>0.009775171065493646</x:v>
      </x:c>
      <x:c r="AM331" s="13" t="n">
        <x:v>0.0043874081386420976</x:v>
      </x:c>
      <x:c r="AN331" s="13" t="n">
        <x:v>0.16328288177416844</x:v>
      </x:c>
      <x:c r="AO331" s="13" t="n">
        <x:v>0.5938912807382889</x:v>
      </x:c>
      <x:c r="AP331" s="13" t="n">
        <x:v>0.025341601233798722</x:v>
      </x:c>
    </x:row>
    <x:row r="332" ht="15" hidden="0" customHeight="1">
      <x:c r="A332" s="2" t="str">
        <x:v>E331</x:v>
      </x:c>
      <x:c r="B332" s="2" t="str">
        <x:v>***广告有限公司</x:v>
      </x:c>
      <x:c r="C332" s="2" t="str">
        <x:v>无信贷记录</x:v>
      </x:c>
      <x:c r="D332" s="2" t="str"/>
      <x:c r="E332" s="2" t="str"/>
      <x:c r="F332" s="13" t="n">
        <x:v>144</x:v>
      </x:c>
      <x:c r="G332" s="13" t="n">
        <x:v>139</x:v>
      </x:c>
      <x:c r="H332" s="13" t="n">
        <x:v>5</x:v>
      </x:c>
      <x:c r="I332" s="13" t="n">
        <x:v>1</x:v>
      </x:c>
      <x:c r="J332" s="13" t="n">
        <x:v>1272092.2200000002</x:v>
      </x:c>
      <x:c r="K332" s="13" t="n">
        <x:v>1275490.2200000002</x:v>
      </x:c>
      <x:c r="L332" s="13" t="n">
        <x:v>77</x:v>
      </x:c>
      <x:c r="M332" s="13" t="n">
        <x:v>0.034722222222222224</x:v>
      </x:c>
      <x:c r="N332" s="13" t="n">
        <x:v>0.007194244604316547</x:v>
      </x:c>
      <x:c r="O332" s="13" t="n">
        <x:v>0.10766192807023583</x:v>
      </x:c>
      <x:c r="P332" s="13" t="n">
        <x:v>0.20611275247567165</x:v>
      </x:c>
      <x:c r="Q332" s="13" t="n">
        <x:v>34380.87081081081</x:v>
      </x:c>
      <x:c r="R332" s="13" t="n">
        <x:v>1.8029599340828895</x:v>
      </x:c>
      <x:c r="S332" s="13" t="n">
        <x:v>0.021389305641885643</x:v>
      </x:c>
      <x:c r="T332" s="13" t="n">
        <x:v>32</x:v>
      </x:c>
      <x:c r="U332" s="13" t="n">
        <x:v>95</x:v>
      </x:c>
      <x:c r="V332" s="13" t="n">
        <x:v>88</x:v>
      </x:c>
      <x:c r="W332" s="13" t="n">
        <x:v>7</x:v>
      </x:c>
      <x:c r="X332" s="13" t="n">
        <x:v>3</x:v>
      </x:c>
      <x:c r="Y332" s="13" t="n">
        <x:v>6402341.75</x:v>
      </x:c>
      <x:c r="Z332" s="13" t="n">
        <x:v>6636541.75</x:v>
      </x:c>
      <x:c r="AA332" s="13" t="n">
        <x:v>13</x:v>
      </x:c>
      <x:c r="AB332" s="13" t="n">
        <x:v>0.07368421052631578</x:v>
      </x:c>
      <x:c r="AC332" s="13" t="n">
        <x:v>0.03409090909090909</x:v>
      </x:c>
      <x:c r="AD332" s="13" t="n">
        <x:v>0.2885254247154554</x:v>
      </x:c>
      <x:c r="AE332" s="13" t="n">
        <x:v>0.4484263208319303</x:v>
      </x:c>
      <x:c r="AF332" s="13" t="n">
        <x:v>188304.16911764705</x:v>
      </x:c>
      <x:c r="AG332" s="13" t="n">
        <x:v>1.9440885451511378</x:v>
      </x:c>
      <x:c r="AH332" s="13" t="n">
        <x:v>0.010216627214727898</x:v>
      </x:c>
      <x:c r="AI332" s="13" t="n">
        <x:v>24</x:v>
      </x:c>
      <x:c r="AJ332" s="13" t="n">
        <x:v>5130249.529999999</x:v>
      </x:c>
      <x:c r="AK332" s="13" t="n">
        <x:v>0.19219199818941846</x:v>
      </x:c>
      <x:c r="AL332" s="13" t="n">
        <x:v>0.0502092050209205</x:v>
      </x:c>
      <x:c r="AM332" s="13" t="n">
        <x:v>0.01762114537444934</x:v>
      </x:c>
      <x:c r="AN332" s="13" t="n">
        <x:v>0.1980936763928456</x:v>
      </x:c>
      <x:c r="AO332" s="13" t="n">
        <x:v>1.8735242396170135</x:v>
      </x:c>
      <x:c r="AP332" s="13" t="n">
        <x:v>0.01580296642830677</x:v>
      </x:c>
    </x:row>
    <x:row r="333" ht="15" hidden="0" customHeight="1">
      <x:c r="A333" s="2" t="str">
        <x:v>E332</x:v>
      </x:c>
      <x:c r="B333" s="2" t="str">
        <x:v>***商贸有限公司</x:v>
      </x:c>
      <x:c r="C333" s="2" t="str">
        <x:v>无信贷记录</x:v>
      </x:c>
      <x:c r="D333" s="2" t="str"/>
      <x:c r="E333" s="2" t="str"/>
      <x:c r="F333" s="13" t="n">
        <x:v>837</x:v>
      </x:c>
      <x:c r="G333" s="13" t="n">
        <x:v>817</x:v>
      </x:c>
      <x:c r="H333" s="13" t="n">
        <x:v>20</x:v>
      </x:c>
      <x:c r="I333" s="13" t="n">
        <x:v>5</x:v>
      </x:c>
      <x:c r="J333" s="13" t="n">
        <x:v>18434357.43</x:v>
      </x:c>
      <x:c r="K333" s="13" t="n">
        <x:v>20491149.75</x:v>
      </x:c>
      <x:c r="L333" s="13" t="n">
        <x:v>208</x:v>
      </x:c>
      <x:c r="M333" s="13" t="n">
        <x:v>0.023894862604540025</x:v>
      </x:c>
      <x:c r="N333" s="13" t="n">
        <x:v>0.006119951040391677</x:v>
      </x:c>
      <x:c r="O333" s="13" t="n">
        <x:v>0.20201435463850925</x:v>
      </x:c>
      <x:c r="P333" s="13" t="n">
        <x:v>0.3541518811066226</x:v>
      </x:c>
      <x:c r="Q333" s="13" t="n">
        <x:v>498225.8764864866</x:v>
      </x:c>
      <x:c r="R333" s="13" t="n">
        <x:v>1.369692152726653</x:v>
      </x:c>
      <x:c r="S333" s="13" t="n">
        <x:v>-0.03085556761893495</x:v>
      </x:c>
      <x:c r="T333" s="13" t="n">
        <x:v>37</x:v>
      </x:c>
      <x:c r="U333" s="13" t="n">
        <x:v>388</x:v>
      </x:c>
      <x:c r="V333" s="13" t="n">
        <x:v>378</x:v>
      </x:c>
      <x:c r="W333" s="13" t="n">
        <x:v>10</x:v>
      </x:c>
      <x:c r="X333" s="13" t="n">
        <x:v>3</x:v>
      </x:c>
      <x:c r="Y333" s="13" t="n">
        <x:v>35648264.20999999</x:v>
      </x:c>
      <x:c r="Z333" s="13" t="n">
        <x:v>35932114.589999996</x:v>
      </x:c>
      <x:c r="AA333" s="13" t="n">
        <x:v>6</x:v>
      </x:c>
      <x:c r="AB333" s="13" t="n">
        <x:v>0.02577319587628866</x:v>
      </x:c>
      <x:c r="AC333" s="13" t="n">
        <x:v>0.007936507936507936</x:v>
      </x:c>
      <x:c r="AD333" s="13" t="n">
        <x:v>0.7822201801451009</x:v>
      </x:c>
      <x:c r="AE333" s="13" t="n">
        <x:v>0.8799855822790862</x:v>
      </x:c>
      <x:c r="AF333" s="13" t="n">
        <x:v>1320306.0818518517</x:v>
      </x:c>
      <x:c r="AG333" s="13" t="n">
        <x:v>1.2717656502125132</x:v>
      </x:c>
      <x:c r="AH333" s="13" t="n">
        <x:v>-0.056948575176802796</x:v>
      </x:c>
      <x:c r="AI333" s="13" t="n">
        <x:v>26</x:v>
      </x:c>
      <x:c r="AJ333" s="13" t="n">
        <x:v>17213906.779999994</x:v>
      </x:c>
      <x:c r="AK333" s="13" t="n">
        <x:v>0.5702739731243855</x:v>
      </x:c>
      <x:c r="AL333" s="13" t="n">
        <x:v>0.024489795918367346</x:v>
      </x:c>
      <x:c r="AM333" s="13" t="n">
        <x:v>0.0066945606694560665</x:v>
      </x:c>
      <x:c r="AN333" s="13" t="n">
        <x:v>0.49211726739180506</x:v>
      </x:c>
      <x:c r="AO333" s="13" t="n">
        <x:v>1.320728901469583</x:v>
      </x:c>
      <x:c r="AP333" s="13" t="n">
        <x:v>-0.04390207139786887</x:v>
      </x:c>
    </x:row>
    <x:row r="334" ht="15" hidden="0" customHeight="1">
      <x:c r="A334" s="2" t="str">
        <x:v>E333</x:v>
      </x:c>
      <x:c r="B334" s="2" t="str">
        <x:v>***房地产营销策划有限公司</x:v>
      </x:c>
      <x:c r="C334" s="2" t="str">
        <x:v>无信贷记录</x:v>
      </x:c>
      <x:c r="D334" s="2" t="str"/>
      <x:c r="E334" s="2" t="str"/>
      <x:c r="F334" s="13" t="n">
        <x:v>849</x:v>
      </x:c>
      <x:c r="G334" s="13" t="n">
        <x:v>844</x:v>
      </x:c>
      <x:c r="H334" s="13" t="n">
        <x:v>5</x:v>
      </x:c>
      <x:c r="I334" s="13" t="n">
        <x:v>5</x:v>
      </x:c>
      <x:c r="J334" s="13" t="n">
        <x:v>1426080.5999999999</x:v>
      </x:c>
      <x:c r="K334" s="13" t="n">
        <x:v>1429381.6599999997</x:v>
      </x:c>
      <x:c r="L334" s="13" t="n">
        <x:v>185</x:v>
      </x:c>
      <x:c r="M334" s="13" t="n">
        <x:v>0.005889281507656066</x:v>
      </x:c>
      <x:c r="N334" s="13" t="n">
        <x:v>0.005924170616113744</x:v>
      </x:c>
      <x:c r="O334" s="13" t="n">
        <x:v>0.1185660315754002</x:v>
      </x:c>
      <x:c r="P334" s="13" t="n">
        <x:v>0.26081207730061406</x:v>
      </x:c>
      <x:c r="Q334" s="13" t="n">
        <x:v>40745.16</x:v>
      </x:c>
      <x:c r="R334" s="13" t="n">
        <x:v>1.7711377914372948</x:v>
      </x:c>
      <x:c r="S334" s="13" t="n">
        <x:v>0.06667705514254889</x:v>
      </x:c>
      <x:c r="T334" s="13" t="n">
        <x:v>31</x:v>
      </x:c>
      <x:c r="U334" s="13" t="n">
        <x:v>137</x:v>
      </x:c>
      <x:c r="V334" s="13" t="n">
        <x:v>127</x:v>
      </x:c>
      <x:c r="W334" s="13" t="n">
        <x:v>10</x:v>
      </x:c>
      <x:c r="X334" s="13" t="n">
        <x:v>1</x:v>
      </x:c>
      <x:c r="Y334" s="13" t="n">
        <x:v>7334016.649999999</x:v>
      </x:c>
      <x:c r="Z334" s="13" t="n">
        <x:v>7361516.649999999</x:v>
      </x:c>
      <x:c r="AA334" s="13" t="n">
        <x:v>6</x:v>
      </x:c>
      <x:c r="AB334" s="13" t="n">
        <x:v>0.072992700729927</x:v>
      </x:c>
      <x:c r="AC334" s="13" t="n">
        <x:v>0.007874015748031496</x:v>
      </x:c>
      <x:c r="AD334" s="13" t="n">
        <x:v>0.6079531727448251</x:v>
      </x:c>
      <x:c r="AE334" s="13" t="n">
        <x:v>0.7633746545964818</x:v>
      </x:c>
      <x:c r="AF334" s="13" t="n">
        <x:v>222242.92878787877</x:v>
      </x:c>
      <x:c r="AG334" s="13" t="n">
        <x:v>0.8514496940702789</x:v>
      </x:c>
      <x:c r="AH334" s="13" t="n">
        <x:v>0.020402605837977886</x:v>
      </x:c>
      <x:c r="AI334" s="13" t="n">
        <x:v>29</x:v>
      </x:c>
      <x:c r="AJ334" s="13" t="n">
        <x:v>5907936.05</x:v>
      </x:c>
      <x:c r="AK334" s="13" t="n">
        <x:v>0.19416945283958567</x:v>
      </x:c>
      <x:c r="AL334" s="13" t="n">
        <x:v>0.015212981744421906</x:v>
      </x:c>
      <x:c r="AM334" s="13" t="n">
        <x:v>0.006179196704428424</x:v>
      </x:c>
      <x:c r="AN334" s="13" t="n">
        <x:v>0.36325960216011266</x:v>
      </x:c>
      <x:c r="AO334" s="13" t="n">
        <x:v>1.311293742753787</x:v>
      </x:c>
      <x:c r="AP334" s="13" t="n">
        <x:v>0.04353983049026339</x:v>
      </x:c>
    </x:row>
    <x:row r="335" ht="15" hidden="0" customHeight="1">
      <x:c r="A335" s="2" t="str">
        <x:v>E334</x:v>
      </x:c>
      <x:c r="B335" s="2" t="str">
        <x:v>***机械科技有限公司</x:v>
      </x:c>
      <x:c r="C335" s="2" t="str">
        <x:v>无信贷记录</x:v>
      </x:c>
      <x:c r="D335" s="2" t="str"/>
      <x:c r="E335" s="2" t="str"/>
      <x:c r="F335" s="13" t="n">
        <x:v>150</x:v>
      </x:c>
      <x:c r="G335" s="13" t="n">
        <x:v>147</x:v>
      </x:c>
      <x:c r="H335" s="13" t="n">
        <x:v>3</x:v>
      </x:c>
      <x:c r="I335" s="13" t="n">
        <x:v>0</x:v>
      </x:c>
      <x:c r="J335" s="13" t="n">
        <x:v>6299718.03</x:v>
      </x:c>
      <x:c r="K335" s="13" t="n">
        <x:v>6299718.03</x:v>
      </x:c>
      <x:c r="L335" s="13" t="n">
        <x:v>25</x:v>
      </x:c>
      <x:c r="M335" s="13" t="n">
        <x:v>0.02</x:v>
      </x:c>
      <x:c r="N335" s="13" t="n">
        <x:v>0</x:v>
      </x:c>
      <x:c r="O335" s="13" t="n">
        <x:v>0.4149290062887436</x:v>
      </x:c>
      <x:c r="P335" s="13" t="n">
        <x:v>0.5016205463405479</x:v>
      </x:c>
      <x:c r="Q335" s="13" t="n">
        <x:v>203216.7106451613</x:v>
      </x:c>
      <x:c r="R335" s="13" t="n">
        <x:v>1.0574046678781823</x:v>
      </x:c>
      <x:c r="S335" s="13" t="n">
        <x:v>-0.017097788343393455</x:v>
      </x:c>
      <x:c r="T335" s="13" t="n">
        <x:v>31</x:v>
      </x:c>
      <x:c r="U335" s="13" t="n">
        <x:v>197</x:v>
      </x:c>
      <x:c r="V335" s="13" t="n">
        <x:v>185</x:v>
      </x:c>
      <x:c r="W335" s="13" t="n">
        <x:v>12</x:v>
      </x:c>
      <x:c r="X335" s="13" t="n">
        <x:v>6</x:v>
      </x:c>
      <x:c r="Y335" s="13" t="n">
        <x:v>8710773.97</x:v>
      </x:c>
      <x:c r="Z335" s="13" t="n">
        <x:v>9021369.97</x:v>
      </x:c>
      <x:c r="AA335" s="13" t="n">
        <x:v>20</x:v>
      </x:c>
      <x:c r="AB335" s="13" t="n">
        <x:v>0.06091370558375635</x:v>
      </x:c>
      <x:c r="AC335" s="13" t="n">
        <x:v>0.032432432432432434</x:v>
      </x:c>
      <x:c r="AD335" s="13" t="n">
        <x:v>0.6004256639543111</x:v>
      </x:c>
      <x:c r="AE335" s="13" t="n">
        <x:v>0.7664003053851033</x:v>
      </x:c>
      <x:c r="AF335" s="13" t="n">
        <x:v>290359.1323333334</x:v>
      </x:c>
      <x:c r="AG335" s="13" t="n">
        <x:v>0.6969544890466471</x:v>
      </x:c>
      <x:c r="AH335" s="13" t="n">
        <x:v>-0.010654154013975023</x:v>
      </x:c>
      <x:c r="AI335" s="13" t="n">
        <x:v>29</x:v>
      </x:c>
      <x:c r="AJ335" s="13" t="n">
        <x:v>2411055.9400000004</x:v>
      </x:c>
      <x:c r="AK335" s="13" t="n">
        <x:v>0.6983105726679335</x:v>
      </x:c>
      <x:c r="AL335" s="13" t="n">
        <x:v>0.043227665706051875</x:v>
      </x:c>
      <x:c r="AM335" s="13" t="n">
        <x:v>0.018072289156626505</x:v>
      </x:c>
      <x:c r="AN335" s="13" t="n">
        <x:v>0.5076773351215274</x:v>
      </x:c>
      <x:c r="AO335" s="13" t="n">
        <x:v>0.8771795784624148</x:v>
      </x:c>
      <x:c r="AP335" s="13" t="n">
        <x:v>-0.013875971178684238</x:v>
      </x:c>
    </x:row>
    <x:row r="336" ht="15" hidden="0" customHeight="1">
      <x:c r="A336" s="2" t="str">
        <x:v>E335</x:v>
      </x:c>
      <x:c r="B336" s="2" t="str">
        <x:v>***挖掘机租赁经营部</x:v>
      </x:c>
      <x:c r="C336" s="2" t="str">
        <x:v>无信贷记录</x:v>
      </x:c>
      <x:c r="D336" s="2" t="str"/>
      <x:c r="E336" s="2" t="str"/>
      <x:c r="F336" s="13" t="n">
        <x:v>439</x:v>
      </x:c>
      <x:c r="G336" s="13" t="n">
        <x:v>431</x:v>
      </x:c>
      <x:c r="H336" s="13" t="n">
        <x:v>8</x:v>
      </x:c>
      <x:c r="I336" s="13" t="n">
        <x:v>0</x:v>
      </x:c>
      <x:c r="J336" s="13" t="n">
        <x:v>3600455.009999999</x:v>
      </x:c>
      <x:c r="K336" s="13" t="n">
        <x:v>3600455.009999999</x:v>
      </x:c>
      <x:c r="L336" s="13" t="n">
        <x:v>59</x:v>
      </x:c>
      <x:c r="M336" s="13" t="n">
        <x:v>0.018223234624145785</x:v>
      </x:c>
      <x:c r="N336" s="13" t="n">
        <x:v>0</x:v>
      </x:c>
      <x:c r="O336" s="13" t="n">
        <x:v>0.3769655885335688</x:v>
      </x:c>
      <x:c r="P336" s="13" t="n">
        <x:v>0.5818153522768224</x:v>
      </x:c>
      <x:c r="Q336" s="13" t="n">
        <x:v>138479.03884615385</x:v>
      </x:c>
      <x:c r="R336" s="13" t="n">
        <x:v>2.877114929702506</x:v>
      </x:c>
      <x:c r="S336" s="13" t="n">
        <x:v>0.1285953234869356</x:v>
      </x:c>
      <x:c r="T336" s="13" t="n">
        <x:v>19</x:v>
      </x:c>
      <x:c r="U336" s="13" t="n">
        <x:v>340</x:v>
      </x:c>
      <x:c r="V336" s="13" t="n">
        <x:v>272</x:v>
      </x:c>
      <x:c r="W336" s="13" t="n">
        <x:v>68</x:v>
      </x:c>
      <x:c r="X336" s="13" t="n">
        <x:v>0</x:v>
      </x:c>
      <x:c r="Y336" s="13" t="n">
        <x:v>6017598.1899999995</x:v>
      </x:c>
      <x:c r="Z336" s="13" t="n">
        <x:v>6017598.1899999995</x:v>
      </x:c>
      <x:c r="AA336" s="13" t="n">
        <x:v>11</x:v>
      </x:c>
      <x:c r="AB336" s="13" t="n">
        <x:v>0.2</x:v>
      </x:c>
      <x:c r="AC336" s="13" t="n">
        <x:v>0</x:v>
      </x:c>
      <x:c r="AD336" s="13" t="n">
        <x:v>0.3519164134930235</x:v>
      </x:c>
      <x:c r="AE336" s="13" t="n">
        <x:v>0.41529072249338733</x:v>
      </x:c>
      <x:c r="AF336" s="13" t="n">
        <x:v>240703.92760000002</x:v>
      </x:c>
      <x:c r="AG336" s="13" t="n">
        <x:v>1.3589982784998689</x:v>
      </x:c>
      <x:c r="AH336" s="13" t="n">
        <x:v>0.09526789157769845</x:v>
      </x:c>
      <x:c r="AI336" s="13" t="n">
        <x:v>18</x:v>
      </x:c>
      <x:c r="AJ336" s="13" t="n">
        <x:v>2417143.1800000006</x:v>
      </x:c>
      <x:c r="AK336" s="13" t="n">
        <x:v>0.5983209407339971</x:v>
      </x:c>
      <x:c r="AL336" s="13" t="n">
        <x:v>0.0975609756097561</x:v>
      </x:c>
      <x:c r="AM336" s="13" t="n">
        <x:v>0</x:v>
      </x:c>
      <x:c r="AN336" s="13" t="n">
        <x:v>0.36444100101329613</x:v>
      </x:c>
      <x:c r="AO336" s="13" t="n">
        <x:v>2.1180566041011875</x:v>
      </x:c>
      <x:c r="AP336" s="13" t="n">
        <x:v>0.11193160753231701</x:v>
      </x:c>
    </x:row>
    <x:row r="337" ht="15" hidden="0" customHeight="1">
      <x:c r="A337" s="2" t="str">
        <x:v>E336</x:v>
      </x:c>
      <x:c r="B337" s="2" t="str">
        <x:v>***猕猴桃专业合作社</x:v>
      </x:c>
      <x:c r="C337" s="2" t="str">
        <x:v>无信贷记录</x:v>
      </x:c>
      <x:c r="D337" s="2" t="str"/>
      <x:c r="E337" s="2" t="str"/>
      <x:c r="F337" s="13" t="n">
        <x:v>7</x:v>
      </x:c>
      <x:c r="G337" s="13" t="n">
        <x:v>7</x:v>
      </x:c>
      <x:c r="H337" s="13" t="n">
        <x:v>0</x:v>
      </x:c>
      <x:c r="I337" s="13" t="n">
        <x:v>0</x:v>
      </x:c>
      <x:c r="J337" s="13" t="n">
        <x:v>262138</x:v>
      </x:c>
      <x:c r="K337" s="13" t="n">
        <x:v>262138</x:v>
      </x:c>
      <x:c r="L337" s="13" t="n">
        <x:v>4</x:v>
      </x:c>
      <x:c r="M337" s="13" t="n">
        <x:v>0</x:v>
      </x:c>
      <x:c r="N337" s="13" t="n">
        <x:v>0</x:v>
      </x:c>
      <x:c r="O337" s="13" t="n">
        <x:v>0.9918594966945804</x:v>
      </x:c>
      <x:c r="P337" s="13" t="n">
        <x:v>0.9959181805003472</x:v>
      </x:c>
      <x:c r="Q337" s="13" t="n">
        <x:v>10485.52</x:v>
      </x:c>
      <x:c r="R337" s="13" t="n">
        <x:v>3.413406793240201</x:v>
      </x:c>
      <x:c r="S337" s="13" t="n">
        <x:v>0.00800547216175548</x:v>
      </x:c>
      <x:c r="T337" s="13" t="n">
        <x:v>5</x:v>
      </x:c>
      <x:c r="U337" s="13" t="n">
        <x:v>53</x:v>
      </x:c>
      <x:c r="V337" s="13" t="n">
        <x:v>48</x:v>
      </x:c>
      <x:c r="W337" s="13" t="n">
        <x:v>5</x:v>
      </x:c>
      <x:c r="X337" s="13" t="n">
        <x:v>0</x:v>
      </x:c>
      <x:c r="Y337" s="13" t="n">
        <x:v>2879237.11</x:v>
      </x:c>
      <x:c r="Z337" s="13" t="n">
        <x:v>2879237.11</x:v>
      </x:c>
      <x:c r="AA337" s="13" t="n">
        <x:v>19</x:v>
      </x:c>
      <x:c r="AB337" s="13" t="n">
        <x:v>0.09433962264150944</x:v>
      </x:c>
      <x:c r="AC337" s="13" t="n">
        <x:v>0</x:v>
      </x:c>
      <x:c r="AD337" s="13" t="n">
        <x:v>0.3787585508133191</x:v>
      </x:c>
      <x:c r="AE337" s="13" t="n">
        <x:v>0.5551303831312455</x:v>
      </x:c>
      <x:c r="AF337" s="13" t="n">
        <x:v>99284.03827586207</x:v>
      </x:c>
      <x:c r="AG337" s="13" t="n">
        <x:v>3.407039552429552</x:v>
      </x:c>
      <x:c r="AH337" s="13" t="n">
        <x:v>0.011677607644378413</x:v>
      </x:c>
      <x:c r="AI337" s="13" t="n">
        <x:v>11</x:v>
      </x:c>
      <x:c r="AJ337" s="13" t="n">
        <x:v>2617099.11</x:v>
      </x:c>
      <x:c r="AK337" s="13" t="n">
        <x:v>0.09104425581677777</x:v>
      </x:c>
      <x:c r="AL337" s="13" t="n">
        <x:v>0.08333333333333333</x:v>
      </x:c>
      <x:c r="AM337" s="13" t="n">
        <x:v>0</x:v>
      </x:c>
      <x:c r="AN337" s="13" t="n">
        <x:v>0.6853090237539498</x:v>
      </x:c>
      <x:c r="AO337" s="13" t="n">
        <x:v>3.447861192699456</x:v>
      </x:c>
      <x:c r="AP337" s="13" t="n">
        <x:v>0.009841539903066947</x:v>
      </x:c>
    </x:row>
    <x:row r="338" ht="15" hidden="0" customHeight="1">
      <x:c r="A338" s="2" t="str">
        <x:v>E337</x:v>
      </x:c>
      <x:c r="B338" s="2" t="str">
        <x:v>个体经营E337 </x:v>
      </x:c>
      <x:c r="C338" s="2" t="str">
        <x:v>无信贷记录</x:v>
      </x:c>
      <x:c r="D338" s="2" t="str"/>
      <x:c r="E338" s="2" t="str"/>
      <x:c r="F338" s="13" t="n">
        <x:v>69</x:v>
      </x:c>
      <x:c r="G338" s="13" t="n">
        <x:v>66</x:v>
      </x:c>
      <x:c r="H338" s="13" t="n">
        <x:v>3</x:v>
      </x:c>
      <x:c r="I338" s="13" t="n">
        <x:v>0</x:v>
      </x:c>
      <x:c r="J338" s="13" t="n">
        <x:v>318168.78</x:v>
      </x:c>
      <x:c r="K338" s="13" t="n">
        <x:v>318168.78</x:v>
      </x:c>
      <x:c r="L338" s="13" t="n">
        <x:v>35</x:v>
      </x:c>
      <x:c r="M338" s="13" t="n">
        <x:v>0.043478260869565216</x:v>
      </x:c>
      <x:c r="N338" s="13" t="n">
        <x:v>0</x:v>
      </x:c>
      <x:c r="O338" s="13" t="n">
        <x:v>0.2587295893676967</x:v>
      </x:c>
      <x:c r="P338" s="13" t="n">
        <x:v>0.46615510170419616</x:v>
      </x:c>
      <x:c r="Q338" s="13" t="n">
        <x:v>8838.021666666666</x:v>
      </x:c>
      <x:c r="R338" s="13" t="n">
        <x:v>2.2578986619149406</x:v>
      </x:c>
      <x:c r="S338" s="13" t="n">
        <x:v>-0.02028368061460079</x:v>
      </x:c>
      <x:c r="T338" s="13" t="n">
        <x:v>24</x:v>
      </x:c>
      <x:c r="U338" s="13" t="n">
        <x:v>754</x:v>
      </x:c>
      <x:c r="V338" s="13" t="n">
        <x:v>678</x:v>
      </x:c>
      <x:c r="W338" s="13" t="n">
        <x:v>76</x:v>
      </x:c>
      <x:c r="X338" s="13" t="n">
        <x:v>7</x:v>
      </x:c>
      <x:c r="Y338" s="13" t="n">
        <x:v>12667568.92</x:v>
      </x:c>
      <x:c r="Z338" s="13" t="n">
        <x:v>12897738.38</x:v>
      </x:c>
      <x:c r="AA338" s="13" t="n">
        <x:v>99</x:v>
      </x:c>
      <x:c r="AB338" s="13" t="n">
        <x:v>0.10079575596816977</x:v>
      </x:c>
      <x:c r="AC338" s="13" t="n">
        <x:v>0.01032448377581121</x:v>
      </x:c>
      <x:c r="AD338" s="13" t="n">
        <x:v>0.0632188746718279</x:v>
      </x:c>
      <x:c r="AE338" s="13" t="n">
        <x:v>0.16366454705526443</x:v>
      </x:c>
      <x:c r="AF338" s="13" t="n">
        <x:v>351876.91444444447</x:v>
      </x:c>
      <x:c r="AG338" s="13" t="n">
        <x:v>0.5724669330187533</x:v>
      </x:c>
      <x:c r="AH338" s="13" t="n">
        <x:v>-0.034968925184883565</x:v>
      </x:c>
      <x:c r="AI338" s="13" t="n">
        <x:v>36</x:v>
      </x:c>
      <x:c r="AJ338" s="13" t="n">
        <x:v>12349400.14</x:v>
      </x:c>
      <x:c r="AK338" s="13" t="n">
        <x:v>0.024668571390265705</x:v>
      </x:c>
      <x:c r="AL338" s="13" t="n">
        <x:v>0.0959902794653706</x:v>
      </x:c>
      <x:c r="AM338" s="13" t="n">
        <x:v>0.009408602150537635</x:v>
      </x:c>
      <x:c r="AN338" s="13" t="n">
        <x:v>0.1609742320197623</x:v>
      </x:c>
      <x:c r="AO338" s="13" t="n">
        <x:v>1.415182797466847</x:v>
      </x:c>
      <x:c r="AP338" s="13" t="n">
        <x:v>-0.027626302899742175</x:v>
      </x:c>
    </x:row>
    <x:row r="339" ht="15" hidden="0" customHeight="1">
      <x:c r="A339" s="2" t="str">
        <x:v>E338</x:v>
      </x:c>
      <x:c r="B339" s="2" t="str">
        <x:v>***商贸有限公司</x:v>
      </x:c>
      <x:c r="C339" s="2" t="str">
        <x:v>无信贷记录</x:v>
      </x:c>
      <x:c r="D339" s="2" t="str"/>
      <x:c r="E339" s="2" t="str"/>
      <x:c r="F339" s="13" t="n">
        <x:v>252</x:v>
      </x:c>
      <x:c r="G339" s="13" t="n">
        <x:v>251</x:v>
      </x:c>
      <x:c r="H339" s="13" t="n">
        <x:v>1</x:v>
      </x:c>
      <x:c r="I339" s="13" t="n">
        <x:v>2</x:v>
      </x:c>
      <x:c r="J339" s="13" t="n">
        <x:v>602748.61</x:v>
      </x:c>
      <x:c r="K339" s="13" t="n">
        <x:v>612282.99</x:v>
      </x:c>
      <x:c r="L339" s="13" t="n">
        <x:v>89</x:v>
      </x:c>
      <x:c r="M339" s="13" t="n">
        <x:v>0.003968253968253968</x:v>
      </x:c>
      <x:c r="N339" s="13" t="n">
        <x:v>0.00796812749003984</x:v>
      </x:c>
      <x:c r="O339" s="13" t="n">
        <x:v>0.08846567113945264</x:v>
      </x:c>
      <x:c r="P339" s="13" t="n">
        <x:v>0.20292577456708377</x:v>
      </x:c>
      <x:c r="Q339" s="13" t="n">
        <x:v>18835.894062500003</x:v>
      </x:c>
      <x:c r="R339" s="13" t="n">
        <x:v>1.29345320627642</x:v>
      </x:c>
      <x:c r="S339" s="13" t="n">
        <x:v>0.014428061700377692</x:v>
      </x:c>
      <x:c r="T339" s="13" t="n">
        <x:v>31</x:v>
      </x:c>
      <x:c r="U339" s="13" t="n">
        <x:v>89</x:v>
      </x:c>
      <x:c r="V339" s="13" t="n">
        <x:v>82</x:v>
      </x:c>
      <x:c r="W339" s="13" t="n">
        <x:v>7</x:v>
      </x:c>
      <x:c r="X339" s="13" t="n">
        <x:v>0</x:v>
      </x:c>
      <x:c r="Y339" s="13" t="n">
        <x:v>7678256.58</x:v>
      </x:c>
      <x:c r="Z339" s="13" t="n">
        <x:v>7678256.58</x:v>
      </x:c>
      <x:c r="AA339" s="13" t="n">
        <x:v>4</x:v>
      </x:c>
      <x:c r="AB339" s="13" t="n">
        <x:v>0.07865168539325842</x:v>
      </x:c>
      <x:c r="AC339" s="13" t="n">
        <x:v>0</x:v>
      </x:c>
      <x:c r="AD339" s="13" t="n">
        <x:v>0.3101288682874843</x:v>
      </x:c>
      <x:c r="AE339" s="13" t="n">
        <x:v>0.45092811029766344</x:v>
      </x:c>
      <x:c r="AF339" s="13" t="n">
        <x:v>207520.44810810813</x:v>
      </x:c>
      <x:c r="AG339" s="13" t="n">
        <x:v>1.2945988475614292</x:v>
      </x:c>
      <x:c r="AH339" s="13" t="n">
        <x:v>0.02028986672900393</x:v>
      </x:c>
      <x:c r="AI339" s="13" t="n">
        <x:v>30</x:v>
      </x:c>
      <x:c r="AJ339" s="13" t="n">
        <x:v>7075507.97</x:v>
      </x:c>
      <x:c r="AK339" s="13" t="n">
        <x:v>0.07974244981534596</x:v>
      </x:c>
      <x:c r="AL339" s="13" t="n">
        <x:v>0.02346041055718475</x:v>
      </x:c>
      <x:c r="AM339" s="13" t="n">
        <x:v>0.006006006006006006</x:v>
      </x:c>
      <x:c r="AN339" s="13" t="n">
        <x:v>0.19929726971346848</x:v>
      </x:c>
      <x:c r="AO339" s="13" t="n">
        <x:v>1.2940260269189245</x:v>
      </x:c>
      <x:c r="AP339" s="13" t="n">
        <x:v>0.01735896421469081</x:v>
      </x:c>
    </x:row>
    <x:row r="340" ht="15" hidden="0" customHeight="1">
      <x:c r="A340" s="2" t="str">
        <x:v>E339</x:v>
      </x:c>
      <x:c r="B340" s="2" t="str">
        <x:v>***居益卫浴家俬厂</x:v>
      </x:c>
      <x:c r="C340" s="2" t="str">
        <x:v>无信贷记录</x:v>
      </x:c>
      <x:c r="D340" s="2" t="str"/>
      <x:c r="E340" s="2" t="str"/>
      <x:c r="F340" s="13" t="n">
        <x:v>126</x:v>
      </x:c>
      <x:c r="G340" s="13" t="n">
        <x:v>126</x:v>
      </x:c>
      <x:c r="H340" s="13" t="n">
        <x:v>0</x:v>
      </x:c>
      <x:c r="I340" s="13" t="n">
        <x:v>0</x:v>
      </x:c>
      <x:c r="J340" s="13" t="n">
        <x:v>3332779.6</x:v>
      </x:c>
      <x:c r="K340" s="13" t="n">
        <x:v>3332779.6</x:v>
      </x:c>
      <x:c r="L340" s="13" t="n">
        <x:v>32</x:v>
      </x:c>
      <x:c r="M340" s="13" t="n">
        <x:v>0</x:v>
      </x:c>
      <x:c r="N340" s="13" t="n">
        <x:v>0</x:v>
      </x:c>
      <x:c r="O340" s="13" t="n">
        <x:v>0.18098123522306314</x:v>
      </x:c>
      <x:c r="P340" s="13" t="n">
        <x:v>0.3182471172111111</x:v>
      </x:c>
      <x:c r="Q340" s="13" t="n">
        <x:v>144903.4608695652</x:v>
      </x:c>
      <x:c r="R340" s="13" t="n">
        <x:v>1.0943830738237978</x:v>
      </x:c>
      <x:c r="S340" s="13" t="n">
        <x:v>-0.09333937367311758</x:v>
      </x:c>
      <x:c r="T340" s="13" t="n">
        <x:v>23</x:v>
      </x:c>
      <x:c r="U340" s="13" t="n">
        <x:v>176</x:v>
      </x:c>
      <x:c r="V340" s="13" t="n">
        <x:v>168</x:v>
      </x:c>
      <x:c r="W340" s="13" t="n">
        <x:v>8</x:v>
      </x:c>
      <x:c r="X340" s="13" t="n">
        <x:v>4</x:v>
      </x:c>
      <x:c r="Y340" s="13" t="n">
        <x:v>4492531.92</x:v>
      </x:c>
      <x:c r="Z340" s="13" t="n">
        <x:v>4809671.92</x:v>
      </x:c>
      <x:c r="AA340" s="13" t="n">
        <x:v>36</x:v>
      </x:c>
      <x:c r="AB340" s="13" t="n">
        <x:v>0.045454545454545456</x:v>
      </x:c>
      <x:c r="AC340" s="13" t="n">
        <x:v>0.023809523809523808</x:v>
      </x:c>
      <x:c r="AD340" s="13" t="n">
        <x:v>0.12345784210178247</x:v>
      </x:c>
      <x:c r="AE340" s="13" t="n">
        <x:v>0.2551059657308185</x:v>
      </x:c>
      <x:c r="AF340" s="13" t="n">
        <x:v>204205.99636363637</x:v>
      </x:c>
      <x:c r="AG340" s="13" t="n">
        <x:v>0.7772988622398734</x:v>
      </x:c>
      <x:c r="AH340" s="13" t="n">
        <x:v>-0.08124801036472062</x:v>
      </x:c>
      <x:c r="AI340" s="13" t="n">
        <x:v>20</x:v>
      </x:c>
      <x:c r="AJ340" s="13" t="n">
        <x:v>1159752.3199999998</x:v>
      </x:c>
      <x:c r="AK340" s="13" t="n">
        <x:v>0.692932835219247</x:v>
      </x:c>
      <x:c r="AL340" s="13" t="n">
        <x:v>0.026490066225165563</x:v>
      </x:c>
      <x:c r="AM340" s="13" t="n">
        <x:v>0.013605442176870748</x:v>
      </x:c>
      <x:c r="AN340" s="13" t="n">
        <x:v>0.1522195386624228</x:v>
      </x:c>
      <x:c r="AO340" s="13" t="n">
        <x:v>0.9358409680318356</x:v>
      </x:c>
      <x:c r="AP340" s="13" t="n">
        <x:v>-0.0872936920189191</x:v>
      </x:c>
    </x:row>
    <x:row r="341" ht="15" hidden="0" customHeight="1">
      <x:c r="A341" s="2" t="str">
        <x:v>E340</x:v>
      </x:c>
      <x:c r="B341" s="2" t="str">
        <x:v>***物流有限公司</x:v>
      </x:c>
      <x:c r="C341" s="2" t="str">
        <x:v>无信贷记录</x:v>
      </x:c>
      <x:c r="D341" s="2" t="str"/>
      <x:c r="E341" s="2" t="str"/>
      <x:c r="F341" s="13" t="n">
        <x:v>11</x:v>
      </x:c>
      <x:c r="G341" s="13" t="n">
        <x:v>10</x:v>
      </x:c>
      <x:c r="H341" s="13" t="n">
        <x:v>1</x:v>
      </x:c>
      <x:c r="I341" s="13" t="n">
        <x:v>0</x:v>
      </x:c>
      <x:c r="J341" s="13" t="n">
        <x:v>32170</x:v>
      </x:c>
      <x:c r="K341" s="13" t="n">
        <x:v>32170</x:v>
      </x:c>
      <x:c r="L341" s="13" t="n">
        <x:v>4</x:v>
      </x:c>
      <x:c r="M341" s="13" t="n">
        <x:v>0.09090909090909091</x:v>
      </x:c>
      <x:c r="N341" s="13" t="n">
        <x:v>0</x:v>
      </x:c>
      <x:c r="O341" s="13" t="n">
        <x:v>0.9115860342876557</x:v>
      </x:c>
      <x:c r="P341" s="13" t="n">
        <x:v>0.9543052533416226</x:v>
      </x:c>
      <x:c r="Q341" s="13" t="n">
        <x:v>1340.4166666666667</x:v>
      </x:c>
      <x:c r="R341" s="13" t="n">
        <x:v>2.9404860737791667</x:v>
      </x:c>
      <x:c r="S341" s="13" t="n">
        <x:v>-0.08920328148011351</x:v>
      </x:c>
      <x:c r="T341" s="13" t="n">
        <x:v>8</x:v>
      </x:c>
      <x:c r="U341" s="13" t="n">
        <x:v>164</x:v>
      </x:c>
      <x:c r="V341" s="13" t="n">
        <x:v>137</x:v>
      </x:c>
      <x:c r="W341" s="13" t="n">
        <x:v>27</x:v>
      </x:c>
      <x:c r="X341" s="13" t="n">
        <x:v>11</x:v>
      </x:c>
      <x:c r="Y341" s="13" t="n">
        <x:v>7032555.9</x:v>
      </x:c>
      <x:c r="Z341" s="13" t="n">
        <x:v>8912555.92</x:v>
      </x:c>
      <x:c r="AA341" s="13" t="n">
        <x:v>47</x:v>
      </x:c>
      <x:c r="AB341" s="13" t="n">
        <x:v>0.16463414634146342</x:v>
      </x:c>
      <x:c r="AC341" s="13" t="n">
        <x:v>0.08029197080291971</x:v>
      </x:c>
      <x:c r="AD341" s="13" t="n">
        <x:v>0.07942889751853682</x:v>
      </x:c>
      <x:c r="AE341" s="13" t="n">
        <x:v>0.16953621088752732</x:v>
      </x:c>
      <x:c r="AF341" s="13" t="n">
        <x:v>195348.77500000002</x:v>
      </x:c>
      <x:c r="AG341" s="13" t="n">
        <x:v>1.3434923310499036</x:v>
      </x:c>
      <x:c r="AH341" s="13" t="n">
        <x:v>-0.017356260127891834</x:v>
      </x:c>
      <x:c r="AI341" s="13" t="n">
        <x:v>32</x:v>
      </x:c>
      <x:c r="AJ341" s="13" t="n">
        <x:v>7000385.9</x:v>
      </x:c>
      <x:c r="AK341" s="13" t="n">
        <x:v>0.003609514519601465</x:v>
      </x:c>
      <x:c r="AL341" s="13" t="n">
        <x:v>0.16</x:v>
      </x:c>
      <x:c r="AM341" s="13" t="n">
        <x:v>0.07482993197278912</x:v>
      </x:c>
      <x:c r="AN341" s="13" t="n">
        <x:v>0.49550746590309624</x:v>
      </x:c>
      <x:c r="AO341" s="13" t="n">
        <x:v>2.141989202414535</x:v>
      </x:c>
      <x:c r="AP341" s="13" t="n">
        <x:v>-0.053279770804002674</x:v>
      </x:c>
    </x:row>
    <x:row r="342" ht="15" hidden="0" customHeight="1">
      <x:c r="A342" s="2" t="str">
        <x:v>E341</x:v>
      </x:c>
      <x:c r="B342" s="2" t="str">
        <x:v>***纺织品有限公司</x:v>
      </x:c>
      <x:c r="C342" s="2" t="str">
        <x:v>无信贷记录</x:v>
      </x:c>
      <x:c r="D342" s="2" t="str"/>
      <x:c r="E342" s="2" t="str"/>
      <x:c r="F342" s="13" t="n">
        <x:v>53</x:v>
      </x:c>
      <x:c r="G342" s="13" t="n">
        <x:v>53</x:v>
      </x:c>
      <x:c r="H342" s="13" t="n">
        <x:v>0</x:v>
      </x:c>
      <x:c r="I342" s="13" t="n">
        <x:v>0</x:v>
      </x:c>
      <x:c r="J342" s="13" t="n">
        <x:v>1645069.24</x:v>
      </x:c>
      <x:c r="K342" s="13" t="n">
        <x:v>1645069.24</x:v>
      </x:c>
      <x:c r="L342" s="13" t="n">
        <x:v>15</x:v>
      </x:c>
      <x:c r="M342" s="13" t="n">
        <x:v>0</x:v>
      </x:c>
      <x:c r="N342" s="13" t="n">
        <x:v>0</x:v>
      </x:c>
      <x:c r="O342" s="13" t="n">
        <x:v>0.8938746344327084</x:v>
      </x:c>
      <x:c r="P342" s="13" t="n">
        <x:v>0.9446935133259193</x:v>
      </x:c>
      <x:c r="Q342" s="13" t="n">
        <x:v>91392.73555555556</x:v>
      </x:c>
      <x:c r="R342" s="13" t="n">
        <x:v>1.4930412598561464</x:v>
      </x:c>
      <x:c r="S342" s="13" t="n">
        <x:v>-0.016576418712021757</x:v>
      </x:c>
      <x:c r="T342" s="13" t="n">
        <x:v>15</x:v>
      </x:c>
      <x:c r="U342" s="13" t="n">
        <x:v>75</x:v>
      </x:c>
      <x:c r="V342" s="13" t="n">
        <x:v>69</x:v>
      </x:c>
      <x:c r="W342" s="13" t="n">
        <x:v>6</x:v>
      </x:c>
      <x:c r="X342" s="13" t="n">
        <x:v>0</x:v>
      </x:c>
      <x:c r="Y342" s="13" t="n">
        <x:v>3886660</x:v>
      </x:c>
      <x:c r="Z342" s="13" t="n">
        <x:v>3886660</x:v>
      </x:c>
      <x:c r="AA342" s="13" t="n">
        <x:v>26</x:v>
      </x:c>
      <x:c r="AB342" s="13" t="n">
        <x:v>0.08</x:v>
      </x:c>
      <x:c r="AC342" s="13" t="n">
        <x:v>0</x:v>
      </x:c>
      <x:c r="AD342" s="13" t="n">
        <x:v>0.07826691619473128</x:v>
      </x:c>
      <x:c r="AE342" s="13" t="n">
        <x:v>0.16376528947734045</x:v>
      </x:c>
      <x:c r="AF342" s="13" t="n">
        <x:v>215925.55555555556</x:v>
      </x:c>
      <x:c r="AG342" s="13" t="n">
        <x:v>0.8453612615897418</x:v>
      </x:c>
      <x:c r="AH342" s="13" t="n">
        <x:v>-0.05941328343568549</x:v>
      </x:c>
      <x:c r="AI342" s="13" t="n">
        <x:v>15</x:v>
      </x:c>
      <x:c r="AJ342" s="13" t="n">
        <x:v>2241590.76</x:v>
      </x:c>
      <x:c r="AK342" s="13" t="n">
        <x:v>0.4232603932425269</x:v>
      </x:c>
      <x:c r="AL342" s="13" t="n">
        <x:v>0.046875</x:v>
      </x:c>
      <x:c r="AM342" s="13" t="n">
        <x:v>0</x:v>
      </x:c>
      <x:c r="AN342" s="13" t="n">
        <x:v>0.48607077531371984</x:v>
      </x:c>
      <x:c r="AO342" s="13" t="n">
        <x:v>1.169201260722944</x:v>
      </x:c>
      <x:c r="AP342" s="13" t="n">
        <x:v>-0.03799485107385363</x:v>
      </x:c>
    </x:row>
    <x:row r="343" ht="15" hidden="0" customHeight="1">
      <x:c r="A343" s="2" t="str">
        <x:v>E342</x:v>
      </x:c>
      <x:c r="B343" s="2" t="str">
        <x:v>***裕华机械厂</x:v>
      </x:c>
      <x:c r="C343" s="2" t="str">
        <x:v>无信贷记录</x:v>
      </x:c>
      <x:c r="D343" s="2" t="str"/>
      <x:c r="E343" s="2" t="str"/>
      <x:c r="F343" s="13" t="n">
        <x:v>263</x:v>
      </x:c>
      <x:c r="G343" s="13" t="n">
        <x:v>245</x:v>
      </x:c>
      <x:c r="H343" s="13" t="n">
        <x:v>18</x:v>
      </x:c>
      <x:c r="I343" s="13" t="n">
        <x:v>1</x:v>
      </x:c>
      <x:c r="J343" s="13" t="n">
        <x:v>2570590.7800000003</x:v>
      </x:c>
      <x:c r="K343" s="13" t="n">
        <x:v>2571396.2</x:v>
      </x:c>
      <x:c r="L343" s="13" t="n">
        <x:v>55</x:v>
      </x:c>
      <x:c r="M343" s="13" t="n">
        <x:v>0.06844106463878327</x:v>
      </x:c>
      <x:c r="N343" s="13" t="n">
        <x:v>0.004081632653061225</x:v>
      </x:c>
      <x:c r="O343" s="13" t="n">
        <x:v>0.10020769328540631</x:v>
      </x:c>
      <x:c r="P343" s="13" t="n">
        <x:v>0.18445232204978756</x:v>
      </x:c>
      <x:c r="Q343" s="13" t="n">
        <x:v>67647.12578947368</x:v>
      </x:c>
      <x:c r="R343" s="13" t="n">
        <x:v>1.206510693477434</x:v>
      </x:c>
      <x:c r="S343" s="13" t="n">
        <x:v>0.021246330078216254</x:v>
      </x:c>
      <x:c r="T343" s="13" t="n">
        <x:v>38</x:v>
      </x:c>
      <x:c r="U343" s="13" t="n">
        <x:v>159</x:v>
      </x:c>
      <x:c r="V343" s="13" t="n">
        <x:v>132</x:v>
      </x:c>
      <x:c r="W343" s="13" t="n">
        <x:v>27</x:v>
      </x:c>
      <x:c r="X343" s="13" t="n">
        <x:v>1</x:v>
      </x:c>
      <x:c r="Y343" s="13" t="n">
        <x:v>5683950.46</x:v>
      </x:c>
      <x:c r="Z343" s="13" t="n">
        <x:v>5705750.46</x:v>
      </x:c>
      <x:c r="AA343" s="13" t="n">
        <x:v>23</x:v>
      </x:c>
      <x:c r="AB343" s="13" t="n">
        <x:v>0.16981132075471697</x:v>
      </x:c>
      <x:c r="AC343" s="13" t="n">
        <x:v>0.007575757575757576</x:v>
      </x:c>
      <x:c r="AD343" s="13" t="n">
        <x:v>0.2687008244259743</x:v>
      </x:c>
      <x:c r="AE343" s="13" t="n">
        <x:v>0.48887938923287577</x:v>
      </x:c>
      <x:c r="AF343" s="13" t="n">
        <x:v>157887.51277777777</x:v>
      </x:c>
      <x:c r="AG343" s="13" t="n">
        <x:v>0.6370787425463367</x:v>
      </x:c>
      <x:c r="AH343" s="13" t="n">
        <x:v>0.02185900274549965</x:v>
      </x:c>
      <x:c r="AI343" s="13" t="n">
        <x:v>34</x:v>
      </x:c>
      <x:c r="AJ343" s="13" t="n">
        <x:v>3113359.6799999997</x:v>
      </x:c>
      <x:c r="AK343" s="13" t="n">
        <x:v>0.4506674832744087</x:v>
      </x:c>
      <x:c r="AL343" s="13" t="n">
        <x:v>0.1066350710900474</x:v>
      </x:c>
      <x:c r="AM343" s="13" t="n">
        <x:v>0.005305039787798408</x:v>
      </x:c>
      <x:c r="AN343" s="13" t="n">
        <x:v>0.1844542588556903</x:v>
      </x:c>
      <x:c r="AO343" s="13" t="n">
        <x:v>0.9217947180118853</x:v>
      </x:c>
      <x:c r="AP343" s="13" t="n">
        <x:v>0.021552666411857952</x:v>
      </x:c>
    </x:row>
    <x:row r="344" ht="15" hidden="0" customHeight="1">
      <x:c r="A344" s="2" t="str">
        <x:v>E343</x:v>
      </x:c>
      <x:c r="B344" s="2" t="str">
        <x:v>***五金工具经营部</x:v>
      </x:c>
      <x:c r="C344" s="2" t="str">
        <x:v>无信贷记录</x:v>
      </x:c>
      <x:c r="D344" s="2" t="str"/>
      <x:c r="E344" s="2" t="str"/>
      <x:c r="F344" s="13" t="n">
        <x:v>3</x:v>
      </x:c>
      <x:c r="G344" s="13" t="n">
        <x:v>3</x:v>
      </x:c>
      <x:c r="H344" s="13" t="n">
        <x:v>0</x:v>
      </x:c>
      <x:c r="I344" s="13" t="n">
        <x:v>0</x:v>
      </x:c>
      <x:c r="J344" s="13" t="n">
        <x:v>840</x:v>
      </x:c>
      <x:c r="K344" s="13" t="n">
        <x:v>840</x:v>
      </x:c>
      <x:c r="L344" s="13" t="n">
        <x:v>1</x:v>
      </x:c>
      <x:c r="M344" s="13" t="n">
        <x:v>0</x:v>
      </x:c>
      <x:c r="N344" s="13" t="n">
        <x:v>0</x:v>
      </x:c>
      <x:c r="O344" s="13" t="n">
        <x:v>1</x:v>
      </x:c>
      <x:c r="P344" s="13" t="n">
        <x:v>1</x:v>
      </x:c>
      <x:c r="Q344" s="13" t="n">
        <x:v>38.35733333333334</x:v>
      </x:c>
      <x:c r="R344" s="13" t="n">
        <x:v>2.708012801464725</x:v>
      </x:c>
      <x:c r="S344" s="13" t="n">
        <x:v>-0.006410256410065612</x:v>
      </x:c>
      <x:c r="T344" s="13" t="n">
        <x:v>3</x:v>
      </x:c>
      <x:c r="U344" s="13" t="n">
        <x:v>433</x:v>
      </x:c>
      <x:c r="V344" s="13" t="n">
        <x:v>401</x:v>
      </x:c>
      <x:c r="W344" s="13" t="n">
        <x:v>32</x:v>
      </x:c>
      <x:c r="X344" s="13" t="n">
        <x:v>10</x:v>
      </x:c>
      <x:c r="Y344" s="13" t="n">
        <x:v>2628603.4</x:v>
      </x:c>
      <x:c r="Z344" s="13" t="n">
        <x:v>2761503.94</x:v>
      </x:c>
      <x:c r="AA344" s="13" t="n">
        <x:v>29</x:v>
      </x:c>
      <x:c r="AB344" s="13" t="n">
        <x:v>0.07390300230946882</x:v>
      </x:c>
      <x:c r="AC344" s="13" t="n">
        <x:v>0.02493765586034913</x:v>
      </x:c>
      <x:c r="AD344" s="13" t="n">
        <x:v>0.4313435581180113</x:v>
      </x:c>
      <x:c r="AE344" s="13" t="n">
        <x:v>0.6018544952718772</x:v>
      </x:c>
      <x:c r="AF344" s="13" t="n">
        <x:v>71043.33513513513</x:v>
      </x:c>
      <x:c r="AG344" s="13" t="n">
        <x:v>0.6589411954832248</x:v>
      </x:c>
      <x:c r="AH344" s="13" t="n">
        <x:v>0.0404320752709649</x:v>
      </x:c>
      <x:c r="AI344" s="13" t="n">
        <x:v>37</x:v>
      </x:c>
      <x:c r="AJ344" s="13" t="n">
        <x:v>2627763.4</x:v>
      </x:c>
      <x:c r="AK344" s="13" t="n">
        <x:v>0.000324549550467228</x:v>
      </x:c>
      <x:c r="AL344" s="13" t="n">
        <x:v>0.07339449541284404</x:v>
      </x:c>
      <x:c r="AM344" s="13" t="n">
        <x:v>0.024752475247524754</x:v>
      </x:c>
      <x:c r="AN344" s="13" t="n">
        <x:v>0.7156717790590057</x:v>
      </x:c>
      <x:c r="AO344" s="13" t="n">
        <x:v>1.6834769984739748</x:v>
      </x:c>
      <x:c r="AP344" s="13" t="n">
        <x:v>0.017010909430449646</x:v>
      </x:c>
    </x:row>
    <x:row r="345" ht="15" hidden="0" customHeight="1">
      <x:c r="A345" s="2" t="str">
        <x:v>E344</x:v>
      </x:c>
      <x:c r="B345" s="2" t="str">
        <x:v>***机械有限公司</x:v>
      </x:c>
      <x:c r="C345" s="2" t="str">
        <x:v>无信贷记录</x:v>
      </x:c>
      <x:c r="D345" s="2" t="str"/>
      <x:c r="E345" s="2" t="str"/>
      <x:c r="F345" s="13" t="n">
        <x:v>121</x:v>
      </x:c>
      <x:c r="G345" s="13" t="n">
        <x:v>118</x:v>
      </x:c>
      <x:c r="H345" s="13" t="n">
        <x:v>3</x:v>
      </x:c>
      <x:c r="I345" s="13" t="n">
        <x:v>2</x:v>
      </x:c>
      <x:c r="J345" s="13" t="n">
        <x:v>1591937.8900000001</x:v>
      </x:c>
      <x:c r="K345" s="13" t="n">
        <x:v>1833247.8900000001</x:v>
      </x:c>
      <x:c r="L345" s="13" t="n">
        <x:v>51</x:v>
      </x:c>
      <x:c r="M345" s="13" t="n">
        <x:v>0.024793388429752067</x:v>
      </x:c>
      <x:c r="N345" s="13" t="n">
        <x:v>0.01694915254237288</x:v>
      </x:c>
      <x:c r="O345" s="13" t="n">
        <x:v>0.26954108394841947</x:v>
      </x:c>
      <x:c r="P345" s="13" t="n">
        <x:v>0.4388813015352768</x:v>
      </x:c>
      <x:c r="Q345" s="13" t="n">
        <x:v>41893.10236842105</x:v>
      </x:c>
      <x:c r="R345" s="13" t="n">
        <x:v>1.9051021207269072</x:v>
      </x:c>
      <x:c r="S345" s="13" t="n">
        <x:v>0.011036130006375409</x:v>
      </x:c>
      <x:c r="T345" s="13" t="n">
        <x:v>31</x:v>
      </x:c>
      <x:c r="U345" s="13" t="n">
        <x:v>93</x:v>
      </x:c>
      <x:c r="V345" s="13" t="n">
        <x:v>88</x:v>
      </x:c>
      <x:c r="W345" s="13" t="n">
        <x:v>5</x:v>
      </x:c>
      <x:c r="X345" s="13" t="n">
        <x:v>5</x:v>
      </x:c>
      <x:c r="Y345" s="13" t="n">
        <x:v>2658540</x:v>
      </x:c>
      <x:c r="Z345" s="13" t="n">
        <x:v>3206740</x:v>
      </x:c>
      <x:c r="AA345" s="13" t="n">
        <x:v>54</x:v>
      </x:c>
      <x:c r="AB345" s="13" t="n">
        <x:v>0.053763440860215055</x:v>
      </x:c>
      <x:c r="AC345" s="13" t="n">
        <x:v>0.056818181818181816</x:v>
      </x:c>
      <x:c r="AD345" s="13" t="n">
        <x:v>0.10432900129297726</x:v>
      </x:c>
      <x:c r="AE345" s="13" t="n">
        <x:v>0.26773732825236846</x:v>
      </x:c>
      <x:c r="AF345" s="13" t="n">
        <x:v>71852.43243243243</x:v>
      </x:c>
      <x:c r="AG345" s="13" t="n">
        <x:v>1.1927362115193174</x:v>
      </x:c>
      <x:c r="AH345" s="13" t="n">
        <x:v>0.0026370693636224526</x:v>
      </x:c>
      <x:c r="AI345" s="13" t="n">
        <x:v>37</x:v>
      </x:c>
      <x:c r="AJ345" s="13" t="n">
        <x:v>1066602.1099999999</x:v>
      </x:c>
      <x:c r="AK345" s="13" t="n">
        <x:v>0.5716858522985959</x:v>
      </x:c>
      <x:c r="AL345" s="13" t="n">
        <x:v>0.037383177570093455</x:v>
      </x:c>
      <x:c r="AM345" s="13" t="n">
        <x:v>0.03398058252427184</x:v>
      </x:c>
      <x:c r="AN345" s="13" t="n">
        <x:v>0.18693504262069838</x:v>
      </x:c>
      <x:c r="AO345" s="13" t="n">
        <x:v>1.5489191661231123</x:v>
      </x:c>
      <x:c r="AP345" s="13" t="n">
        <x:v>0.0068365996849989305</x:v>
      </x:c>
    </x:row>
    <x:row r="346" ht="15" hidden="0" customHeight="1">
      <x:c r="A346" s="2" t="str">
        <x:v>E345</x:v>
      </x:c>
      <x:c r="B346" s="2" t="str">
        <x:v>***科技有限公司</x:v>
      </x:c>
      <x:c r="C346" s="2" t="str">
        <x:v>无信贷记录</x:v>
      </x:c>
      <x:c r="D346" s="2" t="str"/>
      <x:c r="E346" s="2" t="str"/>
      <x:c r="F346" s="13" t="n">
        <x:v>253</x:v>
      </x:c>
      <x:c r="G346" s="13" t="n">
        <x:v>249</x:v>
      </x:c>
      <x:c r="H346" s="13" t="n">
        <x:v>4</x:v>
      </x:c>
      <x:c r="I346" s="13" t="n">
        <x:v>0</x:v>
      </x:c>
      <x:c r="J346" s="13" t="n">
        <x:v>660828.14</x:v>
      </x:c>
      <x:c r="K346" s="13" t="n">
        <x:v>660828.14</x:v>
      </x:c>
      <x:c r="L346" s="13" t="n">
        <x:v>105</x:v>
      </x:c>
      <x:c r="M346" s="13" t="n">
        <x:v>0.015810276679841896</x:v>
      </x:c>
      <x:c r="N346" s="13" t="n">
        <x:v>0</x:v>
      </x:c>
      <x:c r="O346" s="13" t="n">
        <x:v>0.09282017529606315</x:v>
      </x:c>
      <x:c r="P346" s="13" t="n">
        <x:v>0.24096582811984973</x:v>
      </x:c>
      <x:c r="Q346" s="13" t="n">
        <x:v>17860.22</x:v>
      </x:c>
      <x:c r="R346" s="13" t="n">
        <x:v>1.1251854621281676</x:v>
      </x:c>
      <x:c r="S346" s="13" t="n">
        <x:v>0.001463197136407077</x:v>
      </x:c>
      <x:c r="T346" s="13" t="n">
        <x:v>34</x:v>
      </x:c>
      <x:c r="U346" s="13" t="n">
        <x:v>87</x:v>
      </x:c>
      <x:c r="V346" s="13" t="n">
        <x:v>75</x:v>
      </x:c>
      <x:c r="W346" s="13" t="n">
        <x:v>12</x:v>
      </x:c>
      <x:c r="X346" s="13" t="n">
        <x:v>0</x:v>
      </x:c>
      <x:c r="Y346" s="13" t="n">
        <x:v>2513970</x:v>
      </x:c>
      <x:c r="Z346" s="13" t="n">
        <x:v>2513970</x:v>
      </x:c>
      <x:c r="AA346" s="13" t="n">
        <x:v>23</x:v>
      </x:c>
      <x:c r="AB346" s="13" t="n">
        <x:v>0.13793103448275862</x:v>
      </x:c>
      <x:c r="AC346" s="13" t="n">
        <x:v>0</x:v>
      </x:c>
      <x:c r="AD346" s="13" t="n">
        <x:v>0.20706894570918508</x:v>
      </x:c>
      <x:c r="AE346" s="13" t="n">
        <x:v>0.3524863065191709</x:v>
      </x:c>
      <x:c r="AF346" s="13" t="n">
        <x:v>67945.13513513513</x:v>
      </x:c>
      <x:c r="AG346" s="13" t="n">
        <x:v>1.2355678763935556</x:v>
      </x:c>
      <x:c r="AH346" s="13" t="n">
        <x:v>0.038103892989831904</x:v>
      </x:c>
      <x:c r="AI346" s="13" t="n">
        <x:v>27</x:v>
      </x:c>
      <x:c r="AJ346" s="13" t="n">
        <x:v>1853141.8599999999</x:v>
      </x:c>
      <x:c r="AK346" s="13" t="n">
        <x:v>0.26286238101488874</x:v>
      </x:c>
      <x:c r="AL346" s="13" t="n">
        <x:v>0.047058823529411764</x:v>
      </x:c>
      <x:c r="AM346" s="13" t="n">
        <x:v>0</x:v>
      </x:c>
      <x:c r="AN346" s="13" t="n">
        <x:v>0.1499445605026241</x:v>
      </x:c>
      <x:c r="AO346" s="13" t="n">
        <x:v>1.1803766692608617</x:v>
      </x:c>
      <x:c r="AP346" s="13" t="n">
        <x:v>0.019783545063119492</x:v>
      </x:c>
    </x:row>
    <x:row r="347" ht="15" hidden="0" customHeight="1">
      <x:c r="A347" s="2" t="str">
        <x:v>E346</x:v>
      </x:c>
      <x:c r="B347" s="2" t="str">
        <x:v>个体经营E346 </x:v>
      </x:c>
      <x:c r="C347" s="2" t="str">
        <x:v>无信贷记录</x:v>
      </x:c>
      <x:c r="D347" s="2" t="str"/>
      <x:c r="E347" s="2" t="str"/>
      <x:c r="F347" s="13" t="n">
        <x:v>496</x:v>
      </x:c>
      <x:c r="G347" s="13" t="n">
        <x:v>487</x:v>
      </x:c>
      <x:c r="H347" s="13" t="n">
        <x:v>9</x:v>
      </x:c>
      <x:c r="I347" s="13" t="n">
        <x:v>7</x:v>
      </x:c>
      <x:c r="J347" s="13" t="n">
        <x:v>2659993.92</x:v>
      </x:c>
      <x:c r="K347" s="13" t="n">
        <x:v>2796189.34</x:v>
      </x:c>
      <x:c r="L347" s="13" t="n">
        <x:v>92</x:v>
      </x:c>
      <x:c r="M347" s="13" t="n">
        <x:v>0.018145161290322582</x:v>
      </x:c>
      <x:c r="N347" s="13" t="n">
        <x:v>0.014373716632443531</x:v>
      </x:c>
      <x:c r="O347" s="13" t="n">
        <x:v>0.10770359151396267</x:v>
      </x:c>
      <x:c r="P347" s="13" t="n">
        <x:v>0.2273584270226851</x:v>
      </x:c>
      <x:c r="Q347" s="13" t="n">
        <x:v>73888.72</x:v>
      </x:c>
      <x:c r="R347" s="13" t="n">
        <x:v>0.6479865075732618</x:v>
      </x:c>
      <x:c r="S347" s="13" t="n">
        <x:v>0.004248354901688686</x:v>
      </x:c>
      <x:c r="T347" s="13" t="n">
        <x:v>36</x:v>
      </x:c>
      <x:c r="U347" s="13" t="n">
        <x:v>645</x:v>
      </x:c>
      <x:c r="V347" s="13" t="n">
        <x:v>605</x:v>
      </x:c>
      <x:c r="W347" s="13" t="n">
        <x:v>40</x:v>
      </x:c>
      <x:c r="X347" s="13" t="n">
        <x:v>2</x:v>
      </x:c>
      <x:c r="Y347" s="13" t="n">
        <x:v>2785895.84</x:v>
      </x:c>
      <x:c r="Z347" s="13" t="n">
        <x:v>2794822.4400000004</x:v>
      </x:c>
      <x:c r="AA347" s="13" t="n">
        <x:v>108</x:v>
      </x:c>
      <x:c r="AB347" s="13" t="n">
        <x:v>0.06201550387596899</x:v>
      </x:c>
      <x:c r="AC347" s="13" t="n">
        <x:v>0.003305785123966942</x:v>
      </x:c>
      <x:c r="AD347" s="13" t="n">
        <x:v>0.0442702304119953</x:v>
      </x:c>
      <x:c r="AE347" s="13" t="n">
        <x:v>0.12158901228802214</x:v>
      </x:c>
      <x:c r="AF347" s="13" t="n">
        <x:v>77385.99555555554</x:v>
      </x:c>
      <x:c r="AG347" s="13" t="n">
        <x:v>0.7027706839473032</x:v>
      </x:c>
      <x:c r="AH347" s="13" t="n">
        <x:v>0.010997326677125973</x:v>
      </x:c>
      <x:c r="AI347" s="13" t="n">
        <x:v>36</x:v>
      </x:c>
      <x:c r="AJ347" s="13" t="n">
        <x:v>125901.91999999993</x:v>
      </x:c>
      <x:c r="AK347" s="13" t="n">
        <x:v>1.0004890829486823</x:v>
      </x:c>
      <x:c r="AL347" s="13" t="n">
        <x:v>0.04294478527607362</x:v>
      </x:c>
      <x:c r="AM347" s="13" t="n">
        <x:v>0.008241758241758242</x:v>
      </x:c>
      <x:c r="AN347" s="13" t="n">
        <x:v>0.07598691096297898</x:v>
      </x:c>
      <x:c r="AO347" s="13" t="n">
        <x:v>0.6753785957602825</x:v>
      </x:c>
      <x:c r="AP347" s="13" t="n">
        <x:v>0.00762284078940733</x:v>
      </x:c>
    </x:row>
    <x:row r="348" ht="15" hidden="0" customHeight="1">
      <x:c r="A348" s="2" t="str">
        <x:v>E347</x:v>
      </x:c>
      <x:c r="B348" s="2" t="str">
        <x:v>***不锈钢材料有限公司</x:v>
      </x:c>
      <x:c r="C348" s="2" t="str">
        <x:v>无信贷记录</x:v>
      </x:c>
      <x:c r="D348" s="2" t="str"/>
      <x:c r="E348" s="2" t="str"/>
      <x:c r="F348" s="13" t="n">
        <x:v>87</x:v>
      </x:c>
      <x:c r="G348" s="13" t="n">
        <x:v>85</x:v>
      </x:c>
      <x:c r="H348" s="13" t="n">
        <x:v>2</x:v>
      </x:c>
      <x:c r="I348" s="13" t="n">
        <x:v>0</x:v>
      </x:c>
      <x:c r="J348" s="13" t="n">
        <x:v>1122899.5799999998</x:v>
      </x:c>
      <x:c r="K348" s="13" t="n">
        <x:v>1122899.5799999998</x:v>
      </x:c>
      <x:c r="L348" s="13" t="n">
        <x:v>34</x:v>
      </x:c>
      <x:c r="M348" s="13" t="n">
        <x:v>0.022988505747126436</x:v>
      </x:c>
      <x:c r="N348" s="13" t="n">
        <x:v>0</x:v>
      </x:c>
      <x:c r="O348" s="13" t="n">
        <x:v>0.08797539692538085</x:v>
      </x:c>
      <x:c r="P348" s="13" t="n">
        <x:v>0.17885322390092975</x:v>
      </x:c>
      <x:c r="Q348" s="13" t="n">
        <x:v>31191.654999999995</x:v>
      </x:c>
      <x:c r="R348" s="13" t="n">
        <x:v>0.7589028362104983</x:v>
      </x:c>
      <x:c r="S348" s="13" t="n">
        <x:v>-0.016357491957936468</x:v>
      </x:c>
      <x:c r="T348" s="13" t="n">
        <x:v>36</x:v>
      </x:c>
      <x:c r="U348" s="13" t="n">
        <x:v>210</x:v>
      </x:c>
      <x:c r="V348" s="13" t="n">
        <x:v>170</x:v>
      </x:c>
      <x:c r="W348" s="13" t="n">
        <x:v>40</x:v>
      </x:c>
      <x:c r="X348" s="13" t="n">
        <x:v>0</x:v>
      </x:c>
      <x:c r="Y348" s="13" t="n">
        <x:v>2456674.2199999997</x:v>
      </x:c>
      <x:c r="Z348" s="13" t="n">
        <x:v>2456674.2199999997</x:v>
      </x:c>
      <x:c r="AA348" s="13" t="n">
        <x:v>40</x:v>
      </x:c>
      <x:c r="AB348" s="13" t="n">
        <x:v>0.19047619047619047</x:v>
      </x:c>
      <x:c r="AC348" s="13" t="n">
        <x:v>0</x:v>
      </x:c>
      <x:c r="AD348" s="13" t="n">
        <x:v>0.06259475046150213</x:v>
      </x:c>
      <x:c r="AE348" s="13" t="n">
        <x:v>0.1347702342071225</x:v>
      </x:c>
      <x:c r="AF348" s="13" t="n">
        <x:v>68240.95055555555</x:v>
      </x:c>
      <x:c r="AG348" s="13" t="n">
        <x:v>0.9315474466158342</x:v>
      </x:c>
      <x:c r="AH348" s="13" t="n">
        <x:v>-0.01749045615877878</x:v>
      </x:c>
      <x:c r="AI348" s="13" t="n">
        <x:v>36</x:v>
      </x:c>
      <x:c r="AJ348" s="13" t="n">
        <x:v>1333774.64</x:v>
      </x:c>
      <x:c r="AK348" s="13" t="n">
        <x:v>0.4570811916608135</x:v>
      </x:c>
      <x:c r="AL348" s="13" t="n">
        <x:v>0.1414141414141414</x:v>
      </x:c>
      <x:c r="AM348" s="13" t="n">
        <x:v>0</x:v>
      </x:c>
      <x:c r="AN348" s="13" t="n">
        <x:v>0.07528507369344149</x:v>
      </x:c>
      <x:c r="AO348" s="13" t="n">
        <x:v>0.8452251414131662</x:v>
      </x:c>
      <x:c r="AP348" s="13" t="n">
        <x:v>-0.016923974058357626</x:v>
      </x:c>
    </x:row>
    <x:row r="349" ht="15" hidden="0" customHeight="1">
      <x:c r="A349" s="2" t="str">
        <x:v>E348</x:v>
      </x:c>
      <x:c r="B349" s="2" t="str">
        <x:v>***酒店管理有限公司</x:v>
      </x:c>
      <x:c r="C349" s="2" t="str">
        <x:v>无信贷记录</x:v>
      </x:c>
      <x:c r="D349" s="2" t="str"/>
      <x:c r="E349" s="2" t="str"/>
      <x:c r="F349" s="13" t="n">
        <x:v>200</x:v>
      </x:c>
      <x:c r="G349" s="13" t="n">
        <x:v>192</x:v>
      </x:c>
      <x:c r="H349" s="13" t="n">
        <x:v>8</x:v>
      </x:c>
      <x:c r="I349" s="13" t="n">
        <x:v>4</x:v>
      </x:c>
      <x:c r="J349" s="13" t="n">
        <x:v>792315.4099999999</x:v>
      </x:c>
      <x:c r="K349" s="13" t="n">
        <x:v>818688.2699999999</x:v>
      </x:c>
      <x:c r="L349" s="13" t="n">
        <x:v>33</x:v>
      </x:c>
      <x:c r="M349" s="13" t="n">
        <x:v>0.04</x:v>
      </x:c>
      <x:c r="N349" s="13" t="n">
        <x:v>0.020833333333333332</x:v>
      </x:c>
      <x:c r="O349" s="13" t="n">
        <x:v>0.1504159069930165</x:v>
      </x:c>
      <x:c r="P349" s="13" t="n">
        <x:v>0.3005057101893007</x:v>
      </x:c>
      <x:c r="Q349" s="13" t="n">
        <x:v>24759.856562499997</x:v>
      </x:c>
      <x:c r="R349" s="13" t="n">
        <x:v>0.9648210249551658</x:v>
      </x:c>
      <x:c r="S349" s="13" t="n">
        <x:v>0.00837179371914559</x:v>
      </x:c>
      <x:c r="T349" s="13" t="n">
        <x:v>32</x:v>
      </x:c>
      <x:c r="U349" s="13" t="n">
        <x:v>4269</x:v>
      </x:c>
      <x:c r="V349" s="13" t="n">
        <x:v>4050</x:v>
      </x:c>
      <x:c r="W349" s="13" t="n">
        <x:v>219</x:v>
      </x:c>
      <x:c r="X349" s="13" t="n">
        <x:v>32</x:v>
      </x:c>
      <x:c r="Y349" s="13" t="n">
        <x:v>2328692.42</x:v>
      </x:c>
      <x:c r="Z349" s="13" t="n">
        <x:v>2383250.42</x:v>
      </x:c>
      <x:c r="AA349" s="13" t="n">
        <x:v>1010</x:v>
      </x:c>
      <x:c r="AB349" s="13" t="n">
        <x:v>0.05130007027406887</x:v>
      </x:c>
      <x:c r="AC349" s="13" t="n">
        <x:v>0.007901234567901235</x:v>
      </x:c>
      <x:c r="AD349" s="13" t="n">
        <x:v>0.05320550279203095</x:v>
      </x:c>
      <x:c r="AE349" s="13" t="n">
        <x:v>0.1945614972345206</x:v>
      </x:c>
      <x:c r="AF349" s="13" t="n">
        <x:v>68490.95352941177</x:v>
      </x:c>
      <x:c r="AG349" s="13" t="n">
        <x:v>0.35473569770004193</x:v>
      </x:c>
      <x:c r="AH349" s="13" t="n">
        <x:v>-0.0018424063999752094</x:v>
      </x:c>
      <x:c r="AI349" s="13" t="n">
        <x:v>34</x:v>
      </x:c>
      <x:c r="AJ349" s="13" t="n">
        <x:v>1536377.01</x:v>
      </x:c>
      <x:c r="AK349" s="13" t="n">
        <x:v>0.3435175183982553</x:v>
      </x:c>
      <x:c r="AL349" s="13" t="n">
        <x:v>0.05079436115462072</x:v>
      </x:c>
      <x:c r="AM349" s="13" t="n">
        <x:v>0.008486562942008486</x:v>
      </x:c>
      <x:c r="AN349" s="13" t="n">
        <x:v>0.10181070489252372</x:v>
      </x:c>
      <x:c r="AO349" s="13" t="n">
        <x:v>0.6597783613276038</x:v>
      </x:c>
      <x:c r="AP349" s="13" t="n">
        <x:v>0.00326469365958519</x:v>
      </x:c>
    </x:row>
    <x:row r="350" ht="15" hidden="0" customHeight="1">
      <x:c r="A350" s="2" t="str">
        <x:v>E349</x:v>
      </x:c>
      <x:c r="B350" s="2" t="str">
        <x:v>***营销策划广告有限公司</x:v>
      </x:c>
      <x:c r="C350" s="2" t="str">
        <x:v>无信贷记录</x:v>
      </x:c>
      <x:c r="D350" s="2" t="str"/>
      <x:c r="E350" s="2" t="str"/>
      <x:c r="F350" s="13" t="n">
        <x:v>9</x:v>
      </x:c>
      <x:c r="G350" s="13" t="n">
        <x:v>9</x:v>
      </x:c>
      <x:c r="H350" s="13" t="n">
        <x:v>0</x:v>
      </x:c>
      <x:c r="I350" s="13" t="n">
        <x:v>0</x:v>
      </x:c>
      <x:c r="J350" s="13" t="n">
        <x:v>7446.05</x:v>
      </x:c>
      <x:c r="K350" s="13" t="n">
        <x:v>7446.05</x:v>
      </x:c>
      <x:c r="L350" s="13" t="n">
        <x:v>7</x:v>
      </x:c>
      <x:c r="M350" s="13" t="n">
        <x:v>0</x:v>
      </x:c>
      <x:c r="N350" s="13" t="n">
        <x:v>0</x:v>
      </x:c>
      <x:c r="O350" s="13" t="n">
        <x:v>0.251463960910823</x:v>
      </x:c>
      <x:c r="P350" s="13" t="n">
        <x:v>0.3357484840955943</x:v>
      </x:c>
      <x:c r="Q350" s="13" t="n">
        <x:v>256.7603448275862</x:v>
      </x:c>
      <x:c r="R350" s="13" t="n">
        <x:v>2.6551421478882173</x:v>
      </x:c>
      <x:c r="S350" s="13" t="n">
        <x:v>0.06877711768533144</x:v>
      </x:c>
      <x:c r="T350" s="13" t="n">
        <x:v>6</x:v>
      </x:c>
      <x:c r="U350" s="13" t="n">
        <x:v>39</x:v>
      </x:c>
      <x:c r="V350" s="13" t="n">
        <x:v>39</x:v>
      </x:c>
      <x:c r="W350" s="13" t="n">
        <x:v>0</x:v>
      </x:c>
      <x:c r="X350" s="13" t="n">
        <x:v>0</x:v>
      </x:c>
      <x:c r="Y350" s="13" t="n">
        <x:v>3428946</x:v>
      </x:c>
      <x:c r="Z350" s="13" t="n">
        <x:v>3428946</x:v>
      </x:c>
      <x:c r="AA350" s="13" t="n">
        <x:v>2</x:v>
      </x:c>
      <x:c r="AB350" s="13" t="n">
        <x:v>0</x:v>
      </x:c>
      <x:c r="AC350" s="13" t="n">
        <x:v>0</x:v>
      </x:c>
      <x:c r="AD350" s="13" t="n">
        <x:v>0.5118979293920896</x:v>
      </x:c>
      <x:c r="AE350" s="13" t="n">
        <x:v>0.5771295319319698</x:v>
      </x:c>
      <x:c r="AF350" s="13" t="n">
        <x:v>149084.60869565216</x:v>
      </x:c>
      <x:c r="AG350" s="13" t="n">
        <x:v>1.7777920016793538</x:v>
      </x:c>
      <x:c r="AH350" s="13" t="n">
        <x:v>-0.0267344410047443</x:v>
      </x:c>
      <x:c r="AI350" s="13" t="n">
        <x:v>6</x:v>
      </x:c>
      <x:c r="AJ350" s="13" t="n">
        <x:v>3421499.95</x:v>
      </x:c>
      <x:c r="AK350" s="13" t="n">
        <x:v>0.002171527343971004</x:v>
      </x:c>
      <x:c r="AL350" s="13" t="n">
        <x:v>0.0014035087719298258</x:v>
      </x:c>
      <x:c r="AM350" s="13" t="n">
        <x:v>0</x:v>
      </x:c>
      <x:c r="AN350" s="13" t="n">
        <x:v>0.3816809451514563</x:v>
      </x:c>
      <x:c r="AO350" s="13" t="n">
        <x:v>2.2164670747837856</x:v>
      </x:c>
      <x:c r="AP350" s="13" t="n">
        <x:v>0.02102133834029357</x:v>
      </x:c>
    </x:row>
    <x:row r="351" ht="15" hidden="0" customHeight="1">
      <x:c r="A351" s="2" t="str">
        <x:v>E350</x:v>
      </x:c>
      <x:c r="B351" s="2" t="str">
        <x:v>***演艺设备有限公司</x:v>
      </x:c>
      <x:c r="C351" s="2" t="str">
        <x:v>无信贷记录</x:v>
      </x:c>
      <x:c r="D351" s="2" t="str"/>
      <x:c r="E351" s="2" t="str"/>
      <x:c r="F351" s="13" t="n">
        <x:v>629</x:v>
      </x:c>
      <x:c r="G351" s="13" t="n">
        <x:v>623</x:v>
      </x:c>
      <x:c r="H351" s="13" t="n">
        <x:v>6</x:v>
      </x:c>
      <x:c r="I351" s="13" t="n">
        <x:v>1</x:v>
      </x:c>
      <x:c r="J351" s="13" t="n">
        <x:v>442711.27</x:v>
      </x:c>
      <x:c r="K351" s="13" t="n">
        <x:v>445177.27</x:v>
      </x:c>
      <x:c r="L351" s="13" t="n">
        <x:v>140</x:v>
      </x:c>
      <x:c r="M351" s="13" t="n">
        <x:v>0.009538950715421303</x:v>
      </x:c>
      <x:c r="N351" s="13" t="n">
        <x:v>0.0016051364365971107</x:v>
      </x:c>
      <x:c r="O351" s="13" t="n">
        <x:v>0.08284063183671825</x:v>
      </x:c>
      <x:c r="P351" s="13" t="n">
        <x:v>0.17970369421601423</x:v>
      </x:c>
      <x:c r="Q351" s="13" t="n">
        <x:v>13834.7271875</x:v>
      </x:c>
      <x:c r="R351" s="13" t="n">
        <x:v>1.4441609431371991</x:v>
      </x:c>
      <x:c r="S351" s="13" t="n">
        <x:v>0.023567975815022898</x:v>
      </x:c>
      <x:c r="T351" s="13" t="n">
        <x:v>31</x:v>
      </x:c>
      <x:c r="U351" s="13" t="n">
        <x:v>60</x:v>
      </x:c>
      <x:c r="V351" s="13" t="n">
        <x:v>52</x:v>
      </x:c>
      <x:c r="W351" s="13" t="n">
        <x:v>8</x:v>
      </x:c>
      <x:c r="X351" s="13" t="n">
        <x:v>1</x:v>
      </x:c>
      <x:c r="Y351" s="13" t="n">
        <x:v>1516645</x:v>
      </x:c>
      <x:c r="Z351" s="13" t="n">
        <x:v>1550645</x:v>
      </x:c>
      <x:c r="AA351" s="13" t="n">
        <x:v>33</x:v>
      </x:c>
      <x:c r="AB351" s="13" t="n">
        <x:v>0.13333333333333333</x:v>
      </x:c>
      <x:c r="AC351" s="13" t="n">
        <x:v>0.019230769230769232</x:v>
      </x:c>
      <x:c r="AD351" s="13" t="n">
        <x:v>0.13971321323826869</x:v>
      </x:c>
      <x:c r="AE351" s="13" t="n">
        <x:v>0.30874958485017523</x:v>
      </x:c>
      <x:c r="AF351" s="13" t="n">
        <x:v>44607.205882352944</x:v>
      </x:c>
      <x:c r="AG351" s="13" t="n">
        <x:v>1.5815353252730673</x:v>
      </x:c>
      <x:c r="AH351" s="13" t="n">
        <x:v>0.08133631936143217</x:v>
      </x:c>
      <x:c r="AI351" s="13" t="n">
        <x:v>26</x:v>
      </x:c>
      <x:c r="AJ351" s="13" t="n">
        <x:v>1073933.73</x:v>
      </x:c>
      <x:c r="AK351" s="13" t="n">
        <x:v>0.2870916747546987</x:v>
      </x:c>
      <x:c r="AL351" s="13" t="n">
        <x:v>0.020319303338171262</x:v>
      </x:c>
      <x:c r="AM351" s="13" t="n">
        <x:v>0.002962962962962963</x:v>
      </x:c>
      <x:c r="AN351" s="13" t="n">
        <x:v>0.11127692253749347</x:v>
      </x:c>
      <x:c r="AO351" s="13" t="n">
        <x:v>1.5128481342051332</x:v>
      </x:c>
      <x:c r="AP351" s="13" t="n">
        <x:v>0.052452147588227534</x:v>
      </x:c>
    </x:row>
    <x:row r="352" ht="15" hidden="0" customHeight="1">
      <x:c r="A352" s="2" t="str">
        <x:v>E351</x:v>
      </x:c>
      <x:c r="B352" s="2" t="str">
        <x:v>***文化传播有限公司</x:v>
      </x:c>
      <x:c r="C352" s="2" t="str">
        <x:v>无信贷记录</x:v>
      </x:c>
      <x:c r="D352" s="2" t="str"/>
      <x:c r="E352" s="2" t="str"/>
      <x:c r="F352" s="13" t="n">
        <x:v>101</x:v>
      </x:c>
      <x:c r="G352" s="13" t="n">
        <x:v>100</x:v>
      </x:c>
      <x:c r="H352" s="13" t="n">
        <x:v>1</x:v>
      </x:c>
      <x:c r="I352" s="13" t="n">
        <x:v>1</x:v>
      </x:c>
      <x:c r="J352" s="13" t="n">
        <x:v>308336.05</x:v>
      </x:c>
      <x:c r="K352" s="13" t="n">
        <x:v>311934.05</x:v>
      </x:c>
      <x:c r="L352" s="13" t="n">
        <x:v>46</x:v>
      </x:c>
      <x:c r="M352" s="13" t="n">
        <x:v>0.009900990099009901</x:v>
      </x:c>
      <x:c r="N352" s="13" t="n">
        <x:v>0.01</x:v>
      </x:c>
      <x:c r="O352" s="13" t="n">
        <x:v>0.4841738801071323</x:v>
      </x:c>
      <x:c r="P352" s="13" t="n">
        <x:v>0.6900497076224926</x:v>
      </x:c>
      <x:c r="Q352" s="13" t="n">
        <x:v>10632.277586206896</x:v>
      </x:c>
      <x:c r="R352" s="13" t="n">
        <x:v>3.7029323063335413</x:v>
      </x:c>
      <x:c r="S352" s="13" t="n">
        <x:v>0.05799341335532555</x:v>
      </x:c>
      <x:c r="T352" s="13" t="n">
        <x:v>24</x:v>
      </x:c>
      <x:c r="U352" s="13" t="n">
        <x:v>60</x:v>
      </x:c>
      <x:c r="V352" s="13" t="n">
        <x:v>52</x:v>
      </x:c>
      <x:c r="W352" s="13" t="n">
        <x:v>8</x:v>
      </x:c>
      <x:c r="X352" s="13" t="n">
        <x:v>0</x:v>
      </x:c>
      <x:c r="Y352" s="13" t="n">
        <x:v>1089240.3</x:v>
      </x:c>
      <x:c r="Z352" s="13" t="n">
        <x:v>1089240.3</x:v>
      </x:c>
      <x:c r="AA352" s="13" t="n">
        <x:v>15</x:v>
      </x:c>
      <x:c r="AB352" s="13" t="n">
        <x:v>0.13333333333333333</x:v>
      </x:c>
      <x:c r="AC352" s="13" t="n">
        <x:v>0</x:v>
      </x:c>
      <x:c r="AD352" s="13" t="n">
        <x:v>0.18939827474583137</x:v>
      </x:c>
      <x:c r="AE352" s="13" t="n">
        <x:v>0.3449852158426382</x:v>
      </x:c>
      <x:c r="AF352" s="13" t="n">
        <x:v>33007.28181818182</x:v>
      </x:c>
      <x:c r="AG352" s="13" t="n">
        <x:v>1.561243414605168</x:v>
      </x:c>
      <x:c r="AH352" s="13" t="n">
        <x:v>0.0913391415072099</x:v>
      </x:c>
      <x:c r="AI352" s="13" t="n">
        <x:v>21</x:v>
      </x:c>
      <x:c r="AJ352" s="13" t="n">
        <x:v>780904.25</x:v>
      </x:c>
      <x:c r="AK352" s="13" t="n">
        <x:v>0.28637762484549983</x:v>
      </x:c>
      <x:c r="AL352" s="13" t="n">
        <x:v>0.055900621118012424</x:v>
      </x:c>
      <x:c r="AM352" s="13" t="n">
        <x:v>0.006578947368421052</x:v>
      </x:c>
      <x:c r="AN352" s="13" t="n">
        <x:v>0.3367860774264818</x:v>
      </x:c>
      <x:c r="AO352" s="13" t="n">
        <x:v>2.6320878604693547</x:v>
      </x:c>
      <x:c r="AP352" s="13" t="n">
        <x:v>0.07466627743126772</x:v>
      </x:c>
    </x:row>
    <x:row r="353" ht="15" hidden="0" customHeight="1">
      <x:c r="A353" s="2" t="str">
        <x:v>E352</x:v>
      </x:c>
      <x:c r="B353" s="2" t="str">
        <x:v>***居装饰工程有限公司</x:v>
      </x:c>
      <x:c r="C353" s="2" t="str">
        <x:v>无信贷记录</x:v>
      </x:c>
      <x:c r="D353" s="2" t="str"/>
      <x:c r="E353" s="2" t="str"/>
      <x:c r="F353" s="13" t="n">
        <x:v>743</x:v>
      </x:c>
      <x:c r="G353" s="13" t="n">
        <x:v>735</x:v>
      </x:c>
      <x:c r="H353" s="13" t="n">
        <x:v>8</x:v>
      </x:c>
      <x:c r="I353" s="13" t="n">
        <x:v>12</x:v>
      </x:c>
      <x:c r="J353" s="13" t="n">
        <x:v>14736161.72</x:v>
      </x:c>
      <x:c r="K353" s="13" t="n">
        <x:v>15618022.04</x:v>
      </x:c>
      <x:c r="L353" s="13" t="n">
        <x:v>53</x:v>
      </x:c>
      <x:c r="M353" s="13" t="n">
        <x:v>0.010767160161507403</x:v>
      </x:c>
      <x:c r="N353" s="13" t="n">
        <x:v>0.0163265306122449</x:v>
      </x:c>
      <x:c r="O353" s="13" t="n">
        <x:v>0.12173223955018274</x:v>
      </x:c>
      <x:c r="P353" s="13" t="n">
        <x:v>0.2166420300428773</x:v>
      </x:c>
      <x:c r="Q353" s="13" t="n">
        <x:v>409337.8255555555</x:v>
      </x:c>
      <x:c r="R353" s="13" t="n">
        <x:v>0.7599035894854343</x:v>
      </x:c>
      <x:c r="S353" s="13" t="n">
        <x:v>0.015782585845620787</x:v>
      </x:c>
      <x:c r="T353" s="13" t="n">
        <x:v>36</x:v>
      </x:c>
      <x:c r="U353" s="13" t="n">
        <x:v>52</x:v>
      </x:c>
      <x:c r="V353" s="13" t="n">
        <x:v>47</x:v>
      </x:c>
      <x:c r="W353" s="13" t="n">
        <x:v>5</x:v>
      </x:c>
      <x:c r="X353" s="13" t="n">
        <x:v>0</x:v>
      </x:c>
      <x:c r="Y353" s="13" t="n">
        <x:v>2729461</x:v>
      </x:c>
      <x:c r="Z353" s="13" t="n">
        <x:v>2729461</x:v>
      </x:c>
      <x:c r="AA353" s="13" t="n">
        <x:v>41</x:v>
      </x:c>
      <x:c r="AB353" s="13" t="n">
        <x:v>0.09615384615384616</x:v>
      </x:c>
      <x:c r="AC353" s="13" t="n">
        <x:v>0</x:v>
      </x:c>
      <x:c r="AD353" s="13" t="n">
        <x:v>0.03436054837134043</x:v>
      </x:c>
      <x:c r="AE353" s="13" t="n">
        <x:v>0.08236058327999557</x:v>
      </x:c>
      <x:c r="AF353" s="13" t="n">
        <x:v>77984.6</x:v>
      </x:c>
      <x:c r="AG353" s="13" t="n">
        <x:v>0.9841840770346423</x:v>
      </x:c>
      <x:c r="AH353" s="13" t="n">
        <x:v>-0.018080216239777215</x:v>
      </x:c>
      <x:c r="AI353" s="13" t="n">
        <x:v>24</x:v>
      </x:c>
      <x:c r="AJ353" s="13" t="n">
        <x:v>-12006700.72</x:v>
      </x:c>
      <x:c r="AK353" s="13" t="n">
        <x:v>5.7220169256860585</x:v>
      </x:c>
      <x:c r="AL353" s="13" t="n">
        <x:v>0.016352201257861635</x:v>
      </x:c>
      <x:c r="AM353" s="13" t="n">
        <x:v>0.015345268542199489</x:v>
      </x:c>
      <x:c r="AN353" s="13" t="n">
        <x:v>0.07804639396076159</x:v>
      </x:c>
      <x:c r="AO353" s="13" t="n">
        <x:v>0.8720438332600383</x:v>
      </x:c>
      <x:c r="AP353" s="13" t="n">
        <x:v>-0.001148815197078214</x:v>
      </x:c>
    </x:row>
    <x:row r="354" ht="15" hidden="0" customHeight="1">
      <x:c r="A354" s="2" t="str">
        <x:v>E353</x:v>
      </x:c>
      <x:c r="B354" s="2" t="str">
        <x:v>***税务师事务所有限公司</x:v>
      </x:c>
      <x:c r="C354" s="2" t="str">
        <x:v>无信贷记录</x:v>
      </x:c>
      <x:c r="D354" s="2" t="str"/>
      <x:c r="E354" s="2" t="str"/>
      <x:c r="F354" s="13" t="n">
        <x:v>234</x:v>
      </x:c>
      <x:c r="G354" s="13" t="n">
        <x:v>224</x:v>
      </x:c>
      <x:c r="H354" s="13" t="n">
        <x:v>10</x:v>
      </x:c>
      <x:c r="I354" s="13" t="n">
        <x:v>1</x:v>
      </x:c>
      <x:c r="J354" s="13" t="n">
        <x:v>333444.78</x:v>
      </x:c>
      <x:c r="K354" s="13" t="n">
        <x:v>346780.78</x:v>
      </x:c>
      <x:c r="L354" s="13" t="n">
        <x:v>105</x:v>
      </x:c>
      <x:c r="M354" s="13" t="n">
        <x:v>0.042735042735042736</x:v>
      </x:c>
      <x:c r="N354" s="13" t="n">
        <x:v>0.004464285714285714</x:v>
      </x:c>
      <x:c r="O354" s="13" t="n">
        <x:v>0.0657335256183411</x:v>
      </x:c>
      <x:c r="P354" s="13" t="n">
        <x:v>0.21108147919847228</x:v>
      </x:c>
      <x:c r="Q354" s="13" t="n">
        <x:v>10420.149375</x:v>
      </x:c>
      <x:c r="R354" s="13" t="n">
        <x:v>0.8876651776658154</x:v>
      </x:c>
      <x:c r="S354" s="13" t="n">
        <x:v>-0.03962385890387831</x:v>
      </x:c>
      <x:c r="T354" s="13" t="n">
        <x:v>31</x:v>
      </x:c>
      <x:c r="U354" s="13" t="n">
        <x:v>80</x:v>
      </x:c>
      <x:c r="V354" s="13" t="n">
        <x:v>68</x:v>
      </x:c>
      <x:c r="W354" s="13" t="n">
        <x:v>12</x:v>
      </x:c>
      <x:c r="X354" s="13" t="n">
        <x:v>4</x:v>
      </x:c>
      <x:c r="Y354" s="13" t="n">
        <x:v>2816166.6399999997</x:v>
      </x:c>
      <x:c r="Z354" s="13" t="n">
        <x:v>3122166.5999999996</x:v>
      </x:c>
      <x:c r="AA354" s="13" t="n">
        <x:v>25</x:v>
      </x:c>
      <x:c r="AB354" s="13" t="n">
        <x:v>0.15</x:v>
      </x:c>
      <x:c r="AC354" s="13" t="n">
        <x:v>0.058823529411764705</x:v>
      </x:c>
      <x:c r="AD354" s="13" t="n">
        <x:v>0.06410526068979665</x:v>
      </x:c>
      <x:c r="AE354" s="13" t="n">
        <x:v>0.11498425484405604</x:v>
      </x:c>
      <x:c r="AF354" s="13" t="n">
        <x:v>88005.20749999999</x:v>
      </x:c>
      <x:c r="AG354" s="13" t="n">
        <x:v>1.178712368974488</x:v>
      </x:c>
      <x:c r="AH354" s="13" t="n">
        <x:v>-0.033195763749346664</x:v>
      </x:c>
      <x:c r="AI354" s="13" t="n">
        <x:v>19</x:v>
      </x:c>
      <x:c r="AJ354" s="13" t="n">
        <x:v>2482721.8599999994</x:v>
      </x:c>
      <x:c r="AK354" s="13" t="n">
        <x:v>0.11107055594022432</x:v>
      </x:c>
      <x:c r="AL354" s="13" t="n">
        <x:v>0.07006369426751592</x:v>
      </x:c>
      <x:c r="AM354" s="13" t="n">
        <x:v>0.017123287671232876</x:v>
      </x:c>
      <x:c r="AN354" s="13" t="n">
        <x:v>0.06491939315406887</x:v>
      </x:c>
      <x:c r="AO354" s="13" t="n">
        <x:v>1.0331887733201517</x:v>
      </x:c>
      <x:c r="AP354" s="13" t="n">
        <x:v>-0.03640981132661249</x:v>
      </x:c>
    </x:row>
    <x:row r="355" ht="15" hidden="0" customHeight="1">
      <x:c r="A355" s="2" t="str">
        <x:v>E354</x:v>
      </x:c>
      <x:c r="B355" s="2" t="str">
        <x:v>***广告有限公司</x:v>
      </x:c>
      <x:c r="C355" s="2" t="str">
        <x:v>无信贷记录</x:v>
      </x:c>
      <x:c r="D355" s="2" t="str"/>
      <x:c r="E355" s="2" t="str"/>
      <x:c r="F355" s="13" t="n">
        <x:v>67</x:v>
      </x:c>
      <x:c r="G355" s="13" t="n">
        <x:v>65</x:v>
      </x:c>
      <x:c r="H355" s="13" t="n">
        <x:v>2</x:v>
      </x:c>
      <x:c r="I355" s="13" t="n">
        <x:v>0</x:v>
      </x:c>
      <x:c r="J355" s="13" t="n">
        <x:v>663680</x:v>
      </x:c>
      <x:c r="K355" s="13" t="n">
        <x:v>663680</x:v>
      </x:c>
      <x:c r="L355" s="13" t="n">
        <x:v>11</x:v>
      </x:c>
      <x:c r="M355" s="13" t="n">
        <x:v>0.029850746268656716</x:v>
      </x:c>
      <x:c r="N355" s="13" t="n">
        <x:v>0</x:v>
      </x:c>
      <x:c r="O355" s="13" t="n">
        <x:v>0.39197192411123094</x:v>
      </x:c>
      <x:c r="P355" s="13" t="n">
        <x:v>0.587632594021215</x:v>
      </x:c>
      <x:c r="Q355" s="13" t="n">
        <x:v>18962.285714285714</x:v>
      </x:c>
      <x:c r="R355" s="13" t="n">
        <x:v>1.6755376640648398</x:v>
      </x:c>
      <x:c r="S355" s="13" t="n">
        <x:v>0.029842193024749296</x:v>
      </x:c>
      <x:c r="T355" s="13" t="n">
        <x:v>21</x:v>
      </x:c>
      <x:c r="U355" s="13" t="n">
        <x:v>323</x:v>
      </x:c>
      <x:c r="V355" s="13" t="n">
        <x:v>293</x:v>
      </x:c>
      <x:c r="W355" s="13" t="n">
        <x:v>30</x:v>
      </x:c>
      <x:c r="X355" s="13" t="n">
        <x:v>7</x:v>
      </x:c>
      <x:c r="Y355" s="13" t="n">
        <x:v>2283560.4</x:v>
      </x:c>
      <x:c r="Z355" s="13" t="n">
        <x:v>2416100.4</x:v>
      </x:c>
      <x:c r="AA355" s="13" t="n">
        <x:v>66</x:v>
      </x:c>
      <x:c r="AB355" s="13" t="n">
        <x:v>0.09287925696594428</x:v>
      </x:c>
      <x:c r="AC355" s="13" t="n">
        <x:v>0.023890784982935155</x:v>
      </x:c>
      <x:c r="AD355" s="13" t="n">
        <x:v>0.11749891380392855</x:v>
      </x:c>
      <x:c r="AE355" s="13" t="n">
        <x:v>0.31124534394348846</x:v>
      </x:c>
      <x:c r="AF355" s="13" t="n">
        <x:v>67163.54117647058</x:v>
      </x:c>
      <x:c r="AG355" s="13" t="n">
        <x:v>1.1649029470065047</x:v>
      </x:c>
      <x:c r="AH355" s="13" t="n">
        <x:v>-0.0061463978134103404</x:v>
      </x:c>
      <x:c r="AI355" s="13" t="n">
        <x:v>31</x:v>
      </x:c>
      <x:c r="AJ355" s="13" t="n">
        <x:v>1619880.4</x:v>
      </x:c>
      <x:c r="AK355" s="13" t="n">
        <x:v>0.2746905716335297</x:v>
      </x:c>
      <x:c r="AL355" s="13" t="n">
        <x:v>0.08205128205128205</x:v>
      </x:c>
      <x:c r="AM355" s="13" t="n">
        <x:v>0.019553072625698324</x:v>
      </x:c>
      <x:c r="AN355" s="13" t="n">
        <x:v>0.25473541895757973</x:v>
      </x:c>
      <x:c r="AO355" s="13" t="n">
        <x:v>1.4202203055356724</x:v>
      </x:c>
      <x:c r="AP355" s="13" t="n">
        <x:v>0.011847897605669478</x:v>
      </x:c>
    </x:row>
    <x:row r="356" ht="15" hidden="0" customHeight="1">
      <x:c r="A356" s="2" t="str">
        <x:v>E355</x:v>
      </x:c>
      <x:c r="B356" s="2" t="str">
        <x:v>***地毯经营部</x:v>
      </x:c>
      <x:c r="C356" s="2" t="str">
        <x:v>无信贷记录</x:v>
      </x:c>
      <x:c r="D356" s="2" t="str"/>
      <x:c r="E356" s="2" t="str"/>
      <x:c r="F356" s="13" t="n">
        <x:v>4</x:v>
      </x:c>
      <x:c r="G356" s="13" t="n">
        <x:v>3</x:v>
      </x:c>
      <x:c r="H356" s="13" t="n">
        <x:v>1</x:v>
      </x:c>
      <x:c r="I356" s="13" t="n">
        <x:v>0</x:v>
      </x:c>
      <x:c r="J356" s="13" t="n">
        <x:v>530560</x:v>
      </x:c>
      <x:c r="K356" s="13" t="n">
        <x:v>530560</x:v>
      </x:c>
      <x:c r="L356" s="13" t="n">
        <x:v>2</x:v>
      </x:c>
      <x:c r="M356" s="13" t="n">
        <x:v>0.1274358974358974</x:v>
      </x:c>
      <x:c r="N356" s="13" t="n">
        <x:v>0</x:v>
      </x:c>
      <x:c r="O356" s="13" t="n">
        <x:v>0.9978912510312976</x:v>
      </x:c>
      <x:c r="P356" s="13" t="n">
        <x:v>0.9989445114595898</x:v>
      </x:c>
      <x:c r="Q356" s="13" t="n">
        <x:v>40812.307692307695</x:v>
      </x:c>
      <x:c r="R356" s="13" t="n">
        <x:v>3.462121588035068</x:v>
      </x:c>
      <x:c r="S356" s="13" t="n">
        <x:v>0.17261326934540813</x:v>
      </x:c>
      <x:c r="T356" s="13" t="n">
        <x:v>2</x:v>
      </x:c>
      <x:c r="U356" s="13" t="n">
        <x:v>279</x:v>
      </x:c>
      <x:c r="V356" s="13" t="n">
        <x:v>263</x:v>
      </x:c>
      <x:c r="W356" s="13" t="n">
        <x:v>16</x:v>
      </x:c>
      <x:c r="X356" s="13" t="n">
        <x:v>0</x:v>
      </x:c>
      <x:c r="Y356" s="13" t="n">
        <x:v>1230185.81</x:v>
      </x:c>
      <x:c r="Z356" s="13" t="n">
        <x:v>1230185.81</x:v>
      </x:c>
      <x:c r="AA356" s="13" t="n">
        <x:v>107</x:v>
      </x:c>
      <x:c r="AB356" s="13" t="n">
        <x:v>0.05734767025089606</x:v>
      </x:c>
      <x:c r="AC356" s="13" t="n">
        <x:v>0</x:v>
      </x:c>
      <x:c r="AD356" s="13" t="n">
        <x:v>0.0397923153461091</x:v>
      </x:c>
      <x:c r="AE356" s="13" t="n">
        <x:v>0.09027010318059188</x:v>
      </x:c>
      <x:c r="AF356" s="13" t="n">
        <x:v>47314.83884615385</x:v>
      </x:c>
      <x:c r="AG356" s="13" t="n">
        <x:v>0.49929680567306567</x:v>
      </x:c>
      <x:c r="AH356" s="13" t="n">
        <x:v>0.03639180740238398</x:v>
      </x:c>
      <x:c r="AI356" s="13" t="n">
        <x:v>26</x:v>
      </x:c>
      <x:c r="AJ356" s="13" t="n">
        <x:v>699625.81</x:v>
      </x:c>
      <x:c r="AK356" s="13" t="n">
        <x:v>0.4312844414942484</x:v>
      </x:c>
      <x:c r="AL356" s="13" t="n">
        <x:v>0.06007067137809187</x:v>
      </x:c>
      <x:c r="AM356" s="13" t="n">
        <x:v>0</x:v>
      </x:c>
      <x:c r="AN356" s="13" t="n">
        <x:v>0.5188417831887033</x:v>
      </x:c>
      <x:c r="AO356" s="13" t="n">
        <x:v>1.9807091968540669</x:v>
      </x:c>
      <x:c r="AP356" s="13" t="n">
        <x:v>0.1467615396131856</x:v>
      </x:c>
    </x:row>
    <x:row r="357" ht="15" hidden="0" customHeight="1">
      <x:c r="A357" s="2" t="str">
        <x:v>E356</x:v>
      </x:c>
      <x:c r="B357" s="2" t="str">
        <x:v>***建材装饰部</x:v>
      </x:c>
      <x:c r="C357" s="2" t="str">
        <x:v>无信贷记录</x:v>
      </x:c>
      <x:c r="D357" s="2" t="str"/>
      <x:c r="E357" s="2" t="str"/>
      <x:c r="F357" s="13" t="n">
        <x:v>3</x:v>
      </x:c>
      <x:c r="G357" s="13" t="n">
        <x:v>3</x:v>
      </x:c>
      <x:c r="H357" s="13" t="n">
        <x:v>0</x:v>
      </x:c>
      <x:c r="I357" s="13" t="n">
        <x:v>0</x:v>
      </x:c>
      <x:c r="J357" s="13" t="n">
        <x:v>16160</x:v>
      </x:c>
      <x:c r="K357" s="13" t="n">
        <x:v>16160</x:v>
      </x:c>
      <x:c r="L357" s="13" t="n">
        <x:v>2</x:v>
      </x:c>
      <x:c r="M357" s="13" t="n">
        <x:v>0</x:v>
      </x:c>
      <x:c r="N357" s="13" t="n">
        <x:v>0</x:v>
      </x:c>
      <x:c r="O357" s="13" t="n">
        <x:v>0.9330947946279775</x:v>
      </x:c>
      <x:c r="P357" s="13" t="n">
        <x:v>0.9653465346534653</x:v>
      </x:c>
      <x:c r="Q357" s="13" t="n">
        <x:v>1010</x:v>
      </x:c>
      <x:c r="R357" s="13" t="n">
        <x:v>3.730939534853907</x:v>
      </x:c>
      <x:c r="S357" s="13" t="n">
        <x:v>-0.21625547045049248</x:v>
      </x:c>
      <x:c r="T357" s="13" t="n">
        <x:v>3</x:v>
      </x:c>
      <x:c r="U357" s="13" t="n">
        <x:v>191</x:v>
      </x:c>
      <x:c r="V357" s="13" t="n">
        <x:v>189</x:v>
      </x:c>
      <x:c r="W357" s="13" t="n">
        <x:v>2</x:v>
      </x:c>
      <x:c r="X357" s="13" t="n">
        <x:v>0</x:v>
      </x:c>
      <x:c r="Y357" s="13" t="n">
        <x:v>1553531.96</x:v>
      </x:c>
      <x:c r="Z357" s="13" t="n">
        <x:v>1553531.96</x:v>
      </x:c>
      <x:c r="AA357" s="13" t="n">
        <x:v>4</x:v>
      </x:c>
      <x:c r="AB357" s="13" t="n">
        <x:v>0.010471204188481676</x:v>
      </x:c>
      <x:c r="AC357" s="13" t="n">
        <x:v>0</x:v>
      </x:c>
      <x:c r="AD357" s="13" t="n">
        <x:v>0.8432375814011996</x:v>
      </x:c>
      <x:c r="AE357" s="13" t="n">
        <x:v>0.9169267171046807</x:v>
      </x:c>
      <x:c r="AF357" s="13" t="n">
        <x:v>57538.22074074074</x:v>
      </x:c>
      <x:c r="AG357" s="13" t="n">
        <x:v>0.651970186578159</x:v>
      </x:c>
      <x:c r="AH357" s="13" t="n">
        <x:v>0.02076055755578345</x:v>
      </x:c>
      <x:c r="AI357" s="13" t="n">
        <x:v>27</x:v>
      </x:c>
      <x:c r="AJ357" s="13" t="n">
        <x:v>1537371.96</x:v>
      </x:c>
      <x:c r="AK357" s="13" t="n">
        <x:v>0.010402103346493104</x:v>
      </x:c>
      <x:c r="AL357" s="13" t="n">
        <x:v>0.010309278350515464</x:v>
      </x:c>
      <x:c r="AM357" s="13" t="n">
        <x:v>0</x:v>
      </x:c>
      <x:c r="AN357" s="13" t="n">
        <x:v>0.8522886170939294</x:v>
      </x:c>
      <x:c r="AO357" s="13" t="n">
        <x:v>2.191454860716033</x:v>
      </x:c>
      <x:c r="AP357" s="13" t="n">
        <x:v>-0.14632887016078774</x:v>
      </x:c>
    </x:row>
    <x:row r="358" ht="15" hidden="0" customHeight="1">
      <x:c r="A358" s="2" t="str">
        <x:v>E357</x:v>
      </x:c>
      <x:c r="B358" s="2" t="str">
        <x:v>***家居经营部</x:v>
      </x:c>
      <x:c r="C358" s="2" t="str">
        <x:v>无信贷记录</x:v>
      </x:c>
      <x:c r="D358" s="2" t="str"/>
      <x:c r="E358" s="2" t="str"/>
      <x:c r="F358" s="13" t="n">
        <x:v>10</x:v>
      </x:c>
      <x:c r="G358" s="13" t="n">
        <x:v>10</x:v>
      </x:c>
      <x:c r="H358" s="13" t="n">
        <x:v>0</x:v>
      </x:c>
      <x:c r="I358" s="13" t="n">
        <x:v>1</x:v>
      </x:c>
      <x:c r="J358" s="13" t="n">
        <x:v>66515.2</x:v>
      </x:c>
      <x:c r="K358" s="13" t="n">
        <x:v>67075.2</x:v>
      </x:c>
      <x:c r="L358" s="13" t="n">
        <x:v>5</x:v>
      </x:c>
      <x:c r="M358" s="13" t="n">
        <x:v>0</x:v>
      </x:c>
      <x:c r="N358" s="13" t="n">
        <x:v>0.04853794642857142</x:v>
      </x:c>
      <x:c r="O358" s="13" t="n">
        <x:v>0.5841356533699348</x:v>
      </x:c>
      <x:c r="P358" s="13" t="n">
        <x:v>0.7454319927484376</x:v>
      </x:c>
      <x:c r="Q358" s="13" t="n">
        <x:v>2217.173333333333</x:v>
      </x:c>
      <x:c r="R358" s="13" t="n">
        <x:v>2.3220804960506327</x:v>
      </x:c>
      <x:c r="S358" s="13" t="n">
        <x:v>0.0332581738881515</x:v>
      </x:c>
      <x:c r="T358" s="13" t="n">
        <x:v>8</x:v>
      </x:c>
      <x:c r="U358" s="13" t="n">
        <x:v>154</x:v>
      </x:c>
      <x:c r="V358" s="13" t="n">
        <x:v>144</x:v>
      </x:c>
      <x:c r="W358" s="13" t="n">
        <x:v>10</x:v>
      </x:c>
      <x:c r="X358" s="13" t="n">
        <x:v>0</x:v>
      </x:c>
      <x:c r="Y358" s="13" t="n">
        <x:v>1369999.74</x:v>
      </x:c>
      <x:c r="Z358" s="13" t="n">
        <x:v>1369999.74</x:v>
      </x:c>
      <x:c r="AA358" s="13" t="n">
        <x:v>15</x:v>
      </x:c>
      <x:c r="AB358" s="13" t="n">
        <x:v>0.06493506493506493</x:v>
      </x:c>
      <x:c r="AC358" s="13" t="n">
        <x:v>0</x:v>
      </x:c>
      <x:c r="AD358" s="13" t="n">
        <x:v>0.24097911521582233</x:v>
      </x:c>
      <x:c r="AE358" s="13" t="n">
        <x:v>0.4212295835910159</x:v>
      </x:c>
      <x:c r="AF358" s="13" t="n">
        <x:v>42812.491875</x:v>
      </x:c>
      <x:c r="AG358" s="13" t="n">
        <x:v>0.8154735881006813</x:v>
      </x:c>
      <x:c r="AH358" s="13" t="n">
        <x:v>0.06388953097254772</x:v>
      </x:c>
      <x:c r="AI358" s="13" t="n">
        <x:v>24</x:v>
      </x:c>
      <x:c r="AJ358" s="13" t="n">
        <x:v>1303484.54</x:v>
      </x:c>
      <x:c r="AK358" s="13" t="n">
        <x:v>0.04896000929168056</x:v>
      </x:c>
      <x:c r="AL358" s="13" t="n">
        <x:v>0.06097560975609756</x:v>
      </x:c>
      <x:c r="AM358" s="13" t="n">
        <x:v>0.006493506493506494</x:v>
      </x:c>
      <x:c r="AN358" s="13" t="n">
        <x:v>0.4125573842928786</x:v>
      </x:c>
      <x:c r="AO358" s="13" t="n">
        <x:v>1.568777042075657</x:v>
      </x:c>
      <x:c r="AP358" s="13" t="n">
        <x:v>0.04857385243034961</x:v>
      </x:c>
    </x:row>
    <x:row r="359" ht="15" hidden="0" customHeight="1">
      <x:c r="A359" s="2" t="str">
        <x:v>E358</x:v>
      </x:c>
      <x:c r="B359" s="2" t="str">
        <x:v>***五金经营部</x:v>
      </x:c>
      <x:c r="C359" s="2" t="str">
        <x:v>无信贷记录</x:v>
      </x:c>
      <x:c r="D359" s="2" t="str"/>
      <x:c r="E359" s="2" t="str"/>
      <x:c r="F359" s="13" t="n">
        <x:v>2</x:v>
      </x:c>
      <x:c r="G359" s="13" t="n">
        <x:v>2</x:v>
      </x:c>
      <x:c r="H359" s="13" t="n">
        <x:v>0</x:v>
      </x:c>
      <x:c r="I359" s="13" t="n">
        <x:v>0</x:v>
      </x:c>
      <x:c r="J359" s="13" t="n">
        <x:v>560</x:v>
      </x:c>
      <x:c r="K359" s="13" t="n">
        <x:v>560</x:v>
      </x:c>
      <x:c r="L359" s="13" t="n">
        <x:v>1</x:v>
      </x:c>
      <x:c r="M359" s="13" t="n">
        <x:v>0</x:v>
      </x:c>
      <x:c r="N359" s="13" t="n">
        <x:v>0</x:v>
      </x:c>
      <x:c r="O359" s="13" t="n">
        <x:v>1</x:v>
      </x:c>
      <x:c r="P359" s="13" t="n">
        <x:v>1</x:v>
      </x:c>
      <x:c r="Q359" s="13" t="n">
        <x:v>46.666666666666664</x:v>
      </x:c>
      <x:c r="R359" s="13" t="n">
        <x:v>2.2360679774518744</x:v>
      </x:c>
      <x:c r="S359" s="13" t="n">
        <x:v>-1.713254499626627e-16</x:v>
      </x:c>
      <x:c r="T359" s="13" t="n">
        <x:v>2</x:v>
      </x:c>
      <x:c r="U359" s="13" t="n">
        <x:v>301</x:v>
      </x:c>
      <x:c r="V359" s="13" t="n">
        <x:v>259</x:v>
      </x:c>
      <x:c r="W359" s="13" t="n">
        <x:v>42</x:v>
      </x:c>
      <x:c r="X359" s="13" t="n">
        <x:v>34</x:v>
      </x:c>
      <x:c r="Y359" s="13" t="n">
        <x:v>1652384.6699999997</x:v>
      </x:c>
      <x:c r="Z359" s="13" t="n">
        <x:v>2277995.43</x:v>
      </x:c>
      <x:c r="AA359" s="13" t="n">
        <x:v>26</x:v>
      </x:c>
      <x:c r="AB359" s="13" t="n">
        <x:v>0.13953488372093023</x:v>
      </x:c>
      <x:c r="AC359" s="13" t="n">
        <x:v>0.13127413127413126</x:v>
      </x:c>
      <x:c r="AD359" s="13" t="n">
        <x:v>0.16297259262624803</x:v>
      </x:c>
      <x:c r="AE359" s="13" t="n">
        <x:v>0.3241676696427788</x:v>
      </x:c>
      <x:c r="AF359" s="13" t="n">
        <x:v>56978.78172413794</x:v>
      </x:c>
      <x:c r="AG359" s="13" t="n">
        <x:v>0.67624760986446</x:v>
      </x:c>
      <x:c r="AH359" s="13" t="n">
        <x:v>0.00892002474390962</x:v>
      </x:c>
      <x:c r="AI359" s="13" t="n">
        <x:v>26</x:v>
      </x:c>
      <x:c r="AJ359" s="13" t="n">
        <x:v>1651824.6699999997</x:v>
      </x:c>
      <x:c r="AK359" s="13" t="n">
        <x:v>0.000324549550467228</x:v>
      </x:c>
      <x:c r="AL359" s="13" t="n">
        <x:v>0.13861386138613863</x:v>
      </x:c>
      <x:c r="AM359" s="13" t="n">
        <x:v>0.103076923076923</x:v>
      </x:c>
      <x:c r="AN359" s="13" t="n">
        <x:v>0.581486296313124</x:v>
      </x:c>
      <x:c r="AO359" s="13" t="n">
        <x:v>1.456157793658167</x:v>
      </x:c>
      <x:c r="AP359" s="13" t="n">
        <x:v>0.004460012371954724</x:v>
      </x:c>
    </x:row>
    <x:row r="360" ht="15" hidden="0" customHeight="1">
      <x:c r="A360" s="2" t="str">
        <x:v>E359</x:v>
      </x:c>
      <x:c r="B360" s="2" t="str">
        <x:v>***厨房用品经营部</x:v>
      </x:c>
      <x:c r="C360" s="2" t="str">
        <x:v>无信贷记录</x:v>
      </x:c>
      <x:c r="D360" s="2" t="str"/>
      <x:c r="E360" s="2" t="str"/>
      <x:c r="F360" s="13" t="n">
        <x:v>2</x:v>
      </x:c>
      <x:c r="G360" s="13" t="n">
        <x:v>2</x:v>
      </x:c>
      <x:c r="H360" s="13" t="n">
        <x:v>0</x:v>
      </x:c>
      <x:c r="I360" s="13" t="n">
        <x:v>0</x:v>
      </x:c>
      <x:c r="J360" s="13" t="n">
        <x:v>560</x:v>
      </x:c>
      <x:c r="K360" s="13" t="n">
        <x:v>560</x:v>
      </x:c>
      <x:c r="L360" s="13" t="n">
        <x:v>1</x:v>
      </x:c>
      <x:c r="M360" s="13" t="n">
        <x:v>0</x:v>
      </x:c>
      <x:c r="N360" s="13" t="n">
        <x:v>0</x:v>
      </x:c>
      <x:c r="O360" s="13" t="n">
        <x:v>1</x:v>
      </x:c>
      <x:c r="P360" s="13" t="n">
        <x:v>1</x:v>
      </x:c>
      <x:c r="Q360" s="13" t="n">
        <x:v>43.07692307692308</x:v>
      </x:c>
      <x:c r="R360" s="13" t="n">
        <x:v>2.345207879857272</x:v>
      </x:c>
      <x:c r="S360" s="13" t="n">
        <x:v>-1.301117167022538e-16</x:v>
      </x:c>
      <x:c r="T360" s="13" t="n">
        <x:v>2</x:v>
      </x:c>
      <x:c r="U360" s="13" t="n">
        <x:v>243</x:v>
      </x:c>
      <x:c r="V360" s="13" t="n">
        <x:v>224</x:v>
      </x:c>
      <x:c r="W360" s="13" t="n">
        <x:v>19</x:v>
      </x:c>
      <x:c r="X360" s="13" t="n">
        <x:v>3</x:v>
      </x:c>
      <x:c r="Y360" s="13" t="n">
        <x:v>1226488.02</x:v>
      </x:c>
      <x:c r="Z360" s="13" t="n">
        <x:v>1259414.02</x:v>
      </x:c>
      <x:c r="AA360" s="13" t="n">
        <x:v>36</x:v>
      </x:c>
      <x:c r="AB360" s="13" t="n">
        <x:v>0.07818930041152264</x:v>
      </x:c>
      <x:c r="AC360" s="13" t="n">
        <x:v>0.013392857142857142</x:v>
      </x:c>
      <x:c r="AD360" s="13" t="n">
        <x:v>0.09606512576143127</x:v>
      </x:c>
      <x:c r="AE360" s="13" t="n">
        <x:v>0.213699780791705</x:v>
      </x:c>
      <x:c r="AF360" s="13" t="n">
        <x:v>51103.6675</x:v>
      </x:c>
      <x:c r="AG360" s="13" t="n">
        <x:v>0.6226194860127987</x:v>
      </x:c>
      <x:c r="AH360" s="13" t="n">
        <x:v>0.011787558146857061</x:v>
      </x:c>
      <x:c r="AI360" s="13" t="n">
        <x:v>24</x:v>
      </x:c>
      <x:c r="AJ360" s="13" t="n">
        <x:v>1225928.02</x:v>
      </x:c>
      <x:c r="AK360" s="13" t="n">
        <x:v>0.00044465123550077644</x:v>
      </x:c>
      <x:c r="AL360" s="13" t="n">
        <x:v>0.07755102040816327</x:v>
      </x:c>
      <x:c r="AM360" s="13" t="n">
        <x:v>0.01327433628318584</x:v>
      </x:c>
      <x:c r="AN360" s="13" t="n">
        <x:v>0.5480325628807157</x:v>
      </x:c>
      <x:c r="AO360" s="13" t="n">
        <x:v>1.4839136829350354</x:v>
      </x:c>
      <x:c r="AP360" s="13" t="n">
        <x:v>0.005893779073428466</x:v>
      </x:c>
    </x:row>
    <x:row r="361" ht="15" hidden="0" customHeight="1">
      <x:c r="A361" s="2" t="str">
        <x:v>E360</x:v>
      </x:c>
      <x:c r="B361" s="2" t="str">
        <x:v>***建筑劳务有限公司</x:v>
      </x:c>
      <x:c r="C361" s="2" t="str">
        <x:v>无信贷记录</x:v>
      </x:c>
      <x:c r="D361" s="2" t="str"/>
      <x:c r="E361" s="2" t="str"/>
      <x:c r="F361" s="13" t="n">
        <x:v>3</x:v>
      </x:c>
      <x:c r="G361" s="13" t="n">
        <x:v>3</x:v>
      </x:c>
      <x:c r="H361" s="13" t="n">
        <x:v>0</x:v>
      </x:c>
      <x:c r="I361" s="13" t="n">
        <x:v>0</x:v>
      </x:c>
      <x:c r="J361" s="13" t="n">
        <x:v>840</x:v>
      </x:c>
      <x:c r="K361" s="13" t="n">
        <x:v>840</x:v>
      </x:c>
      <x:c r="L361" s="13" t="n">
        <x:v>1</x:v>
      </x:c>
      <x:c r="M361" s="13" t="n">
        <x:v>0</x:v>
      </x:c>
      <x:c r="N361" s="13" t="n">
        <x:v>0</x:v>
      </x:c>
      <x:c r="O361" s="13" t="n">
        <x:v>1</x:v>
      </x:c>
      <x:c r="P361" s="13" t="n">
        <x:v>1</x:v>
      </x:c>
      <x:c r="Q361" s="13" t="n">
        <x:v>168</x:v>
      </x:c>
      <x:c r="R361" s="13" t="n">
        <x:v>1.333333333325397</x:v>
      </x:c>
      <x:c r="S361" s="13" t="n">
        <x:v>-0.21625547045049248</x:v>
      </x:c>
      <x:c r="T361" s="13" t="n">
        <x:v>2</x:v>
      </x:c>
      <x:c r="U361" s="13" t="n">
        <x:v>35</x:v>
      </x:c>
      <x:c r="V361" s="13" t="n">
        <x:v>29</x:v>
      </x:c>
      <x:c r="W361" s="13" t="n">
        <x:v>6</x:v>
      </x:c>
      <x:c r="X361" s="13" t="n">
        <x:v>0</x:v>
      </x:c>
      <x:c r="Y361" s="13" t="n">
        <x:v>2688686.11</x:v>
      </x:c>
      <x:c r="Z361" s="13" t="n">
        <x:v>2688686.11</x:v>
      </x:c>
      <x:c r="AA361" s="13" t="n">
        <x:v>2</x:v>
      </x:c>
      <x:c r="AB361" s="13" t="n">
        <x:v>0.17142857142857143</x:v>
      </x:c>
      <x:c r="AC361" s="13" t="n">
        <x:v>0</x:v>
      </x:c>
      <x:c r="AD361" s="13" t="n">
        <x:v>0.6949790852660067</x:v>
      </x:c>
      <x:c r="AE361" s="13" t="n">
        <x:v>0.8122331542821859</x:v>
      </x:c>
      <x:c r="AF361" s="13" t="n">
        <x:v>122213.00499999999</x:v>
      </x:c>
      <x:c r="AG361" s="13" t="n">
        <x:v>2.501630239609679</x:v>
      </x:c>
      <x:c r="AH361" s="13" t="n">
        <x:v>-0.14722911552630938</x:v>
      </x:c>
      <x:c r="AI361" s="13" t="n">
        <x:v>5</x:v>
      </x:c>
      <x:c r="AJ361" s="13" t="n">
        <x:v>2687846.11</x:v>
      </x:c>
      <x:c r="AK361" s="13" t="n">
        <x:v>0.000324549550467228</x:v>
      </x:c>
      <x:c r="AL361" s="13" t="n">
        <x:v>0.15789473684210525</x:v>
      </x:c>
      <x:c r="AM361" s="13" t="n">
        <x:v>0</x:v>
      </x:c>
      <x:c r="AN361" s="13" t="n">
        <x:v>0.8474895426330034</x:v>
      </x:c>
      <x:c r="AO361" s="13" t="n">
        <x:v>1.9174817864675378</x:v>
      </x:c>
      <x:c r="AP361" s="13" t="n">
        <x:v>-0.14632887016078774</x:v>
      </x:c>
    </x:row>
    <x:row r="362" ht="15" hidden="0" customHeight="1">
      <x:c r="A362" s="2" t="str">
        <x:v>E361</x:v>
      </x:c>
      <x:c r="B362" s="2" t="str">
        <x:v>***勘察设计工程有限公司</x:v>
      </x:c>
      <x:c r="C362" s="2" t="str">
        <x:v>无信贷记录</x:v>
      </x:c>
      <x:c r="D362" s="2" t="str"/>
      <x:c r="E362" s="2" t="str"/>
      <x:c r="F362" s="13" t="n">
        <x:v>174</x:v>
      </x:c>
      <x:c r="G362" s="13" t="n">
        <x:v>171</x:v>
      </x:c>
      <x:c r="H362" s="13" t="n">
        <x:v>3</x:v>
      </x:c>
      <x:c r="I362" s="13" t="n">
        <x:v>0</x:v>
      </x:c>
      <x:c r="J362" s="13" t="n">
        <x:v>3337627.6</x:v>
      </x:c>
      <x:c r="K362" s="13" t="n">
        <x:v>3337627.6</x:v>
      </x:c>
      <x:c r="L362" s="13" t="n">
        <x:v>12</x:v>
      </x:c>
      <x:c r="M362" s="13" t="n">
        <x:v>0.017241379310344827</x:v>
      </x:c>
      <x:c r="N362" s="13" t="n">
        <x:v>0</x:v>
      </x:c>
      <x:c r="O362" s="13" t="n">
        <x:v>0.2203694548561958</x:v>
      </x:c>
      <x:c r="P362" s="13" t="n">
        <x:v>0.3849264070083792</x:v>
      </x:c>
      <x:c r="Q362" s="13" t="n">
        <x:v>104300.8625</x:v>
      </x:c>
      <x:c r="R362" s="13" t="n">
        <x:v>1.329550294200954</x:v>
      </x:c>
      <x:c r="S362" s="13" t="n">
        <x:v>-0.03558447629246519</x:v>
      </x:c>
      <x:c r="T362" s="13" t="n">
        <x:v>20</x:v>
      </x:c>
      <x:c r="U362" s="13" t="n">
        <x:v>118</x:v>
      </x:c>
      <x:c r="V362" s="13" t="n">
        <x:v>90</x:v>
      </x:c>
      <x:c r="W362" s="13" t="n">
        <x:v>28</x:v>
      </x:c>
      <x:c r="X362" s="13" t="n">
        <x:v>0</x:v>
      </x:c>
      <x:c r="Y362" s="13" t="n">
        <x:v>5182337.8</x:v>
      </x:c>
      <x:c r="Z362" s="13" t="n">
        <x:v>5182337.8</x:v>
      </x:c>
      <x:c r="AA362" s="13" t="n">
        <x:v>30</x:v>
      </x:c>
      <x:c r="AB362" s="13" t="n">
        <x:v>0.23728813559322035</x:v>
      </x:c>
      <x:c r="AC362" s="13" t="n">
        <x:v>0</x:v>
      </x:c>
      <x:c r="AD362" s="13" t="n">
        <x:v>0.12023784083672255</x:v>
      </x:c>
      <x:c r="AE362" s="13" t="n">
        <x:v>0.24162840176107395</x:v>
      </x:c>
      <x:c r="AF362" s="13" t="n">
        <x:v>161948.05625</x:v>
      </x:c>
      <x:c r="AG362" s="13" t="n">
        <x:v>1.613404879221125</x:v>
      </x:c>
      <x:c r="AH362" s="13" t="n">
        <x:v>-0.011727095912971407</x:v>
      </x:c>
      <x:c r="AI362" s="13" t="n">
        <x:v>23</x:v>
      </x:c>
      <x:c r="AJ362" s="13" t="n">
        <x:v>1844710.1999999997</x:v>
      </x:c>
      <x:c r="AK362" s="13" t="n">
        <x:v>0.6440389895077854</x:v>
      </x:c>
      <x:c r="AL362" s="13" t="n">
        <x:v>0.10616438356164383</x:v>
      </x:c>
      <x:c r="AM362" s="13" t="n">
        <x:v>0</x:v>
      </x:c>
      <x:c r="AN362" s="13" t="n">
        <x:v>0.17030364784645918</x:v>
      </x:c>
      <x:c r="AO362" s="13" t="n">
        <x:v>1.4714775867110395</x:v>
      </x:c>
      <x:c r="AP362" s="13" t="n">
        <x:v>-0.023655786102718297</x:v>
      </x:c>
    </x:row>
    <x:row r="363" ht="15" hidden="0" customHeight="1">
      <x:c r="A363" s="2" t="str">
        <x:v>E362</x:v>
      </x:c>
      <x:c r="B363" s="2" t="str">
        <x:v>***建材有限公司</x:v>
      </x:c>
      <x:c r="C363" s="2" t="str">
        <x:v>无信贷记录</x:v>
      </x:c>
      <x:c r="D363" s="2" t="str"/>
      <x:c r="E363" s="2" t="str"/>
      <x:c r="F363" s="13" t="n">
        <x:v>126</x:v>
      </x:c>
      <x:c r="G363" s="13" t="n">
        <x:v>122</x:v>
      </x:c>
      <x:c r="H363" s="13" t="n">
        <x:v>4</x:v>
      </x:c>
      <x:c r="I363" s="13" t="n">
        <x:v>4</x:v>
      </x:c>
      <x:c r="J363" s="13" t="n">
        <x:v>454098.8</x:v>
      </x:c>
      <x:c r="K363" s="13" t="n">
        <x:v>497298.8</x:v>
      </x:c>
      <x:c r="L363" s="13" t="n">
        <x:v>61</x:v>
      </x:c>
      <x:c r="M363" s="13" t="n">
        <x:v>0.031746031746031744</x:v>
      </x:c>
      <x:c r="N363" s="13" t="n">
        <x:v>0.03278688524590164</x:v>
      </x:c>
      <x:c r="O363" s="13" t="n">
        <x:v>0.12876333658774097</x:v>
      </x:c>
      <x:c r="P363" s="13" t="n">
        <x:v>0.2038412318710602</x:v>
      </x:c>
      <x:c r="Q363" s="13" t="n">
        <x:v>12974.251428571428</x:v>
      </x:c>
      <x:c r="R363" s="13" t="n">
        <x:v>2.521752623718359</x:v>
      </x:c>
      <x:c r="S363" s="13" t="n">
        <x:v>-0.07387585964922982</x:v>
      </x:c>
      <x:c r="T363" s="13" t="n">
        <x:v>31</x:v>
      </x:c>
      <x:c r="U363" s="13" t="n">
        <x:v>105</x:v>
      </x:c>
      <x:c r="V363" s="13" t="n">
        <x:v>95</x:v>
      </x:c>
      <x:c r="W363" s="13" t="n">
        <x:v>10</x:v>
      </x:c>
      <x:c r="X363" s="13" t="n">
        <x:v>4</x:v>
      </x:c>
      <x:c r="Y363" s="13" t="n">
        <x:v>4333867</x:v>
      </x:c>
      <x:c r="Z363" s="13" t="n">
        <x:v>4783633</x:v>
      </x:c>
      <x:c r="AA363" s="13" t="n">
        <x:v>14</x:v>
      </x:c>
      <x:c r="AB363" s="13" t="n">
        <x:v>0.09523809523809523</x:v>
      </x:c>
      <x:c r="AC363" s="13" t="n">
        <x:v>0.042105263157894736</x:v>
      </x:c>
      <x:c r="AD363" s="13" t="n">
        <x:v>0.18429351839104874</x:v>
      </x:c>
      <x:c r="AE363" s="13" t="n">
        <x:v>0.33472530187830046</x:v>
      </x:c>
      <x:c r="AF363" s="13" t="n">
        <x:v>117131.54054054055</x:v>
      </x:c>
      <x:c r="AG363" s="13" t="n">
        <x:v>2.794619587425908</x:v>
      </x:c>
      <x:c r="AH363" s="13" t="n">
        <x:v>-0.06982878132476365</x:v>
      </x:c>
      <x:c r="AI363" s="13" t="n">
        <x:v>17</x:v>
      </x:c>
      <x:c r="AJ363" s="13" t="n">
        <x:v>3879768.2</x:v>
      </x:c>
      <x:c r="AK363" s="13" t="n">
        <x:v>0.10395839312923878</x:v>
      </x:c>
      <x:c r="AL363" s="13" t="n">
        <x:v>0.06060606060606061</x:v>
      </x:c>
      <x:c r="AM363" s="13" t="n">
        <x:v>0.03686635944700461</x:v>
      </x:c>
      <x:c r="AN363" s="13" t="n">
        <x:v>0.15652842748939486</x:v>
      </x:c>
      <x:c r="AO363" s="13" t="n">
        <x:v>2.6581861055721334</x:v>
      </x:c>
      <x:c r="AP363" s="13" t="n">
        <x:v>-0.07185232048699675</x:v>
      </x:c>
    </x:row>
    <x:row r="364" ht="15" hidden="0" customHeight="1">
      <x:c r="A364" s="2" t="str">
        <x:v>E363</x:v>
      </x:c>
      <x:c r="B364" s="2" t="str">
        <x:v>***建筑工程设计有限公司</x:v>
      </x:c>
      <x:c r="C364" s="2" t="str">
        <x:v>无信贷记录</x:v>
      </x:c>
      <x:c r="D364" s="2" t="str"/>
      <x:c r="E364" s="2" t="str"/>
      <x:c r="F364" s="13" t="n">
        <x:v>99</x:v>
      </x:c>
      <x:c r="G364" s="13" t="n">
        <x:v>93</x:v>
      </x:c>
      <x:c r="H364" s="13" t="n">
        <x:v>6</x:v>
      </x:c>
      <x:c r="I364" s="13" t="n">
        <x:v>4</x:v>
      </x:c>
      <x:c r="J364" s="13" t="n">
        <x:v>209465.44</x:v>
      </x:c>
      <x:c r="K364" s="13" t="n">
        <x:v>210990.32</x:v>
      </x:c>
      <x:c r="L364" s="13" t="n">
        <x:v>38</x:v>
      </x:c>
      <x:c r="M364" s="13" t="n">
        <x:v>0.06060606060606061</x:v>
      </x:c>
      <x:c r="N364" s="13" t="n">
        <x:v>0.043010752688172046</x:v>
      </x:c>
      <x:c r="O364" s="13" t="n">
        <x:v>0.10132464278722485</x:v>
      </x:c>
      <x:c r="P364" s="13" t="n">
        <x:v>0.158775056599753</x:v>
      </x:c>
      <x:c r="Q364" s="13" t="n">
        <x:v>6982.181333333332</x:v>
      </x:c>
      <x:c r="R364" s="13" t="n">
        <x:v>1.8007236725263964</x:v>
      </x:c>
      <x:c r="S364" s="13" t="n">
        <x:v>0.014987361554897558</x:v>
      </x:c>
      <x:c r="T364" s="13" t="n">
        <x:v>25</x:v>
      </x:c>
      <x:c r="U364" s="13" t="n">
        <x:v>39</x:v>
      </x:c>
      <x:c r="V364" s="13" t="n">
        <x:v>30</x:v>
      </x:c>
      <x:c r="W364" s="13" t="n">
        <x:v>9</x:v>
      </x:c>
      <x:c r="X364" s="13" t="n">
        <x:v>0</x:v>
      </x:c>
      <x:c r="Y364" s="13" t="n">
        <x:v>1104932.12</x:v>
      </x:c>
      <x:c r="Z364" s="13" t="n">
        <x:v>1104932.12</x:v>
      </x:c>
      <x:c r="AA364" s="13" t="n">
        <x:v>11</x:v>
      </x:c>
      <x:c r="AB364" s="13" t="n">
        <x:v>0.23076923076923078</x:v>
      </x:c>
      <x:c r="AC364" s="13" t="n">
        <x:v>0</x:v>
      </x:c>
      <x:c r="AD364" s="13" t="n">
        <x:v>0.3160769656416974</x:v>
      </x:c>
      <x:c r="AE364" s="13" t="n">
        <x:v>0.5212682205310494</x:v>
      </x:c>
      <x:c r="AF364" s="13" t="n">
        <x:v>40923.41185185186</x:v>
      </x:c>
      <x:c r="AG364" s="13" t="n">
        <x:v>1.4793317994986384</x:v>
      </x:c>
      <x:c r="AH364" s="13" t="n">
        <x:v>0.11091896569364364</x:v>
      </x:c>
      <x:c r="AI364" s="13" t="n">
        <x:v>11</x:v>
      </x:c>
      <x:c r="AJ364" s="13" t="n">
        <x:v>895466.6800000002</x:v>
      </x:c>
      <x:c r="AK364" s="13" t="n">
        <x:v>0.19095319629227522</x:v>
      </x:c>
      <x:c r="AL364" s="13" t="n">
        <x:v>0.10869565217391304</x:v>
      </x:c>
      <x:c r="AM364" s="13" t="n">
        <x:v>0.032520325203252036</x:v>
      </x:c>
      <x:c r="AN364" s="13" t="n">
        <x:v>0.20870080421446113</x:v>
      </x:c>
      <x:c r="AO364" s="13" t="n">
        <x:v>1.6400277360125175</x:v>
      </x:c>
      <x:c r="AP364" s="13" t="n">
        <x:v>0.0629531636242706</x:v>
      </x:c>
    </x:row>
    <x:row r="365" ht="15" hidden="0" customHeight="1">
      <x:c r="A365" s="2" t="str">
        <x:v>E364</x:v>
      </x:c>
      <x:c r="B365" s="2" t="str">
        <x:v>***电子有限公司</x:v>
      </x:c>
      <x:c r="C365" s="2" t="str">
        <x:v>无信贷记录</x:v>
      </x:c>
      <x:c r="D365" s="2" t="str"/>
      <x:c r="E365" s="2" t="str"/>
      <x:c r="F365" s="13" t="n">
        <x:v>140</x:v>
      </x:c>
      <x:c r="G365" s="13" t="n">
        <x:v>140</x:v>
      </x:c>
      <x:c r="H365" s="13" t="n">
        <x:v>0</x:v>
      </x:c>
      <x:c r="I365" s="13" t="n">
        <x:v>5</x:v>
      </x:c>
      <x:c r="J365" s="13" t="n">
        <x:v>474093.94999999995</x:v>
      </x:c>
      <x:c r="K365" s="13" t="n">
        <x:v>510883.94999999995</x:v>
      </x:c>
      <x:c r="L365" s="13" t="n">
        <x:v>23</x:v>
      </x:c>
      <x:c r="M365" s="13" t="n">
        <x:v>0</x:v>
      </x:c>
      <x:c r="N365" s="13" t="n">
        <x:v>0.03571428571428571</x:v>
      </x:c>
      <x:c r="O365" s="13" t="n">
        <x:v>0.1821810047068803</x:v>
      </x:c>
      <x:c r="P365" s="13" t="n">
        <x:v>0.3082250479781172</x:v>
      </x:c>
      <x:c r="Q365" s="13" t="n">
        <x:v>12476.156578947368</x:v>
      </x:c>
      <x:c r="R365" s="13" t="n">
        <x:v>1.672662101038193</x:v>
      </x:c>
      <x:c r="S365" s="13" t="n">
        <x:v>0.005634684723628565</x:v>
      </x:c>
      <x:c r="T365" s="13" t="n">
        <x:v>38</x:v>
      </x:c>
      <x:c r="U365" s="13" t="n">
        <x:v>335</x:v>
      </x:c>
      <x:c r="V365" s="13" t="n">
        <x:v>308</x:v>
      </x:c>
      <x:c r="W365" s="13" t="n">
        <x:v>27</x:v>
      </x:c>
      <x:c r="X365" s="13" t="n">
        <x:v>6</x:v>
      </x:c>
      <x:c r="Y365" s="13" t="n">
        <x:v>2349717.77</x:v>
      </x:c>
      <x:c r="Z365" s="13" t="n">
        <x:v>2439689.57</x:v>
      </x:c>
      <x:c r="AA365" s="13" t="n">
        <x:v>57</x:v>
      </x:c>
      <x:c r="AB365" s="13" t="n">
        <x:v>0.08059701492537313</x:v>
      </x:c>
      <x:c r="AC365" s="13" t="n">
        <x:v>0.01948051948051948</x:v>
      </x:c>
      <x:c r="AD365" s="13" t="n">
        <x:v>0.042983497142857235</x:v>
      </x:c>
      <x:c r="AE365" s="13" t="n">
        <x:v>0.12719651049703018</x:v>
      </x:c>
      <x:c r="AF365" s="13" t="n">
        <x:v>63505.88567567568</x:v>
      </x:c>
      <x:c r="AG365" s="13" t="n">
        <x:v>0.922071209305396</x:v>
      </x:c>
      <x:c r="AH365" s="13" t="n">
        <x:v>-0.003425863921237303</x:v>
      </x:c>
      <x:c r="AI365" s="13" t="n">
        <x:v>32</x:v>
      </x:c>
      <x:c r="AJ365" s="13" t="n">
        <x:v>1875623.82</x:v>
      </x:c>
      <x:c r="AK365" s="13" t="n">
        <x:v>0.2094053097091364</x:v>
      </x:c>
      <x:c r="AL365" s="13" t="n">
        <x:v>0.056842105263157895</x:v>
      </x:c>
      <x:c r="AM365" s="13" t="n">
        <x:v>0.024553571428571428</x:v>
      </x:c>
      <x:c r="AN365" s="13" t="n">
        <x:v>0.11258225092486877</x:v>
      </x:c>
      <x:c r="AO365" s="13" t="n">
        <x:v>1.2973666551717944</x:v>
      </x:c>
      <x:c r="AP365" s="13" t="n">
        <x:v>0.001104410401195631</x:v>
      </x:c>
    </x:row>
    <x:row r="366" ht="15" hidden="0" customHeight="1">
      <x:c r="A366" s="2" t="str">
        <x:v>E365</x:v>
      </x:c>
      <x:c r="B366" s="2" t="str">
        <x:v>***信息技术有限公司</x:v>
      </x:c>
      <x:c r="C366" s="2" t="str">
        <x:v>无信贷记录</x:v>
      </x:c>
      <x:c r="D366" s="2" t="str"/>
      <x:c r="E366" s="2" t="str"/>
      <x:c r="F366" s="13" t="n">
        <x:v>130</x:v>
      </x:c>
      <x:c r="G366" s="13" t="n">
        <x:v>126</x:v>
      </x:c>
      <x:c r="H366" s="13" t="n">
        <x:v>4</x:v>
      </x:c>
      <x:c r="I366" s="13" t="n">
        <x:v>1</x:v>
      </x:c>
      <x:c r="J366" s="13" t="n">
        <x:v>2073478.8299999998</x:v>
      </x:c>
      <x:c r="K366" s="13" t="n">
        <x:v>2093478.8299999998</x:v>
      </x:c>
      <x:c r="L366" s="13" t="n">
        <x:v>34</x:v>
      </x:c>
      <x:c r="M366" s="13" t="n">
        <x:v>0.03076923076923077</x:v>
      </x:c>
      <x:c r="N366" s="13" t="n">
        <x:v>0.007936507936507936</x:v>
      </x:c>
      <x:c r="O366" s="13" t="n">
        <x:v>0.5836530599750638</x:v>
      </x:c>
      <x:c r="P366" s="13" t="n">
        <x:v>0.7590685786872753</x:v>
      </x:c>
      <x:c r="Q366" s="13" t="n">
        <x:v>54565.23236842106</x:v>
      </x:c>
      <x:c r="R366" s="13" t="n">
        <x:v>4.690418172952906</x:v>
      </x:c>
      <x:c r="S366" s="13" t="n">
        <x:v>0.09115798434635923</x:v>
      </x:c>
      <x:c r="T366" s="13" t="n">
        <x:v>30</x:v>
      </x:c>
      <x:c r="U366" s="13" t="n">
        <x:v>88</x:v>
      </x:c>
      <x:c r="V366" s="13" t="n">
        <x:v>76</x:v>
      </x:c>
      <x:c r="W366" s="13" t="n">
        <x:v>12</x:v>
      </x:c>
      <x:c r="X366" s="13" t="n">
        <x:v>0</x:v>
      </x:c>
      <x:c r="Y366" s="13" t="n">
        <x:v>3797139.03</x:v>
      </x:c>
      <x:c r="Z366" s="13" t="n">
        <x:v>3797139.03</x:v>
      </x:c>
      <x:c r="AA366" s="13" t="n">
        <x:v>17</x:v>
      </x:c>
      <x:c r="AB366" s="13" t="n">
        <x:v>0.13636363636363635</x:v>
      </x:c>
      <x:c r="AC366" s="13" t="n">
        <x:v>0</x:v>
      </x:c>
      <x:c r="AD366" s="13" t="n">
        <x:v>0.2500469419503676</x:v>
      </x:c>
      <x:c r="AE366" s="13" t="n">
        <x:v>0.4595565203731821</x:v>
      </x:c>
      <x:c r="AF366" s="13" t="n">
        <x:v>105476.08416666667</x:v>
      </x:c>
      <x:c r="AG366" s="13" t="n">
        <x:v>2.919817149922657</x:v>
      </x:c>
      <x:c r="AH366" s="13" t="n">
        <x:v>0.0824331035102235</x:v>
      </x:c>
      <x:c r="AI366" s="13" t="n">
        <x:v>24</x:v>
      </x:c>
      <x:c r="AJ366" s="13" t="n">
        <x:v>1723660.2</x:v>
      </x:c>
      <x:c r="AK366" s="13" t="n">
        <x:v>0.5513305711115876</x:v>
      </x:c>
      <x:c r="AL366" s="13" t="n">
        <x:v>0.07339449541284404</x:v>
      </x:c>
      <x:c r="AM366" s="13" t="n">
        <x:v>0.0049504950495049506</x:v>
      </x:c>
      <x:c r="AN366" s="13" t="n">
        <x:v>0.4168500009627157</x:v>
      </x:c>
      <x:c r="AO366" s="13" t="n">
        <x:v>3.447861192699456</x:v>
      </x:c>
      <x:c r="AP366" s="13" t="n">
        <x:v>0.08679554392829136</x:v>
      </x:c>
    </x:row>
    <x:row r="367" ht="15" hidden="0" customHeight="1">
      <x:c r="A367" s="2" t="str">
        <x:v>E366</x:v>
      </x:c>
      <x:c r="B367" s="2" t="str">
        <x:v>***房地产经纪有限公司</x:v>
      </x:c>
      <x:c r="C367" s="2" t="str">
        <x:v>无信贷记录</x:v>
      </x:c>
      <x:c r="D367" s="2" t="str"/>
      <x:c r="E367" s="2" t="str"/>
      <x:c r="F367" s="13" t="n">
        <x:v>21</x:v>
      </x:c>
      <x:c r="G367" s="13" t="n">
        <x:v>21</x:v>
      </x:c>
      <x:c r="H367" s="13" t="n">
        <x:v>0</x:v>
      </x:c>
      <x:c r="I367" s="13" t="n">
        <x:v>0</x:v>
      </x:c>
      <x:c r="J367" s="13" t="n">
        <x:v>380061.31</x:v>
      </x:c>
      <x:c r="K367" s="13" t="n">
        <x:v>380061.31</x:v>
      </x:c>
      <x:c r="L367" s="13" t="n">
        <x:v>6</x:v>
      </x:c>
      <x:c r="M367" s="13" t="n">
        <x:v>0</x:v>
      </x:c>
      <x:c r="N367" s="13" t="n">
        <x:v>0</x:v>
      </x:c>
      <x:c r="O367" s="13" t="n">
        <x:v>0.9785255303394642</x:v>
      </x:c>
      <x:c r="P367" s="13" t="n">
        <x:v>0.9891772461658883</x:v>
      </x:c>
      <x:c r="Q367" s="13" t="n">
        <x:v>14076.344814814815</x:v>
      </x:c>
      <x:c r="R367" s="13" t="n">
        <x:v>2.7986373576034143</x:v>
      </x:c>
      <x:c r="S367" s="13" t="n">
        <x:v>0.16789304871091063</x:v>
      </x:c>
      <x:c r="T367" s="13" t="n">
        <x:v>11</x:v>
      </x:c>
      <x:c r="U367" s="13" t="n">
        <x:v>20</x:v>
      </x:c>
      <x:c r="V367" s="13" t="n">
        <x:v>19</x:v>
      </x:c>
      <x:c r="W367" s="13" t="n">
        <x:v>1</x:v>
      </x:c>
      <x:c r="X367" s="13" t="n">
        <x:v>0</x:v>
      </x:c>
      <x:c r="Y367" s="13" t="n">
        <x:v>1501732</x:v>
      </x:c>
      <x:c r="Z367" s="13" t="n">
        <x:v>1501732</x:v>
      </x:c>
      <x:c r="AA367" s="13" t="n">
        <x:v>5</x:v>
      </x:c>
      <x:c r="AB367" s="13" t="n">
        <x:v>0.05</x:v>
      </x:c>
      <x:c r="AC367" s="13" t="n">
        <x:v>0</x:v>
      </x:c>
      <x:c r="AD367" s="13" t="n">
        <x:v>0.3135743623330753</x:v>
      </x:c>
      <x:c r="AE367" s="13" t="n">
        <x:v>0.4641307503602507</x:v>
      </x:c>
      <x:c r="AF367" s="13" t="n">
        <x:v>42906.62857142857</x:v>
      </x:c>
      <x:c r="AG367" s="13" t="n">
        <x:v>1.2870079042457137</x:v>
      </x:c>
      <x:c r="AH367" s="13" t="n">
        <x:v>0.015156264272735096</x:v>
      </x:c>
      <x:c r="AI367" s="13" t="n">
        <x:v>15</x:v>
      </x:c>
      <x:c r="AJ367" s="13" t="n">
        <x:v>1121670.69</x:v>
      </x:c>
      <x:c r="AK367" s="13" t="n">
        <x:v>0.25308198133888055</x:v>
      </x:c>
      <x:c r="AL367" s="13" t="n">
        <x:v>0.024390243902439025</x:v>
      </x:c>
      <x:c r="AM367" s="13" t="n">
        <x:v>0</x:v>
      </x:c>
      <x:c r="AN367" s="13" t="n">
        <x:v>0.6460499463362698</x:v>
      </x:c>
      <x:c r="AO367" s="13" t="n">
        <x:v>2.042822630924564</x:v>
      </x:c>
      <x:c r="AP367" s="13" t="n">
        <x:v>0.09152465649182286</x:v>
      </x:c>
    </x:row>
    <x:row r="368" ht="15" hidden="0" customHeight="1">
      <x:c r="A368" s="2" t="str">
        <x:v>E367</x:v>
      </x:c>
      <x:c r="B368" s="2" t="str">
        <x:v>***电子商务有限公司</x:v>
      </x:c>
      <x:c r="C368" s="2" t="str">
        <x:v>无信贷记录</x:v>
      </x:c>
      <x:c r="D368" s="2" t="str"/>
      <x:c r="E368" s="2" t="str"/>
      <x:c r="F368" s="13" t="n">
        <x:v>25</x:v>
      </x:c>
      <x:c r="G368" s="13" t="n">
        <x:v>23</x:v>
      </x:c>
      <x:c r="H368" s="13" t="n">
        <x:v>2</x:v>
      </x:c>
      <x:c r="I368" s="13" t="n">
        <x:v>0</x:v>
      </x:c>
      <x:c r="J368" s="13" t="n">
        <x:v>239857.65</x:v>
      </x:c>
      <x:c r="K368" s="13" t="n">
        <x:v>239857.65</x:v>
      </x:c>
      <x:c r="L368" s="13" t="n">
        <x:v>16</x:v>
      </x:c>
      <x:c r="M368" s="13" t="n">
        <x:v>0.08</x:v>
      </x:c>
      <x:c r="N368" s="13" t="n">
        <x:v>0</x:v>
      </x:c>
      <x:c r="O368" s="13" t="n">
        <x:v>0.8656199643675032</x:v>
      </x:c>
      <x:c r="P368" s="13" t="n">
        <x:v>0.9297181057181207</x:v>
      </x:c>
      <x:c r="Q368" s="13" t="n">
        <x:v>7268.413636363636</x:v>
      </x:c>
      <x:c r="R368" s="13" t="n">
        <x:v>4.84123861016109</x:v>
      </x:c>
      <x:c r="S368" s="13" t="n">
        <x:v>0.06559136711490515</x:v>
      </x:c>
      <x:c r="T368" s="13" t="n">
        <x:v>11</x:v>
      </x:c>
      <x:c r="U368" s="13" t="n">
        <x:v>215</x:v>
      </x:c>
      <x:c r="V368" s="13" t="n">
        <x:v>198</x:v>
      </x:c>
      <x:c r="W368" s="13" t="n">
        <x:v>17</x:v>
      </x:c>
      <x:c r="X368" s="13" t="n">
        <x:v>10</x:v>
      </x:c>
      <x:c r="Y368" s="13" t="n">
        <x:v>2070000</x:v>
      </x:c>
      <x:c r="Z368" s="13" t="n">
        <x:v>2270000</x:v>
      </x:c>
      <x:c r="AA368" s="13" t="n">
        <x:v>19</x:v>
      </x:c>
      <x:c r="AB368" s="13" t="n">
        <x:v>0.07906976744186046</x:v>
      </x:c>
      <x:c r="AC368" s="13" t="n">
        <x:v>0.050505050505050504</x:v>
      </x:c>
      <x:c r="AD368" s="13" t="n">
        <x:v>0.2089114867356246</x:v>
      </x:c>
      <x:c r="AE368" s="13" t="n">
        <x:v>0.32599118942731276</x:v>
      </x:c>
      <x:c r="AF368" s="13" t="n">
        <x:v>62727.27272727273</x:v>
      </x:c>
      <x:c r="AG368" s="13" t="n">
        <x:v>1.2053696752657348</x:v>
      </x:c>
      <x:c r="AH368" s="13" t="n">
        <x:v>-0.03117007672634223</x:v>
      </x:c>
      <x:c r="AI368" s="13" t="n">
        <x:v>21</x:v>
      </x:c>
      <x:c r="AJ368" s="13" t="n">
        <x:v>1830142.35</x:v>
      </x:c>
      <x:c r="AK368" s="13" t="n">
        <x:v>0.10566416299559467</x:v>
      </x:c>
      <x:c r="AL368" s="13" t="n">
        <x:v>0.07916666666666666</x:v>
      </x:c>
      <x:c r="AM368" s="13" t="n">
        <x:v>0.04524886877828054</x:v>
      </x:c>
      <x:c r="AN368" s="13" t="n">
        <x:v>0.5372657255515639</x:v>
      </x:c>
      <x:c r="AO368" s="13" t="n">
        <x:v>3.2431962236419007</x:v>
      </x:c>
      <x:c r="AP368" s="13" t="n">
        <x:v>0.017210645194281463</x:v>
      </x:c>
    </x:row>
    <x:row r="369" ht="15" hidden="0" customHeight="1">
      <x:c r="A369" s="2" t="str">
        <x:v>E368</x:v>
      </x:c>
      <x:c r="B369" s="2" t="str">
        <x:v>***通信科技有限责任公司</x:v>
      </x:c>
      <x:c r="C369" s="2" t="str">
        <x:v>无信贷记录</x:v>
      </x:c>
      <x:c r="D369" s="2" t="str"/>
      <x:c r="E369" s="2" t="str"/>
      <x:c r="F369" s="13" t="n">
        <x:v>87</x:v>
      </x:c>
      <x:c r="G369" s="13" t="n">
        <x:v>83</x:v>
      </x:c>
      <x:c r="H369" s="13" t="n">
        <x:v>4</x:v>
      </x:c>
      <x:c r="I369" s="13" t="n">
        <x:v>0</x:v>
      </x:c>
      <x:c r="J369" s="13" t="n">
        <x:v>328134.16000000003</x:v>
      </x:c>
      <x:c r="K369" s="13" t="n">
        <x:v>328134.16000000003</x:v>
      </x:c>
      <x:c r="L369" s="13" t="n">
        <x:v>38</x:v>
      </x:c>
      <x:c r="M369" s="13" t="n">
        <x:v>0.04597701149425287</x:v>
      </x:c>
      <x:c r="N369" s="13" t="n">
        <x:v>0</x:v>
      </x:c>
      <x:c r="O369" s="13" t="n">
        <x:v>0.25544802564701685</x:v>
      </x:c>
      <x:c r="P369" s="13" t="n">
        <x:v>0.4266547560912281</x:v>
      </x:c>
      <x:c r="Q369" s="13" t="n">
        <x:v>9114.837777777777</x:v>
      </x:c>
      <x:c r="R369" s="13" t="n">
        <x:v>2.931639266932351</x:v>
      </x:c>
      <x:c r="S369" s="13" t="n">
        <x:v>-0.009104577164177141</x:v>
      </x:c>
      <x:c r="T369" s="13" t="n">
        <x:v>19</x:v>
      </x:c>
      <x:c r="U369" s="13" t="n">
        <x:v>32</x:v>
      </x:c>
      <x:c r="V369" s="13" t="n">
        <x:v>22</x:v>
      </x:c>
      <x:c r="W369" s="13" t="n">
        <x:v>10</x:v>
      </x:c>
      <x:c r="X369" s="13" t="n">
        <x:v>1</x:v>
      </x:c>
      <x:c r="Y369" s="13" t="n">
        <x:v>895939.0000000002</x:v>
      </x:c>
      <x:c r="Z369" s="13" t="n">
        <x:v>1111659.0000000002</x:v>
      </x:c>
      <x:c r="AA369" s="13" t="n">
        <x:v>5</x:v>
      </x:c>
      <x:c r="AB369" s="13" t="n">
        <x:v>0.3125</x:v>
      </x:c>
      <x:c r="AC369" s="13" t="n">
        <x:v>0.045454545454545456</x:v>
      </x:c>
      <x:c r="AD369" s="13" t="n">
        <x:v>0.31996739103886107</x:v>
      </x:c>
      <x:c r="AE369" s="13" t="n">
        <x:v>0.3985745628830424</x:v>
      </x:c>
      <x:c r="AF369" s="13" t="n">
        <x:v>27998.09375</x:v>
      </x:c>
      <x:c r="AG369" s="13" t="n">
        <x:v>2.926857879313357</x:v>
      </x:c>
      <x:c r="AH369" s="13" t="n">
        <x:v>0.03226025425988591</x:v>
      </x:c>
      <x:c r="AI369" s="13" t="n">
        <x:v>15</x:v>
      </x:c>
      <x:c r="AJ369" s="13" t="n">
        <x:v>567804.8400000002</x:v>
      </x:c>
      <x:c r="AK369" s="13" t="n">
        <x:v>0.2951751931122761</x:v>
      </x:c>
      <x:c r="AL369" s="13" t="n">
        <x:v>0.11764705882352941</x:v>
      </x:c>
      <x:c r="AM369" s="13" t="n">
        <x:v>0.009523809523809525</x:v>
      </x:c>
      <x:c r="AN369" s="13" t="n">
        <x:v>0.28770770834293896</x:v>
      </x:c>
      <x:c r="AO369" s="13" t="n">
        <x:v>2.929248573122854</x:v>
      </x:c>
      <x:c r="AP369" s="13" t="n">
        <x:v>0.011577838547854383</x:v>
      </x:c>
    </x:row>
    <x:row r="370" ht="15" hidden="0" customHeight="1">
      <x:c r="A370" s="2" t="str">
        <x:v>E369</x:v>
      </x:c>
      <x:c r="B370" s="2" t="str">
        <x:v>***网络技术有限公司</x:v>
      </x:c>
      <x:c r="C370" s="2" t="str">
        <x:v>无信贷记录</x:v>
      </x:c>
      <x:c r="D370" s="2" t="str"/>
      <x:c r="E370" s="2" t="str"/>
      <x:c r="F370" s="13" t="n">
        <x:v>161</x:v>
      </x:c>
      <x:c r="G370" s="13" t="n">
        <x:v>152</x:v>
      </x:c>
      <x:c r="H370" s="13" t="n">
        <x:v>9</x:v>
      </x:c>
      <x:c r="I370" s="13" t="n">
        <x:v>0</x:v>
      </x:c>
      <x:c r="J370" s="13" t="n">
        <x:v>739394.1799999999</x:v>
      </x:c>
      <x:c r="K370" s="13" t="n">
        <x:v>739394.1799999999</x:v>
      </x:c>
      <x:c r="L370" s="13" t="n">
        <x:v>31</x:v>
      </x:c>
      <x:c r="M370" s="13" t="n">
        <x:v>0.055900621118012424</x:v>
      </x:c>
      <x:c r="N370" s="13" t="n">
        <x:v>0</x:v>
      </x:c>
      <x:c r="O370" s="13" t="n">
        <x:v>0.11584922126474266</x:v>
      </x:c>
      <x:c r="P370" s="13" t="n">
        <x:v>0.16880576474107492</x:v>
      </x:c>
      <x:c r="Q370" s="13" t="n">
        <x:v>19983.626486486486</x:v>
      </x:c>
      <x:c r="R370" s="13" t="n">
        <x:v>1.291215937549858</x:v>
      </x:c>
      <x:c r="S370" s="13" t="n">
        <x:v>-0.02729704349000729</x:v>
      </x:c>
      <x:c r="T370" s="13" t="n">
        <x:v>36</x:v>
      </x:c>
      <x:c r="U370" s="13" t="n">
        <x:v>214</x:v>
      </x:c>
      <x:c r="V370" s="13" t="n">
        <x:v>200</x:v>
      </x:c>
      <x:c r="W370" s="13" t="n">
        <x:v>14</x:v>
      </x:c>
      <x:c r="X370" s="13" t="n">
        <x:v>2</x:v>
      </x:c>
      <x:c r="Y370" s="13" t="n">
        <x:v>1642219.9</x:v>
      </x:c>
      <x:c r="Z370" s="13" t="n">
        <x:v>1662779.9</x:v>
      </x:c>
      <x:c r="AA370" s="13" t="n">
        <x:v>19</x:v>
      </x:c>
      <x:c r="AB370" s="13" t="n">
        <x:v>0.06542056074766354</x:v>
      </x:c>
      <x:c r="AC370" s="13" t="n">
        <x:v>0.01</x:v>
      </x:c>
      <x:c r="AD370" s="13" t="n">
        <x:v>0.24077435434595454</x:v>
      </x:c>
      <x:c r="AE370" s="13" t="n">
        <x:v>0.3527926335890878</x:v>
      </x:c>
      <x:c r="AF370" s="13" t="n">
        <x:v>44384.32162162162</x:v>
      </x:c>
      <x:c r="AG370" s="13" t="n">
        <x:v>0.9267927614752487</x:v>
      </x:c>
      <x:c r="AH370" s="13" t="n">
        <x:v>-0.012726519669898413</x:v>
      </x:c>
      <x:c r="AI370" s="13" t="n">
        <x:v>32</x:v>
      </x:c>
      <x:c r="AJ370" s="13" t="n">
        <x:v>902825.72</x:v>
      </x:c>
      <x:c r="AK370" s="13" t="n">
        <x:v>0.4446735133134575</x:v>
      </x:c>
      <x:c r="AL370" s="13" t="n">
        <x:v>0.06133333333333333</x:v>
      </x:c>
      <x:c r="AM370" s="13" t="n">
        <x:v>0.005681818181818182</x:v>
      </x:c>
      <x:c r="AN370" s="13" t="n">
        <x:v>0.1783117878053486</x:v>
      </x:c>
      <x:c r="AO370" s="13" t="n">
        <x:v>1.1090043495125532</x:v>
      </x:c>
      <x:c r="AP370" s="13" t="n">
        <x:v>-0.020011781579952852</x:v>
      </x:c>
    </x:row>
    <x:row r="371" ht="15" hidden="0" customHeight="1">
      <x:c r="A371" s="2" t="str">
        <x:v>E370</x:v>
      </x:c>
      <x:c r="B371" s="2" t="str">
        <x:v>***设计服务部</x:v>
      </x:c>
      <x:c r="C371" s="2" t="str">
        <x:v>无信贷记录</x:v>
      </x:c>
      <x:c r="D371" s="2" t="str"/>
      <x:c r="E371" s="2" t="str"/>
      <x:c r="F371" s="13" t="n">
        <x:v>4</x:v>
      </x:c>
      <x:c r="G371" s="13" t="n">
        <x:v>3</x:v>
      </x:c>
      <x:c r="H371" s="13" t="n">
        <x:v>1</x:v>
      </x:c>
      <x:c r="I371" s="13" t="n">
        <x:v>0</x:v>
      </x:c>
      <x:c r="J371" s="13" t="n">
        <x:v>840</x:v>
      </x:c>
      <x:c r="K371" s="13" t="n">
        <x:v>840</x:v>
      </x:c>
      <x:c r="L371" s="13" t="n">
        <x:v>3</x:v>
      </x:c>
      <x:c r="M371" s="13" t="n">
        <x:v>0.1274358974358974</x:v>
      </x:c>
      <x:c r="N371" s="13" t="n">
        <x:v>0</x:v>
      </x:c>
      <x:c r="O371" s="13" t="n">
        <x:v>0.5555555555555556</x:v>
      </x:c>
      <x:c r="P371" s="13" t="n">
        <x:v>0.6666666666666666</x:v>
      </x:c>
      <x:c r="Q371" s="13" t="n">
        <x:v>56</x:v>
      </x:c>
      <x:c r="R371" s="13" t="n">
        <x:v>1.999999999964286</x:v>
      </x:c>
      <x:c r="S371" s="13" t="n">
        <x:v>0.017857142856823997</x:v>
      </x:c>
      <x:c r="T371" s="13" t="n">
        <x:v>3</x:v>
      </x:c>
      <x:c r="U371" s="13" t="n">
        <x:v>498</x:v>
      </x:c>
      <x:c r="V371" s="13" t="n">
        <x:v>470</x:v>
      </x:c>
      <x:c r="W371" s="13" t="n">
        <x:v>28</x:v>
      </x:c>
      <x:c r="X371" s="13" t="n">
        <x:v>9</x:v>
      </x:c>
      <x:c r="Y371" s="13" t="n">
        <x:v>2081759.05</x:v>
      </x:c>
      <x:c r="Z371" s="13" t="n">
        <x:v>2186979.05</x:v>
      </x:c>
      <x:c r="AA371" s="13" t="n">
        <x:v>89</x:v>
      </x:c>
      <x:c r="AB371" s="13" t="n">
        <x:v>0.05622489959839357</x:v>
      </x:c>
      <x:c r="AC371" s="13" t="n">
        <x:v>0.019148936170212766</x:v>
      </x:c>
      <x:c r="AD371" s="13" t="n">
        <x:v>0.0828623896754026</x:v>
      </x:c>
      <x:c r="AE371" s="13" t="n">
        <x:v>0.22862587549706984</x:v>
      </x:c>
      <x:c r="AF371" s="13" t="n">
        <x:v>71784.79482758621</x:v>
      </x:c>
      <x:c r="AG371" s="13" t="n">
        <x:v>0.8163466466624983</x:v>
      </x:c>
      <x:c r="AH371" s="13" t="n">
        <x:v>-0.01867427178266075</x:v>
      </x:c>
      <x:c r="AI371" s="13" t="n">
        <x:v>28</x:v>
      </x:c>
      <x:c r="AJ371" s="13" t="n">
        <x:v>2080919.05</x:v>
      </x:c>
      <x:c r="AK371" s="13" t="n">
        <x:v>0.0003840914708350771</x:v>
      </x:c>
      <x:c r="AL371" s="13" t="n">
        <x:v>0.05776892430278884</x:v>
      </x:c>
      <x:c r="AM371" s="13" t="n">
        <x:v>0.019027484143763214</x:v>
      </x:c>
      <x:c r="AN371" s="13" t="n">
        <x:v>0.3192089726154791</x:v>
      </x:c>
      <x:c r="AO371" s="13" t="n">
        <x:v>1.4081733233133922</x:v>
      </x:c>
      <x:c r="AP371" s="13" t="n">
        <x:v>-0.0004085644629183774</x:v>
      </x:c>
    </x:row>
    <x:row r="372" ht="15" hidden="0" customHeight="1">
      <x:c r="A372" s="2" t="str">
        <x:v>E371</x:v>
      </x:c>
      <x:c r="B372" s="2" t="str">
        <x:v>***自动化科技有限公司</x:v>
      </x:c>
      <x:c r="C372" s="2" t="str">
        <x:v>无信贷记录</x:v>
      </x:c>
      <x:c r="D372" s="2" t="str"/>
      <x:c r="E372" s="2" t="str"/>
      <x:c r="F372" s="13" t="n">
        <x:v>81</x:v>
      </x:c>
      <x:c r="G372" s="13" t="n">
        <x:v>80</x:v>
      </x:c>
      <x:c r="H372" s="13" t="n">
        <x:v>1</x:v>
      </x:c>
      <x:c r="I372" s="13" t="n">
        <x:v>0</x:v>
      </x:c>
      <x:c r="J372" s="13" t="n">
        <x:v>204867.54</x:v>
      </x:c>
      <x:c r="K372" s="13" t="n">
        <x:v>204867.54</x:v>
      </x:c>
      <x:c r="L372" s="13" t="n">
        <x:v>31</x:v>
      </x:c>
      <x:c r="M372" s="13" t="n">
        <x:v>0.012345679012345678</x:v>
      </x:c>
      <x:c r="N372" s="13" t="n">
        <x:v>0</x:v>
      </x:c>
      <x:c r="O372" s="13" t="n">
        <x:v>0.12694512932318738</x:v>
      </x:c>
      <x:c r="P372" s="13" t="n">
        <x:v>0.23185713070992114</x:v>
      </x:c>
      <x:c r="Q372" s="13" t="n">
        <x:v>6608.630322580645</x:v>
      </x:c>
      <x:c r="R372" s="13" t="n">
        <x:v>3.1162932291760965</x:v>
      </x:c>
      <x:c r="S372" s="13" t="n">
        <x:v>-0.08152752261289167</x:v>
      </x:c>
      <x:c r="T372" s="13" t="n">
        <x:v>16</x:v>
      </x:c>
      <x:c r="U372" s="13" t="n">
        <x:v>32</x:v>
      </x:c>
      <x:c r="V372" s="13" t="n">
        <x:v>26</x:v>
      </x:c>
      <x:c r="W372" s="13" t="n">
        <x:v>6</x:v>
      </x:c>
      <x:c r="X372" s="13" t="n">
        <x:v>0</x:v>
      </x:c>
      <x:c r="Y372" s="13" t="n">
        <x:v>1345916.45</x:v>
      </x:c>
      <x:c r="Z372" s="13" t="n">
        <x:v>1345916.45</x:v>
      </x:c>
      <x:c r="AA372" s="13" t="n">
        <x:v>9</x:v>
      </x:c>
      <x:c r="AB372" s="13" t="n">
        <x:v>0.1875</x:v>
      </x:c>
      <x:c r="AC372" s="13" t="n">
        <x:v>0</x:v>
      </x:c>
      <x:c r="AD372" s="13" t="n">
        <x:v>0.21793577342655085</x:v>
      </x:c>
      <x:c r="AE372" s="13" t="n">
        <x:v>0.33941441907482445</x:v>
      </x:c>
      <x:c r="AF372" s="13" t="n">
        <x:v>44863.88166666667</x:v>
      </x:c>
      <x:c r="AG372" s="13" t="n">
        <x:v>1.9669672380293175</x:v>
      </x:c>
      <x:c r="AH372" s="13" t="n">
        <x:v>-0.043965172288045855</x:v>
      </x:c>
      <x:c r="AI372" s="13" t="n">
        <x:v>18</x:v>
      </x:c>
      <x:c r="AJ372" s="13" t="n">
        <x:v>1141048.91</x:v>
      </x:c>
      <x:c r="AK372" s="13" t="n">
        <x:v>0.1522141586128915</x:v>
      </x:c>
      <x:c r="AL372" s="13" t="n">
        <x:v>0.061946902654867256</x:v>
      </x:c>
      <x:c r="AM372" s="13" t="n">
        <x:v>0</x:v>
      </x:c>
      <x:c r="AN372" s="13" t="n">
        <x:v>0.17244045137486913</x:v>
      </x:c>
      <x:c r="AO372" s="13" t="n">
        <x:v>2.541630233602707</x:v>
      </x:c>
      <x:c r="AP372" s="13" t="n">
        <x:v>-0.06274634745046877</x:v>
      </x:c>
    </x:row>
    <x:row r="373" ht="15" hidden="0" customHeight="1">
      <x:c r="A373" s="2" t="str">
        <x:v>E372</x:v>
      </x:c>
      <x:c r="B373" s="2" t="str">
        <x:v>***汽车维修有限责任公司</x:v>
      </x:c>
      <x:c r="C373" s="2" t="str">
        <x:v>无信贷记录</x:v>
      </x:c>
      <x:c r="D373" s="2" t="str"/>
      <x:c r="E373" s="2" t="str"/>
      <x:c r="F373" s="13" t="n">
        <x:v>324</x:v>
      </x:c>
      <x:c r="G373" s="13" t="n">
        <x:v>323</x:v>
      </x:c>
      <x:c r="H373" s="13" t="n">
        <x:v>1</x:v>
      </x:c>
      <x:c r="I373" s="13" t="n">
        <x:v>0</x:v>
      </x:c>
      <x:c r="J373" s="13" t="n">
        <x:v>627323.7</x:v>
      </x:c>
      <x:c r="K373" s="13" t="n">
        <x:v>627323.7</x:v>
      </x:c>
      <x:c r="L373" s="13" t="n">
        <x:v>54</x:v>
      </x:c>
      <x:c r="M373" s="13" t="n">
        <x:v>0.0030864197530864196</x:v>
      </x:c>
      <x:c r="N373" s="13" t="n">
        <x:v>0</x:v>
      </x:c>
      <x:c r="O373" s="13" t="n">
        <x:v>0.0940449178436022</x:v>
      </x:c>
      <x:c r="P373" s="13" t="n">
        <x:v>0.1915495142300538</x:v>
      </x:c>
      <x:c r="Q373" s="13" t="n">
        <x:v>16508.51842105263</x:v>
      </x:c>
      <x:c r="R373" s="13" t="n">
        <x:v>1.22867465378377</x:v>
      </x:c>
      <x:c r="S373" s="13" t="n">
        <x:v>-0.051347882733876984</x:v>
      </x:c>
      <x:c r="T373" s="13" t="n">
        <x:v>36</x:v>
      </x:c>
      <x:c r="U373" s="13" t="n">
        <x:v>586</x:v>
      </x:c>
      <x:c r="V373" s="13" t="n">
        <x:v>536</x:v>
      </x:c>
      <x:c r="W373" s="13" t="n">
        <x:v>50</x:v>
      </x:c>
      <x:c r="X373" s="13" t="n">
        <x:v>21</x:v>
      </x:c>
      <x:c r="Y373" s="13" t="n">
        <x:v>2214175.03</x:v>
      </x:c>
      <x:c r="Z373" s="13" t="n">
        <x:v>2417752.87</x:v>
      </x:c>
      <x:c r="AA373" s="13" t="n">
        <x:v>150</x:v>
      </x:c>
      <x:c r="AB373" s="13" t="n">
        <x:v>0.08532423208191127</x:v>
      </x:c>
      <x:c r="AC373" s="13" t="n">
        <x:v>0.03917910447761194</x:v>
      </x:c>
      <x:c r="AD373" s="13" t="n">
        <x:v>0.1344211942432081</x:v>
      </x:c>
      <x:c r="AE373" s="13" t="n">
        <x:v>0.30255302313011</x:v>
      </x:c>
      <x:c r="AF373" s="13" t="n">
        <x:v>59842.56837837836</x:v>
      </x:c>
      <x:c r="AG373" s="13" t="n">
        <x:v>0.49884944142622667</x:v>
      </x:c>
      <x:c r="AH373" s="13" t="n">
        <x:v>-0.01897813765372073</x:v>
      </x:c>
      <x:c r="AI373" s="13" t="n">
        <x:v>37</x:v>
      </x:c>
      <x:c r="AJ373" s="13" t="n">
        <x:v>1586851.3299999998</x:v>
      </x:c>
      <x:c r="AK373" s="13" t="n">
        <x:v>0.2594656003861965</x:v>
      </x:c>
      <x:c r="AL373" s="13" t="n">
        <x:v>0.056043956043956046</x:v>
      </x:c>
      <x:c r="AM373" s="13" t="n">
        <x:v>0.024447031431897557</x:v>
      </x:c>
      <x:c r="AN373" s="13" t="n">
        <x:v>0.11423305604340514</x:v>
      </x:c>
      <x:c r="AO373" s="13" t="n">
        <x:v>0.8637620476049983</x:v>
      </x:c>
      <x:c r="AP373" s="13" t="n">
        <x:v>-0.03516301019379886</x:v>
      </x:c>
    </x:row>
    <x:row r="374" ht="15" hidden="0" customHeight="1">
      <x:c r="A374" s="2" t="str">
        <x:v>E373</x:v>
      </x:c>
      <x:c r="B374" s="2" t="str">
        <x:v>个体经营E373 </x:v>
      </x:c>
      <x:c r="C374" s="2" t="str">
        <x:v>无信贷记录</x:v>
      </x:c>
      <x:c r="D374" s="2" t="str"/>
      <x:c r="E374" s="2" t="str"/>
      <x:c r="F374" s="13" t="n">
        <x:v>881</x:v>
      </x:c>
      <x:c r="G374" s="13" t="n">
        <x:v>868</x:v>
      </x:c>
      <x:c r="H374" s="13" t="n">
        <x:v>13</x:v>
      </x:c>
      <x:c r="I374" s="13" t="n">
        <x:v>2</x:v>
      </x:c>
      <x:c r="J374" s="13" t="n">
        <x:v>22741199.409999996</x:v>
      </x:c>
      <x:c r="K374" s="13" t="n">
        <x:v>23141199.409999996</x:v>
      </x:c>
      <x:c r="L374" s="13" t="n">
        <x:v>105</x:v>
      </x:c>
      <x:c r="M374" s="13" t="n">
        <x:v>0.014755959137343927</x:v>
      </x:c>
      <x:c r="N374" s="13" t="n">
        <x:v>0.002304147465437788</x:v>
      </x:c>
      <x:c r="O374" s="13" t="n">
        <x:v>0.12710997553524334</x:v>
      </x:c>
      <x:c r="P374" s="13" t="n">
        <x:v>0.25290012960482067</x:v>
      </x:c>
      <x:c r="Q374" s="13" t="n">
        <x:v>631699.9836111111</x:v>
      </x:c>
      <x:c r="R374" s="13" t="n">
        <x:v>0.810011638082685</x:v>
      </x:c>
      <x:c r="S374" s="13" t="n">
        <x:v>0.03225465618757121</x:v>
      </x:c>
      <x:c r="T374" s="13" t="n">
        <x:v>36</x:v>
      </x:c>
      <x:c r="U374" s="13" t="n">
        <x:v>112</x:v>
      </x:c>
      <x:c r="V374" s="13" t="n">
        <x:v>109</x:v>
      </x:c>
      <x:c r="W374" s="13" t="n">
        <x:v>3</x:v>
      </x:c>
      <x:c r="X374" s="13" t="n">
        <x:v>0</x:v>
      </x:c>
      <x:c r="Y374" s="13" t="n">
        <x:v>1505224</x:v>
      </x:c>
      <x:c r="Z374" s="13" t="n">
        <x:v>1505224</x:v>
      </x:c>
      <x:c r="AA374" s="13" t="n">
        <x:v>18</x:v>
      </x:c>
      <x:c r="AB374" s="13" t="n">
        <x:v>0.026785714285714284</x:v>
      </x:c>
      <x:c r="AC374" s="13" t="n">
        <x:v>0</x:v>
      </x:c>
      <x:c r="AD374" s="13" t="n">
        <x:v>0.2963421657969933</x:v>
      </x:c>
      <x:c r="AE374" s="13" t="n">
        <x:v>0.47974254994605453</x:v>
      </x:c>
      <x:c r="AF374" s="13" t="n">
        <x:v>41811.77777777778</x:v>
      </x:c>
      <x:c r="AG374" s="13" t="n">
        <x:v>2.8798753808080444</x:v>
      </x:c>
      <x:c r="AH374" s="13" t="n">
        <x:v>0.10050496042333824</x:v>
      </x:c>
      <x:c r="AI374" s="13" t="n">
        <x:v>35</x:v>
      </x:c>
      <x:c r="AJ374" s="13" t="n">
        <x:v>-21235975.409999996</x:v>
      </x:c>
      <x:c r="AK374" s="13" t="n">
        <x:v>15.373924020610874</x:v>
      </x:c>
      <x:c r="AL374" s="13" t="n">
        <x:v>0.016112789526686808</x:v>
      </x:c>
      <x:c r="AM374" s="13" t="n">
        <x:v>0.0020470829068577278</x:v>
      </x:c>
      <x:c r="AN374" s="13" t="n">
        <x:v>0.21172607066611832</x:v>
      </x:c>
      <x:c r="AO374" s="13" t="n">
        <x:v>1.8449435094453648</x:v>
      </x:c>
      <x:c r="AP374" s="13" t="n">
        <x:v>0.06637980830545473</x:v>
      </x:c>
    </x:row>
    <x:row r="375" ht="15" hidden="0" customHeight="1">
      <x:c r="A375" s="2" t="str">
        <x:v>E374</x:v>
      </x:c>
      <x:c r="B375" s="2" t="str">
        <x:v>***建材经营部</x:v>
      </x:c>
      <x:c r="C375" s="2" t="str">
        <x:v>无信贷记录</x:v>
      </x:c>
      <x:c r="D375" s="2" t="str"/>
      <x:c r="E375" s="2" t="str"/>
      <x:c r="F375" s="13" t="n">
        <x:v>3</x:v>
      </x:c>
      <x:c r="G375" s="13" t="n">
        <x:v>3</x:v>
      </x:c>
      <x:c r="H375" s="13" t="n">
        <x:v>0</x:v>
      </x:c>
      <x:c r="I375" s="13" t="n">
        <x:v>0</x:v>
      </x:c>
      <x:c r="J375" s="13" t="n">
        <x:v>48560</x:v>
      </x:c>
      <x:c r="K375" s="13" t="n">
        <x:v>48560</x:v>
      </x:c>
      <x:c r="L375" s="13" t="n">
        <x:v>2</x:v>
      </x:c>
      <x:c r="M375" s="13" t="n">
        <x:v>0</x:v>
      </x:c>
      <x:c r="N375" s="13" t="n">
        <x:v>0</x:v>
      </x:c>
      <x:c r="O375" s="13" t="n">
        <x:v>0.9772017294116688</x:v>
      </x:c>
      <x:c r="P375" s="13" t="n">
        <x:v>0.9884678747940692</x:v>
      </x:c>
      <x:c r="Q375" s="13" t="n">
        <x:v>3468.5714285714284</x:v>
      </x:c>
      <x:c r="R375" s="13" t="n">
        <x:v>3.560883778273829</x:v>
      </x:c>
      <x:c r="S375" s="13" t="n">
        <x:v>0.17261326934540813</x:v>
      </x:c>
      <x:c r="T375" s="13" t="n">
        <x:v>3</x:v>
      </x:c>
      <x:c r="U375" s="13" t="n">
        <x:v>249</x:v>
      </x:c>
      <x:c r="V375" s="13" t="n">
        <x:v>204</x:v>
      </x:c>
      <x:c r="W375" s="13" t="n">
        <x:v>45</x:v>
      </x:c>
      <x:c r="X375" s="13" t="n">
        <x:v>0</x:v>
      </x:c>
      <x:c r="Y375" s="13" t="n">
        <x:v>1306397.58</x:v>
      </x:c>
      <x:c r="Z375" s="13" t="n">
        <x:v>1306397.58</x:v>
      </x:c>
      <x:c r="AA375" s="13" t="n">
        <x:v>55</x:v>
      </x:c>
      <x:c r="AB375" s="13" t="n">
        <x:v>0.18072289156626506</x:v>
      </x:c>
      <x:c r="AC375" s="13" t="n">
        <x:v>0</x:v>
      </x:c>
      <x:c r="AD375" s="13" t="n">
        <x:v>0.072504117499717</x:v>
      </x:c>
      <x:c r="AE375" s="13" t="n">
        <x:v>0.15129391161303282</x:v>
      </x:c>
      <x:c r="AF375" s="13" t="n">
        <x:v>54433.232500000006</x:v>
      </x:c>
      <x:c r="AG375" s="13" t="n">
        <x:v>1.0735166005461074</x:v>
      </x:c>
      <x:c r="AH375" s="13" t="n">
        <x:v>-0.04753189507259427</x:v>
      </x:c>
      <x:c r="AI375" s="13" t="n">
        <x:v>23</x:v>
      </x:c>
      <x:c r="AJ375" s="13" t="n">
        <x:v>1257837.58</x:v>
      </x:c>
      <x:c r="AK375" s="13" t="n">
        <x:v>0.037170920050234604</x:v>
      </x:c>
      <x:c r="AL375" s="13" t="n">
        <x:v>0.17857142857142858</x:v>
      </x:c>
      <x:c r="AM375" s="13" t="n">
        <x:v>0</x:v>
      </x:c>
      <x:c r="AN375" s="13" t="n">
        <x:v>0.5248529234556929</x:v>
      </x:c>
      <x:c r="AO375" s="13" t="n">
        <x:v>2.3172001894099683</x:v>
      </x:c>
      <x:c r="AP375" s="13" t="n">
        <x:v>0.1467615396131856</x:v>
      </x:c>
    </x:row>
    <x:row r="376" ht="15" hidden="0" customHeight="1">
      <x:c r="A376" s="2" t="str">
        <x:v>E375</x:v>
      </x:c>
      <x:c r="B376" s="2" t="str">
        <x:v>***电器经营部</x:v>
      </x:c>
      <x:c r="C376" s="2" t="str">
        <x:v>无信贷记录</x:v>
      </x:c>
      <x:c r="D376" s="2" t="str"/>
      <x:c r="E376" s="2" t="str"/>
      <x:c r="F376" s="13" t="n">
        <x:v>2</x:v>
      </x:c>
      <x:c r="G376" s="13" t="n">
        <x:v>2</x:v>
      </x:c>
      <x:c r="H376" s="13" t="n">
        <x:v>0</x:v>
      </x:c>
      <x:c r="I376" s="13" t="n">
        <x:v>0</x:v>
      </x:c>
      <x:c r="J376" s="13" t="n">
        <x:v>560</x:v>
      </x:c>
      <x:c r="K376" s="13" t="n">
        <x:v>560</x:v>
      </x:c>
      <x:c r="L376" s="13" t="n">
        <x:v>1</x:v>
      </x:c>
      <x:c r="M376" s="13" t="n">
        <x:v>0</x:v>
      </x:c>
      <x:c r="N376" s="13" t="n">
        <x:v>0</x:v>
      </x:c>
      <x:c r="O376" s="13" t="n">
        <x:v>1</x:v>
      </x:c>
      <x:c r="P376" s="13" t="n">
        <x:v>1</x:v>
      </x:c>
      <x:c r="Q376" s="13" t="n">
        <x:v>46.666666666666664</x:v>
      </x:c>
      <x:c r="R376" s="13" t="n">
        <x:v>2.2360679774518744</x:v>
      </x:c>
      <x:c r="S376" s="13" t="n">
        <x:v>-1.713254499626627e-16</x:v>
      </x:c>
      <x:c r="T376" s="13" t="n">
        <x:v>2</x:v>
      </x:c>
      <x:c r="U376" s="13" t="n">
        <x:v>377</x:v>
      </x:c>
      <x:c r="V376" s="13" t="n">
        <x:v>357</x:v>
      </x:c>
      <x:c r="W376" s="13" t="n">
        <x:v>20</x:v>
      </x:c>
      <x:c r="X376" s="13" t="n">
        <x:v>0</x:v>
      </x:c>
      <x:c r="Y376" s="13" t="n">
        <x:v>1015565.5</x:v>
      </x:c>
      <x:c r="Z376" s="13" t="n">
        <x:v>1015565.5</x:v>
      </x:c>
      <x:c r="AA376" s="13" t="n">
        <x:v>229</x:v>
      </x:c>
      <x:c r="AB376" s="13" t="n">
        <x:v>0.05305039787798409</x:v>
      </x:c>
      <x:c r="AC376" s="13" t="n">
        <x:v>0</x:v>
      </x:c>
      <x:c r="AD376" s="13" t="n">
        <x:v>0.02796267280484696</x:v>
      </x:c>
      <x:c r="AE376" s="13" t="n">
        <x:v>0.08862057641776921</x:v>
      </x:c>
      <x:c r="AF376" s="13" t="n">
        <x:v>32760.177419354837</x:v>
      </x:c>
      <x:c r="AG376" s="13" t="n">
        <x:v>0.6824643615812203</x:v>
      </x:c>
      <x:c r="AH376" s="13" t="n">
        <x:v>-0.0020957043144927234</x:v>
      </x:c>
      <x:c r="AI376" s="13" t="n">
        <x:v>31</x:v>
      </x:c>
      <x:c r="AJ376" s="13" t="n">
        <x:v>1015005.5</x:v>
      </x:c>
      <x:c r="AK376" s="13" t="n">
        <x:v>0.0005514169199327856</x:v>
      </x:c>
      <x:c r="AL376" s="13" t="n">
        <x:v>0.052770448548812667</x:v>
      </x:c>
      <x:c r="AM376" s="13" t="n">
        <x:v>0</x:v>
      </x:c>
      <x:c r="AN376" s="13" t="n">
        <x:v>0.5139813364024235</x:v>
      </x:c>
      <x:c r="AO376" s="13" t="n">
        <x:v>1.4592661695165474</x:v>
      </x:c>
      <x:c r="AP376" s="13" t="n">
        <x:v>-0.0010478521572464474</x:v>
      </x:c>
    </x:row>
    <x:row r="377" ht="15" hidden="0" customHeight="1">
      <x:c r="A377" s="2" t="str">
        <x:v>E376</x:v>
      </x:c>
      <x:c r="B377" s="2" t="str">
        <x:v>***建筑装饰设计有限责任公司</x:v>
      </x:c>
      <x:c r="C377" s="2" t="str">
        <x:v>无信贷记录</x:v>
      </x:c>
      <x:c r="D377" s="2" t="str"/>
      <x:c r="E377" s="2" t="str"/>
      <x:c r="F377" s="13" t="n">
        <x:v>3</x:v>
      </x:c>
      <x:c r="G377" s="13" t="n">
        <x:v>3</x:v>
      </x:c>
      <x:c r="H377" s="13" t="n">
        <x:v>0</x:v>
      </x:c>
      <x:c r="I377" s="13" t="n">
        <x:v>0</x:v>
      </x:c>
      <x:c r="J377" s="13" t="n">
        <x:v>6560</x:v>
      </x:c>
      <x:c r="K377" s="13" t="n">
        <x:v>6560</x:v>
      </x:c>
      <x:c r="L377" s="13" t="n">
        <x:v>2</x:v>
      </x:c>
      <x:c r="M377" s="13" t="n">
        <x:v>0</x:v>
      </x:c>
      <x:c r="N377" s="13" t="n">
        <x:v>0</x:v>
      </x:c>
      <x:c r="O377" s="13" t="n">
        <x:v>0.8438429506246283</x:v>
      </x:c>
      <x:c r="P377" s="13" t="n">
        <x:v>0.9146341463414634</x:v>
      </x:c>
      <x:c r="Q377" s="13" t="n">
        <x:v>345.2631578947368</x:v>
      </x:c>
      <x:c r="R377" s="13" t="n">
        <x:v>3.868305370127619</x:v>
      </x:c>
      <x:c r="S377" s="13" t="n">
        <x:v>-0.21625547045049248</x:v>
      </x:c>
      <x:c r="T377" s="13" t="n">
        <x:v>3</x:v>
      </x:c>
      <x:c r="U377" s="13" t="n">
        <x:v>53</x:v>
      </x:c>
      <x:c r="V377" s="13" t="n">
        <x:v>45</x:v>
      </x:c>
      <x:c r="W377" s="13" t="n">
        <x:v>8</x:v>
      </x:c>
      <x:c r="X377" s="13" t="n">
        <x:v>0</x:v>
      </x:c>
      <x:c r="Y377" s="13" t="n">
        <x:v>583543.28</x:v>
      </x:c>
      <x:c r="Z377" s="13" t="n">
        <x:v>583543.28</x:v>
      </x:c>
      <x:c r="AA377" s="13" t="n">
        <x:v>13</x:v>
      </x:c>
      <x:c r="AB377" s="13" t="n">
        <x:v>0.1509433962264151</x:v>
      </x:c>
      <x:c r="AC377" s="13" t="n">
        <x:v>0</x:v>
      </x:c>
      <x:c r="AD377" s="13" t="n">
        <x:v>0.23268859811230902</x:v>
      </x:c>
      <x:c r="AE377" s="13" t="n">
        <x:v>0.3547294726793872</x:v>
      </x:c>
      <x:c r="AF377" s="13" t="n">
        <x:v>24314.303333333333</x:v>
      </x:c>
      <x:c r="AG377" s="13" t="n">
        <x:v>2.1413247509005204</x:v>
      </x:c>
      <x:c r="AH377" s="13" t="n">
        <x:v>0.05629282407296104</x:v>
      </x:c>
      <x:c r="AI377" s="13" t="n">
        <x:v>12</x:v>
      </x:c>
      <x:c r="AJ377" s="13" t="n">
        <x:v>576983.28</x:v>
      </x:c>
      <x:c r="AK377" s="13" t="n">
        <x:v>0.011241668312931285</x:v>
      </x:c>
      <x:c r="AL377" s="13" t="n">
        <x:v>0.14285714285714285</x:v>
      </x:c>
      <x:c r="AM377" s="13" t="n">
        <x:v>0</x:v>
      </x:c>
      <x:c r="AN377" s="13" t="n">
        <x:v>0.5382657743684687</x:v>
      </x:c>
      <x:c r="AO377" s="13" t="n">
        <x:v>3.00481506051407</x:v>
      </x:c>
      <x:c r="AP377" s="13" t="n">
        <x:v>-0.10620318145906532</x:v>
      </x:c>
    </x:row>
    <x:row r="378" ht="15" hidden="0" customHeight="1">
      <x:c r="A378" s="2" t="str">
        <x:v>E377</x:v>
      </x:c>
      <x:c r="B378" s="2" t="str">
        <x:v>***文化传播有限公司</x:v>
      </x:c>
      <x:c r="C378" s="2" t="str">
        <x:v>无信贷记录</x:v>
      </x:c>
      <x:c r="D378" s="2" t="str"/>
      <x:c r="E378" s="2" t="str"/>
      <x:c r="F378" s="13" t="n">
        <x:v>110</x:v>
      </x:c>
      <x:c r="G378" s="13" t="n">
        <x:v>108</x:v>
      </x:c>
      <x:c r="H378" s="13" t="n">
        <x:v>2</x:v>
      </x:c>
      <x:c r="I378" s="13" t="n">
        <x:v>0</x:v>
      </x:c>
      <x:c r="J378" s="13" t="n">
        <x:v>254772</x:v>
      </x:c>
      <x:c r="K378" s="13" t="n">
        <x:v>254772</x:v>
      </x:c>
      <x:c r="L378" s="13" t="n">
        <x:v>29</x:v>
      </x:c>
      <x:c r="M378" s="13" t="n">
        <x:v>0.01818181818181818</x:v>
      </x:c>
      <x:c r="N378" s="13" t="n">
        <x:v>0</x:v>
      </x:c>
      <x:c r="O378" s="13" t="n">
        <x:v>0.23310999471272942</x:v>
      </x:c>
      <x:c r="P378" s="13" t="n">
        <x:v>0.3775925140910304</x:v>
      </x:c>
      <x:c r="Q378" s="13" t="n">
        <x:v>9798.923076923076</x:v>
      </x:c>
      <x:c r="R378" s="13" t="n">
        <x:v>2.285265104087037</x:v>
      </x:c>
      <x:c r="S378" s="13" t="n">
        <x:v>-0.016093448259618733</x:v>
      </x:c>
      <x:c r="T378" s="13" t="n">
        <x:v>26</x:v>
      </x:c>
      <x:c r="U378" s="13" t="n">
        <x:v>87</x:v>
      </x:c>
      <x:c r="V378" s="13" t="n">
        <x:v>58</x:v>
      </x:c>
      <x:c r="W378" s="13" t="n">
        <x:v>29</x:v>
      </x:c>
      <x:c r="X378" s="13" t="n">
        <x:v>2</x:v>
      </x:c>
      <x:c r="Y378" s="13" t="n">
        <x:v>803803.3</x:v>
      </x:c>
      <x:c r="Z378" s="13" t="n">
        <x:v>847253.3</x:v>
      </x:c>
      <x:c r="AA378" s="13" t="n">
        <x:v>28</x:v>
      </x:c>
      <x:c r="AB378" s="13" t="n">
        <x:v>0.3333333333333333</x:v>
      </x:c>
      <x:c r="AC378" s="13" t="n">
        <x:v>0.034482758620689655</x:v>
      </x:c>
      <x:c r="AD378" s="13" t="n">
        <x:v>0.10137052408767112</x:v>
      </x:c>
      <x:c r="AE378" s="13" t="n">
        <x:v>0.1911588895552251</x:v>
      </x:c>
      <x:c r="AF378" s="13" t="n">
        <x:v>27717.355172413794</x:v>
      </x:c>
      <x:c r="AG378" s="13" t="n">
        <x:v>1.5308423978335133</x:v>
      </x:c>
      <x:c r="AH378" s="13" t="n">
        <x:v>0.03904834272345651</x:v>
      </x:c>
      <x:c r="AI378" s="13" t="n">
        <x:v>23</x:v>
      </x:c>
      <x:c r="AJ378" s="13" t="n">
        <x:v>549031.3</x:v>
      </x:c>
      <x:c r="AK378" s="13" t="n">
        <x:v>0.300703461408766</x:v>
      </x:c>
      <x:c r="AL378" s="13" t="n">
        <x:v>0.15736040609137056</x:v>
      </x:c>
      <x:c r="AM378" s="13" t="n">
        <x:v>0.012048192771084338</x:v>
      </x:c>
      <x:c r="AN378" s="13" t="n">
        <x:v>0.16724025940020026</x:v>
      </x:c>
      <x:c r="AO378" s="13" t="n">
        <x:v>1.908053750960275</x:v>
      </x:c>
      <x:c r="AP378" s="13" t="n">
        <x:v>0.011477447231918889</x:v>
      </x:c>
    </x:row>
    <x:row r="379" ht="15" hidden="0" customHeight="1">
      <x:c r="A379" s="2" t="str">
        <x:v>E378</x:v>
      </x:c>
      <x:c r="B379" s="2" t="str">
        <x:v>***商贸有限公司</x:v>
      </x:c>
      <x:c r="C379" s="2" t="str">
        <x:v>无信贷记录</x:v>
      </x:c>
      <x:c r="D379" s="2" t="str"/>
      <x:c r="E379" s="2" t="str"/>
      <x:c r="F379" s="13" t="n">
        <x:v>692</x:v>
      </x:c>
      <x:c r="G379" s="13" t="n">
        <x:v>685</x:v>
      </x:c>
      <x:c r="H379" s="13" t="n">
        <x:v>7</x:v>
      </x:c>
      <x:c r="I379" s="13" t="n">
        <x:v>4</x:v>
      </x:c>
      <x:c r="J379" s="13" t="n">
        <x:v>1318410.81</x:v>
      </x:c>
      <x:c r="K379" s="13" t="n">
        <x:v>1318736.57</x:v>
      </x:c>
      <x:c r="L379" s="13" t="n">
        <x:v>61</x:v>
      </x:c>
      <x:c r="M379" s="13" t="n">
        <x:v>0.010115606936416185</x:v>
      </x:c>
      <x:c r="N379" s="13" t="n">
        <x:v>0.00583941605839416</x:v>
      </x:c>
      <x:c r="O379" s="13" t="n">
        <x:v>0.2537212613544583</x:v>
      </x:c>
      <x:c r="P379" s="13" t="n">
        <x:v>0.4592677520120641</x:v>
      </x:c>
      <x:c r="Q379" s="13" t="n">
        <x:v>41200.337812499994</x:v>
      </x:c>
      <x:c r="R379" s="13" t="n">
        <x:v>1.3047924298534395</x:v>
      </x:c>
      <x:c r="S379" s="13" t="n">
        <x:v>0.09034284967578918</x:v>
      </x:c>
      <x:c r="T379" s="13" t="n">
        <x:v>31</x:v>
      </x:c>
      <x:c r="U379" s="13" t="n">
        <x:v>362</x:v>
      </x:c>
      <x:c r="V379" s="13" t="n">
        <x:v>298</x:v>
      </x:c>
      <x:c r="W379" s="13" t="n">
        <x:v>64</x:v>
      </x:c>
      <x:c r="X379" s="13" t="n">
        <x:v>9</x:v>
      </x:c>
      <x:c r="Y379" s="13" t="n">
        <x:v>986294.31</x:v>
      </x:c>
      <x:c r="Z379" s="13" t="n">
        <x:v>1183785.1099999999</x:v>
      </x:c>
      <x:c r="AA379" s="13" t="n">
        <x:v>76</x:v>
      </x:c>
      <x:c r="AB379" s="13" t="n">
        <x:v>0.17679558011049723</x:v>
      </x:c>
      <x:c r="AC379" s="13" t="n">
        <x:v>0.030201342281879196</x:v>
      </x:c>
      <x:c r="AD379" s="13" t="n">
        <x:v>0.12593729702050757</x:v>
      </x:c>
      <x:c r="AE379" s="13" t="n">
        <x:v>0.24806390747726167</x:v>
      </x:c>
      <x:c r="AF379" s="13" t="n">
        <x:v>26656.602972972974</x:v>
      </x:c>
      <x:c r="AG379" s="13" t="n">
        <x:v>2.0381976258677987</x:v>
      </x:c>
      <x:c r="AH379" s="13" t="n">
        <x:v>0.10605458660094816</x:v>
      </x:c>
      <x:c r="AI379" s="13" t="n">
        <x:v>32</x:v>
      </x:c>
      <x:c r="AJ379" s="13" t="n">
        <x:v>-332116.5</x:v>
      </x:c>
      <x:c r="AK379" s="13" t="n">
        <x:v>1.1139999640644231</x:v>
      </x:c>
      <x:c r="AL379" s="13" t="n">
        <x:v>0.06736242884250475</x:v>
      </x:c>
      <x:c r="AM379" s="13" t="n">
        <x:v>0.013224821973550356</x:v>
      </x:c>
      <x:c r="AN379" s="13" t="n">
        <x:v>0.18982927918748294</x:v>
      </x:c>
      <x:c r="AO379" s="13" t="n">
        <x:v>1.671495027860619</x:v>
      </x:c>
      <x:c r="AP379" s="13" t="n">
        <x:v>0.09819871813836867</x:v>
      </x:c>
    </x:row>
    <x:row r="380" ht="15" hidden="0" customHeight="1">
      <x:c r="A380" s="2" t="str">
        <x:v>E379</x:v>
      </x:c>
      <x:c r="B380" s="2" t="str">
        <x:v>***药业有限公司</x:v>
      </x:c>
      <x:c r="C380" s="2" t="str">
        <x:v>无信贷记录</x:v>
      </x:c>
      <x:c r="D380" s="2" t="str"/>
      <x:c r="E380" s="2" t="str"/>
      <x:c r="F380" s="13" t="n">
        <x:v>385</x:v>
      </x:c>
      <x:c r="G380" s="13" t="n">
        <x:v>369</x:v>
      </x:c>
      <x:c r="H380" s="13" t="n">
        <x:v>16</x:v>
      </x:c>
      <x:c r="I380" s="13" t="n">
        <x:v>3</x:v>
      </x:c>
      <x:c r="J380" s="13" t="n">
        <x:v>1428018.69</x:v>
      </x:c>
      <x:c r="K380" s="13" t="n">
        <x:v>1431332.69</x:v>
      </x:c>
      <x:c r="L380" s="13" t="n">
        <x:v>95</x:v>
      </x:c>
      <x:c r="M380" s="13" t="n">
        <x:v>0.04155844155844156</x:v>
      </x:c>
      <x:c r="N380" s="13" t="n">
        <x:v>0.008130081300813009</x:v>
      </x:c>
      <x:c r="O380" s="13" t="n">
        <x:v>0.22576752607734515</x:v>
      </x:c>
      <x:c r="P380" s="13" t="n">
        <x:v>0.39366284577766475</x:v>
      </x:c>
      <x:c r="Q380" s="13" t="n">
        <x:v>37579.43921052631</x:v>
      </x:c>
      <x:c r="R380" s="13" t="n">
        <x:v>1.2120643460036822</x:v>
      </x:c>
      <x:c r="S380" s="13" t="n">
        <x:v>-0.06100969978148483</x:v>
      </x:c>
      <x:c r="T380" s="13" t="n">
        <x:v>38</x:v>
      </x:c>
      <x:c r="U380" s="13" t="n">
        <x:v>239</x:v>
      </x:c>
      <x:c r="V380" s="13" t="n">
        <x:v>155</x:v>
      </x:c>
      <x:c r="W380" s="13" t="n">
        <x:v>84</x:v>
      </x:c>
      <x:c r="X380" s="13" t="n">
        <x:v>0</x:v>
      </x:c>
      <x:c r="Y380" s="13" t="n">
        <x:v>2484292</x:v>
      </x:c>
      <x:c r="Z380" s="13" t="n">
        <x:v>2484292</x:v>
      </x:c>
      <x:c r="AA380" s="13" t="n">
        <x:v>51</x:v>
      </x:c>
      <x:c r="AB380" s="13" t="n">
        <x:v>0.3514644351464435</x:v>
      </x:c>
      <x:c r="AC380" s="13" t="n">
        <x:v>0</x:v>
      </x:c>
      <x:c r="AD380" s="13" t="n">
        <x:v>0.3135439668638047</x:v>
      </x:c>
      <x:c r="AE380" s="13" t="n">
        <x:v>0.5449967234125457</x:v>
      </x:c>
      <x:c r="AF380" s="13" t="n">
        <x:v>67143.02702702703</x:v>
      </x:c>
      <x:c r="AG380" s="13" t="n">
        <x:v>0.9520159227062353</x:v>
      </x:c>
      <x:c r="AH380" s="13" t="n">
        <x:v>-0.05168559655430428</x:v>
      </x:c>
      <x:c r="AI380" s="13" t="n">
        <x:v>31</x:v>
      </x:c>
      <x:c r="AJ380" s="13" t="n">
        <x:v>1056273.31</x:v>
      </x:c>
      <x:c r="AK380" s="13" t="n">
        <x:v>0.5761531615446169</x:v>
      </x:c>
      <x:c r="AL380" s="13" t="n">
        <x:v>0.16025641025641027</x:v>
      </x:c>
      <x:c r="AM380" s="13" t="n">
        <x:v>0.0057251908396946565</x:v>
      </x:c>
      <x:c r="AN380" s="13" t="n">
        <x:v>0.26965574647057494</x:v>
      </x:c>
      <x:c r="AO380" s="13" t="n">
        <x:v>1.0820401343549588</x:v>
      </x:c>
      <x:c r="AP380" s="13" t="n">
        <x:v>-0.05634764816789456</x:v>
      </x:c>
    </x:row>
    <x:row r="381" ht="15" hidden="0" customHeight="1">
      <x:c r="A381" s="2" t="str">
        <x:v>E380</x:v>
      </x:c>
      <x:c r="B381" s="2" t="str">
        <x:v>***建材有限公司</x:v>
      </x:c>
      <x:c r="C381" s="2" t="str">
        <x:v>无信贷记录</x:v>
      </x:c>
      <x:c r="D381" s="2" t="str"/>
      <x:c r="E381" s="2" t="str"/>
      <x:c r="F381" s="13" t="n">
        <x:v>2</x:v>
      </x:c>
      <x:c r="G381" s="13" t="n">
        <x:v>2</x:v>
      </x:c>
      <x:c r="H381" s="13" t="n">
        <x:v>0</x:v>
      </x:c>
      <x:c r="I381" s="13" t="n">
        <x:v>0</x:v>
      </x:c>
      <x:c r="J381" s="13" t="n">
        <x:v>560</x:v>
      </x:c>
      <x:c r="K381" s="13" t="n">
        <x:v>560</x:v>
      </x:c>
      <x:c r="L381" s="13" t="n">
        <x:v>2</x:v>
      </x:c>
      <x:c r="M381" s="13" t="n">
        <x:v>0</x:v>
      </x:c>
      <x:c r="N381" s="13" t="n">
        <x:v>0</x:v>
      </x:c>
      <x:c r="O381" s="13" t="n">
        <x:v>0.5</x:v>
      </x:c>
      <x:c r="P381" s="13" t="n">
        <x:v>0.5</x:v>
      </x:c>
      <x:c r="Q381" s="13" t="n">
        <x:v>38.35733333333334</x:v>
      </x:c>
      <x:c r="R381" s="13" t="n">
        <x:v>2.828427124655276</x:v>
      </x:c>
      <x:c r="S381" s="13" t="n">
        <x:v>2.698458822288429e-17</x:v>
      </x:c>
      <x:c r="T381" s="13" t="n">
        <x:v>2</x:v>
      </x:c>
      <x:c r="U381" s="13" t="n">
        <x:v>188</x:v>
      </x:c>
      <x:c r="V381" s="13" t="n">
        <x:v>166</x:v>
      </x:c>
      <x:c r="W381" s="13" t="n">
        <x:v>22</x:v>
      </x:c>
      <x:c r="X381" s="13" t="n">
        <x:v>16</x:v>
      </x:c>
      <x:c r="Y381" s="13" t="n">
        <x:v>1263388.9100000001</x:v>
      </x:c>
      <x:c r="Z381" s="13" t="n">
        <x:v>1537589.37</x:v>
      </x:c>
      <x:c r="AA381" s="13" t="n">
        <x:v>6</x:v>
      </x:c>
      <x:c r="AB381" s="13" t="n">
        <x:v>0.11702127659574468</x:v>
      </x:c>
      <x:c r="AC381" s="13" t="n">
        <x:v>0.0963855421686747</x:v>
      </x:c>
      <x:c r="AD381" s="13" t="n">
        <x:v>0.8949476891024764</x:v>
      </x:c>
      <x:c r="AE381" s="13" t="n">
        <x:v>0.9455411817785915</x:v>
      </x:c>
      <x:c r="AF381" s="13" t="n">
        <x:v>34145.64621621622</x:v>
      </x:c>
      <x:c r="AG381" s="13" t="n">
        <x:v>2.1008390696403243</x:v>
      </x:c>
      <x:c r="AH381" s="13" t="n">
        <x:v>0.02777087134411522</x:v>
      </x:c>
      <x:c r="AI381" s="13" t="n">
        <x:v>15</x:v>
      </x:c>
      <x:c r="AJ381" s="13" t="n">
        <x:v>1262828.9100000001</x:v>
      </x:c>
      <x:c r="AK381" s="13" t="n">
        <x:v>0.00036420647210899985</x:v>
      </x:c>
      <x:c r="AL381" s="13" t="n">
        <x:v>0.11578947368421053</x:v>
      </x:c>
      <x:c r="AM381" s="13" t="n">
        <x:v>0.09523809523809523</x:v>
      </x:c>
      <x:c r="AN381" s="13" t="n">
        <x:v>0.6974738445512382</x:v>
      </x:c>
      <x:c r="AO381" s="13" t="n">
        <x:v>2.4646330971478</x:v>
      </x:c>
      <x:c r="AP381" s="13" t="n">
        <x:v>0.013885435672057625</x:v>
      </x:c>
    </x:row>
    <x:row r="382" ht="15" hidden="0" customHeight="1">
      <x:c r="A382" s="2" t="str">
        <x:v>E381</x:v>
      </x:c>
      <x:c r="B382" s="2" t="str">
        <x:v>***通信网络工程有限公司</x:v>
      </x:c>
      <x:c r="C382" s="2" t="str">
        <x:v>无信贷记录</x:v>
      </x:c>
      <x:c r="D382" s="2" t="str"/>
      <x:c r="E382" s="2" t="str"/>
      <x:c r="F382" s="13" t="n">
        <x:v>1823</x:v>
      </x:c>
      <x:c r="G382" s="13" t="n">
        <x:v>1766</x:v>
      </x:c>
      <x:c r="H382" s="13" t="n">
        <x:v>57</x:v>
      </x:c>
      <x:c r="I382" s="13" t="n">
        <x:v>4</x:v>
      </x:c>
      <x:c r="J382" s="13" t="n">
        <x:v>97393355.96000001</x:v>
      </x:c>
      <x:c r="K382" s="13" t="n">
        <x:v>97623142.75999999</x:v>
      </x:c>
      <x:c r="L382" s="13" t="n">
        <x:v>195</x:v>
      </x:c>
      <x:c r="M382" s="13" t="n">
        <x:v>0.031267142073505214</x:v>
      </x:c>
      <x:c r="N382" s="13" t="n">
        <x:v>0.0022650056625141564</x:v>
      </x:c>
      <x:c r="O382" s="13" t="n">
        <x:v>0.05541329767742804</x:v>
      </x:c>
      <x:c r="P382" s="13" t="n">
        <x:v>0.16577381819990897</x:v>
      </x:c>
      <x:c r="Q382" s="13" t="n">
        <x:v>2632252.863783784</x:v>
      </x:c>
      <x:c r="R382" s="13" t="n">
        <x:v>1.0048505361129982</x:v>
      </x:c>
      <x:c r="S382" s="13" t="n">
        <x:v>-0.05517661504941362</x:v>
      </x:c>
      <x:c r="T382" s="13" t="n">
        <x:v>37</x:v>
      </x:c>
      <x:c r="U382" s="13" t="n">
        <x:v>82</x:v>
      </x:c>
      <x:c r="V382" s="13" t="n">
        <x:v>80</x:v>
      </x:c>
      <x:c r="W382" s="13" t="n">
        <x:v>2</x:v>
      </x:c>
      <x:c r="X382" s="13" t="n">
        <x:v>17</x:v>
      </x:c>
      <x:c r="Y382" s="13" t="n">
        <x:v>1718689.7899999998</x:v>
      </x:c>
      <x:c r="Z382" s="13" t="n">
        <x:v>2142788.67</x:v>
      </x:c>
      <x:c r="AA382" s="13" t="n">
        <x:v>14</x:v>
      </x:c>
      <x:c r="AB382" s="13" t="n">
        <x:v>0.024390243902439025</x:v>
      </x:c>
      <x:c r="AC382" s="13" t="n">
        <x:v>0.17828116037106256</x:v>
      </x:c>
      <x:c r="AD382" s="13" t="n">
        <x:v>0.17597803190189884</x:v>
      </x:c>
      <x:c r="AE382" s="13" t="n">
        <x:v>0.2983951655857878</x:v>
      </x:c>
      <x:c r="AF382" s="13" t="n">
        <x:v>46451.075405405405</x:v>
      </x:c>
      <x:c r="AG382" s="13" t="n">
        <x:v>1.8287492622082142</x:v>
      </x:c>
      <x:c r="AH382" s="13" t="n">
        <x:v>-0.015761013247300056</x:v>
      </x:c>
      <x:c r="AI382" s="13" t="n">
        <x:v>14</x:v>
      </x:c>
      <x:c r="AJ382" s="13" t="n">
        <x:v>-66758721.217599995</x:v>
      </x:c>
      <x:c r="AK382" s="13" t="n">
        <x:v>21.2915080780909</x:v>
      </x:c>
      <x:c r="AL382" s="13" t="n">
        <x:v>0.030971128608923884</x:v>
      </x:c>
      <x:c r="AM382" s="13" t="n">
        <x:v>0.011375947995666305</x:v>
      </x:c>
      <x:c r="AN382" s="13" t="n">
        <x:v>0.11569566478966344</x:v>
      </x:c>
      <x:c r="AO382" s="13" t="n">
        <x:v>1.4167998991606061</x:v>
      </x:c>
      <x:c r="AP382" s="13" t="n">
        <x:v>-0.035468814148356835</x:v>
      </x:c>
    </x:row>
    <x:row r="383" ht="15" hidden="0" customHeight="1">
      <x:c r="A383" s="2" t="str">
        <x:v>E382</x:v>
      </x:c>
      <x:c r="B383" s="2" t="str">
        <x:v>***教育信息咨询有限公司***分公司</x:v>
      </x:c>
      <x:c r="C383" s="2" t="str">
        <x:v>无信贷记录</x:v>
      </x:c>
      <x:c r="D383" s="2" t="str"/>
      <x:c r="E383" s="2" t="str"/>
      <x:c r="F383" s="13" t="n">
        <x:v>2</x:v>
      </x:c>
      <x:c r="G383" s="13" t="n">
        <x:v>2</x:v>
      </x:c>
      <x:c r="H383" s="13" t="n">
        <x:v>0</x:v>
      </x:c>
      <x:c r="I383" s="13" t="n">
        <x:v>0</x:v>
      </x:c>
      <x:c r="J383" s="13" t="n">
        <x:v>760</x:v>
      </x:c>
      <x:c r="K383" s="13" t="n">
        <x:v>760</x:v>
      </x:c>
      <x:c r="L383" s="13" t="n">
        <x:v>2</x:v>
      </x:c>
      <x:c r="M383" s="13" t="n">
        <x:v>0</x:v>
      </x:c>
      <x:c r="N383" s="13" t="n">
        <x:v>0</x:v>
      </x:c>
      <x:c r="O383" s="13" t="n">
        <x:v>0.5346260387811634</x:v>
      </x:c>
      <x:c r="P383" s="13" t="n">
        <x:v>0.631578947368421</x:v>
      </x:c>
      <x:c r="Q383" s="13" t="n">
        <x:v>58.46153846153846</x:v>
      </x:c>
      <x:c r="R383" s="13" t="n">
        <x:v>2.4392905739070057</x:v>
      </x:c>
      <x:c r="S383" s="13" t="n">
        <x:v>-0.11278195488528908</x:v>
      </x:c>
      <x:c r="T383" s="13" t="n">
        <x:v>2</x:v>
      </x:c>
      <x:c r="U383" s="13" t="n">
        <x:v>88</x:v>
      </x:c>
      <x:c r="V383" s="13" t="n">
        <x:v>88</x:v>
      </x:c>
      <x:c r="W383" s="13" t="n">
        <x:v>0</x:v>
      </x:c>
      <x:c r="X383" s="13" t="n">
        <x:v>0</x:v>
      </x:c>
      <x:c r="Y383" s="13" t="n">
        <x:v>531947</x:v>
      </x:c>
      <x:c r="Z383" s="13" t="n">
        <x:v>531947</x:v>
      </x:c>
      <x:c r="AA383" s="13" t="n">
        <x:v>77</x:v>
      </x:c>
      <x:c r="AB383" s="13" t="n">
        <x:v>0</x:v>
      </x:c>
      <x:c r="AC383" s="13" t="n">
        <x:v>0</x:v>
      </x:c>
      <x:c r="AD383" s="13" t="n">
        <x:v>0.015446537207929031</x:v>
      </x:c>
      <x:c r="AE383" s="13" t="n">
        <x:v>0.0343133643548063</x:v>
      </x:c>
      <x:c r="AF383" s="13" t="n">
        <x:v>20459.5</x:v>
      </x:c>
      <x:c r="AG383" s="13" t="n">
        <x:v>0.8361625808282449</x:v>
      </x:c>
      <x:c r="AH383" s="13" t="n">
        <x:v>0.03585221000504678</x:v>
      </x:c>
      <x:c r="AI383" s="13" t="n">
        <x:v>20</x:v>
      </x:c>
      <x:c r="AJ383" s="13" t="n">
        <x:v>531187</x:v>
      </x:c>
      <x:c r="AK383" s="13" t="n">
        <x:v>0.0014287137628372724</x:v>
      </x:c>
      <x:c r="AL383" s="13" t="n">
        <x:v>0.0014035087719298258</x:v>
      </x:c>
      <x:c r="AM383" s="13" t="n">
        <x:v>0</x:v>
      </x:c>
      <x:c r="AN383" s="13" t="n">
        <x:v>0.2750362879945462</x:v>
      </x:c>
      <x:c r="AO383" s="13" t="n">
        <x:v>1.6377265773676253</x:v>
      </x:c>
      <x:c r="AP383" s="13" t="n">
        <x:v>-0.03846487244012115</x:v>
      </x:c>
    </x:row>
    <x:row r="384" ht="15" hidden="0" customHeight="1">
      <x:c r="A384" s="2" t="str">
        <x:v>E383</x:v>
      </x:c>
      <x:c r="B384" s="2" t="str">
        <x:v>***通讯器材经营部</x:v>
      </x:c>
      <x:c r="C384" s="2" t="str">
        <x:v>无信贷记录</x:v>
      </x:c>
      <x:c r="D384" s="2" t="str"/>
      <x:c r="E384" s="2" t="str"/>
      <x:c r="F384" s="13" t="n">
        <x:v>13</x:v>
      </x:c>
      <x:c r="G384" s="13" t="n">
        <x:v>13</x:v>
      </x:c>
      <x:c r="H384" s="13" t="n">
        <x:v>0</x:v>
      </x:c>
      <x:c r="I384" s="13" t="n">
        <x:v>0</x:v>
      </x:c>
      <x:c r="J384" s="13" t="n">
        <x:v>234550</x:v>
      </x:c>
      <x:c r="K384" s="13" t="n">
        <x:v>234550</x:v>
      </x:c>
      <x:c r="L384" s="13" t="n">
        <x:v>7</x:v>
      </x:c>
      <x:c r="M384" s="13" t="n">
        <x:v>0</x:v>
      </x:c>
      <x:c r="N384" s="13" t="n">
        <x:v>0</x:v>
      </x:c>
      <x:c r="O384" s="13" t="n">
        <x:v>0.8695658086274052</x:v>
      </x:c>
      <x:c r="P384" s="13" t="n">
        <x:v>0.9310168407589</x:v>
      </x:c>
      <x:c r="Q384" s="13" t="n">
        <x:v>8087.931034482759</x:v>
      </x:c>
      <x:c r="R384" s="13" t="n">
        <x:v>4.84123861016109</x:v>
      </x:c>
      <x:c r="S384" s="13" t="n">
        <x:v>0.09527666961048854</x:v>
      </x:c>
      <x:c r="T384" s="13" t="n">
        <x:v>7</x:v>
      </x:c>
      <x:c r="U384" s="13" t="n">
        <x:v>126</x:v>
      </x:c>
      <x:c r="V384" s="13" t="n">
        <x:v>111</x:v>
      </x:c>
      <x:c r="W384" s="13" t="n">
        <x:v>15</x:v>
      </x:c>
      <x:c r="X384" s="13" t="n">
        <x:v>7</x:v>
      </x:c>
      <x:c r="Y384" s="13" t="n">
        <x:v>836692</x:v>
      </x:c>
      <x:c r="Z384" s="13" t="n">
        <x:v>962692</x:v>
      </x:c>
      <x:c r="AA384" s="13" t="n">
        <x:v>10</x:v>
      </x:c>
      <x:c r="AB384" s="13" t="n">
        <x:v>0.11904761904761904</x:v>
      </x:c>
      <x:c r="AC384" s="13" t="n">
        <x:v>0.06306306306306306</x:v>
      </x:c>
      <x:c r="AD384" s="13" t="n">
        <x:v>0.7594890837867586</x:v>
      </x:c>
      <x:c r="AE384" s="13" t="n">
        <x:v>0.8670644401324619</x:v>
      </x:c>
      <x:c r="AF384" s="13" t="n">
        <x:v>39842.47619047619</x:v>
      </x:c>
      <x:c r="AG384" s="13" t="n">
        <x:v>1.3144322839165545</x:v>
      </x:c>
      <x:c r="AH384" s="13" t="n">
        <x:v>-0.08702051976984469</x:v>
      </x:c>
      <x:c r="AI384" s="13" t="n">
        <x:v>15</x:v>
      </x:c>
      <x:c r="AJ384" s="13" t="n">
        <x:v>602142</x:v>
      </x:c>
      <x:c r="AK384" s="13" t="n">
        <x:v>0.24363971031233222</x:v>
      </x:c>
      <x:c r="AL384" s="13" t="n">
        <x:v>0.1079136690647482</x:v>
      </x:c>
      <x:c r="AM384" s="13" t="n">
        <x:v>0.056451612903225805</x:v>
      </x:c>
      <x:c r="AN384" s="13" t="n">
        <x:v>0.814527446207082</x:v>
      </x:c>
      <x:c r="AO384" s="13" t="n">
        <x:v>3.1177895689836395</x:v>
      </x:c>
      <x:c r="AP384" s="13" t="n">
        <x:v>0.004128074920321925</x:v>
      </x:c>
    </x:row>
    <x:row r="385" ht="15" hidden="0" customHeight="1">
      <x:c r="A385" s="2" t="str">
        <x:v>E384</x:v>
      </x:c>
      <x:c r="B385" s="2" t="str">
        <x:v>个体经营E384 </x:v>
      </x:c>
      <x:c r="C385" s="2" t="str">
        <x:v>无信贷记录</x:v>
      </x:c>
      <x:c r="D385" s="2" t="str"/>
      <x:c r="E385" s="2" t="str"/>
      <x:c r="F385" s="13" t="n">
        <x:v>247</x:v>
      </x:c>
      <x:c r="G385" s="13" t="n">
        <x:v>236</x:v>
      </x:c>
      <x:c r="H385" s="13" t="n">
        <x:v>11</x:v>
      </x:c>
      <x:c r="I385" s="13" t="n">
        <x:v>3</x:v>
      </x:c>
      <x:c r="J385" s="13" t="n">
        <x:v>2918989.4</x:v>
      </x:c>
      <x:c r="K385" s="13" t="n">
        <x:v>2968189.4</x:v>
      </x:c>
      <x:c r="L385" s="13" t="n">
        <x:v>78</x:v>
      </x:c>
      <x:c r="M385" s="13" t="n">
        <x:v>0.044534412955465584</x:v>
      </x:c>
      <x:c r="N385" s="13" t="n">
        <x:v>0.012711864406779662</x:v>
      </x:c>
      <x:c r="O385" s="13" t="n">
        <x:v>0.07962989604361764</x:v>
      </x:c>
      <x:c r="P385" s="13" t="n">
        <x:v>0.18841486328332013</x:v>
      </x:c>
      <x:c r="Q385" s="13" t="n">
        <x:v>81083.03888888887</x:v>
      </x:c>
      <x:c r="R385" s="13" t="n">
        <x:v>0.9417005896190483</x:v>
      </x:c>
      <x:c r="S385" s="13" t="n">
        <x:v>-0.0005510298375273954</x:v>
      </x:c>
      <x:c r="T385" s="13" t="n">
        <x:v>35</x:v>
      </x:c>
      <x:c r="U385" s="13" t="n">
        <x:v>32</x:v>
      </x:c>
      <x:c r="V385" s="13" t="n">
        <x:v>27</x:v>
      </x:c>
      <x:c r="W385" s="13" t="n">
        <x:v>5</x:v>
      </x:c>
      <x:c r="X385" s="13" t="n">
        <x:v>0</x:v>
      </x:c>
      <x:c r="Y385" s="13" t="n">
        <x:v>2300821.07</x:v>
      </x:c>
      <x:c r="Z385" s="13" t="n">
        <x:v>2300821.07</x:v>
      </x:c>
      <x:c r="AA385" s="13" t="n">
        <x:v>4</x:v>
      </x:c>
      <x:c r="AB385" s="13" t="n">
        <x:v>0.15625</x:v>
      </x:c>
      <x:c r="AC385" s="13" t="n">
        <x:v>0</x:v>
      </x:c>
      <x:c r="AD385" s="13" t="n">
        <x:v>0.6391052618477966</x:v>
      </x:c>
      <x:c r="AE385" s="13" t="n">
        <x:v>0.7648643751336995</x:v>
      </x:c>
      <x:c r="AF385" s="13" t="n">
        <x:v>74220.03451612903</x:v>
      </x:c>
      <x:c r="AG385" s="13" t="n">
        <x:v>2.201340696287297</x:v>
      </x:c>
      <x:c r="AH385" s="13" t="n">
        <x:v>0.07569554316755177</x:v>
      </x:c>
      <x:c r="AI385" s="13" t="n">
        <x:v>8</x:v>
      </x:c>
      <x:c r="AJ385" s="13" t="n">
        <x:v>-618168.3300000001</x:v>
      </x:c>
      <x:c r="AK385" s="13" t="n">
        <x:v>1.2900565970564581</x:v>
      </x:c>
      <x:c r="AL385" s="13" t="n">
        <x:v>0.05734767025089606</x:v>
      </x:c>
      <x:c r="AM385" s="13" t="n">
        <x:v>0.011406844106463879</x:v>
      </x:c>
      <x:c r="AN385" s="13" t="n">
        <x:v>0.35936757894570714</x:v>
      </x:c>
      <x:c r="AO385" s="13" t="n">
        <x:v>1.5715206429531725</x:v>
      </x:c>
      <x:c r="AP385" s="13" t="n">
        <x:v>0.03757225666501219</x:v>
      </x:c>
    </x:row>
    <x:row r="386" ht="15" hidden="0" customHeight="1">
      <x:c r="A386" s="2" t="str">
        <x:v>E385</x:v>
      </x:c>
      <x:c r="B386" s="2" t="str">
        <x:v>***装饰工程有限公司</x:v>
      </x:c>
      <x:c r="C386" s="2" t="str">
        <x:v>无信贷记录</x:v>
      </x:c>
      <x:c r="D386" s="2" t="str"/>
      <x:c r="E386" s="2" t="str"/>
      <x:c r="F386" s="13" t="n">
        <x:v>31</x:v>
      </x:c>
      <x:c r="G386" s="13" t="n">
        <x:v>29</x:v>
      </x:c>
      <x:c r="H386" s="13" t="n">
        <x:v>2</x:v>
      </x:c>
      <x:c r="I386" s="13" t="n">
        <x:v>0</x:v>
      </x:c>
      <x:c r="J386" s="13" t="n">
        <x:v>14584</x:v>
      </x:c>
      <x:c r="K386" s="13" t="n">
        <x:v>14584</x:v>
      </x:c>
      <x:c r="L386" s="13" t="n">
        <x:v>7</x:v>
      </x:c>
      <x:c r="M386" s="13" t="n">
        <x:v>0.06451612903225806</x:v>
      </x:c>
      <x:c r="N386" s="13" t="n">
        <x:v>0</x:v>
      </x:c>
      <x:c r="O386" s="13" t="n">
        <x:v>0.27457152150750047</x:v>
      </x:c>
      <x:c r="P386" s="13" t="n">
        <x:v>0.3867251782775645</x:v>
      </x:c>
      <x:c r="Q386" s="13" t="n">
        <x:v>455.75</x:v>
      </x:c>
      <x:c r="R386" s="13" t="n">
        <x:v>1.7166780658618541</x:v>
      </x:c>
      <x:c r="S386" s="13" t="n">
        <x:v>0.020732960879430325</x:v>
      </x:c>
      <x:c r="T386" s="13" t="n">
        <x:v>15</x:v>
      </x:c>
      <x:c r="U386" s="13" t="n">
        <x:v>28</x:v>
      </x:c>
      <x:c r="V386" s="13" t="n">
        <x:v>12</x:v>
      </x:c>
      <x:c r="W386" s="13" t="n">
        <x:v>16</x:v>
      </x:c>
      <x:c r="X386" s="13" t="n">
        <x:v>1</x:v>
      </x:c>
      <x:c r="Y386" s="13" t="n">
        <x:v>485993.58999999997</x:v>
      </x:c>
      <x:c r="Z386" s="13" t="n">
        <x:v>603225.59</x:v>
      </x:c>
      <x:c r="AA386" s="13" t="n">
        <x:v>8</x:v>
      </x:c>
      <x:c r="AB386" s="13" t="n">
        <x:v>0.5714285714285714</x:v>
      </x:c>
      <x:c r="AC386" s="13" t="n">
        <x:v>0.08333333333333333</x:v>
      </x:c>
      <x:c r="AD386" s="13" t="n">
        <x:v>0.24933858315866925</x:v>
      </x:c>
      <x:c r="AE386" s="13" t="n">
        <x:v>0.2915128318743905</x:v>
      </x:c>
      <x:c r="AF386" s="13" t="n">
        <x:v>24299.6795</x:v>
      </x:c>
      <x:c r="AG386" s="13" t="n">
        <x:v>1.6097177794745994</x:v>
      </x:c>
      <x:c r="AH386" s="13" t="n">
        <x:v>0.06289886449408676</x:v>
      </x:c>
      <x:c r="AI386" s="13" t="n">
        <x:v>9</x:v>
      </x:c>
      <x:c r="AJ386" s="13" t="n">
        <x:v>471409.58999999997</x:v>
      </x:c>
      <x:c r="AK386" s="13" t="n">
        <x:v>0.02417669316714494</x:v>
      </x:c>
      <x:c r="AL386" s="13" t="n">
        <x:v>0.3050847457627119</x:v>
      </x:c>
      <x:c r="AM386" s="13" t="n">
        <x:v>0.024390243902439025</x:v>
      </x:c>
      <x:c r="AN386" s="13" t="n">
        <x:v>0.26195505233308486</x:v>
      </x:c>
      <x:c r="AO386" s="13" t="n">
        <x:v>1.6631979226682267</x:v>
      </x:c>
      <x:c r="AP386" s="13" t="n">
        <x:v>0.04181591268675854</x:v>
      </x:c>
    </x:row>
    <x:row r="387" ht="15" hidden="0" customHeight="1">
      <x:c r="A387" s="2" t="str">
        <x:v>E386</x:v>
      </x:c>
      <x:c r="B387" s="2" t="str">
        <x:v>个体经营E386 </x:v>
      </x:c>
      <x:c r="C387" s="2" t="str">
        <x:v>无信贷记录</x:v>
      </x:c>
      <x:c r="D387" s="2" t="str"/>
      <x:c r="E387" s="2" t="str"/>
      <x:c r="F387" s="13" t="n">
        <x:v>401</x:v>
      </x:c>
      <x:c r="G387" s="13" t="n">
        <x:v>398</x:v>
      </x:c>
      <x:c r="H387" s="13" t="n">
        <x:v>3</x:v>
      </x:c>
      <x:c r="I387" s="13" t="n">
        <x:v>0</x:v>
      </x:c>
      <x:c r="J387" s="13" t="n">
        <x:v>197247.36000000002</x:v>
      </x:c>
      <x:c r="K387" s="13" t="n">
        <x:v>197247.36000000002</x:v>
      </x:c>
      <x:c r="L387" s="13" t="n">
        <x:v>113</x:v>
      </x:c>
      <x:c r="M387" s="13" t="n">
        <x:v>0.007481296758104738</x:v>
      </x:c>
      <x:c r="N387" s="13" t="n">
        <x:v>0</x:v>
      </x:c>
      <x:c r="O387" s="13" t="n">
        <x:v>0.048447723337565564</x:v>
      </x:c>
      <x:c r="P387" s="13" t="n">
        <x:v>0.16592364024542586</x:v>
      </x:c>
      <x:c r="Q387" s="13" t="n">
        <x:v>7044.5485714285705</x:v>
      </x:c>
      <x:c r="R387" s="13" t="n">
        <x:v>1.1926462508084592</x:v>
      </x:c>
      <x:c r="S387" s="13" t="n">
        <x:v>-0.09176440092152419</x:v>
      </x:c>
      <x:c r="T387" s="13" t="n">
        <x:v>20</x:v>
      </x:c>
      <x:c r="U387" s="13" t="n">
        <x:v>66</x:v>
      </x:c>
      <x:c r="V387" s="13" t="n">
        <x:v>54</x:v>
      </x:c>
      <x:c r="W387" s="13" t="n">
        <x:v>12</x:v>
      </x:c>
      <x:c r="X387" s="13" t="n">
        <x:v>4</x:v>
      </x:c>
      <x:c r="Y387" s="13" t="n">
        <x:v>4270000</x:v>
      </x:c>
      <x:c r="Z387" s="13" t="n">
        <x:v>4870000</x:v>
      </x:c>
      <x:c r="AA387" s="13" t="n">
        <x:v>7</x:v>
      </x:c>
      <x:c r="AB387" s="13" t="n">
        <x:v>0.18181818181818182</x:v>
      </x:c>
      <x:c r="AC387" s="13" t="n">
        <x:v>0.07407407407407407</x:v>
      </x:c>
      <x:c r="AD387" s="13" t="n">
        <x:v>0.3878204993064017</x:v>
      </x:c>
      <x:c r="AE387" s="13" t="n">
        <x:v>0.4517453798767967</x:v>
      </x:c>
      <x:c r="AF387" s="13" t="n">
        <x:v>158148.14814814815</x:v>
      </x:c>
      <x:c r="AG387" s="13" t="n">
        <x:v>1.4076033051717491</x:v>
      </x:c>
      <x:c r="AH387" s="13" t="n">
        <x:v>-0.07126385391909983</x:v>
      </x:c>
      <x:c r="AI387" s="13" t="n">
        <x:v>13</x:v>
      </x:c>
      <x:c r="AJ387" s="13" t="n">
        <x:v>4072752.64</x:v>
      </x:c>
      <x:c r="AK387" s="13" t="n">
        <x:v>0.040502537987679665</x:v>
      </x:c>
      <x:c r="AL387" s="13" t="n">
        <x:v>0.032119914346895075</x:v>
      </x:c>
      <x:c r="AM387" s="13" t="n">
        <x:v>0.008849557522123894</x:v>
      </x:c>
      <x:c r="AN387" s="13" t="n">
        <x:v>0.21813411132198365</x:v>
      </x:c>
      <x:c r="AO387" s="13" t="n">
        <x:v>1.3001247779901042</x:v>
      </x:c>
      <x:c r="AP387" s="13" t="n">
        <x:v>-0.081514127420312</x:v>
      </x:c>
    </x:row>
    <x:row r="388" ht="15" hidden="0" customHeight="1">
      <x:c r="A388" s="2" t="str">
        <x:v>E387</x:v>
      </x:c>
      <x:c r="B388" s="2" t="str">
        <x:v>***农副产品经营部</x:v>
      </x:c>
      <x:c r="C388" s="2" t="str">
        <x:v>无信贷记录</x:v>
      </x:c>
      <x:c r="D388" s="2" t="str"/>
      <x:c r="E388" s="2" t="str"/>
      <x:c r="F388" s="13" t="n">
        <x:v>3</x:v>
      </x:c>
      <x:c r="G388" s="13" t="n">
        <x:v>3</x:v>
      </x:c>
      <x:c r="H388" s="13" t="n">
        <x:v>0</x:v>
      </x:c>
      <x:c r="I388" s="13" t="n">
        <x:v>0</x:v>
      </x:c>
      <x:c r="J388" s="13" t="n">
        <x:v>1380</x:v>
      </x:c>
      <x:c r="K388" s="13" t="n">
        <x:v>1380</x:v>
      </x:c>
      <x:c r="L388" s="13" t="n">
        <x:v>1</x:v>
      </x:c>
      <x:c r="M388" s="13" t="n">
        <x:v>0</x:v>
      </x:c>
      <x:c r="N388" s="13" t="n">
        <x:v>0</x:v>
      </x:c>
      <x:c r="O388" s="13" t="n">
        <x:v>1</x:v>
      </x:c>
      <x:c r="P388" s="13" t="n">
        <x:v>1</x:v>
      </x:c>
      <x:c r="Q388" s="13" t="n">
        <x:v>55.2</x:v>
      </x:c>
      <x:c r="R388" s="13" t="n">
        <x:v>3.144092589301693</x:v>
      </x:c>
      <x:c r="S388" s="13" t="n">
        <x:v>-0.09030100334284565</x:v>
      </x:c>
      <x:c r="T388" s="13" t="n">
        <x:v>3</x:v>
      </x:c>
      <x:c r="U388" s="13" t="n">
        <x:v>94</x:v>
      </x:c>
      <x:c r="V388" s="13" t="n">
        <x:v>86</x:v>
      </x:c>
      <x:c r="W388" s="13" t="n">
        <x:v>8</x:v>
      </x:c>
      <x:c r="X388" s="13" t="n">
        <x:v>0</x:v>
      </x:c>
      <x:c r="Y388" s="13" t="n">
        <x:v>849901</x:v>
      </x:c>
      <x:c r="Z388" s="13" t="n">
        <x:v>849901</x:v>
      </x:c>
      <x:c r="AA388" s="13" t="n">
        <x:v>8</x:v>
      </x:c>
      <x:c r="AB388" s="13" t="n">
        <x:v>0.0851063829787234</x:v>
      </x:c>
      <x:c r="AC388" s="13" t="n">
        <x:v>0</x:v>
      </x:c>
      <x:c r="AD388" s="13" t="n">
        <x:v>0.5619219044292302</x:v>
      </x:c>
      <x:c r="AE388" s="13" t="n">
        <x:v>0.7412628059032758</x:v>
      </x:c>
      <x:c r="AF388" s="13" t="n">
        <x:v>29306.931034482757</x:v>
      </x:c>
      <x:c r="AG388" s="13" t="n">
        <x:v>0.2698388037208975</x:v>
      </x:c>
      <x:c r="AH388" s="13" t="n">
        <x:v>-0.004386863881793113</x:v>
      </x:c>
      <x:c r="AI388" s="13" t="n">
        <x:v>28</x:v>
      </x:c>
      <x:c r="AJ388" s="13" t="n">
        <x:v>848521</x:v>
      </x:c>
      <x:c r="AK388" s="13" t="n">
        <x:v>0.0016237185272166973</x:v>
      </x:c>
      <x:c r="AL388" s="13" t="n">
        <x:v>0.08247422680412371</x:v>
      </x:c>
      <x:c r="AM388" s="13" t="n">
        <x:v>0</x:v>
      </x:c>
      <x:c r="AN388" s="13" t="n">
        <x:v>0.780960952214615</x:v>
      </x:c>
      <x:c r="AO388" s="13" t="n">
        <x:v>1.6715310966624406</x:v>
      </x:c>
      <x:c r="AP388" s="13" t="n">
        <x:v>-0.04734393361231938</x:v>
      </x:c>
    </x:row>
    <x:row r="389" ht="15" hidden="0" customHeight="1">
      <x:c r="A389" s="2" t="str">
        <x:v>E388</x:v>
      </x:c>
      <x:c r="B389" s="2" t="str">
        <x:v>***商贸有限公司</x:v>
      </x:c>
      <x:c r="C389" s="2" t="str">
        <x:v>无信贷记录</x:v>
      </x:c>
      <x:c r="D389" s="2" t="str"/>
      <x:c r="E389" s="2" t="str"/>
      <x:c r="F389" s="13" t="n">
        <x:v>292</x:v>
      </x:c>
      <x:c r="G389" s="13" t="n">
        <x:v>291</x:v>
      </x:c>
      <x:c r="H389" s="13" t="n">
        <x:v>1</x:v>
      </x:c>
      <x:c r="I389" s="13" t="n">
        <x:v>1</x:v>
      </x:c>
      <x:c r="J389" s="13" t="n">
        <x:v>105457.8</x:v>
      </x:c>
      <x:c r="K389" s="13" t="n">
        <x:v>106207.8</x:v>
      </x:c>
      <x:c r="L389" s="13" t="n">
        <x:v>56</x:v>
      </x:c>
      <x:c r="M389" s="13" t="n">
        <x:v>0.003424657534246575</x:v>
      </x:c>
      <x:c r="N389" s="13" t="n">
        <x:v>0.003436426116838488</x:v>
      </x:c>
      <x:c r="O389" s="13" t="n">
        <x:v>0.3101530706895115</x:v>
      </x:c>
      <x:c r="P389" s="13" t="n">
        <x:v>0.5486336220126958</x:v>
      </x:c>
      <x:c r="Q389" s="13" t="n">
        <x:v>3905.8444444444444</x:v>
      </x:c>
      <x:c r="R389" s="13" t="n">
        <x:v>0.7459061049231189</x:v>
      </x:c>
      <x:c r="S389" s="13" t="n">
        <x:v>-0.002233705314842424</x:v>
      </x:c>
      <x:c r="T389" s="13" t="n">
        <x:v>26</x:v>
      </x:c>
      <x:c r="U389" s="13" t="n">
        <x:v>354</x:v>
      </x:c>
      <x:c r="V389" s="13" t="n">
        <x:v>319</x:v>
      </x:c>
      <x:c r="W389" s="13" t="n">
        <x:v>35</x:v>
      </x:c>
      <x:c r="X389" s="13" t="n">
        <x:v>0</x:v>
      </x:c>
      <x:c r="Y389" s="13" t="n">
        <x:v>1062450.5</x:v>
      </x:c>
      <x:c r="Z389" s="13" t="n">
        <x:v>1062450.5</x:v>
      </x:c>
      <x:c r="AA389" s="13" t="n">
        <x:v>94</x:v>
      </x:c>
      <x:c r="AB389" s="13" t="n">
        <x:v>0.09887005649717515</x:v>
      </x:c>
      <x:c r="AC389" s="13" t="n">
        <x:v>0</x:v>
      </x:c>
      <x:c r="AD389" s="13" t="n">
        <x:v>0.08409045205359857</x:v>
      </x:c>
      <x:c r="AE389" s="13" t="n">
        <x:v>0.22908784926921302</x:v>
      </x:c>
      <x:c r="AF389" s="13" t="n">
        <x:v>28714.87837837838</x:v>
      </x:c>
      <x:c r="AG389" s="13" t="n">
        <x:v>0.7075012748781665</x:v>
      </x:c>
      <x:c r="AH389" s="13" t="n">
        <x:v>-0.0003011616054071132</x:v>
      </x:c>
      <x:c r="AI389" s="13" t="n">
        <x:v>35</x:v>
      </x:c>
      <x:c r="AJ389" s="13" t="n">
        <x:v>956992.7</x:v>
      </x:c>
      <x:c r="AK389" s="13" t="n">
        <x:v>0.09996493954306569</x:v>
      </x:c>
      <x:c r="AL389" s="13" t="n">
        <x:v>0.05572755417956656</x:v>
      </x:c>
      <x:c r="AM389" s="13" t="n">
        <x:v>0.001639344262295082</x:v>
      </x:c>
      <x:c r="AN389" s="13" t="n">
        <x:v>0.19712176137155502</x:v>
      </x:c>
      <x:c r="AO389" s="13" t="n">
        <x:v>0.7267036899006427</x:v>
      </x:c>
      <x:c r="AP389" s="13" t="n">
        <x:v>-0.0012674334601247687</x:v>
      </x:c>
    </x:row>
    <x:row r="390" ht="15" hidden="0" customHeight="1">
      <x:c r="A390" s="2" t="str">
        <x:v>E389</x:v>
      </x:c>
      <x:c r="B390" s="2" t="str">
        <x:v>***清洁服务有限公司</x:v>
      </x:c>
      <x:c r="C390" s="2" t="str">
        <x:v>无信贷记录</x:v>
      </x:c>
      <x:c r="D390" s="2" t="str"/>
      <x:c r="E390" s="2" t="str"/>
      <x:c r="F390" s="13" t="n">
        <x:v>2</x:v>
      </x:c>
      <x:c r="G390" s="13" t="n">
        <x:v>2</x:v>
      </x:c>
      <x:c r="H390" s="13" t="n">
        <x:v>0</x:v>
      </x:c>
      <x:c r="I390" s="13" t="n">
        <x:v>0</x:v>
      </x:c>
      <x:c r="J390" s="13" t="n">
        <x:v>2880</x:v>
      </x:c>
      <x:c r="K390" s="13" t="n">
        <x:v>2880</x:v>
      </x:c>
      <x:c r="L390" s="13" t="n">
        <x:v>2</x:v>
      </x:c>
      <x:c r="M390" s="13" t="n">
        <x:v>0</x:v>
      </x:c>
      <x:c r="N390" s="13" t="n">
        <x:v>0</x:v>
      </x:c>
      <x:c r="O390" s="13" t="n">
        <x:v>0.7222222222222223</x:v>
      </x:c>
      <x:c r="P390" s="13" t="n">
        <x:v>0.8333333333333334</x:v>
      </x:c>
      <x:c r="Q390" s="13" t="n">
        <x:v>360</x:v>
      </x:c>
      <x:c r="R390" s="13" t="n">
        <x:v>2.1858128414279285</x:v>
      </x:c>
      <x:c r="S390" s="13" t="n">
        <x:v>0.17261326934540813</x:v>
      </x:c>
      <x:c r="T390" s="13" t="n">
        <x:v>2</x:v>
      </x:c>
      <x:c r="U390" s="13" t="n">
        <x:v>64</x:v>
      </x:c>
      <x:c r="V390" s="13" t="n">
        <x:v>63</x:v>
      </x:c>
      <x:c r="W390" s="13" t="n">
        <x:v>1</x:v>
      </x:c>
      <x:c r="X390" s="13" t="n">
        <x:v>0</x:v>
      </x:c>
      <x:c r="Y390" s="13" t="n">
        <x:v>475467</x:v>
      </x:c>
      <x:c r="Z390" s="13" t="n">
        <x:v>475467</x:v>
      </x:c>
      <x:c r="AA390" s="13" t="n">
        <x:v>2</x:v>
      </x:c>
      <x:c r="AB390" s="13" t="n">
        <x:v>0.015625</x:v>
      </x:c>
      <x:c r="AC390" s="13" t="n">
        <x:v>0</x:v>
      </x:c>
      <x:c r="AD390" s="13" t="n">
        <x:v>0.9822858713570419</x:v>
      </x:c>
      <x:c r="AE390" s="13" t="n">
        <x:v>0.9910603957224227</x:v>
      </x:c>
      <x:c r="AF390" s="13" t="n">
        <x:v>27968.647058823528</x:v>
      </x:c>
      <x:c r="AG390" s="13" t="n">
        <x:v>1.0608259986480062</x:v>
      </x:c>
      <x:c r="AH390" s="13" t="n">
        <x:v>-0.04895257364513729</x:v>
      </x:c>
      <x:c r="AI390" s="13" t="n">
        <x:v>11</x:v>
      </x:c>
      <x:c r="AJ390" s="13" t="n">
        <x:v>472587</x:v>
      </x:c>
      <x:c r="AK390" s="13" t="n">
        <x:v>0.006057202708074365</x:v>
      </x:c>
      <x:c r="AL390" s="13" t="n">
        <x:v>0.015151515151515152</x:v>
      </x:c>
      <x:c r="AM390" s="13" t="n">
        <x:v>0</x:v>
      </x:c>
      <x:c r="AN390" s="13" t="n">
        <x:v>0.8522886170939294</x:v>
      </x:c>
      <x:c r="AO390" s="13" t="n">
        <x:v>1.6233194200379675</x:v>
      </x:c>
      <x:c r="AP390" s="13" t="n">
        <x:v>0.1467615396131856</x:v>
      </x:c>
    </x:row>
    <x:row r="391" ht="15" hidden="0" customHeight="1">
      <x:c r="A391" s="2" t="str">
        <x:v>E390</x:v>
      </x:c>
      <x:c r="B391" s="2" t="str">
        <x:v>***建筑工程有限公司</x:v>
      </x:c>
      <x:c r="C391" s="2" t="str">
        <x:v>无信贷记录</x:v>
      </x:c>
      <x:c r="D391" s="2" t="str"/>
      <x:c r="E391" s="2" t="str"/>
      <x:c r="F391" s="13" t="n">
        <x:v>16</x:v>
      </x:c>
      <x:c r="G391" s="13" t="n">
        <x:v>16</x:v>
      </x:c>
      <x:c r="H391" s="13" t="n">
        <x:v>0</x:v>
      </x:c>
      <x:c r="I391" s="13" t="n">
        <x:v>0</x:v>
      </x:c>
      <x:c r="J391" s="13" t="n">
        <x:v>7278.8</x:v>
      </x:c>
      <x:c r="K391" s="13" t="n">
        <x:v>7278.8</x:v>
      </x:c>
      <x:c r="L391" s="13" t="n">
        <x:v>14</x:v>
      </x:c>
      <x:c r="M391" s="13" t="n">
        <x:v>0</x:v>
      </x:c>
      <x:c r="N391" s="13" t="n">
        <x:v>0</x:v>
      </x:c>
      <x:c r="O391" s="13" t="n">
        <x:v>0.15213388525258004</x:v>
      </x:c>
      <x:c r="P391" s="13" t="n">
        <x:v>0.3111776666483486</x:v>
      </x:c>
      <x:c r="Q391" s="13" t="n">
        <x:v>259.95714285714286</x:v>
      </x:c>
      <x:c r="R391" s="13" t="n">
        <x:v>2.372441727373445</x:v>
      </x:c>
      <x:c r="S391" s="13" t="n">
        <x:v>-0.046146295429345695</x:v>
      </x:c>
      <x:c r="T391" s="13" t="n">
        <x:v>9</x:v>
      </x:c>
      <x:c r="U391" s="13" t="n">
        <x:v>14</x:v>
      </x:c>
      <x:c r="V391" s="13" t="n">
        <x:v>14</x:v>
      </x:c>
      <x:c r="W391" s="13" t="n">
        <x:v>0</x:v>
      </x:c>
      <x:c r="X391" s="13" t="n">
        <x:v>0</x:v>
      </x:c>
      <x:c r="Y391" s="13" t="n">
        <x:v>817905.6199999999</x:v>
      </x:c>
      <x:c r="Z391" s="13" t="n">
        <x:v>817905.6199999999</x:v>
      </x:c>
      <x:c r="AA391" s="13" t="n">
        <x:v>2</x:v>
      </x:c>
      <x:c r="AB391" s="13" t="n">
        <x:v>0</x:v>
      </x:c>
      <x:c r="AC391" s="13" t="n">
        <x:v>0</x:v>
      </x:c>
      <x:c r="AD391" s="13" t="n">
        <x:v>0.9822858713570419</x:v>
      </x:c>
      <x:c r="AE391" s="13" t="n">
        <x:v>0.9910603957224227</x:v>
      </x:c>
      <x:c r="AF391" s="13" t="n">
        <x:v>45439.20111111111</x:v>
      </x:c>
      <x:c r="AG391" s="13" t="n">
        <x:v>1.7834870776724085</x:v>
      </x:c>
      <x:c r="AH391" s="13" t="n">
        <x:v>-0.015027629245120388</x:v>
      </x:c>
      <x:c r="AI391" s="13" t="n">
        <x:v>5</x:v>
      </x:c>
      <x:c r="AJ391" s="13" t="n">
        <x:v>810626.8199999998</x:v>
      </x:c>
      <x:c r="AK391" s="13" t="n">
        <x:v>0.00889931530241838</x:v>
      </x:c>
      <x:c r="AL391" s="13" t="n">
        <x:v>0.0014035087719298258</x:v>
      </x:c>
      <x:c r="AM391" s="13" t="n">
        <x:v>0</x:v>
      </x:c>
      <x:c r="AN391" s="13" t="n">
        <x:v>0.57606694262629</x:v>
      </x:c>
      <x:c r="AO391" s="13" t="n">
        <x:v>2.0779644025229267</x:v>
      </x:c>
      <x:c r="AP391" s="13" t="n">
        <x:v>-0.030586962337233042</x:v>
      </x:c>
    </x:row>
    <x:row r="392" ht="15" hidden="0" customHeight="1">
      <x:c r="A392" s="2" t="str">
        <x:v>E391</x:v>
      </x:c>
      <x:c r="B392" s="2" t="str">
        <x:v>***五金店</x:v>
      </x:c>
      <x:c r="C392" s="2" t="str">
        <x:v>无信贷记录</x:v>
      </x:c>
      <x:c r="D392" s="2" t="str"/>
      <x:c r="E392" s="2" t="str"/>
      <x:c r="F392" s="13" t="n">
        <x:v>3</x:v>
      </x:c>
      <x:c r="G392" s="13" t="n">
        <x:v>3</x:v>
      </x:c>
      <x:c r="H392" s="13" t="n">
        <x:v>0</x:v>
      </x:c>
      <x:c r="I392" s="13" t="n">
        <x:v>0</x:v>
      </x:c>
      <x:c r="J392" s="13" t="n">
        <x:v>890</x:v>
      </x:c>
      <x:c r="K392" s="13" t="n">
        <x:v>890</x:v>
      </x:c>
      <x:c r="L392" s="13" t="n">
        <x:v>2</x:v>
      </x:c>
      <x:c r="M392" s="13" t="n">
        <x:v>0</x:v>
      </x:c>
      <x:c r="N392" s="13" t="n">
        <x:v>0</x:v>
      </x:c>
      <x:c r="O392" s="13" t="n">
        <x:v>0.5333922484534781</x:v>
      </x:c>
      <x:c r="P392" s="13" t="n">
        <x:v>0.6292134831460674</x:v>
      </x:c>
      <x:c r="Q392" s="13" t="n">
        <x:v>38.35733333333334</x:v>
      </x:c>
      <x:c r="R392" s="13" t="n">
        <x:v>2.7177078795856504</x:v>
      </x:c>
      <x:c r="S392" s="13" t="n">
        <x:v>-0.012964563525997086</x:v>
      </x:c>
      <x:c r="T392" s="13" t="n">
        <x:v>3</x:v>
      </x:c>
      <x:c r="U392" s="13" t="n">
        <x:v>350</x:v>
      </x:c>
      <x:c r="V392" s="13" t="n">
        <x:v>318</x:v>
      </x:c>
      <x:c r="W392" s="13" t="n">
        <x:v>32</x:v>
      </x:c>
      <x:c r="X392" s="13" t="n">
        <x:v>3</x:v>
      </x:c>
      <x:c r="Y392" s="13" t="n">
        <x:v>1354392.2</x:v>
      </x:c>
      <x:c r="Z392" s="13" t="n">
        <x:v>1373678.92</x:v>
      </x:c>
      <x:c r="AA392" s="13" t="n">
        <x:v>102</x:v>
      </x:c>
      <x:c r="AB392" s="13" t="n">
        <x:v>0.09142857142857143</x:v>
      </x:c>
      <x:c r="AC392" s="13" t="n">
        <x:v>0.009433962264150943</x:v>
      </x:c>
      <x:c r="AD392" s="13" t="n">
        <x:v>0.05572264295538892</x:v>
      </x:c>
      <x:c r="AE392" s="13" t="n">
        <x:v>0.13550546440648592</x:v>
      </x:c>
      <x:c r="AF392" s="13" t="n">
        <x:v>35641.9</x:v>
      </x:c>
      <x:c r="AG392" s="13" t="n">
        <x:v>0.633373368358345</x:v>
      </x:c>
      <x:c r="AH392" s="13" t="n">
        <x:v>-0.011547943847258303</x:v>
      </x:c>
      <x:c r="AI392" s="13" t="n">
        <x:v>38</x:v>
      </x:c>
      <x:c r="AJ392" s="13" t="n">
        <x:v>1353502.2</x:v>
      </x:c>
      <x:c r="AK392" s="13" t="n">
        <x:v>0.000647895215571918</x:v>
      </x:c>
      <x:c r="AL392" s="13" t="n">
        <x:v>0.0906515580736544</x:v>
      </x:c>
      <x:c r="AM392" s="13" t="n">
        <x:v>0.009345794392523364</x:v>
      </x:c>
      <x:c r="AN392" s="13" t="n">
        <x:v>0.2945574457044335</x:v>
      </x:c>
      <x:c r="AO392" s="13" t="n">
        <x:v>1.6755406239719977</x:v>
      </x:c>
      <x:c r="AP392" s="13" t="n">
        <x:v>-0.012256253686627694</x:v>
      </x:c>
    </x:row>
    <x:row r="393" ht="15" hidden="0" customHeight="1">
      <x:c r="A393" s="2" t="str">
        <x:v>E392</x:v>
      </x:c>
      <x:c r="B393" s="2" t="str">
        <x:v>***科技有限公司</x:v>
      </x:c>
      <x:c r="C393" s="2" t="str">
        <x:v>无信贷记录</x:v>
      </x:c>
      <x:c r="D393" s="2" t="str"/>
      <x:c r="E393" s="2" t="str"/>
      <x:c r="F393" s="13" t="n">
        <x:v>179</x:v>
      </x:c>
      <x:c r="G393" s="13" t="n">
        <x:v>179</x:v>
      </x:c>
      <x:c r="H393" s="13" t="n">
        <x:v>0</x:v>
      </x:c>
      <x:c r="I393" s="13" t="n">
        <x:v>0</x:v>
      </x:c>
      <x:c r="J393" s="13" t="n">
        <x:v>93949.76000000001</x:v>
      </x:c>
      <x:c r="K393" s="13" t="n">
        <x:v>93949.76000000001</x:v>
      </x:c>
      <x:c r="L393" s="13" t="n">
        <x:v>31</x:v>
      </x:c>
      <x:c r="M393" s="13" t="n">
        <x:v>0</x:v>
      </x:c>
      <x:c r="N393" s="13" t="n">
        <x:v>0</x:v>
      </x:c>
      <x:c r="O393" s="13" t="n">
        <x:v>0.1743488800227552</x:v>
      </x:c>
      <x:c r="P393" s="13" t="n">
        <x:v>0.35699931537877266</x:v>
      </x:c>
      <x:c r="Q393" s="13" t="n">
        <x:v>3239.6468965517242</x:v>
      </x:c>
      <x:c r="R393" s="13" t="n">
        <x:v>1.2838443912178406</x:v>
      </x:c>
      <x:c r="S393" s="13" t="n">
        <x:v>0.018258285826680598</x:v>
      </x:c>
      <x:c r="T393" s="13" t="n">
        <x:v>29</x:v>
      </x:c>
      <x:c r="U393" s="13" t="n">
        <x:v>260</x:v>
      </x:c>
      <x:c r="V393" s="13" t="n">
        <x:v>227</x:v>
      </x:c>
      <x:c r="W393" s="13" t="n">
        <x:v>33</x:v>
      </x:c>
      <x:c r="X393" s="13" t="n">
        <x:v>2</x:v>
      </x:c>
      <x:c r="Y393" s="13" t="n">
        <x:v>1039838</x:v>
      </x:c>
      <x:c r="Z393" s="13" t="n">
        <x:v>1048438</x:v>
      </x:c>
      <x:c r="AA393" s="13" t="n">
        <x:v>166</x:v>
      </x:c>
      <x:c r="AB393" s="13" t="n">
        <x:v>0.12692307692307692</x:v>
      </x:c>
      <x:c r="AC393" s="13" t="n">
        <x:v>0.00881057268722467</x:v>
      </x:c>
      <x:c r="AD393" s="13" t="n">
        <x:v>0.03608565154361266</x:v>
      </x:c>
      <x:c r="AE393" s="13" t="n">
        <x:v>0.1291444987686444</x:v>
      </x:c>
      <x:c r="AF393" s="13" t="n">
        <x:v>29709.657142857144</x:v>
      </x:c>
      <x:c r="AG393" s="13" t="n">
        <x:v>1.1651221806631606</x:v>
      </x:c>
      <x:c r="AH393" s="13" t="n">
        <x:v>0.00736673951738084</x:v>
      </x:c>
      <x:c r="AI393" s="13" t="n">
        <x:v>32</x:v>
      </x:c>
      <x:c r="AJ393" s="13" t="n">
        <x:v>945888.24</x:v>
      </x:c>
      <x:c r="AK393" s="13" t="n">
        <x:v>0.08960926635623653</x:v>
      </x:c>
      <x:c r="AL393" s="13" t="n">
        <x:v>0.07517084282460136</x:v>
      </x:c>
      <x:c r="AM393" s="13" t="n">
        <x:v>0.0049261083743842365</x:v>
      </x:c>
      <x:c r="AN393" s="13" t="n">
        <x:v>0.10521726578318392</x:v>
      </x:c>
      <x:c r="AO393" s="13" t="n">
        <x:v>1.2244832859405006</x:v>
      </x:c>
      <x:c r="AP393" s="13" t="n">
        <x:v>0.012812512672030719</x:v>
      </x:c>
    </x:row>
    <x:row r="394" ht="15" hidden="0" customHeight="1">
      <x:c r="A394" s="2" t="str">
        <x:v>E393</x:v>
      </x:c>
      <x:c r="B394" s="2" t="str">
        <x:v>***商贸有限责任公司</x:v>
      </x:c>
      <x:c r="C394" s="2" t="str">
        <x:v>无信贷记录</x:v>
      </x:c>
      <x:c r="D394" s="2" t="str"/>
      <x:c r="E394" s="2" t="str"/>
      <x:c r="F394" s="13" t="n">
        <x:v>24</x:v>
      </x:c>
      <x:c r="G394" s="13" t="n">
        <x:v>23</x:v>
      </x:c>
      <x:c r="H394" s="13" t="n">
        <x:v>1</x:v>
      </x:c>
      <x:c r="I394" s="13" t="n">
        <x:v>0</x:v>
      </x:c>
      <x:c r="J394" s="13" t="n">
        <x:v>427228.24</x:v>
      </x:c>
      <x:c r="K394" s="13" t="n">
        <x:v>427228.24</x:v>
      </x:c>
      <x:c r="L394" s="13" t="n">
        <x:v>6</x:v>
      </x:c>
      <x:c r="M394" s="13" t="n">
        <x:v>0.041666666666666664</x:v>
      </x:c>
      <x:c r="N394" s="13" t="n">
        <x:v>0</x:v>
      </x:c>
      <x:c r="O394" s="13" t="n">
        <x:v>0.5302867149042575</x:v>
      </x:c>
      <x:c r="P394" s="13" t="n">
        <x:v>0.6374013103628168</x:v>
      </x:c>
      <x:c r="Q394" s="13" t="n">
        <x:v>14240.941333333332</x:v>
      </x:c>
      <x:c r="R394" s="13" t="n">
        <x:v>1.3006572539950776</x:v>
      </x:c>
      <x:c r="S394" s="13" t="n">
        <x:v>0.08184395042928172</x:v>
      </x:c>
      <x:c r="T394" s="13" t="n">
        <x:v>16</x:v>
      </x:c>
      <x:c r="U394" s="13" t="n">
        <x:v>607</x:v>
      </x:c>
      <x:c r="V394" s="13" t="n">
        <x:v>544</x:v>
      </x:c>
      <x:c r="W394" s="13" t="n">
        <x:v>63</x:v>
      </x:c>
      <x:c r="X394" s="13" t="n">
        <x:v>10</x:v>
      </x:c>
      <x:c r="Y394" s="13" t="n">
        <x:v>920606.5900000001</x:v>
      </x:c>
      <x:c r="Z394" s="13" t="n">
        <x:v>982824.59</x:v>
      </x:c>
      <x:c r="AA394" s="13" t="n">
        <x:v>167</x:v>
      </x:c>
      <x:c r="AB394" s="13" t="n">
        <x:v>0.10378912685337727</x:v>
      </x:c>
      <x:c r="AC394" s="13" t="n">
        <x:v>0.01838235294117647</x:v>
      </x:c>
      <x:c r="AD394" s="13" t="n">
        <x:v>0.06572765435605951</x:v>
      </x:c>
      <x:c r="AE394" s="13" t="n">
        <x:v>0.17133779691043344</x:v>
      </x:c>
      <x:c r="AF394" s="13" t="n">
        <x:v>25572.405277777776</x:v>
      </x:c>
      <x:c r="AG394" s="13" t="n">
        <x:v>0.2698388037208975</x:v>
      </x:c>
      <x:c r="AH394" s="13" t="n">
        <x:v>-0.002172829837315611</x:v>
      </x:c>
      <x:c r="AI394" s="13" t="n">
        <x:v>36</x:v>
      </x:c>
      <x:c r="AJ394" s="13" t="n">
        <x:v>493378.3500000001</x:v>
      </x:c>
      <x:c r="AK394" s="13" t="n">
        <x:v>0.4346942927018132</x:v>
      </x:c>
      <x:c r="AL394" s="13" t="n">
        <x:v>0.10142630744849446</x:v>
      </x:c>
      <x:c r="AM394" s="13" t="n">
        <x:v>0.01763668430335097</x:v>
      </x:c>
      <x:c r="AN394" s="13" t="n">
        <x:v>0.2980071846301585</x:v>
      </x:c>
      <x:c r="AO394" s="13" t="n">
        <x:v>0.7821261816864155</x:v>
      </x:c>
      <x:c r="AP394" s="13" t="n">
        <x:v>0.03983556029598306</x:v>
      </x:c>
    </x:row>
    <x:row r="395" ht="15" hidden="0" customHeight="1">
      <x:c r="A395" s="2" t="str">
        <x:v>E394</x:v>
      </x:c>
      <x:c r="B395" s="2" t="str">
        <x:v>***环保设计研究院（有限合伙）</x:v>
      </x:c>
      <x:c r="C395" s="2" t="str">
        <x:v>无信贷记录</x:v>
      </x:c>
      <x:c r="D395" s="2" t="str"/>
      <x:c r="E395" s="2" t="str"/>
      <x:c r="F395" s="13" t="n">
        <x:v>551</x:v>
      </x:c>
      <x:c r="G395" s="13" t="n">
        <x:v>533</x:v>
      </x:c>
      <x:c r="H395" s="13" t="n">
        <x:v>18</x:v>
      </x:c>
      <x:c r="I395" s="13" t="n">
        <x:v>4</x:v>
      </x:c>
      <x:c r="J395" s="13" t="n">
        <x:v>770078.85</x:v>
      </x:c>
      <x:c r="K395" s="13" t="n">
        <x:v>804253.0499999999</x:v>
      </x:c>
      <x:c r="L395" s="13" t="n">
        <x:v>131</x:v>
      </x:c>
      <x:c r="M395" s="13" t="n">
        <x:v>0.032667876588021776</x:v>
      </x:c>
      <x:c r="N395" s="13" t="n">
        <x:v>0.0075046904315197</x:v>
      </x:c>
      <x:c r="O395" s="13" t="n">
        <x:v>0.07517550785278729</x:v>
      </x:c>
      <x:c r="P395" s="13" t="n">
        <x:v>0.1367728726673775</x:v>
      </x:c>
      <x:c r="Q395" s="13" t="n">
        <x:v>20812.94189189189</x:v>
      </x:c>
      <x:c r="R395" s="13" t="n">
        <x:v>1.1186231008112353</x:v>
      </x:c>
      <x:c r="S395" s="13" t="n">
        <x:v>-0.023653607200844518</x:v>
      </x:c>
      <x:c r="T395" s="13" t="n">
        <x:v>35</x:v>
      </x:c>
      <x:c r="U395" s="13" t="n">
        <x:v>79</x:v>
      </x:c>
      <x:c r="V395" s="13" t="n">
        <x:v>21</x:v>
      </x:c>
      <x:c r="W395" s="13" t="n">
        <x:v>58</x:v>
      </x:c>
      <x:c r="X395" s="13" t="n">
        <x:v>0</x:v>
      </x:c>
      <x:c r="Y395" s="13" t="n">
        <x:v>1104149</x:v>
      </x:c>
      <x:c r="Z395" s="13" t="n">
        <x:v>1104149</x:v>
      </x:c>
      <x:c r="AA395" s="13" t="n">
        <x:v>12</x:v>
      </x:c>
      <x:c r="AB395" s="13" t="n">
        <x:v>0.7341772151898734</x:v>
      </x:c>
      <x:c r="AC395" s="13" t="n">
        <x:v>0</x:v>
      </x:c>
      <x:c r="AD395" s="13" t="n">
        <x:v>0.1869396923961214</x:v>
      </x:c>
      <x:c r="AE395" s="13" t="n">
        <x:v>0.2719107656665903</x:v>
      </x:c>
      <x:c r="AF395" s="13" t="n">
        <x:v>42467.269230769234</x:v>
      </x:c>
      <x:c r="AG395" s="13" t="n">
        <x:v>1.9709266025833845</x:v>
      </x:c>
      <x:c r="AH395" s="13" t="n">
        <x:v>0.12372174810142587</x:v>
      </x:c>
      <x:c r="AI395" s="13" t="n">
        <x:v>10</x:v>
      </x:c>
      <x:c r="AJ395" s="13" t="n">
        <x:v>334070.15</x:v>
      </x:c>
      <x:c r="AK395" s="13" t="n">
        <x:v>0.7283917750231167</x:v>
      </x:c>
      <x:c r="AL395" s="13" t="n">
        <x:v>0.12063492063492064</x:v>
      </x:c>
      <x:c r="AM395" s="13" t="n">
        <x:v>0.007220216606498195</x:v>
      </x:c>
      <x:c r="AN395" s="13" t="n">
        <x:v>0.13105760012445433</x:v>
      </x:c>
      <x:c r="AO395" s="13" t="n">
        <x:v>1.5447748516973099</x:v>
      </x:c>
      <x:c r="AP395" s="13" t="n">
        <x:v>0.05003407045029068</x:v>
      </x:c>
    </x:row>
    <x:row r="396" ht="15" hidden="0" customHeight="1">
      <x:c r="A396" s="2" t="str">
        <x:v>E395</x:v>
      </x:c>
      <x:c r="B396" s="2" t="str">
        <x:v>***网络科技有限公司</x:v>
      </x:c>
      <x:c r="C396" s="2" t="str">
        <x:v>无信贷记录</x:v>
      </x:c>
      <x:c r="D396" s="2" t="str"/>
      <x:c r="E396" s="2" t="str"/>
      <x:c r="F396" s="13" t="n">
        <x:v>137</x:v>
      </x:c>
      <x:c r="G396" s="13" t="n">
        <x:v>133</x:v>
      </x:c>
      <x:c r="H396" s="13" t="n">
        <x:v>4</x:v>
      </x:c>
      <x:c r="I396" s="13" t="n">
        <x:v>3</x:v>
      </x:c>
      <x:c r="J396" s="13" t="n">
        <x:v>264456.02</x:v>
      </x:c>
      <x:c r="K396" s="13" t="n">
        <x:v>270074.02</x:v>
      </x:c>
      <x:c r="L396" s="13" t="n">
        <x:v>37</x:v>
      </x:c>
      <x:c r="M396" s="13" t="n">
        <x:v>0.029197080291970802</x:v>
      </x:c>
      <x:c r="N396" s="13" t="n">
        <x:v>0.022556390977443608</x:v>
      </x:c>
      <x:c r="O396" s="13" t="n">
        <x:v>0.21287418372899833</x:v>
      </x:c>
      <x:c r="P396" s="13" t="n">
        <x:v>0.3319608454008275</x:v>
      </x:c>
      <x:c r="Q396" s="13" t="n">
        <x:v>8013.8187878787885</x:v>
      </x:c>
      <x:c r="R396" s="13" t="n">
        <x:v>1.1497417169249684</x:v>
      </x:c>
      <x:c r="S396" s="13" t="n">
        <x:v>-0.04948142052333589</x:v>
      </x:c>
      <x:c r="T396" s="13" t="n">
        <x:v>31</x:v>
      </x:c>
      <x:c r="U396" s="13" t="n">
        <x:v>139</x:v>
      </x:c>
      <x:c r="V396" s="13" t="n">
        <x:v>94</x:v>
      </x:c>
      <x:c r="W396" s="13" t="n">
        <x:v>45</x:v>
      </x:c>
      <x:c r="X396" s="13" t="n">
        <x:v>3</x:v>
      </x:c>
      <x:c r="Y396" s="13" t="n">
        <x:v>2216623.0999999996</x:v>
      </x:c>
      <x:c r="Z396" s="13" t="n">
        <x:v>2216923.0999999996</x:v>
      </x:c>
      <x:c r="AA396" s="13" t="n">
        <x:v>21</x:v>
      </x:c>
      <x:c r="AB396" s="13" t="n">
        <x:v>0.3237410071942446</x:v>
      </x:c>
      <x:c r="AC396" s="13" t="n">
        <x:v>0.031914893617021274</x:v>
      </x:c>
      <x:c r="AD396" s="13" t="n">
        <x:v>0.2067157019264864</x:v>
      </x:c>
      <x:c r="AE396" s="13" t="n">
        <x:v>0.31643587456867583</x:v>
      </x:c>
      <x:c r="AF396" s="13" t="n">
        <x:v>71503.97096774195</x:v>
      </x:c>
      <x:c r="AG396" s="13" t="n">
        <x:v>1.3706499410044566</x:v>
      </x:c>
      <x:c r="AH396" s="13" t="n">
        <x:v>-0.085348017103132</x:v>
      </x:c>
      <x:c r="AI396" s="13" t="n">
        <x:v>28</x:v>
      </x:c>
      <x:c r="AJ396" s="13" t="n">
        <x:v>1952167.0799999996</x:v>
      </x:c>
      <x:c r="AK396" s="13" t="n">
        <x:v>0.12182381066803803</x:v>
      </x:c>
      <x:c r="AL396" s="13" t="n">
        <x:v>0.17753623188405798</x:v>
      </x:c>
      <x:c r="AM396" s="13" t="n">
        <x:v>0.02643171806167401</x:v>
      </x:c>
      <x:c r="AN396" s="13" t="n">
        <x:v>0.20979494282774236</x:v>
      </x:c>
      <x:c r="AO396" s="13" t="n">
        <x:v>1.2601958289647124</x:v>
      </x:c>
      <x:c r="AP396" s="13" t="n">
        <x:v>-0.06741471881323394</x:v>
      </x:c>
    </x:row>
    <x:row r="397" ht="15" hidden="0" customHeight="1">
      <x:c r="A397" s="2" t="str">
        <x:v>E396</x:v>
      </x:c>
      <x:c r="B397" s="2" t="str">
        <x:v>***文化传播有限公司</x:v>
      </x:c>
      <x:c r="C397" s="2" t="str">
        <x:v>无信贷记录</x:v>
      </x:c>
      <x:c r="D397" s="2" t="str"/>
      <x:c r="E397" s="2" t="str"/>
      <x:c r="F397" s="13" t="n">
        <x:v>211</x:v>
      </x:c>
      <x:c r="G397" s="13" t="n">
        <x:v>198</x:v>
      </x:c>
      <x:c r="H397" s="13" t="n">
        <x:v>13</x:v>
      </x:c>
      <x:c r="I397" s="13" t="n">
        <x:v>0</x:v>
      </x:c>
      <x:c r="J397" s="13" t="n">
        <x:v>498716.18</x:v>
      </x:c>
      <x:c r="K397" s="13" t="n">
        <x:v>498716.18</x:v>
      </x:c>
      <x:c r="L397" s="13" t="n">
        <x:v>96</x:v>
      </x:c>
      <x:c r="M397" s="13" t="n">
        <x:v>0.061611374407582936</x:v>
      </x:c>
      <x:c r="N397" s="13" t="n">
        <x:v>0</x:v>
      </x:c>
      <x:c r="O397" s="13" t="n">
        <x:v>0.08412158129798351</x:v>
      </x:c>
      <x:c r="P397" s="13" t="n">
        <x:v>0.17679995864581735</x:v>
      </x:c>
      <x:c r="Q397" s="13" t="n">
        <x:v>13853.22722222222</x:v>
      </x:c>
      <x:c r="R397" s="13" t="n">
        <x:v>1.3837263782048315</x:v>
      </x:c>
      <x:c r="S397" s="13" t="n">
        <x:v>-0.013393714840288121</x:v>
      </x:c>
      <x:c r="T397" s="13" t="n">
        <x:v>31</x:v>
      </x:c>
      <x:c r="U397" s="13" t="n">
        <x:v>70</x:v>
      </x:c>
      <x:c r="V397" s="13" t="n">
        <x:v>65</x:v>
      </x:c>
      <x:c r="W397" s="13" t="n">
        <x:v>5</x:v>
      </x:c>
      <x:c r="X397" s="13" t="n">
        <x:v>3</x:v>
      </x:c>
      <x:c r="Y397" s="13" t="n">
        <x:v>655218.2</x:v>
      </x:c>
      <x:c r="Z397" s="13" t="n">
        <x:v>700832.2</x:v>
      </x:c>
      <x:c r="AA397" s="13" t="n">
        <x:v>14</x:v>
      </x:c>
      <x:c r="AB397" s="13" t="n">
        <x:v>0.07142857142857142</x:v>
      </x:c>
      <x:c r="AC397" s="13" t="n">
        <x:v>0.046153846153846156</x:v>
      </x:c>
      <x:c r="AD397" s="13" t="n">
        <x:v>0.2087524317671678</x:v>
      </x:c>
      <x:c r="AE397" s="13" t="n">
        <x:v>0.3869571061375319</x:v>
      </x:c>
      <x:c r="AF397" s="13" t="n">
        <x:v>20475.56875</x:v>
      </x:c>
      <x:c r="AG397" s="13" t="n">
        <x:v>2.0775910076584543</x:v>
      </x:c>
      <x:c r="AH397" s="13" t="n">
        <x:v>-0.05745123624644609</x:v>
      </x:c>
      <x:c r="AI397" s="13" t="n">
        <x:v>14</x:v>
      </x:c>
      <x:c r="AJ397" s="13" t="n">
        <x:v>156502.01999999996</x:v>
      </x:c>
      <x:c r="AK397" s="13" t="n">
        <x:v>0.7116056882089596</x:v>
      </x:c>
      <x:c r="AL397" s="13" t="n">
        <x:v>0.06405693950177936</x:v>
      </x:c>
      <x:c r="AM397" s="13" t="n">
        <x:v>0.011406844106463879</x:v>
      </x:c>
      <x:c r="AN397" s="13" t="n">
        <x:v>0.14643700653257566</x:v>
      </x:c>
      <x:c r="AO397" s="13" t="n">
        <x:v>1.7306586929316428</x:v>
      </x:c>
      <x:c r="AP397" s="13" t="n">
        <x:v>-0.0354224755433671</x:v>
      </x:c>
    </x:row>
    <x:row r="398" ht="15" hidden="0" customHeight="1">
      <x:c r="A398" s="2" t="str">
        <x:v>E397</x:v>
      </x:c>
      <x:c r="B398" s="2" t="str">
        <x:v>***大闸蟹经营部</x:v>
      </x:c>
      <x:c r="C398" s="2" t="str">
        <x:v>无信贷记录</x:v>
      </x:c>
      <x:c r="D398" s="2" t="str"/>
      <x:c r="E398" s="2" t="str"/>
      <x:c r="F398" s="13" t="n">
        <x:v>19</x:v>
      </x:c>
      <x:c r="G398" s="13" t="n">
        <x:v>19</x:v>
      </x:c>
      <x:c r="H398" s="13" t="n">
        <x:v>0</x:v>
      </x:c>
      <x:c r="I398" s="13" t="n">
        <x:v>0</x:v>
      </x:c>
      <x:c r="J398" s="13" t="n">
        <x:v>442640</x:v>
      </x:c>
      <x:c r="K398" s="13" t="n">
        <x:v>442640</x:v>
      </x:c>
      <x:c r="L398" s="13" t="n">
        <x:v>4</x:v>
      </x:c>
      <x:c r="M398" s="13" t="n">
        <x:v>0</x:v>
      </x:c>
      <x:c r="N398" s="13" t="n">
        <x:v>0</x:v>
      </x:c>
      <x:c r="O398" s="13" t="n">
        <x:v>0.882222201679756</x:v>
      </x:c>
      <x:c r="P398" s="13" t="n">
        <x:v>0.9375564793059823</x:v>
      </x:c>
      <x:c r="Q398" s="13" t="n">
        <x:v>15808.57142857143</x:v>
      </x:c>
      <x:c r="R398" s="13" t="n">
        <x:v>4.84123861016109</x:v>
      </x:c>
      <x:c r="S398" s="13" t="n">
        <x:v>0.024755680476526223</x:v>
      </x:c>
      <x:c r="T398" s="13" t="n">
        <x:v>9</x:v>
      </x:c>
      <x:c r="U398" s="13" t="n">
        <x:v>183</x:v>
      </x:c>
      <x:c r="V398" s="13" t="n">
        <x:v>132</x:v>
      </x:c>
      <x:c r="W398" s="13" t="n">
        <x:v>51</x:v>
      </x:c>
      <x:c r="X398" s="13" t="n">
        <x:v>0</x:v>
      </x:c>
      <x:c r="Y398" s="13" t="n">
        <x:v>669721.5</x:v>
      </x:c>
      <x:c r="Z398" s="13" t="n">
        <x:v>669721.5</x:v>
      </x:c>
      <x:c r="AA398" s="13" t="n">
        <x:v>95</x:v>
      </x:c>
      <x:c r="AB398" s="13" t="n">
        <x:v>0.2786885245901639</x:v>
      </x:c>
      <x:c r="AC398" s="13" t="n">
        <x:v>0</x:v>
      </x:c>
      <x:c r="AD398" s="13" t="n">
        <x:v>0.07159479226393807</x:v>
      </x:c>
      <x:c r="AE398" s="13" t="n">
        <x:v>0.171607601069997</x:v>
      </x:c>
      <x:c r="AF398" s="13" t="n">
        <x:v>23093.84482758621</x:v>
      </x:c>
      <x:c r="AG398" s="13" t="n">
        <x:v>1.410378283513843</x:v>
      </x:c>
      <x:c r="AH398" s="13" t="n">
        <x:v>-0.00868785649813253</x:v>
      </x:c>
      <x:c r="AI398" s="13" t="n">
        <x:v>14</x:v>
      </x:c>
      <x:c r="AJ398" s="13" t="n">
        <x:v>227081.5</x:v>
      </x:c>
      <x:c r="AK398" s="13" t="n">
        <x:v>0.6609314468775443</x:v>
      </x:c>
      <x:c r="AL398" s="13" t="n">
        <x:v>0.2524752475247525</x:v>
      </x:c>
      <x:c r="AM398" s="13" t="n">
        <x:v>0</x:v>
      </x:c>
      <x:c r="AN398" s="13" t="n">
        <x:v>0.476908496971847</x:v>
      </x:c>
      <x:c r="AO398" s="13" t="n">
        <x:v>3.1359088321611064</x:v>
      </x:c>
      <x:c r="AP398" s="13" t="n">
        <x:v>0.008033911989196847</x:v>
      </x:c>
    </x:row>
    <x:row r="399" ht="15" hidden="0" customHeight="1">
      <x:c r="A399" s="2" t="str">
        <x:v>E398</x:v>
      </x:c>
      <x:c r="B399" s="2" t="str">
        <x:v>***医疗管理咨询有限公司</x:v>
      </x:c>
      <x:c r="C399" s="2" t="str">
        <x:v>无信贷记录</x:v>
      </x:c>
      <x:c r="D399" s="2" t="str"/>
      <x:c r="E399" s="2" t="str"/>
      <x:c r="F399" s="13" t="n">
        <x:v>74</x:v>
      </x:c>
      <x:c r="G399" s="13" t="n">
        <x:v>73</x:v>
      </x:c>
      <x:c r="H399" s="13" t="n">
        <x:v>1</x:v>
      </x:c>
      <x:c r="I399" s="13" t="n">
        <x:v>0</x:v>
      </x:c>
      <x:c r="J399" s="13" t="n">
        <x:v>80810.79000000001</x:v>
      </x:c>
      <x:c r="K399" s="13" t="n">
        <x:v>80810.79000000001</x:v>
      </x:c>
      <x:c r="L399" s="13" t="n">
        <x:v>20</x:v>
      </x:c>
      <x:c r="M399" s="13" t="n">
        <x:v>0.013513513513513514</x:v>
      </x:c>
      <x:c r="N399" s="13" t="n">
        <x:v>0</x:v>
      </x:c>
      <x:c r="O399" s="13" t="n">
        <x:v>0.21957929913696075</x:v>
      </x:c>
      <x:c r="P399" s="13" t="n">
        <x:v>0.3813673891815685</x:v>
      </x:c>
      <x:c r="Q399" s="13" t="n">
        <x:v>2606.7996774193552</x:v>
      </x:c>
      <x:c r="R399" s="13" t="n">
        <x:v>1.2369202739131482</x:v>
      </x:c>
      <x:c r="S399" s="13" t="n">
        <x:v>-0.002346756540802634</x:v>
      </x:c>
      <x:c r="T399" s="13" t="n">
        <x:v>31</x:v>
      </x:c>
      <x:c r="U399" s="13" t="n">
        <x:v>89</x:v>
      </x:c>
      <x:c r="V399" s="13" t="n">
        <x:v>89</x:v>
      </x:c>
      <x:c r="W399" s="13" t="n">
        <x:v>0</x:v>
      </x:c>
      <x:c r="X399" s="13" t="n">
        <x:v>0</x:v>
      </x:c>
      <x:c r="Y399" s="13" t="n">
        <x:v>637433.35</x:v>
      </x:c>
      <x:c r="Z399" s="13" t="n">
        <x:v>637433.35</x:v>
      </x:c>
      <x:c r="AA399" s="13" t="n">
        <x:v>24</x:v>
      </x:c>
      <x:c r="AB399" s="13" t="n">
        <x:v>0</x:v>
      </x:c>
      <x:c r="AC399" s="13" t="n">
        <x:v>0</x:v>
      </x:c>
      <x:c r="AD399" s="13" t="n">
        <x:v>0.6506070378772504</x:v>
      </x:c>
      <x:c r="AE399" s="13" t="n">
        <x:v>0.803221230894179</x:v>
      </x:c>
      <x:c r="AF399" s="13" t="n">
        <x:v>19316.16212121212</x:v>
      </x:c>
      <x:c r="AG399" s="13" t="n">
        <x:v>2.3481761538448196</x:v>
      </x:c>
      <x:c r="AH399" s="13" t="n">
        <x:v>0.03753103975036382</x:v>
      </x:c>
      <x:c r="AI399" s="13" t="n">
        <x:v>20</x:v>
      </x:c>
      <x:c r="AJ399" s="13" t="n">
        <x:v>556622.5599999999</x:v>
      </x:c>
      <x:c r="AK399" s="13" t="n">
        <x:v>0.12677527776041195</x:v>
      </x:c>
      <x:c r="AL399" s="13" t="n">
        <x:v>0.006134969325153374</x:v>
      </x:c>
      <x:c r="AM399" s="13" t="n">
        <x:v>0</x:v>
      </x:c>
      <x:c r="AN399" s="13" t="n">
        <x:v>0.43509316850710555</x:v>
      </x:c>
      <x:c r="AO399" s="13" t="n">
        <x:v>1.7925482138789839</x:v>
      </x:c>
      <x:c r="AP399" s="13" t="n">
        <x:v>0.017592141604780592</x:v>
      </x:c>
    </x:row>
    <x:row r="400" ht="15" hidden="0" customHeight="1">
      <x:c r="A400" s="2" t="str">
        <x:v>E399</x:v>
      </x:c>
      <x:c r="B400" s="2" t="str">
        <x:v>***装饰工程有限公司</x:v>
      </x:c>
      <x:c r="C400" s="2" t="str">
        <x:v>无信贷记录</x:v>
      </x:c>
      <x:c r="D400" s="2" t="str"/>
      <x:c r="E400" s="2" t="str"/>
      <x:c r="F400" s="13" t="n">
        <x:v>52</x:v>
      </x:c>
      <x:c r="G400" s="13" t="n">
        <x:v>52</x:v>
      </x:c>
      <x:c r="H400" s="13" t="n">
        <x:v>0</x:v>
      </x:c>
      <x:c r="I400" s="13" t="n">
        <x:v>0</x:v>
      </x:c>
      <x:c r="J400" s="13" t="n">
        <x:v>20171.2</x:v>
      </x:c>
      <x:c r="K400" s="13" t="n">
        <x:v>20171.2</x:v>
      </x:c>
      <x:c r="L400" s="13" t="n">
        <x:v>13</x:v>
      </x:c>
      <x:c r="M400" s="13" t="n">
        <x:v>0</x:v>
      </x:c>
      <x:c r="N400" s="13" t="n">
        <x:v>0</x:v>
      </x:c>
      <x:c r="O400" s="13" t="n">
        <x:v>0.3193611263769961</x:v>
      </x:c>
      <x:c r="P400" s="13" t="n">
        <x:v>0.48713016578091534</x:v>
      </x:c>
      <x:c r="Q400" s="13" t="n">
        <x:v>806.8480000000001</x:v>
      </x:c>
      <x:c r="R400" s="13" t="n">
        <x:v>1.3747885582911392</x:v>
      </x:c>
      <x:c r="S400" s="13" t="n">
        <x:v>-0.04358079455242294</x:v>
      </x:c>
      <x:c r="T400" s="13" t="n">
        <x:v>24</x:v>
      </x:c>
      <x:c r="U400" s="13" t="n">
        <x:v>19</x:v>
      </x:c>
      <x:c r="V400" s="13" t="n">
        <x:v>15</x:v>
      </x:c>
      <x:c r="W400" s="13" t="n">
        <x:v>4</x:v>
      </x:c>
      <x:c r="X400" s="13" t="n">
        <x:v>0</x:v>
      </x:c>
      <x:c r="Y400" s="13" t="n">
        <x:v>455424.8</x:v>
      </x:c>
      <x:c r="Z400" s="13" t="n">
        <x:v>455424.8</x:v>
      </x:c>
      <x:c r="AA400" s="13" t="n">
        <x:v>9</x:v>
      </x:c>
      <x:c r="AB400" s="13" t="n">
        <x:v>0.21052631578947367</x:v>
      </x:c>
      <x:c r="AC400" s="13" t="n">
        <x:v>0</x:v>
      </x:c>
      <x:c r="AD400" s="13" t="n">
        <x:v>0.25024699580453663</x:v>
      </x:c>
      <x:c r="AE400" s="13" t="n">
        <x:v>0.34480730957119593</x:v>
      </x:c>
      <x:c r="AF400" s="13" t="n">
        <x:v>18216.992</x:v>
      </x:c>
      <x:c r="AG400" s="13" t="n">
        <x:v>2.271792867440036</x:v>
      </x:c>
      <x:c r="AH400" s="13" t="n">
        <x:v>-0.05897320817500512</x:v>
      </x:c>
      <x:c r="AI400" s="13" t="n">
        <x:v>7</x:v>
      </x:c>
      <x:c r="AJ400" s="13" t="n">
        <x:v>435253.6</x:v>
      </x:c>
      <x:c r="AK400" s="13" t="n">
        <x:v>0.044290956487217994</x:v>
      </x:c>
      <x:c r="AL400" s="13" t="n">
        <x:v>0.056338028169014086</x:v>
      </x:c>
      <x:c r="AM400" s="13" t="n">
        <x:v>0</x:v>
      </x:c>
      <x:c r="AN400" s="13" t="n">
        <x:v>0.2848040610907664</x:v>
      </x:c>
      <x:c r="AO400" s="13" t="n">
        <x:v>1.8232907128655875</x:v>
      </x:c>
      <x:c r="AP400" s="13" t="n">
        <x:v>-0.051277001363714034</x:v>
      </x:c>
    </x:row>
    <x:row r="401" ht="15" hidden="0" customHeight="1">
      <x:c r="A401" s="2" t="str">
        <x:v>E400</x:v>
      </x:c>
      <x:c r="B401" s="2" t="str">
        <x:v>***办公用品经营部</x:v>
      </x:c>
      <x:c r="C401" s="2" t="str">
        <x:v>无信贷记录</x:v>
      </x:c>
      <x:c r="D401" s="2" t="str"/>
      <x:c r="E401" s="2" t="str"/>
      <x:c r="F401" s="13" t="n">
        <x:v>16</x:v>
      </x:c>
      <x:c r="G401" s="13" t="n">
        <x:v>16</x:v>
      </x:c>
      <x:c r="H401" s="13" t="n">
        <x:v>0</x:v>
      </x:c>
      <x:c r="I401" s="13" t="n">
        <x:v>0</x:v>
      </x:c>
      <x:c r="J401" s="13" t="n">
        <x:v>71643.65</x:v>
      </x:c>
      <x:c r="K401" s="13" t="n">
        <x:v>71643.65</x:v>
      </x:c>
      <x:c r="L401" s="13" t="n">
        <x:v>4</x:v>
      </x:c>
      <x:c r="M401" s="13" t="n">
        <x:v>0</x:v>
      </x:c>
      <x:c r="N401" s="13" t="n">
        <x:v>0</x:v>
      </x:c>
      <x:c r="O401" s="13" t="n">
        <x:v>0.5745821569554146</x:v>
      </x:c>
      <x:c r="P401" s="13" t="n">
        <x:v>0.7021696968258876</x:v>
      </x:c>
      <x:c r="Q401" s="13" t="n">
        <x:v>2107.166176470588</x:v>
      </x:c>
      <x:c r="R401" s="13" t="n">
        <x:v>4.216621435287985</x:v>
      </x:c>
      <x:c r="S401" s="13" t="n">
        <x:v>0.08438517108403597</x:v>
      </x:c>
      <x:c r="T401" s="13" t="n">
        <x:v>11</x:v>
      </x:c>
      <x:c r="U401" s="13" t="n">
        <x:v>134</x:v>
      </x:c>
      <x:c r="V401" s="13" t="n">
        <x:v>122</x:v>
      </x:c>
      <x:c r="W401" s="13" t="n">
        <x:v>12</x:v>
      </x:c>
      <x:c r="X401" s="13" t="n">
        <x:v>0</x:v>
      </x:c>
      <x:c r="Y401" s="13" t="n">
        <x:v>840327.7</x:v>
      </x:c>
      <x:c r="Z401" s="13" t="n">
        <x:v>840327.7</x:v>
      </x:c>
      <x:c r="AA401" s="13" t="n">
        <x:v>22</x:v>
      </x:c>
      <x:c r="AB401" s="13" t="n">
        <x:v>0.08955223880597014</x:v>
      </x:c>
      <x:c r="AC401" s="13" t="n">
        <x:v>0</x:v>
      </x:c>
      <x:c r="AD401" s="13" t="n">
        <x:v>0.10628431697046144</x:v>
      </x:c>
      <x:c r="AE401" s="13" t="n">
        <x:v>0.17406150005527607</x:v>
      </x:c>
      <x:c r="AF401" s="13" t="n">
        <x:v>23342.43611111111</x:v>
      </x:c>
      <x:c r="AG401" s="13" t="n">
        <x:v>1.1623854970378282</x:v>
      </x:c>
      <x:c r="AH401" s="13" t="n">
        <x:v>-0.027397015708169797</x:v>
      </x:c>
      <x:c r="AI401" s="13" t="n">
        <x:v>21</x:v>
      </x:c>
      <x:c r="AJ401" s="13" t="n">
        <x:v>768684.0499999999</x:v>
      </x:c>
      <x:c r="AK401" s="13" t="n">
        <x:v>0.08525679922249368</x:v>
      </x:c>
      <x:c r="AL401" s="13" t="n">
        <x:v>0.08</x:v>
      </x:c>
      <x:c r="AM401" s="13" t="n">
        <x:v>0</x:v>
      </x:c>
      <x:c r="AN401" s="13" t="n">
        <x:v>0.34043323696293804</x:v>
      </x:c>
      <x:c r="AO401" s="13" t="n">
        <x:v>2.6895034661629067</x:v>
      </x:c>
      <x:c r="AP401" s="13" t="n">
        <x:v>0.028494077687933085</x:v>
      </x:c>
    </x:row>
    <x:row r="402" ht="15" hidden="0" customHeight="1">
      <x:c r="A402" s="2" t="str">
        <x:v>E401</x:v>
      </x:c>
      <x:c r="B402" s="2" t="str">
        <x:v>***遮阳技术发展中心</x:v>
      </x:c>
      <x:c r="C402" s="2" t="str">
        <x:v>无信贷记录</x:v>
      </x:c>
      <x:c r="D402" s="2" t="str"/>
      <x:c r="E402" s="2" t="str"/>
      <x:c r="F402" s="13" t="n">
        <x:v>28</x:v>
      </x:c>
      <x:c r="G402" s="13" t="n">
        <x:v>28</x:v>
      </x:c>
      <x:c r="H402" s="13" t="n">
        <x:v>0</x:v>
      </x:c>
      <x:c r="I402" s="13" t="n">
        <x:v>0</x:v>
      </x:c>
      <x:c r="J402" s="13" t="n">
        <x:v>187070.85</x:v>
      </x:c>
      <x:c r="K402" s="13" t="n">
        <x:v>187070.85</x:v>
      </x:c>
      <x:c r="L402" s="13" t="n">
        <x:v>10</x:v>
      </x:c>
      <x:c r="M402" s="13" t="n">
        <x:v>0</x:v>
      </x:c>
      <x:c r="N402" s="13" t="n">
        <x:v>0</x:v>
      </x:c>
      <x:c r="O402" s="13" t="n">
        <x:v>0.3086870541903605</x:v>
      </x:c>
      <x:c r="P402" s="13" t="n">
        <x:v>0.4647905860266311</x:v>
      </x:c>
      <x:c r="Q402" s="13" t="n">
        <x:v>6450.7189655172415</x:v>
      </x:c>
      <x:c r="R402" s="13" t="n">
        <x:v>2.1859186871194662</x:v>
      </x:c>
      <x:c r="S402" s="13" t="n">
        <x:v>0.06510301081877097</x:v>
      </x:c>
      <x:c r="T402" s="13" t="n">
        <x:v>18</x:v>
      </x:c>
      <x:c r="U402" s="13" t="n">
        <x:v>77</x:v>
      </x:c>
      <x:c r="V402" s="13" t="n">
        <x:v>39</x:v>
      </x:c>
      <x:c r="W402" s="13" t="n">
        <x:v>38</x:v>
      </x:c>
      <x:c r="X402" s="13" t="n">
        <x:v>0</x:v>
      </x:c>
      <x:c r="Y402" s="13" t="n">
        <x:v>360292.99</x:v>
      </x:c>
      <x:c r="Z402" s="13" t="n">
        <x:v>360292.99</x:v>
      </x:c>
      <x:c r="AA402" s="13" t="n">
        <x:v>15</x:v>
      </x:c>
      <x:c r="AB402" s="13" t="n">
        <x:v>0.4935064935064935</x:v>
      </x:c>
      <x:c r="AC402" s="13" t="n">
        <x:v>0</x:v>
      </x:c>
      <x:c r="AD402" s="13" t="n">
        <x:v>0.2421812826325879</x:v>
      </x:c>
      <x:c r="AE402" s="13" t="n">
        <x:v>0.4440830225422926</x:v>
      </x:c>
      <x:c r="AF402" s="13" t="n">
        <x:v>12009.766333333333</x:v>
      </x:c>
      <x:c r="AG402" s="13" t="n">
        <x:v>2.4771783859869565</x:v>
      </x:c>
      <x:c r="AH402" s="13" t="n">
        <x:v>0.06169137632628795</x:v>
      </x:c>
      <x:c r="AI402" s="13" t="n">
        <x:v>17</x:v>
      </x:c>
      <x:c r="AJ402" s="13" t="n">
        <x:v>173222.13999999998</x:v>
      </x:c>
      <x:c r="AK402" s="13" t="n">
        <x:v>0.5192186781097226</x:v>
      </x:c>
      <x:c r="AL402" s="13" t="n">
        <x:v>0.3550476190476188</x:v>
      </x:c>
      <x:c r="AM402" s="13" t="n">
        <x:v>0</x:v>
      </x:c>
      <x:c r="AN402" s="13" t="n">
        <x:v>0.2754341684114742</x:v>
      </x:c>
      <x:c r="AO402" s="13" t="n">
        <x:v>2.3315485365532114</x:v>
      </x:c>
      <x:c r="AP402" s="13" t="n">
        <x:v>0.06339719357252946</x:v>
      </x:c>
    </x:row>
    <x:row r="403" ht="15" hidden="0" customHeight="1">
      <x:c r="A403" s="2" t="str">
        <x:v>E402</x:v>
      </x:c>
      <x:c r="B403" s="2" t="str">
        <x:v>***商贸有限公司</x:v>
      </x:c>
      <x:c r="C403" s="2" t="str">
        <x:v>无信贷记录</x:v>
      </x:c>
      <x:c r="D403" s="2" t="str"/>
      <x:c r="E403" s="2" t="str"/>
      <x:c r="F403" s="13" t="n">
        <x:v>57</x:v>
      </x:c>
      <x:c r="G403" s="13" t="n">
        <x:v>57</x:v>
      </x:c>
      <x:c r="H403" s="13" t="n">
        <x:v>0</x:v>
      </x:c>
      <x:c r="I403" s="13" t="n">
        <x:v>0</x:v>
      </x:c>
      <x:c r="J403" s="13" t="n">
        <x:v>482208</x:v>
      </x:c>
      <x:c r="K403" s="13" t="n">
        <x:v>482208</x:v>
      </x:c>
      <x:c r="L403" s="13" t="n">
        <x:v>5</x:v>
      </x:c>
      <x:c r="M403" s="13" t="n">
        <x:v>0</x:v>
      </x:c>
      <x:c r="N403" s="13" t="n">
        <x:v>0</x:v>
      </x:c>
      <x:c r="O403" s="13" t="n">
        <x:v>0.9945029895077154</x:v>
      </x:c>
      <x:c r="P403" s="13" t="n">
        <x:v>0.9972460017253965</x:v>
      </x:c>
      <x:c r="Q403" s="13" t="n">
        <x:v>14182.588235294117</x:v>
      </x:c>
      <x:c r="R403" s="13" t="n">
        <x:v>1.8645607697759812</x:v>
      </x:c>
      <x:c r="S403" s="13" t="n">
        <x:v>-0.048886378072120186</x:v>
      </x:c>
      <x:c r="T403" s="13" t="n">
        <x:v>14</x:v>
      </x:c>
      <x:c r="U403" s="13" t="n">
        <x:v>25</x:v>
      </x:c>
      <x:c r="V403" s="13" t="n">
        <x:v>22</x:v>
      </x:c>
      <x:c r="W403" s="13" t="n">
        <x:v>3</x:v>
      </x:c>
      <x:c r="X403" s="13" t="n">
        <x:v>2</x:v>
      </x:c>
      <x:c r="Y403" s="13" t="n">
        <x:v>548634.32</x:v>
      </x:c>
      <x:c r="Z403" s="13" t="n">
        <x:v>648634.32</x:v>
      </x:c>
      <x:c r="AA403" s="13" t="n">
        <x:v>4</x:v>
      </x:c>
      <x:c r="AB403" s="13" t="n">
        <x:v>0.12</x:v>
      </x:c>
      <x:c r="AC403" s="13" t="n">
        <x:v>0.09090909090909091</x:v>
      </x:c>
      <x:c r="AD403" s="13" t="n">
        <x:v>0.3565952265208965</x:v>
      </x:c>
      <x:c r="AE403" s="13" t="n">
        <x:v>0.4143095604315233</x:v>
      </x:c>
      <x:c r="AF403" s="13" t="n">
        <x:v>21101.32</x:v>
      </x:c>
      <x:c r="AG403" s="13" t="n">
        <x:v>1.6732001139856054</x:v>
      </x:c>
      <x:c r="AH403" s="13" t="n">
        <x:v>-0.001550288562172093</x:v>
      </x:c>
      <x:c r="AI403" s="13" t="n">
        <x:v>11</x:v>
      </x:c>
      <x:c r="AJ403" s="13" t="n">
        <x:v>66426.31999999995</x:v>
      </x:c>
      <x:c r="AK403" s="13" t="n">
        <x:v>0.7434204221571243</x:v>
      </x:c>
      <x:c r="AL403" s="13" t="n">
        <x:v>0.036585365853658534</x:v>
      </x:c>
      <x:c r="AM403" s="13" t="n">
        <x:v>0.02531645569620253</x:v>
      </x:c>
      <x:c r="AN403" s="13" t="n">
        <x:v>0.6755491080143059</x:v>
      </x:c>
      <x:c r="AO403" s="13" t="n">
        <x:v>1.7688804418807933</x:v>
      </x:c>
      <x:c r="AP403" s="13" t="n">
        <x:v>-0.025218333317146138</x:v>
      </x:c>
    </x:row>
    <x:row r="404" ht="15" hidden="0" customHeight="1">
      <x:c r="A404" s="2" t="str">
        <x:v>E403</x:v>
      </x:c>
      <x:c r="B404" s="2" t="str">
        <x:v>***机械有限公司</x:v>
      </x:c>
      <x:c r="C404" s="2" t="str">
        <x:v>无信贷记录</x:v>
      </x:c>
      <x:c r="D404" s="2" t="str"/>
      <x:c r="E404" s="2" t="str"/>
      <x:c r="F404" s="13" t="n">
        <x:v>110</x:v>
      </x:c>
      <x:c r="G404" s="13" t="n">
        <x:v>108</x:v>
      </x:c>
      <x:c r="H404" s="13" t="n">
        <x:v>2</x:v>
      </x:c>
      <x:c r="I404" s="13" t="n">
        <x:v>0</x:v>
      </x:c>
      <x:c r="J404" s="13" t="n">
        <x:v>100051.52</x:v>
      </x:c>
      <x:c r="K404" s="13" t="n">
        <x:v>100051.52</x:v>
      </x:c>
      <x:c r="L404" s="13" t="n">
        <x:v>53</x:v>
      </x:c>
      <x:c r="M404" s="13" t="n">
        <x:v>0.01818181818181818</x:v>
      </x:c>
      <x:c r="N404" s="13" t="n">
        <x:v>0</x:v>
      </x:c>
      <x:c r="O404" s="13" t="n">
        <x:v>0.056206380574038456</x:v>
      </x:c>
      <x:c r="P404" s="13" t="n">
        <x:v>0.11295680465424213</x:v>
      </x:c>
      <x:c r="Q404" s="13" t="n">
        <x:v>2942.6917647058826</x:v>
      </x:c>
      <x:c r="R404" s="13" t="n">
        <x:v>1.1912711978028339</x:v>
      </x:c>
      <x:c r="S404" s="13" t="n">
        <x:v>-0.01683465042445923</x:v>
      </x:c>
      <x:c r="T404" s="13" t="n">
        <x:v>30</x:v>
      </x:c>
      <x:c r="U404" s="13" t="n">
        <x:v>70</x:v>
      </x:c>
      <x:c r="V404" s="13" t="n">
        <x:v>61</x:v>
      </x:c>
      <x:c r="W404" s="13" t="n">
        <x:v>9</x:v>
      </x:c>
      <x:c r="X404" s="13" t="n">
        <x:v>0</x:v>
      </x:c>
      <x:c r="Y404" s="13" t="n">
        <x:v>1242731.7099999995</x:v>
      </x:c>
      <x:c r="Z404" s="13" t="n">
        <x:v>1242731.7099999995</x:v>
      </x:c>
      <x:c r="AA404" s="13" t="n">
        <x:v>11</x:v>
      </x:c>
      <x:c r="AB404" s="13" t="n">
        <x:v>0.12857142857142856</x:v>
      </x:c>
      <x:c r="AC404" s="13" t="n">
        <x:v>0</x:v>
      </x:c>
      <x:c r="AD404" s="13" t="n">
        <x:v>0.3131556269503266</x:v>
      </x:c>
      <x:c r="AE404" s="13" t="n">
        <x:v>0.4771098662960809</x:v>
      </x:c>
      <x:c r="AF404" s="13" t="n">
        <x:v>32703.466052631567</x:v>
      </x:c>
      <x:c r="AG404" s="13" t="n">
        <x:v>1.227939681892448</x:v>
      </x:c>
      <x:c r="AH404" s="13" t="n">
        <x:v>-0.02978254190582141</x:v>
      </x:c>
      <x:c r="AI404" s="13" t="n">
        <x:v>37</x:v>
      </x:c>
      <x:c r="AJ404" s="13" t="n">
        <x:v>1142680.1899999995</x:v>
      </x:c>
      <x:c r="AK404" s="13" t="n">
        <x:v>0.080509348232532</x:v>
      </x:c>
      <x:c r="AL404" s="13" t="n">
        <x:v>0.06111111111111111</x:v>
      </x:c>
      <x:c r="AM404" s="13" t="n">
        <x:v>0</x:v>
      </x:c>
      <x:c r="AN404" s="13" t="n">
        <x:v>0.18468100376218255</x:v>
      </x:c>
      <x:c r="AO404" s="13" t="n">
        <x:v>1.2096054398476408</x:v>
      </x:c>
      <x:c r="AP404" s="13" t="n">
        <x:v>-0.02330859616514032</x:v>
      </x:c>
    </x:row>
    <x:row r="405" ht="15" hidden="0" customHeight="1">
      <x:c r="A405" s="2" t="str">
        <x:v>E404</x:v>
      </x:c>
      <x:c r="B405" s="2" t="str">
        <x:v>个体经营E404 </x:v>
      </x:c>
      <x:c r="C405" s="2" t="str">
        <x:v>无信贷记录</x:v>
      </x:c>
      <x:c r="D405" s="2" t="str"/>
      <x:c r="E405" s="2" t="str"/>
      <x:c r="F405" s="13" t="n">
        <x:v>29</x:v>
      </x:c>
      <x:c r="G405" s="13" t="n">
        <x:v>25</x:v>
      </x:c>
      <x:c r="H405" s="13" t="n">
        <x:v>4</x:v>
      </x:c>
      <x:c r="I405" s="13" t="n">
        <x:v>0</x:v>
      </x:c>
      <x:c r="J405" s="13" t="n">
        <x:v>936985</x:v>
      </x:c>
      <x:c r="K405" s="13" t="n">
        <x:v>936985</x:v>
      </x:c>
      <x:c r="L405" s="13" t="n">
        <x:v>12</x:v>
      </x:c>
      <x:c r="M405" s="13" t="n">
        <x:v>0.1274358974358974</x:v>
      </x:c>
      <x:c r="N405" s="13" t="n">
        <x:v>0</x:v>
      </x:c>
      <x:c r="O405" s="13" t="n">
        <x:v>0.23498621072784082</x:v>
      </x:c>
      <x:c r="P405" s="13" t="n">
        <x:v>0.3359178642134079</x:v>
      </x:c>
      <x:c r="Q405" s="13" t="n">
        <x:v>26771</x:v>
      </x:c>
      <x:c r="R405" s="13" t="n">
        <x:v>2.446096314142831</x:v>
      </x:c>
      <x:c r="S405" s="13" t="n">
        <x:v>0.060117542216914406</x:v>
      </x:c>
      <x:c r="T405" s="13" t="n">
        <x:v>14</x:v>
      </x:c>
      <x:c r="U405" s="13" t="n">
        <x:v>21</x:v>
      </x:c>
      <x:c r="V405" s="13" t="n">
        <x:v>15</x:v>
      </x:c>
      <x:c r="W405" s="13" t="n">
        <x:v>6</x:v>
      </x:c>
      <x:c r="X405" s="13" t="n">
        <x:v>0</x:v>
      </x:c>
      <x:c r="Y405" s="13" t="n">
        <x:v>916100</x:v>
      </x:c>
      <x:c r="Z405" s="13" t="n">
        <x:v>916100</x:v>
      </x:c>
      <x:c r="AA405" s="13" t="n">
        <x:v>5</x:v>
      </x:c>
      <x:c r="AB405" s="13" t="n">
        <x:v>0.2857142857142857</x:v>
      </x:c>
      <x:c r="AC405" s="13" t="n">
        <x:v>0</x:v>
      </x:c>
      <x:c r="AD405" s="13" t="n">
        <x:v>0.45938965363641676</x:v>
      </x:c>
      <x:c r="AE405" s="13" t="n">
        <x:v>0.5425171924462395</x:v>
      </x:c>
      <x:c r="AF405" s="13" t="n">
        <x:v>26174.285714285714</x:v>
      </x:c>
      <x:c r="AG405" s="13" t="n">
        <x:v>3.407039552429552</x:v>
      </x:c>
      <x:c r="AH405" s="13" t="n">
        <x:v>-0.046876036737146944</x:v>
      </x:c>
      <x:c r="AI405" s="13" t="n">
        <x:v>6</x:v>
      </x:c>
      <x:c r="AJ405" s="13" t="n">
        <x:v>-20885</x:v>
      </x:c>
      <x:c r="AK405" s="13" t="n">
        <x:v>1.0227977295055113</x:v>
      </x:c>
      <x:c r="AL405" s="13" t="n">
        <x:v>0.2</x:v>
      </x:c>
      <x:c r="AM405" s="13" t="n">
        <x:v>0</x:v>
      </x:c>
      <x:c r="AN405" s="13" t="n">
        <x:v>0.3471879321821288</x:v>
      </x:c>
      <x:c r="AO405" s="13" t="n">
        <x:v>2.969597058262247</x:v>
      </x:c>
      <x:c r="AP405" s="13" t="n">
        <x:v>0.006620752739883731</x:v>
      </x:c>
    </x:row>
    <x:row r="406" ht="15" hidden="0" customHeight="1">
      <x:c r="A406" s="2" t="str">
        <x:v>E405</x:v>
      </x:c>
      <x:c r="B406" s="2" t="str">
        <x:v>***职业技能服务有限公司</x:v>
      </x:c>
      <x:c r="C406" s="2" t="str">
        <x:v>无信贷记录</x:v>
      </x:c>
      <x:c r="D406" s="2" t="str"/>
      <x:c r="E406" s="2" t="str"/>
      <x:c r="F406" s="13" t="n">
        <x:v>18</x:v>
      </x:c>
      <x:c r="G406" s="13" t="n">
        <x:v>17</x:v>
      </x:c>
      <x:c r="H406" s="13" t="n">
        <x:v>1</x:v>
      </x:c>
      <x:c r="I406" s="13" t="n">
        <x:v>0</x:v>
      </x:c>
      <x:c r="J406" s="13" t="n">
        <x:v>91339.12</x:v>
      </x:c>
      <x:c r="K406" s="13" t="n">
        <x:v>91339.12</x:v>
      </x:c>
      <x:c r="L406" s="13" t="n">
        <x:v>5</x:v>
      </x:c>
      <x:c r="M406" s="13" t="n">
        <x:v>0.05555555555555555</x:v>
      </x:c>
      <x:c r="N406" s="13" t="n">
        <x:v>0</x:v>
      </x:c>
      <x:c r="O406" s="13" t="n">
        <x:v>0.8907658709277967</x:v>
      </x:c>
      <x:c r="P406" s="13" t="n">
        <x:v>0.9431336759101686</x:v>
      </x:c>
      <x:c r="Q406" s="13" t="n">
        <x:v>4349.481904761905</x:v>
      </x:c>
      <x:c r="R406" s="13" t="n">
        <x:v>4.207832904789132</x:v>
      </x:c>
      <x:c r="S406" s="13" t="n">
        <x:v>-0.21625547045049248</x:v>
      </x:c>
      <x:c r="T406" s="13" t="n">
        <x:v>5</x:v>
      </x:c>
      <x:c r="U406" s="13" t="n">
        <x:v>45</x:v>
      </x:c>
      <x:c r="V406" s="13" t="n">
        <x:v>25</x:v>
      </x:c>
      <x:c r="W406" s="13" t="n">
        <x:v>20</x:v>
      </x:c>
      <x:c r="X406" s="13" t="n">
        <x:v>0</x:v>
      </x:c>
      <x:c r="Y406" s="13" t="n">
        <x:v>609176</x:v>
      </x:c>
      <x:c r="Z406" s="13" t="n">
        <x:v>609176</x:v>
      </x:c>
      <x:c r="AA406" s="13" t="n">
        <x:v>32</x:v>
      </x:c>
      <x:c r="AB406" s="13" t="n">
        <x:v>0.4444444444444444</x:v>
      </x:c>
      <x:c r="AC406" s="13" t="n">
        <x:v>0</x:v>
      </x:c>
      <x:c r="AD406" s="13" t="n">
        <x:v>0.2954892535142742</x:v>
      </x:c>
      <x:c r="AE406" s="13" t="n">
        <x:v>0.48417862817970503</x:v>
      </x:c>
      <x:c r="AF406" s="13" t="n">
        <x:v>21006.068965517243</x:v>
      </x:c>
      <x:c r="AG406" s="13" t="n">
        <x:v>2.653291885299824</x:v>
      </x:c>
      <x:c r="AH406" s="13" t="n">
        <x:v>-0.009194785837167858</x:v>
      </x:c>
      <x:c r="AI406" s="13" t="n">
        <x:v>15</x:v>
      </x:c>
      <x:c r="AJ406" s="13" t="n">
        <x:v>517836.88</x:v>
      </x:c>
      <x:c r="AK406" s="13" t="n">
        <x:v>0.14993880257922151</x:v>
      </x:c>
      <x:c r="AL406" s="13" t="n">
        <x:v>0.3333333333333333</x:v>
      </x:c>
      <x:c r="AM406" s="13" t="n">
        <x:v>0</x:v>
      </x:c>
      <x:c r="AN406" s="13" t="n">
        <x:v>0.5931275622210355</x:v>
      </x:c>
      <x:c r="AO406" s="13" t="n">
        <x:v>3.430562395044478</x:v>
      </x:c>
      <x:c r="AP406" s="13" t="n">
        <x:v>-0.12415818610731975</x:v>
      </x:c>
    </x:row>
    <x:row r="407" ht="15" hidden="0" customHeight="1">
      <x:c r="A407" s="2" t="str">
        <x:v>E406</x:v>
      </x:c>
      <x:c r="B407" s="2" t="str">
        <x:v>***招投标代理有限公司</x:v>
      </x:c>
      <x:c r="C407" s="2" t="str">
        <x:v>无信贷记录</x:v>
      </x:c>
      <x:c r="D407" s="2" t="str"/>
      <x:c r="E407" s="2" t="str"/>
      <x:c r="F407" s="13" t="n">
        <x:v>52</x:v>
      </x:c>
      <x:c r="G407" s="13" t="n">
        <x:v>52</x:v>
      </x:c>
      <x:c r="H407" s="13" t="n">
        <x:v>0</x:v>
      </x:c>
      <x:c r="I407" s="13" t="n">
        <x:v>0</x:v>
      </x:c>
      <x:c r="J407" s="13" t="n">
        <x:v>198023.79</x:v>
      </x:c>
      <x:c r="K407" s="13" t="n">
        <x:v>198023.79</x:v>
      </x:c>
      <x:c r="L407" s="13" t="n">
        <x:v>34</x:v>
      </x:c>
      <x:c r="M407" s="13" t="n">
        <x:v>0</x:v>
      </x:c>
      <x:c r="N407" s="13" t="n">
        <x:v>0</x:v>
      </x:c>
      <x:c r="O407" s="13" t="n">
        <x:v>0.15119018825570743</x:v>
      </x:c>
      <x:c r="P407" s="13" t="n">
        <x:v>0.20697513162433664</x:v>
      </x:c>
      <x:c r="Q407" s="13" t="n">
        <x:v>7616.299615384616</x:v>
      </x:c>
      <x:c r="R407" s="13" t="n">
        <x:v>1.7743715487030187</x:v>
      </x:c>
      <x:c r="S407" s="13" t="n">
        <x:v>0.06856772063149247</x:v>
      </x:c>
      <x:c r="T407" s="13" t="n">
        <x:v>20</x:v>
      </x:c>
      <x:c r="U407" s="13" t="n">
        <x:v>31</x:v>
      </x:c>
      <x:c r="V407" s="13" t="n">
        <x:v>24</x:v>
      </x:c>
      <x:c r="W407" s="13" t="n">
        <x:v>7</x:v>
      </x:c>
      <x:c r="X407" s="13" t="n">
        <x:v>1</x:v>
      </x:c>
      <x:c r="Y407" s="13" t="n">
        <x:v>856719.45</x:v>
      </x:c>
      <x:c r="Z407" s="13" t="n">
        <x:v>916999.45</x:v>
      </x:c>
      <x:c r="AA407" s="13" t="n">
        <x:v>5</x:v>
      </x:c>
      <x:c r="AB407" s="13" t="n">
        <x:v>0.22580645161290322</x:v>
      </x:c>
      <x:c r="AC407" s="13" t="n">
        <x:v>0.041666666666666664</x:v>
      </x:c>
      <x:c r="AD407" s="13" t="n">
        <x:v>0.32012071578587864</x:v>
      </x:c>
      <x:c r="AE407" s="13" t="n">
        <x:v>0.467028033659126</x:v>
      </x:c>
      <x:c r="AF407" s="13" t="n">
        <x:v>27636.11129032258</x:v>
      </x:c>
      <x:c r="AG407" s="13" t="n">
        <x:v>2.5099419800050895</x:v>
      </x:c>
      <x:c r="AH407" s="13" t="n">
        <x:v>0.06630907050817152</x:v>
      </x:c>
      <x:c r="AI407" s="13" t="n">
        <x:v>12</x:v>
      </x:c>
      <x:c r="AJ407" s="13" t="n">
        <x:v>658695.6599999999</x:v>
      </x:c>
      <x:c r="AK407" s="13" t="n">
        <x:v>0.21594755591183812</x:v>
      </x:c>
      <x:c r="AL407" s="13" t="n">
        <x:v>0.08433734939759036</x:v>
      </x:c>
      <x:c r="AM407" s="13" t="n">
        <x:v>0.013157894736842105</x:v>
      </x:c>
      <x:c r="AN407" s="13" t="n">
        <x:v>0.23565545202079302</x:v>
      </x:c>
      <x:c r="AO407" s="13" t="n">
        <x:v>2.142156764354054</x:v>
      </x:c>
      <x:c r="AP407" s="13" t="n">
        <x:v>0.067438395569832</x:v>
      </x:c>
    </x:row>
    <x:row r="408" ht="15" hidden="0" customHeight="1">
      <x:c r="A408" s="2" t="str">
        <x:v>E407</x:v>
      </x:c>
      <x:c r="B408" s="2" t="str">
        <x:v>***装饰工程有限公司</x:v>
      </x:c>
      <x:c r="C408" s="2" t="str">
        <x:v>无信贷记录</x:v>
      </x:c>
      <x:c r="D408" s="2" t="str"/>
      <x:c r="E408" s="2" t="str"/>
      <x:c r="F408" s="13" t="n">
        <x:v>149</x:v>
      </x:c>
      <x:c r="G408" s="13" t="n">
        <x:v>148</x:v>
      </x:c>
      <x:c r="H408" s="13" t="n">
        <x:v>1</x:v>
      </x:c>
      <x:c r="I408" s="13" t="n">
        <x:v>2</x:v>
      </x:c>
      <x:c r="J408" s="13" t="n">
        <x:v>411244.17999999993</x:v>
      </x:c>
      <x:c r="K408" s="13" t="n">
        <x:v>413992.17999999993</x:v>
      </x:c>
      <x:c r="L408" s="13" t="n">
        <x:v>54</x:v>
      </x:c>
      <x:c r="M408" s="13" t="n">
        <x:v>0.006711409395973154</x:v>
      </x:c>
      <x:c r="N408" s="13" t="n">
        <x:v>0.013513513513513514</x:v>
      </x:c>
      <x:c r="O408" s="13" t="n">
        <x:v>0.21180243079216002</x:v>
      </x:c>
      <x:c r="P408" s="13" t="n">
        <x:v>0.42899361045901885</x:v>
      </x:c>
      <x:c r="Q408" s="13" t="n">
        <x:v>13265.94129032258</x:v>
      </x:c>
      <x:c r="R408" s="13" t="n">
        <x:v>2.908751070427304</x:v>
      </x:c>
      <x:c r="S408" s="13" t="n">
        <x:v>0.11260881137414312</x:v>
      </x:c>
      <x:c r="T408" s="13" t="n">
        <x:v>27</x:v>
      </x:c>
      <x:c r="U408" s="13" t="n">
        <x:v>44</x:v>
      </x:c>
      <x:c r="V408" s="13" t="n">
        <x:v>31</x:v>
      </x:c>
      <x:c r="W408" s="13" t="n">
        <x:v>13</x:v>
      </x:c>
      <x:c r="X408" s="13" t="n">
        <x:v>2</x:v>
      </x:c>
      <x:c r="Y408" s="13" t="n">
        <x:v>1904413</x:v>
      </x:c>
      <x:c r="Z408" s="13" t="n">
        <x:v>2284413</x:v>
      </x:c>
      <x:c r="AA408" s="13" t="n">
        <x:v>5</x:v>
      </x:c>
      <x:c r="AB408" s="13" t="n">
        <x:v>0.29545454545454547</x:v>
      </x:c>
      <x:c r="AC408" s="13" t="n">
        <x:v>0.06451612903225806</x:v>
      </x:c>
      <x:c r="AD408" s="13" t="n">
        <x:v>0.35189602748031273</x:v>
      </x:c>
      <x:c r="AE408" s="13" t="n">
        <x:v>0.5056003445961829</x:v>
      </x:c>
      <x:c r="AF408" s="13" t="n">
        <x:v>70533.81481481482</x:v>
      </x:c>
      <x:c r="AG408" s="13" t="n">
        <x:v>1.6395694062085036</x:v>
      </x:c>
      <x:c r="AH408" s="13" t="n">
        <x:v>0.1139899656888865</x:v>
      </x:c>
      <x:c r="AI408" s="13" t="n">
        <x:v>13</x:v>
      </x:c>
      <x:c r="AJ408" s="13" t="n">
        <x:v>1493168.82</x:v>
      </x:c>
      <x:c r="AK408" s="13" t="n">
        <x:v>0.18122475226677479</x:v>
      </x:c>
      <x:c r="AL408" s="13" t="n">
        <x:v>0.07253886010362694</x:v>
      </x:c>
      <x:c r="AM408" s="13" t="n">
        <x:v>0.0223463687150838</x:v>
      </x:c>
      <x:c r="AN408" s="13" t="n">
        <x:v>0.2818492291362364</x:v>
      </x:c>
      <x:c r="AO408" s="13" t="n">
        <x:v>2.274160238317904</x:v>
      </x:c>
      <x:c r="AP408" s="13" t="n">
        <x:v>0.1132993885315148</x:v>
      </x:c>
    </x:row>
    <x:row r="409" ht="15" hidden="0" customHeight="1">
      <x:c r="A409" s="2" t="str">
        <x:v>E408</x:v>
      </x:c>
      <x:c r="B409" s="2" t="str">
        <x:v>***空调制冷有限责任公司</x:v>
      </x:c>
      <x:c r="C409" s="2" t="str">
        <x:v>无信贷记录</x:v>
      </x:c>
      <x:c r="D409" s="2" t="str"/>
      <x:c r="E409" s="2" t="str"/>
      <x:c r="F409" s="13" t="n">
        <x:v>40</x:v>
      </x:c>
      <x:c r="G409" s="13" t="n">
        <x:v>39</x:v>
      </x:c>
      <x:c r="H409" s="13" t="n">
        <x:v>1</x:v>
      </x:c>
      <x:c r="I409" s="13" t="n">
        <x:v>0</x:v>
      </x:c>
      <x:c r="J409" s="13" t="n">
        <x:v>67774.14</x:v>
      </x:c>
      <x:c r="K409" s="13" t="n">
        <x:v>67774.14</x:v>
      </x:c>
      <x:c r="L409" s="13" t="n">
        <x:v>12</x:v>
      </x:c>
      <x:c r="M409" s="13" t="n">
        <x:v>0.025</x:v>
      </x:c>
      <x:c r="N409" s="13" t="n">
        <x:v>0</x:v>
      </x:c>
      <x:c r="O409" s="13" t="n">
        <x:v>0.23213594654289088</x:v>
      </x:c>
      <x:c r="P409" s="13" t="n">
        <x:v>0.37625324349375733</x:v>
      </x:c>
      <x:c r="Q409" s="13" t="n">
        <x:v>2186.262580645161</x:v>
      </x:c>
      <x:c r="R409" s="13" t="n">
        <x:v>1.71262779541201</x:v>
      </x:c>
      <x:c r="S409" s="13" t="n">
        <x:v>-0.04269892247985263</x:v>
      </x:c>
      <x:c r="T409" s="13" t="n">
        <x:v>18</x:v>
      </x:c>
      <x:c r="U409" s="13" t="n">
        <x:v>32</x:v>
      </x:c>
      <x:c r="V409" s="13" t="n">
        <x:v>26</x:v>
      </x:c>
      <x:c r="W409" s="13" t="n">
        <x:v>6</x:v>
      </x:c>
      <x:c r="X409" s="13" t="n">
        <x:v>0</x:v>
      </x:c>
      <x:c r="Y409" s="13" t="n">
        <x:v>537826</x:v>
      </x:c>
      <x:c r="Z409" s="13" t="n">
        <x:v>537826</x:v>
      </x:c>
      <x:c r="AA409" s="13" t="n">
        <x:v>10</x:v>
      </x:c>
      <x:c r="AB409" s="13" t="n">
        <x:v>0.1875</x:v>
      </x:c>
      <x:c r="AC409" s="13" t="n">
        <x:v>0</x:v>
      </x:c>
      <x:c r="AD409" s="13" t="n">
        <x:v>0.2739269320438951</x:v>
      </x:c>
      <x:c r="AE409" s="13" t="n">
        <x:v>0.4476280432705001</x:v>
      </x:c>
      <x:c r="AF409" s="13" t="n">
        <x:v>15818.411764705883</x:v>
      </x:c>
      <x:c r="AG409" s="13" t="n">
        <x:v>1.4656893027865672</x:v>
      </x:c>
      <x:c r="AH409" s="13" t="n">
        <x:v>-0.015014193022692964</x:v>
      </x:c>
      <x:c r="AI409" s="13" t="n">
        <x:v>15</x:v>
      </x:c>
      <x:c r="AJ409" s="13" t="n">
        <x:v>470051.86</x:v>
      </x:c>
      <x:c r="AK409" s="13" t="n">
        <x:v>0.12601499369684593</x:v>
      </x:c>
      <x:c r="AL409" s="13" t="n">
        <x:v>0.09722222222222222</x:v>
      </x:c>
      <x:c r="AM409" s="13" t="n">
        <x:v>0</x:v>
      </x:c>
      <x:c r="AN409" s="13" t="n">
        <x:v>0.253031439293393</x:v>
      </x:c>
      <x:c r="AO409" s="13" t="n">
        <x:v>1.5891585490992886</x:v>
      </x:c>
      <x:c r="AP409" s="13" t="n">
        <x:v>-0.0288565577512728</x:v>
      </x:c>
    </x:row>
    <x:row r="410" ht="15" hidden="0" customHeight="1">
      <x:c r="A410" s="2" t="str">
        <x:v>E409</x:v>
      </x:c>
      <x:c r="B410" s="2" t="str">
        <x:v>***塑胶有限公司</x:v>
      </x:c>
      <x:c r="C410" s="2" t="str">
        <x:v>无信贷记录</x:v>
      </x:c>
      <x:c r="D410" s="2" t="str"/>
      <x:c r="E410" s="2" t="str"/>
      <x:c r="F410" s="13" t="n">
        <x:v>15</x:v>
      </x:c>
      <x:c r="G410" s="13" t="n">
        <x:v>15</x:v>
      </x:c>
      <x:c r="H410" s="13" t="n">
        <x:v>0</x:v>
      </x:c>
      <x:c r="I410" s="13" t="n">
        <x:v>0</x:v>
      </x:c>
      <x:c r="J410" s="13" t="n">
        <x:v>49699</x:v>
      </x:c>
      <x:c r="K410" s="13" t="n">
        <x:v>49699</x:v>
      </x:c>
      <x:c r="L410" s="13" t="n">
        <x:v>5</x:v>
      </x:c>
      <x:c r="M410" s="13" t="n">
        <x:v>0</x:v>
      </x:c>
      <x:c r="N410" s="13" t="n">
        <x:v>0</x:v>
      </x:c>
      <x:c r="O410" s="13" t="n">
        <x:v>0.43359742363651205</x:v>
      </x:c>
      <x:c r="P410" s="13" t="n">
        <x:v>0.5875369725749009</x:v>
      </x:c>
      <x:c r="Q410" s="13" t="n">
        <x:v>1987.96</x:v>
      </x:c>
      <x:c r="R410" s="13" t="n">
        <x:v>2.3989356204406334</x:v>
      </x:c>
      <x:c r="S410" s="13" t="n">
        <x:v>0.05534393974802467</x:v>
      </x:c>
      <x:c r="T410" s="13" t="n">
        <x:v>10</x:v>
      </x:c>
      <x:c r="U410" s="13" t="n">
        <x:v>101</x:v>
      </x:c>
      <x:c r="V410" s="13" t="n">
        <x:v>90</x:v>
      </x:c>
      <x:c r="W410" s="13" t="n">
        <x:v>11</x:v>
      </x:c>
      <x:c r="X410" s="13" t="n">
        <x:v>0</x:v>
      </x:c>
      <x:c r="Y410" s="13" t="n">
        <x:v>222923.36999999997</x:v>
      </x:c>
      <x:c r="Z410" s="13" t="n">
        <x:v>222923.36999999997</x:v>
      </x:c>
      <x:c r="AA410" s="13" t="n">
        <x:v>41</x:v>
      </x:c>
      <x:c r="AB410" s="13" t="n">
        <x:v>0.10891089108910891</x:v>
      </x:c>
      <x:c r="AC410" s="13" t="n">
        <x:v>0</x:v>
      </x:c>
      <x:c r="AD410" s="13" t="n">
        <x:v>0.08624810597048566</x:v>
      </x:c>
      <x:c r="AE410" s="13" t="n">
        <x:v>0.13873000394709625</x:v>
      </x:c>
      <x:c r="AF410" s="13" t="n">
        <x:v>7961.548928571428</x:v>
      </x:c>
      <x:c r="AG410" s="13" t="n">
        <x:v>1.236696128725723</x:v>
      </x:c>
      <x:c r="AH410" s="13" t="n">
        <x:v>0.023820688349564686</x:v>
      </x:c>
      <x:c r="AI410" s="13" t="n">
        <x:v>26</x:v>
      </x:c>
      <x:c r="AJ410" s="13" t="n">
        <x:v>173224.36999999997</x:v>
      </x:c>
      <x:c r="AK410" s="13" t="n">
        <x:v>0.22294208094916107</x:v>
      </x:c>
      <x:c r="AL410" s="13" t="n">
        <x:v>0.09482758620689655</x:v>
      </x:c>
      <x:c r="AM410" s="13" t="n">
        <x:v>0</x:v>
      </x:c>
      <x:c r="AN410" s="13" t="n">
        <x:v>0.25992276480349885</x:v>
      </x:c>
      <x:c r="AO410" s="13" t="n">
        <x:v>1.8178158745831783</x:v>
      </x:c>
      <x:c r="AP410" s="13" t="n">
        <x:v>0.03958231404879468</x:v>
      </x:c>
    </x:row>
    <x:row r="411" ht="15" hidden="0" customHeight="1">
      <x:c r="A411" s="2" t="str">
        <x:v>E410</x:v>
      </x:c>
      <x:c r="B411" s="2" t="str">
        <x:v>***网络科技有限公司</x:v>
      </x:c>
      <x:c r="C411" s="2" t="str">
        <x:v>无信贷记录</x:v>
      </x:c>
      <x:c r="D411" s="2" t="str"/>
      <x:c r="E411" s="2" t="str"/>
      <x:c r="F411" s="13" t="n">
        <x:v>105</x:v>
      </x:c>
      <x:c r="G411" s="13" t="n">
        <x:v>105</x:v>
      </x:c>
      <x:c r="H411" s="13" t="n">
        <x:v>0</x:v>
      </x:c>
      <x:c r="I411" s="13" t="n">
        <x:v>4</x:v>
      </x:c>
      <x:c r="J411" s="13" t="n">
        <x:v>18876.17</x:v>
      </x:c>
      <x:c r="K411" s="13" t="n">
        <x:v>19590.85</x:v>
      </x:c>
      <x:c r="L411" s="13" t="n">
        <x:v>10</x:v>
      </x:c>
      <x:c r="M411" s="13" t="n">
        <x:v>0</x:v>
      </x:c>
      <x:c r="N411" s="13" t="n">
        <x:v>0.0380952380952381</x:v>
      </x:c>
      <x:c r="O411" s="13" t="n">
        <x:v>0.38801985907424014</x:v>
      </x:c>
      <x:c r="P411" s="13" t="n">
        <x:v>0.593833345669024</x:v>
      </x:c>
      <x:c r="Q411" s="13" t="n">
        <x:v>650.9024137931034</x:v>
      </x:c>
      <x:c r="R411" s="13" t="n">
        <x:v>1.844448230280543</x:v>
      </x:c>
      <x:c r="S411" s="13" t="n">
        <x:v>0.11279386352495613</x:v>
      </x:c>
      <x:c r="T411" s="13" t="n">
        <x:v>18</x:v>
      </x:c>
      <x:c r="U411" s="13" t="n">
        <x:v>66</x:v>
      </x:c>
      <x:c r="V411" s="13" t="n">
        <x:v>65</x:v>
      </x:c>
      <x:c r="W411" s="13" t="n">
        <x:v>1</x:v>
      </x:c>
      <x:c r="X411" s="13" t="n">
        <x:v>1</x:v>
      </x:c>
      <x:c r="Y411" s="13" t="n">
        <x:v>412858</x:v>
      </x:c>
      <x:c r="Z411" s="13" t="n">
        <x:v>430798</x:v>
      </x:c>
      <x:c r="AA411" s="13" t="n">
        <x:v>41</x:v>
      </x:c>
      <x:c r="AB411" s="13" t="n">
        <x:v>0.015151515151515152</x:v>
      </x:c>
      <x:c r="AC411" s="13" t="n">
        <x:v>0.015384615384615385</x:v>
      </x:c>
      <x:c r="AD411" s="13" t="n">
        <x:v>0.07880065283613136</x:v>
      </x:c>
      <x:c r="AE411" s="13" t="n">
        <x:v>0.15088278032859948</x:v>
      </x:c>
      <x:c r="AF411" s="13" t="n">
        <x:v>12901.8125</x:v>
      </x:c>
      <x:c r="AG411" s="13" t="n">
        <x:v>1.3174906419984904</x:v>
      </x:c>
      <x:c r="AH411" s="13" t="n">
        <x:v>-0.015090468946885602</x:v>
      </x:c>
      <x:c r="AI411" s="13" t="n">
        <x:v>26</x:v>
      </x:c>
      <x:c r="AJ411" s="13" t="n">
        <x:v>393981.83</x:v>
      </x:c>
      <x:c r="AK411" s="13" t="n">
        <x:v>0.04547572180000825</x:v>
      </x:c>
      <x:c r="AL411" s="13" t="n">
        <x:v>0.005847953216374269</x:v>
      </x:c>
      <x:c r="AM411" s="13" t="n">
        <x:v>0.029411764705882353</x:v>
      </x:c>
      <x:c r="AN411" s="13" t="n">
        <x:v>0.23341025595518575</x:v>
      </x:c>
      <x:c r="AO411" s="13" t="n">
        <x:v>1.5809694361395166</x:v>
      </x:c>
      <x:c r="AP411" s="13" t="n">
        <x:v>0.04885169728903526</x:v>
      </x:c>
    </x:row>
    <x:row r="412" ht="15" hidden="0" customHeight="1">
      <x:c r="A412" s="2" t="str">
        <x:v>E411</x:v>
      </x:c>
      <x:c r="B412" s="2" t="str">
        <x:v>***机电设备有限公司</x:v>
      </x:c>
      <x:c r="C412" s="2" t="str">
        <x:v>无信贷记录</x:v>
      </x:c>
      <x:c r="D412" s="2" t="str"/>
      <x:c r="E412" s="2" t="str"/>
      <x:c r="F412" s="13" t="n">
        <x:v>109</x:v>
      </x:c>
      <x:c r="G412" s="13" t="n">
        <x:v>109</x:v>
      </x:c>
      <x:c r="H412" s="13" t="n">
        <x:v>0</x:v>
      </x:c>
      <x:c r="I412" s="13" t="n">
        <x:v>0</x:v>
      </x:c>
      <x:c r="J412" s="13" t="n">
        <x:v>251701.03000000003</x:v>
      </x:c>
      <x:c r="K412" s="13" t="n">
        <x:v>251701.03000000003</x:v>
      </x:c>
      <x:c r="L412" s="13" t="n">
        <x:v>33</x:v>
      </x:c>
      <x:c r="M412" s="13" t="n">
        <x:v>0</x:v>
      </x:c>
      <x:c r="N412" s="13" t="n">
        <x:v>0</x:v>
      </x:c>
      <x:c r="O412" s="13" t="n">
        <x:v>0.6413673590468892</x:v>
      </x:c>
      <x:c r="P412" s="13" t="n">
        <x:v>0.7985664579918486</x:v>
      </x:c>
      <x:c r="Q412" s="13" t="n">
        <x:v>7865.657187500001</x:v>
      </x:c>
      <x:c r="R412" s="13" t="n">
        <x:v>2.7265320462601617</x:v>
      </x:c>
      <x:c r="S412" s="13" t="n">
        <x:v>0.048230052303086246</x:v>
      </x:c>
      <x:c r="T412" s="13" t="n">
        <x:v>25</x:v>
      </x:c>
      <x:c r="U412" s="13" t="n">
        <x:v>97</x:v>
      </x:c>
      <x:c r="V412" s="13" t="n">
        <x:v>67</x:v>
      </x:c>
      <x:c r="W412" s="13" t="n">
        <x:v>30</x:v>
      </x:c>
      <x:c r="X412" s="13" t="n">
        <x:v>4</x:v>
      </x:c>
      <x:c r="Y412" s="13" t="n">
        <x:v>268303</x:v>
      </x:c>
      <x:c r="Z412" s="13" t="n">
        <x:v>309795</x:v>
      </x:c>
      <x:c r="AA412" s="13" t="n">
        <x:v>33</x:v>
      </x:c>
      <x:c r="AB412" s="13" t="n">
        <x:v>0.30927835051546393</x:v>
      </x:c>
      <x:c r="AC412" s="13" t="n">
        <x:v>0.05970149253731343</x:v>
      </x:c>
      <x:c r="AD412" s="13" t="n">
        <x:v>0.09817213612713567</x:v>
      </x:c>
      <x:c r="AE412" s="13" t="n">
        <x:v>0.18295324327377782</x:v>
      </x:c>
      <x:c r="AF412" s="13" t="n">
        <x:v>7665.8</x:v>
      </x:c>
      <x:c r="AG412" s="13" t="n">
        <x:v>1.536492625707114</x:v>
      </x:c>
      <x:c r="AH412" s="13" t="n">
        <x:v>0.018624664075355634</x:v>
      </x:c>
      <x:c r="AI412" s="13" t="n">
        <x:v>26</x:v>
      </x:c>
      <x:c r="AJ412" s="13" t="n">
        <x:v>16601.969999999972</x:v>
      </x:c>
      <x:c r="AK412" s="13" t="n">
        <x:v>0.8124760890266118</x:v>
      </x:c>
      <x:c r="AL412" s="13" t="n">
        <x:v>0.14563106796116504</x:v>
      </x:c>
      <x:c r="AM412" s="13" t="n">
        <x:v>0.022727272727272728</x:v>
      </x:c>
      <x:c r="AN412" s="13" t="n">
        <x:v>0.3697697475870125</x:v>
      </x:c>
      <x:c r="AO412" s="13" t="n">
        <x:v>2.131512335983638</x:v>
      </x:c>
      <x:c r="AP412" s="13" t="n">
        <x:v>0.03342735818922094</x:v>
      </x:c>
    </x:row>
    <x:row r="413" ht="15" hidden="0" customHeight="1">
      <x:c r="A413" s="2" t="str">
        <x:v>E412</x:v>
      </x:c>
      <x:c r="B413" s="2" t="str">
        <x:v>***汽车贸易有限公司</x:v>
      </x:c>
      <x:c r="C413" s="2" t="str">
        <x:v>无信贷记录</x:v>
      </x:c>
      <x:c r="D413" s="2" t="str"/>
      <x:c r="E413" s="2" t="str"/>
      <x:c r="F413" s="13" t="n">
        <x:v>86</x:v>
      </x:c>
      <x:c r="G413" s="13" t="n">
        <x:v>83</x:v>
      </x:c>
      <x:c r="H413" s="13" t="n">
        <x:v>3</x:v>
      </x:c>
      <x:c r="I413" s="13" t="n">
        <x:v>0</x:v>
      </x:c>
      <x:c r="J413" s="13" t="n">
        <x:v>69880.36</x:v>
      </x:c>
      <x:c r="K413" s="13" t="n">
        <x:v>69880.36</x:v>
      </x:c>
      <x:c r="L413" s="13" t="n">
        <x:v>19</x:v>
      </x:c>
      <x:c r="M413" s="13" t="n">
        <x:v>0.03488372093023256</x:v>
      </x:c>
      <x:c r="N413" s="13" t="n">
        <x:v>0</x:v>
      </x:c>
      <x:c r="O413" s="13" t="n">
        <x:v>0.164049374472096</x:v>
      </x:c>
      <x:c r="P413" s="13" t="n">
        <x:v>0.2630691942628801</x:v>
      </x:c>
      <x:c r="Q413" s="13" t="n">
        <x:v>1996.5817142857143</x:v>
      </x:c>
      <x:c r="R413" s="13" t="n">
        <x:v>1.4943247651066467</x:v>
      </x:c>
      <x:c r="S413" s="13" t="n">
        <x:v>0.0505453401875102</x:v>
      </x:c>
      <x:c r="T413" s="13" t="n">
        <x:v>20</x:v>
      </x:c>
      <x:c r="U413" s="13" t="n">
        <x:v>149</x:v>
      </x:c>
      <x:c r="V413" s="13" t="n">
        <x:v>137</x:v>
      </x:c>
      <x:c r="W413" s="13" t="n">
        <x:v>12</x:v>
      </x:c>
      <x:c r="X413" s="13" t="n">
        <x:v>0</x:v>
      </x:c>
      <x:c r="Y413" s="13" t="n">
        <x:v>331101</x:v>
      </x:c>
      <x:c r="Z413" s="13" t="n">
        <x:v>331101</x:v>
      </x:c>
      <x:c r="AA413" s="13" t="n">
        <x:v>88</x:v>
      </x:c>
      <x:c r="AB413" s="13" t="n">
        <x:v>0.08053691275167785</x:v>
      </x:c>
      <x:c r="AC413" s="13" t="n">
        <x:v>0</x:v>
      </x:c>
      <x:c r="AD413" s="13" t="n">
        <x:v>0.03230792682454063</x:v>
      </x:c>
      <x:c r="AE413" s="13" t="n">
        <x:v>0.084566340784232</x:v>
      </x:c>
      <x:c r="AF413" s="13" t="n">
        <x:v>9197.25</x:v>
      </x:c>
      <x:c r="AG413" s="13" t="n">
        <x:v>1.0746229593289751</x:v>
      </x:c>
      <x:c r="AH413" s="13" t="n">
        <x:v>-0.014241806723253416</x:v>
      </x:c>
      <x:c r="AI413" s="13" t="n">
        <x:v>33</x:v>
      </x:c>
      <x:c r="AJ413" s="13" t="n">
        <x:v>261220.64</x:v>
      </x:c>
      <x:c r="AK413" s="13" t="n">
        <x:v>0.21105451206731418</x:v>
      </x:c>
      <x:c r="AL413" s="13" t="n">
        <x:v>0.06382978723404255</x:v>
      </x:c>
      <x:c r="AM413" s="13" t="n">
        <x:v>0</x:v>
      </x:c>
      <x:c r="AN413" s="13" t="n">
        <x:v>0.09817865064831832</x:v>
      </x:c>
      <x:c r="AO413" s="13" t="n">
        <x:v>1.284473862217811</x:v>
      </x:c>
      <x:c r="AP413" s="13" t="n">
        <x:v>0.018151766732128392</x:v>
      </x:c>
    </x:row>
    <x:row r="414" ht="15" hidden="0" customHeight="1">
      <x:c r="A414" s="2" t="str">
        <x:v>E413</x:v>
      </x:c>
      <x:c r="B414" s="2" t="str">
        <x:v>***石材工艺品有限公司</x:v>
      </x:c>
      <x:c r="C414" s="2" t="str">
        <x:v>无信贷记录</x:v>
      </x:c>
      <x:c r="D414" s="2" t="str"/>
      <x:c r="E414" s="2" t="str"/>
      <x:c r="F414" s="13" t="n">
        <x:v>62</x:v>
      </x:c>
      <x:c r="G414" s="13" t="n">
        <x:v>62</x:v>
      </x:c>
      <x:c r="H414" s="13" t="n">
        <x:v>0</x:v>
      </x:c>
      <x:c r="I414" s="13" t="n">
        <x:v>0</x:v>
      </x:c>
      <x:c r="J414" s="13" t="n">
        <x:v>27243.899999999994</x:v>
      </x:c>
      <x:c r="K414" s="13" t="n">
        <x:v>27243.899999999994</x:v>
      </x:c>
      <x:c r="L414" s="13" t="n">
        <x:v>9</x:v>
      </x:c>
      <x:c r="M414" s="13" t="n">
        <x:v>0</x:v>
      </x:c>
      <x:c r="N414" s="13" t="n">
        <x:v>0</x:v>
      </x:c>
      <x:c r="O414" s="13" t="n">
        <x:v>0.25125699230518533</x:v>
      </x:c>
      <x:c r="P414" s="13" t="n">
        <x:v>0.34760735430683565</x:v>
      </x:c>
      <x:c r="Q414" s="13" t="n">
        <x:v>1362.1950000000002</x:v>
      </x:c>
      <x:c r="R414" s="13" t="n">
        <x:v>1.5157589321192444</x:v>
      </x:c>
      <x:c r="S414" s="13" t="n">
        <x:v>0.027051077199105895</x:v>
      </x:c>
      <x:c r="T414" s="13" t="n">
        <x:v>17</x:v>
      </x:c>
      <x:c r="U414" s="13" t="n">
        <x:v>40</x:v>
      </x:c>
      <x:c r="V414" s="13" t="n">
        <x:v>33</x:v>
      </x:c>
      <x:c r="W414" s="13" t="n">
        <x:v>7</x:v>
      </x:c>
      <x:c r="X414" s="13" t="n">
        <x:v>0</x:v>
      </x:c>
      <x:c r="Y414" s="13" t="n">
        <x:v>295588.31</x:v>
      </x:c>
      <x:c r="Z414" s="13" t="n">
        <x:v>295588.31</x:v>
      </x:c>
      <x:c r="AA414" s="13" t="n">
        <x:v>8</x:v>
      </x:c>
      <x:c r="AB414" s="13" t="n">
        <x:v>0.175</x:v>
      </x:c>
      <x:c r="AC414" s="13" t="n">
        <x:v>0</x:v>
      </x:c>
      <x:c r="AD414" s="13" t="n">
        <x:v>0.449248695490055</x:v>
      </x:c>
      <x:c r="AE414" s="13" t="n">
        <x:v>0.6393080971300928</x:v>
      </x:c>
      <x:c r="AF414" s="13" t="n">
        <x:v>9237.1346875</x:v>
      </x:c>
      <x:c r="AG414" s="13" t="n">
        <x:v>3.325920830282406</x:v>
      </x:c>
      <x:c r="AH414" s="13" t="n">
        <x:v>0.1330474627455745</x:v>
      </x:c>
      <x:c r="AI414" s="13" t="n">
        <x:v>7</x:v>
      </x:c>
      <x:c r="AJ414" s="13" t="n">
        <x:v>268344.41000000003</x:v>
      </x:c>
      <x:c r="AK414" s="13" t="n">
        <x:v>0.0921683946161467</x:v>
      </x:c>
      <x:c r="AL414" s="13" t="n">
        <x:v>0.06862745098039216</x:v>
      </x:c>
      <x:c r="AM414" s="13" t="n">
        <x:v>0</x:v>
      </x:c>
      <x:c r="AN414" s="13" t="n">
        <x:v>0.3502528438976201</x:v>
      </x:c>
      <x:c r="AO414" s="13" t="n">
        <x:v>2.420839881200825</x:v>
      </x:c>
      <x:c r="AP414" s="13" t="n">
        <x:v>0.0800492699723402</x:v>
      </x:c>
    </x:row>
    <x:row r="415" ht="15" hidden="0" customHeight="1">
      <x:c r="A415" s="2" t="str">
        <x:v>E414</x:v>
      </x:c>
      <x:c r="B415" s="2" t="str">
        <x:v>***物流有限责任公司***分公司</x:v>
      </x:c>
      <x:c r="C415" s="2" t="str">
        <x:v>无信贷记录</x:v>
      </x:c>
      <x:c r="D415" s="2" t="str"/>
      <x:c r="E415" s="2" t="str"/>
      <x:c r="F415" s="13" t="n">
        <x:v>6</x:v>
      </x:c>
      <x:c r="G415" s="13" t="n">
        <x:v>6</x:v>
      </x:c>
      <x:c r="H415" s="13" t="n">
        <x:v>0</x:v>
      </x:c>
      <x:c r="I415" s="13" t="n">
        <x:v>0</x:v>
      </x:c>
      <x:c r="J415" s="13" t="n">
        <x:v>10282.33</x:v>
      </x:c>
      <x:c r="K415" s="13" t="n">
        <x:v>10282.33</x:v>
      </x:c>
      <x:c r="L415" s="13" t="n">
        <x:v>4</x:v>
      </x:c>
      <x:c r="M415" s="13" t="n">
        <x:v>0</x:v>
      </x:c>
      <x:c r="N415" s="13" t="n">
        <x:v>0</x:v>
      </x:c>
      <x:c r="O415" s="13" t="n">
        <x:v>0.44652197477327193</x:v>
      </x:c>
      <x:c r="P415" s="13" t="n">
        <x:v>0.5536031230275629</x:v>
      </x:c>
      <x:c r="Q415" s="13" t="n">
        <x:v>380.82703703703703</x:v>
      </x:c>
      <x:c r="R415" s="13" t="n">
        <x:v>3.0822291037083978</x:v>
      </x:c>
      <x:c r="S415" s="13" t="n">
        <x:v>-0.044806409219804874</x:v>
      </x:c>
      <x:c r="T415" s="13" t="n">
        <x:v>5</x:v>
      </x:c>
      <x:c r="U415" s="13" t="n">
        <x:v>14</x:v>
      </x:c>
      <x:c r="V415" s="13" t="n">
        <x:v>11</x:v>
      </x:c>
      <x:c r="W415" s="13" t="n">
        <x:v>3</x:v>
      </x:c>
      <x:c r="X415" s="13" t="n">
        <x:v>0</x:v>
      </x:c>
      <x:c r="Y415" s="13" t="n">
        <x:v>388400</x:v>
      </x:c>
      <x:c r="Z415" s="13" t="n">
        <x:v>388400</x:v>
      </x:c>
      <x:c r="AA415" s="13" t="n">
        <x:v>6</x:v>
      </x:c>
      <x:c r="AB415" s="13" t="n">
        <x:v>0.21428571428571427</x:v>
      </x:c>
      <x:c r="AC415" s="13" t="n">
        <x:v>0</x:v>
      </x:c>
      <x:c r="AD415" s="13" t="n">
        <x:v>0.32957532075927964</x:v>
      </x:c>
      <x:c r="AE415" s="13" t="n">
        <x:v>0.46472708547888775</x:v>
      </x:c>
      <x:c r="AF415" s="13" t="n">
        <x:v>27742.85714285714</x:v>
      </x:c>
      <x:c r="AG415" s="13" t="n">
        <x:v>1.963103255149723</x:v>
      </x:c>
      <x:c r="AH415" s="13" t="n">
        <x:v>-0.14722911552630938</x:v>
      </x:c>
      <x:c r="AI415" s="13" t="n">
        <x:v>7</x:v>
      </x:c>
      <x:c r="AJ415" s="13" t="n">
        <x:v>378117.67</x:v>
      </x:c>
      <x:c r="AK415" s="13" t="n">
        <x:v>0.026473558187435565</x:v>
      </x:c>
      <x:c r="AL415" s="13" t="n">
        <x:v>0.15</x:v>
      </x:c>
      <x:c r="AM415" s="13" t="n">
        <x:v>0</x:v>
      </x:c>
      <x:c r="AN415" s="13" t="n">
        <x:v>0.3880486477662758</x:v>
      </x:c>
      <x:c r="AO415" s="13" t="n">
        <x:v>2.52266617942906</x:v>
      </x:c>
      <x:c r="AP415" s="13" t="n">
        <x:v>-0.14632887016078774</x:v>
      </x:c>
    </x:row>
    <x:row r="416" ht="15" hidden="0" customHeight="1">
      <x:c r="A416" s="2" t="str">
        <x:v>E415</x:v>
      </x:c>
      <x:c r="B416" s="2" t="str">
        <x:v>***广告设计服务部</x:v>
      </x:c>
      <x:c r="C416" s="2" t="str">
        <x:v>无信贷记录</x:v>
      </x:c>
      <x:c r="D416" s="2" t="str"/>
      <x:c r="E416" s="2" t="str"/>
      <x:c r="F416" s="13" t="n">
        <x:v>2</x:v>
      </x:c>
      <x:c r="G416" s="13" t="n">
        <x:v>2</x:v>
      </x:c>
      <x:c r="H416" s="13" t="n">
        <x:v>0</x:v>
      </x:c>
      <x:c r="I416" s="13" t="n">
        <x:v>0</x:v>
      </x:c>
      <x:c r="J416" s="13" t="n">
        <x:v>18000</x:v>
      </x:c>
      <x:c r="K416" s="13" t="n">
        <x:v>18000</x:v>
      </x:c>
      <x:c r="L416" s="13" t="n">
        <x:v>1</x:v>
      </x:c>
      <x:c r="M416" s="13" t="n">
        <x:v>0</x:v>
      </x:c>
      <x:c r="N416" s="13" t="n">
        <x:v>0</x:v>
      </x:c>
      <x:c r="O416" s="13" t="n">
        <x:v>1</x:v>
      </x:c>
      <x:c r="P416" s="13" t="n">
        <x:v>1</x:v>
      </x:c>
      <x:c r="Q416" s="13" t="n">
        <x:v>2571.4285714285716</x:v>
      </x:c>
      <x:c r="R416" s="13" t="n">
        <x:v>1.5811388300835747</x:v>
      </x:c>
      <x:c r="S416" s="13" t="n">
        <x:v>-1.3924420541266478e-16</x:v>
      </x:c>
      <x:c r="T416" s="13" t="n">
        <x:v>2</x:v>
      </x:c>
      <x:c r="U416" s="13" t="n">
        <x:v>208</x:v>
      </x:c>
      <x:c r="V416" s="13" t="n">
        <x:v>208</x:v>
      </x:c>
      <x:c r="W416" s="13" t="n">
        <x:v>0</x:v>
      </x:c>
      <x:c r="X416" s="13" t="n">
        <x:v>7</x:v>
      </x:c>
      <x:c r="Y416" s="13" t="n">
        <x:v>87893.2</x:v>
      </x:c>
      <x:c r="Z416" s="13" t="n">
        <x:v>94889.2</x:v>
      </x:c>
      <x:c r="AA416" s="13" t="n">
        <x:v>185</x:v>
      </x:c>
      <x:c r="AB416" s="13" t="n">
        <x:v>0</x:v>
      </x:c>
      <x:c r="AC416" s="13" t="n">
        <x:v>0.03365384615384615</x:v>
      </x:c>
      <x:c r="AD416" s="13" t="n">
        <x:v>0.011051356379054635</x:v>
      </x:c>
      <x:c r="AE416" s="13" t="n">
        <x:v>0.058520885411616916</x:v>
      </x:c>
      <x:c r="AF416" s="13" t="n">
        <x:v>3821.4434782608696</x:v>
      </x:c>
      <x:c r="AG416" s="13" t="n">
        <x:v>0.7595491713210369</x:v>
      </x:c>
      <x:c r="AH416" s="13" t="n">
        <x:v>0.007662915695617027</x:v>
      </x:c>
      <x:c r="AI416" s="13" t="n">
        <x:v>23</x:v>
      </x:c>
      <x:c r="AJ416" s="13" t="n">
        <x:v>69893.2</x:v>
      </x:c>
      <x:c r="AK416" s="13" t="n">
        <x:v>0.18969492840070112</x:v>
      </x:c>
      <x:c r="AL416" s="13" t="n">
        <x:v>0.0014035087719298258</x:v>
      </x:c>
      <x:c r="AM416" s="13" t="n">
        <x:v>0.03333333333333333</x:v>
      </x:c>
      <x:c r="AN416" s="13" t="n">
        <x:v>0.5055256781895273</x:v>
      </x:c>
      <x:c r="AO416" s="13" t="n">
        <x:v>1.1703440007023058</x:v>
      </x:c>
      <x:c r="AP416" s="13" t="n">
        <x:v>0.0038314578478084436</x:v>
      </x:c>
    </x:row>
    <x:row r="417" ht="15" hidden="0" customHeight="1">
      <x:c r="A417" s="2" t="str">
        <x:v>E416</x:v>
      </x:c>
      <x:c r="B417" s="2" t="str">
        <x:v>***科技有限公司</x:v>
      </x:c>
      <x:c r="C417" s="2" t="str">
        <x:v>无信贷记录</x:v>
      </x:c>
      <x:c r="D417" s="2" t="str"/>
      <x:c r="E417" s="2" t="str"/>
      <x:c r="F417" s="13" t="n">
        <x:v>8</x:v>
      </x:c>
      <x:c r="G417" s="13" t="n">
        <x:v>7</x:v>
      </x:c>
      <x:c r="H417" s="13" t="n">
        <x:v>1</x:v>
      </x:c>
      <x:c r="I417" s="13" t="n">
        <x:v>0</x:v>
      </x:c>
      <x:c r="J417" s="13" t="n">
        <x:v>111757.72</x:v>
      </x:c>
      <x:c r="K417" s="13" t="n">
        <x:v>111757.72</x:v>
      </x:c>
      <x:c r="L417" s="13" t="n">
        <x:v>5</x:v>
      </x:c>
      <x:c r="M417" s="13" t="n">
        <x:v>0.125</x:v>
      </x:c>
      <x:c r="N417" s="13" t="n">
        <x:v>0</x:v>
      </x:c>
      <x:c r="O417" s="13" t="n">
        <x:v>0.970262974590547</x:v>
      </x:c>
      <x:c r="P417" s="13" t="n">
        <x:v>0.9849880616748445</x:v>
      </x:c>
      <x:c r="Q417" s="13" t="n">
        <x:v>3605.087741935484</x:v>
      </x:c>
      <x:c r="R417" s="13" t="n">
        <x:v>3.951170251475676</x:v>
      </x:c>
      <x:c r="S417" s="13" t="n">
        <x:v>0.16049843581271195</x:v>
      </x:c>
      <x:c r="T417" s="13" t="n">
        <x:v>7</x:v>
      </x:c>
      <x:c r="U417" s="13" t="n">
        <x:v>25</x:v>
      </x:c>
      <x:c r="V417" s="13" t="n">
        <x:v>23</x:v>
      </x:c>
      <x:c r="W417" s="13" t="n">
        <x:v>2</x:v>
      </x:c>
      <x:c r="X417" s="13" t="n">
        <x:v>0</x:v>
      </x:c>
      <x:c r="Y417" s="13" t="n">
        <x:v>215696.8</x:v>
      </x:c>
      <x:c r="Z417" s="13" t="n">
        <x:v>215696.8</x:v>
      </x:c>
      <x:c r="AA417" s="13" t="n">
        <x:v>5</x:v>
      </x:c>
      <x:c r="AB417" s="13" t="n">
        <x:v>0.08</x:v>
      </x:c>
      <x:c r="AC417" s="13" t="n">
        <x:v>0</x:v>
      </x:c>
      <x:c r="AD417" s="13" t="n">
        <x:v>0.404406569274399</x:v>
      </x:c>
      <x:c r="AE417" s="13" t="n">
        <x:v>0.5563364871430638</x:v>
      </x:c>
      <x:c r="AF417" s="13" t="n">
        <x:v>6536.266666666666</x:v>
      </x:c>
      <x:c r="AG417" s="13" t="n">
        <x:v>2.0911594021739828</x:v>
      </x:c>
      <x:c r="AH417" s="13" t="n">
        <x:v>0.07270475200809086</x:v>
      </x:c>
      <x:c r="AI417" s="13" t="n">
        <x:v>8</x:v>
      </x:c>
      <x:c r="AJ417" s="13" t="n">
        <x:v>103939.07999999999</x:v>
      </x:c>
      <x:c r="AK417" s="13" t="n">
        <x:v>0.5181241446326487</x:v>
      </x:c>
      <x:c r="AL417" s="13" t="n">
        <x:v>0.09090909090909091</x:v>
      </x:c>
      <x:c r="AM417" s="13" t="n">
        <x:v>0</x:v>
      </x:c>
      <x:c r="AN417" s="13" t="n">
        <x:v>0.6873347719324729</x:v>
      </x:c>
      <x:c r="AO417" s="13" t="n">
        <x:v>3.0211648268248297</x:v>
      </x:c>
      <x:c r="AP417" s="13" t="n">
        <x:v>0.1166015939104014</x:v>
      </x:c>
    </x:row>
    <x:row r="418" ht="15" hidden="0" customHeight="1">
      <x:c r="A418" s="2" t="str">
        <x:v>E417</x:v>
      </x:c>
      <x:c r="B418" s="2" t="str">
        <x:v>***园林景观工程有限公司</x:v>
      </x:c>
      <x:c r="C418" s="2" t="str">
        <x:v>无信贷记录</x:v>
      </x:c>
      <x:c r="D418" s="2" t="str"/>
      <x:c r="E418" s="2" t="str"/>
      <x:c r="F418" s="13" t="n">
        <x:v>128</x:v>
      </x:c>
      <x:c r="G418" s="13" t="n">
        <x:v>127</x:v>
      </x:c>
      <x:c r="H418" s="13" t="n">
        <x:v>1</x:v>
      </x:c>
      <x:c r="I418" s="13" t="n">
        <x:v>0</x:v>
      </x:c>
      <x:c r="J418" s="13" t="n">
        <x:v>173818.46000000002</x:v>
      </x:c>
      <x:c r="K418" s="13" t="n">
        <x:v>173818.46000000002</x:v>
      </x:c>
      <x:c r="L418" s="13" t="n">
        <x:v>23</x:v>
      </x:c>
      <x:c r="M418" s="13" t="n">
        <x:v>0.0078125</x:v>
      </x:c>
      <x:c r="N418" s="13" t="n">
        <x:v>0</x:v>
      </x:c>
      <x:c r="O418" s="13" t="n">
        <x:v>0.32238592946678146</x:v>
      </x:c>
      <x:c r="P418" s="13" t="n">
        <x:v>0.5281372300732615</x:v>
      </x:c>
      <x:c r="Q418" s="13" t="n">
        <x:v>5112.307647058824</x:v>
      </x:c>
      <x:c r="R418" s="13" t="n">
        <x:v>3.115028826573907</x:v>
      </x:c>
      <x:c r="S418" s="13" t="n">
        <x:v>-0.10249819758579934</x:v>
      </x:c>
      <x:c r="T418" s="13" t="n">
        <x:v>31</x:v>
      </x:c>
      <x:c r="U418" s="13" t="n">
        <x:v>9.440000000000001</x:v>
      </x:c>
      <x:c r="V418" s="13" t="n">
        <x:v>6.720000000000001</x:v>
      </x:c>
      <x:c r="W418" s="13" t="n">
        <x:v>0</x:v>
      </x:c>
      <x:c r="X418" s="13" t="n">
        <x:v>0</x:v>
      </x:c>
      <x:c r="Y418" s="13" t="n">
        <x:v>166520</x:v>
      </x:c>
      <x:c r="Z418" s="13" t="n">
        <x:v>166520</x:v>
      </x:c>
      <x:c r="AA418" s="13" t="n">
        <x:v>2</x:v>
      </x:c>
      <x:c r="AB418" s="13" t="n">
        <x:v>0</x:v>
      </x:c>
      <x:c r="AC418" s="13" t="n">
        <x:v>0</x:v>
      </x:c>
      <x:c r="AD418" s="13" t="n">
        <x:v>0.5167960151798824</x:v>
      </x:c>
      <x:c r="AE418" s="13" t="n">
        <x:v>0.5916406437665145</x:v>
      </x:c>
      <x:c r="AF418" s="13" t="n">
        <x:v>9795.29411764706</x:v>
      </x:c>
      <x:c r="AG418" s="13" t="n">
        <x:v>2.4932009920536733</x:v>
      </x:c>
      <x:c r="AH418" s="13" t="n">
        <x:v>-0.12014572824083962</x:v>
      </x:c>
      <x:c r="AI418" s="13" t="n">
        <x:v>4</x:v>
      </x:c>
      <x:c r="AJ418" s="13" t="n">
        <x:v>-7298.460000000021</x:v>
      </x:c>
      <x:c r="AK418" s="13" t="n">
        <x:v>1.043829329810227</x:v>
      </x:c>
      <x:c r="AL418" s="13" t="n">
        <x:v>0.007462686567164179</x:v>
      </x:c>
      <x:c r="AM418" s="13" t="n">
        <x:v>0</x:v>
      </x:c>
      <x:c r="AN418" s="13" t="n">
        <x:v>0.4195909723233319</x:v>
      </x:c>
      <x:c r="AO418" s="13" t="n">
        <x:v>2.80411490931379</x:v>
      </x:c>
      <x:c r="AP418" s="13" t="n">
        <x:v>-0.11132196291331947</x:v>
      </x:c>
    </x:row>
    <x:row r="419" ht="15" hidden="0" customHeight="1">
      <x:c r="A419" s="2" t="str">
        <x:v>E418</x:v>
      </x:c>
      <x:c r="B419" s="2" t="str">
        <x:v>***营销策划有限公司</x:v>
      </x:c>
      <x:c r="C419" s="2" t="str">
        <x:v>无信贷记录</x:v>
      </x:c>
      <x:c r="D419" s="2" t="str"/>
      <x:c r="E419" s="2" t="str"/>
      <x:c r="F419" s="13" t="n">
        <x:v>71</x:v>
      </x:c>
      <x:c r="G419" s="13" t="n">
        <x:v>71</x:v>
      </x:c>
      <x:c r="H419" s="13" t="n">
        <x:v>0</x:v>
      </x:c>
      <x:c r="I419" s="13" t="n">
        <x:v>0</x:v>
      </x:c>
      <x:c r="J419" s="13" t="n">
        <x:v>48995.44</x:v>
      </x:c>
      <x:c r="K419" s="13" t="n">
        <x:v>48995.44</x:v>
      </x:c>
      <x:c r="L419" s="13" t="n">
        <x:v>31</x:v>
      </x:c>
      <x:c r="M419" s="13" t="n">
        <x:v>0</x:v>
      </x:c>
      <x:c r="N419" s="13" t="n">
        <x:v>0</x:v>
      </x:c>
      <x:c r="O419" s="13" t="n">
        <x:v>0.1589044575775954</x:v>
      </x:c>
      <x:c r="P419" s="13" t="n">
        <x:v>0.31788672578509347</x:v>
      </x:c>
      <x:c r="Q419" s="13" t="n">
        <x:v>1580.498064516129</x:v>
      </x:c>
      <x:c r="R419" s="13" t="n">
        <x:v>2.2129421301053607</x:v>
      </x:c>
      <x:c r="S419" s="13" t="n">
        <x:v>-0.04455310790144184</x:v>
      </x:c>
      <x:c r="T419" s="13" t="n">
        <x:v>19</x:v>
      </x:c>
      <x:c r="U419" s="13" t="n">
        <x:v>23</x:v>
      </x:c>
      <x:c r="V419" s="13" t="n">
        <x:v>20</x:v>
      </x:c>
      <x:c r="W419" s="13" t="n">
        <x:v>3</x:v>
      </x:c>
      <x:c r="X419" s="13" t="n">
        <x:v>0</x:v>
      </x:c>
      <x:c r="Y419" s="13" t="n">
        <x:v>438891.2</x:v>
      </x:c>
      <x:c r="Z419" s="13" t="n">
        <x:v>438891.2</x:v>
      </x:c>
      <x:c r="AA419" s="13" t="n">
        <x:v>13</x:v>
      </x:c>
      <x:c r="AB419" s="13" t="n">
        <x:v>0.13043478260869565</x:v>
      </x:c>
      <x:c r="AC419" s="13" t="n">
        <x:v>0</x:v>
      </x:c>
      <x:c r="AD419" s="13" t="n">
        <x:v>0.36475733011486283</x:v>
      </x:c>
      <x:c r="AE419" s="13" t="n">
        <x:v>0.579312139318355</x:v>
      </x:c>
      <x:c r="AF419" s="13" t="n">
        <x:v>18287.133333333335</x:v>
      </x:c>
      <x:c r="AG419" s="13" t="n">
        <x:v>2.9912135427407462</x:v>
      </x:c>
      <x:c r="AH419" s="13" t="n">
        <x:v>-0.14606918208588426</x:v>
      </x:c>
      <x:c r="AI419" s="13" t="n">
        <x:v>9</x:v>
      </x:c>
      <x:c r="AJ419" s="13" t="n">
        <x:v>389895.76</x:v>
      </x:c>
      <x:c r="AK419" s="13" t="n">
        <x:v>0.1116345918988576</x:v>
      </x:c>
      <x:c r="AL419" s="13" t="n">
        <x:v>0.031914893617021274</x:v>
      </x:c>
      <x:c r="AM419" s="13" t="n">
        <x:v>0</x:v>
      </x:c>
      <x:c r="AN419" s="13" t="n">
        <x:v>0.2618308938462291</x:v>
      </x:c>
      <x:c r="AO419" s="13" t="n">
        <x:v>2.6020778364230535</x:v>
      </x:c>
      <x:c r="AP419" s="13" t="n">
        <x:v>-0.09531114499366306</x:v>
      </x:c>
    </x:row>
    <x:row r="420" ht="15" hidden="0" customHeight="1">
      <x:c r="A420" s="2" t="str">
        <x:v>E419</x:v>
      </x:c>
      <x:c r="B420" s="2" t="str">
        <x:v>***科技有限公司</x:v>
      </x:c>
      <x:c r="C420" s="2" t="str">
        <x:v>无信贷记录</x:v>
      </x:c>
      <x:c r="D420" s="2" t="str"/>
      <x:c r="E420" s="2" t="str"/>
      <x:c r="F420" s="13" t="n">
        <x:v>1304</x:v>
      </x:c>
      <x:c r="G420" s="13" t="n">
        <x:v>1278</x:v>
      </x:c>
      <x:c r="H420" s="13" t="n">
        <x:v>26</x:v>
      </x:c>
      <x:c r="I420" s="13" t="n">
        <x:v>13</x:v>
      </x:c>
      <x:c r="J420" s="13" t="n">
        <x:v>11909599.52</x:v>
      </x:c>
      <x:c r="K420" s="13" t="n">
        <x:v>11998609.96</x:v>
      </x:c>
      <x:c r="L420" s="13" t="n">
        <x:v>194</x:v>
      </x:c>
      <x:c r="M420" s="13" t="n">
        <x:v>0.019938650306748466</x:v>
      </x:c>
      <x:c r="N420" s="13" t="n">
        <x:v>0.010172143974960876</x:v>
      </x:c>
      <x:c r="O420" s="13" t="n">
        <x:v>0.5557648124560594</x:v>
      </x:c>
      <x:c r="P420" s="13" t="n">
        <x:v>0.740217715186068</x:v>
      </x:c>
      <x:c r="Q420" s="13" t="n">
        <x:v>313410.51368421054</x:v>
      </x:c>
      <x:c r="R420" s="13" t="n">
        <x:v>0.8891747043513635</x:v>
      </x:c>
      <x:c r="S420" s="13" t="n">
        <x:v>0.06980526781250335</x:v>
      </x:c>
      <x:c r="T420" s="13" t="n">
        <x:v>38</x:v>
      </x:c>
      <x:c r="U420" s="13" t="n">
        <x:v>9.440000000000001</x:v>
      </x:c>
      <x:c r="V420" s="13" t="n">
        <x:v>6.720000000000001</x:v>
      </x:c>
      <x:c r="W420" s="13" t="n">
        <x:v>0</x:v>
      </x:c>
      <x:c r="X420" s="13" t="n">
        <x:v>0</x:v>
      </x:c>
      <x:c r="Y420" s="13" t="n">
        <x:v>64155.65600000001</x:v>
      </x:c>
      <x:c r="Z420" s="13" t="n">
        <x:v>67271.656</x:v>
      </x:c>
      <x:c r="AA420" s="13" t="n">
        <x:v>2</x:v>
      </x:c>
      <x:c r="AB420" s="13" t="n">
        <x:v>0</x:v>
      </x:c>
      <x:c r="AC420" s="13" t="n">
        <x:v>0</x:v>
      </x:c>
      <x:c r="AD420" s="13" t="n">
        <x:v>0.6009241755933628</x:v>
      </x:c>
      <x:c r="AE420" s="13" t="n">
        <x:v>0.7246376811594203</x:v>
      </x:c>
      <x:c r="AF420" s="13" t="n">
        <x:v>2905.2631578947367</x:v>
      </x:c>
      <x:c r="AG420" s="13" t="n">
        <x:v>2.0080702541905553</x:v>
      </x:c>
      <x:c r="AH420" s="13" t="n">
        <x:v>0.06714975845408318</x:v>
      </x:c>
      <x:c r="AI420" s="13" t="n">
        <x:v>4</x:v>
      </x:c>
      <x:c r="AJ420" s="13" t="n">
        <x:v>-11854399.52</x:v>
      </x:c>
      <x:c r="AK420" s="13" t="n">
        <x:v>21.2915080780909</x:v>
      </x:c>
      <x:c r="AL420" s="13" t="n">
        <x:v>0.019877675840978593</x:v>
      </x:c>
      <x:c r="AM420" s="13" t="n">
        <x:v>0.01014040561622465</x:v>
      </x:c>
      <x:c r="AN420" s="13" t="n">
        <x:v>0.5783444940247111</x:v>
      </x:c>
      <x:c r="AO420" s="13" t="n">
        <x:v>1.4486224792709594</x:v>
      </x:c>
      <x:c r="AP420" s="13" t="n">
        <x:v>0.06847751313329326</x:v>
      </x:c>
    </x:row>
    <x:row r="421" ht="15" hidden="0" customHeight="1">
      <x:c r="A421" s="2" t="str">
        <x:v>E420</x:v>
      </x:c>
      <x:c r="B421" s="2" t="str">
        <x:v>***康药房</x:v>
      </x:c>
      <x:c r="C421" s="2" t="str">
        <x:v>无信贷记录</x:v>
      </x:c>
      <x:c r="D421" s="2" t="str"/>
      <x:c r="E421" s="2" t="str"/>
      <x:c r="F421" s="13" t="n">
        <x:v>153</x:v>
      </x:c>
      <x:c r="G421" s="13" t="n">
        <x:v>151</x:v>
      </x:c>
      <x:c r="H421" s="13" t="n">
        <x:v>2</x:v>
      </x:c>
      <x:c r="I421" s="13" t="n">
        <x:v>0</x:v>
      </x:c>
      <x:c r="J421" s="13" t="n">
        <x:v>2137589.3600000003</x:v>
      </x:c>
      <x:c r="K421" s="13" t="n">
        <x:v>2137589.3600000003</x:v>
      </x:c>
      <x:c r="L421" s="13" t="n">
        <x:v>20</x:v>
      </x:c>
      <x:c r="M421" s="13" t="n">
        <x:v>0.013071895424836602</x:v>
      </x:c>
      <x:c r="N421" s="13" t="n">
        <x:v>0</x:v>
      </x:c>
      <x:c r="O421" s="13" t="n">
        <x:v>0.2479274622245426</x:v>
      </x:c>
      <x:c r="P421" s="13" t="n">
        <x:v>0.37780783115424943</x:v>
      </x:c>
      <x:c r="Q421" s="13" t="n">
        <x:v>64775.43515151515</x:v>
      </x:c>
      <x:c r="R421" s="13" t="n">
        <x:v>0.5571576823394986</x:v>
      </x:c>
      <x:c r="S421" s="13" t="n">
        <x:v>-0.0055243784397996975</x:v>
      </x:c>
      <x:c r="T421" s="13" t="n">
        <x:v>32</x:v>
      </x:c>
      <x:c r="U421" s="13" t="n">
        <x:v>126</x:v>
      </x:c>
      <x:c r="V421" s="13" t="n">
        <x:v>114</x:v>
      </x:c>
      <x:c r="W421" s="13" t="n">
        <x:v>12</x:v>
      </x:c>
      <x:c r="X421" s="13" t="n">
        <x:v>0</x:v>
      </x:c>
      <x:c r="Y421" s="13" t="n">
        <x:v>82321.73000000001</x:v>
      </x:c>
      <x:c r="Z421" s="13" t="n">
        <x:v>82321.73000000001</x:v>
      </x:c>
      <x:c r="AA421" s="13" t="n">
        <x:v>74</x:v>
      </x:c>
      <x:c r="AB421" s="13" t="n">
        <x:v>0.09523809523809523</x:v>
      </x:c>
      <x:c r="AC421" s="13" t="n">
        <x:v>0</x:v>
      </x:c>
      <x:c r="AD421" s="13" t="n">
        <x:v>0.02781574808590936</x:v>
      </x:c>
      <x:c r="AE421" s="13" t="n">
        <x:v>0.06613745848149694</x:v>
      </x:c>
      <x:c r="AF421" s="13" t="n">
        <x:v>2593.1575457735244</x:v>
      </x:c>
      <x:c r="AG421" s="13" t="n">
        <x:v>0.9541699300375958</x:v>
      </x:c>
      <x:c r="AH421" s="13" t="n">
        <x:v>-0.03145896200759568</x:v>
      </x:c>
      <x:c r="AI421" s="13" t="n">
        <x:v>30</x:v>
      </x:c>
      <x:c r="AJ421" s="13" t="n">
        <x:v>-2055267.6300000004</x:v>
      </x:c>
      <x:c r="AK421" s="13" t="n">
        <x:v>21.2915080780909</x:v>
      </x:c>
      <x:c r="AL421" s="13" t="n">
        <x:v>0.05017921146953405</x:v>
      </x:c>
      <x:c r="AM421" s="13" t="n">
        <x:v>0</x:v>
      </x:c>
      <x:c r="AN421" s="13" t="n">
        <x:v>0.13787160515522598</x:v>
      </x:c>
      <x:c r="AO421" s="13" t="n">
        <x:v>0.7556638061885472</x:v>
      </x:c>
      <x:c r="AP421" s="13" t="n">
        <x:v>-0.01849167022369769</x:v>
      </x:c>
    </x:row>
    <x:row r="422" ht="15" hidden="0" customHeight="1">
      <x:c r="A422" s="2" t="str">
        <x:v>E421</x:v>
      </x:c>
      <x:c r="B422" s="2" t="str">
        <x:v>***保温材料有限公司</x:v>
      </x:c>
      <x:c r="C422" s="2" t="str">
        <x:v>无信贷记录</x:v>
      </x:c>
      <x:c r="D422" s="2" t="str"/>
      <x:c r="E422" s="2" t="str"/>
      <x:c r="F422" s="13" t="n">
        <x:v>19</x:v>
      </x:c>
      <x:c r="G422" s="13" t="n">
        <x:v>19</x:v>
      </x:c>
      <x:c r="H422" s="13" t="n">
        <x:v>0</x:v>
      </x:c>
      <x:c r="I422" s="13" t="n">
        <x:v>0</x:v>
      </x:c>
      <x:c r="J422" s="13" t="n">
        <x:v>32170</x:v>
      </x:c>
      <x:c r="K422" s="13" t="n">
        <x:v>32170</x:v>
      </x:c>
      <x:c r="L422" s="13" t="n">
        <x:v>5</x:v>
      </x:c>
      <x:c r="M422" s="13" t="n">
        <x:v>0</x:v>
      </x:c>
      <x:c r="N422" s="13" t="n">
        <x:v>0</x:v>
      </x:c>
      <x:c r="O422" s="13" t="n">
        <x:v>0.8540227067329308</x:v>
      </x:c>
      <x:c r="P422" s="13" t="n">
        <x:v>0.9232203916692571</x:v>
      </x:c>
      <x:c r="Q422" s="13" t="n">
        <x:v>1148.9285714285713</x:v>
      </x:c>
      <x:c r="R422" s="13" t="n">
        <x:v>1.6965499835937472</x:v>
      </x:c>
      <x:c r="S422" s="13" t="n">
        <x:v>0.05028125249359337</x:v>
      </x:c>
      <x:c r="T422" s="13" t="n">
        <x:v>13</x:v>
      </x:c>
      <x:c r="U422" s="13" t="n">
        <x:v>29</x:v>
      </x:c>
      <x:c r="V422" s="13" t="n">
        <x:v>28</x:v>
      </x:c>
      <x:c r="W422" s="13" t="n">
        <x:v>1</x:v>
      </x:c>
      <x:c r="X422" s="13" t="n">
        <x:v>0</x:v>
      </x:c>
      <x:c r="Y422" s="13" t="n">
        <x:v>253071.83</x:v>
      </x:c>
      <x:c r="Z422" s="13" t="n">
        <x:v>253071.83</x:v>
      </x:c>
      <x:c r="AA422" s="13" t="n">
        <x:v>6</x:v>
      </x:c>
      <x:c r="AB422" s="13" t="n">
        <x:v>0.034482758620689655</x:v>
      </x:c>
      <x:c r="AC422" s="13" t="n">
        <x:v>0</x:v>
      </x:c>
      <x:c r="AD422" s="13" t="n">
        <x:v>0.4488982410354132</x:v>
      </x:c>
      <x:c r="AE422" s="13" t="n">
        <x:v>0.632231568404907</x:v>
      </x:c>
      <x:c r="AF422" s="13" t="n">
        <x:v>8163.607419354839</x:v>
      </x:c>
      <x:c r="AG422" s="13" t="n">
        <x:v>3.407039552429552</x:v>
      </x:c>
      <x:c r="AH422" s="13" t="n">
        <x:v>0.010419956658153803</x:v>
      </x:c>
      <x:c r="AI422" s="13" t="n">
        <x:v>5</x:v>
      </x:c>
      <x:c r="AJ422" s="13" t="n">
        <x:v>220901.83</x:v>
      </x:c>
      <x:c r="AK422" s="13" t="n">
        <x:v>0.12711805972241114</x:v>
      </x:c>
      <x:c r="AL422" s="13" t="n">
        <x:v>0.020833333333333332</x:v>
      </x:c>
      <x:c r="AM422" s="13" t="n">
        <x:v>0</x:v>
      </x:c>
      <x:c r="AN422" s="13" t="n">
        <x:v>0.651460473884172</x:v>
      </x:c>
      <x:c r="AO422" s="13" t="n">
        <x:v>2.6452060889799744</x:v>
      </x:c>
      <x:c r="AP422" s="13" t="n">
        <x:v>0.030350604575873588</x:v>
      </x:c>
    </x:row>
    <x:row r="423" ht="15" hidden="0" customHeight="1">
      <x:c r="A423" s="2" t="str">
        <x:v>E422</x:v>
      </x:c>
      <x:c r="B423" s="2" t="str">
        <x:v>***童装店</x:v>
      </x:c>
      <x:c r="C423" s="2" t="str">
        <x:v>无信贷记录</x:v>
      </x:c>
      <x:c r="D423" s="2" t="str"/>
      <x:c r="E423" s="2" t="str"/>
      <x:c r="F423" s="13" t="n">
        <x:v>3</x:v>
      </x:c>
      <x:c r="G423" s="13" t="n">
        <x:v>3</x:v>
      </x:c>
      <x:c r="H423" s="13" t="n">
        <x:v>0</x:v>
      </x:c>
      <x:c r="I423" s="13" t="n">
        <x:v>0</x:v>
      </x:c>
      <x:c r="J423" s="13" t="n">
        <x:v>960</x:v>
      </x:c>
      <x:c r="K423" s="13" t="n">
        <x:v>960</x:v>
      </x:c>
      <x:c r="L423" s="13" t="n">
        <x:v>2</x:v>
      </x:c>
      <x:c r="M423" s="13" t="n">
        <x:v>0</x:v>
      </x:c>
      <x:c r="N423" s="13" t="n">
        <x:v>0</x:v>
      </x:c>
      <x:c r="O423" s="13" t="n">
        <x:v>0.6701388888888888</x:v>
      </x:c>
      <x:c r="P423" s="13" t="n">
        <x:v>0.7916666666666666</x:v>
      </x:c>
      <x:c r="Q423" s="13" t="n">
        <x:v>68.57142857142857</x:v>
      </x:c>
      <x:c r="R423" s="13" t="n">
        <x:v>2.0733092174072194</x:v>
      </x:c>
      <x:c r="S423" s="13" t="n">
        <x:v>-0.051282051281303545</x:v>
      </x:c>
      <x:c r="T423" s="13" t="n">
        <x:v>3</x:v>
      </x:c>
      <x:c r="U423" s="13" t="n">
        <x:v>30</x:v>
      </x:c>
      <x:c r="V423" s="13" t="n">
        <x:v>27</x:v>
      </x:c>
      <x:c r="W423" s="13" t="n">
        <x:v>3</x:v>
      </x:c>
      <x:c r="X423" s="13" t="n">
        <x:v>0</x:v>
      </x:c>
      <x:c r="Y423" s="13" t="n">
        <x:v>64155.65600000001</x:v>
      </x:c>
      <x:c r="Z423" s="13" t="n">
        <x:v>67271.656</x:v>
      </x:c>
      <x:c r="AA423" s="13" t="n">
        <x:v>20</x:v>
      </x:c>
      <x:c r="AB423" s="13" t="n">
        <x:v>0.1</x:v>
      </x:c>
      <x:c r="AC423" s="13" t="n">
        <x:v>0</x:v>
      </x:c>
      <x:c r="AD423" s="13" t="n">
        <x:v>0.13208417879106152</x:v>
      </x:c>
      <x:c r="AE423" s="13" t="n">
        <x:v>0.299749323410135</x:v>
      </x:c>
      <x:c r="AF423" s="13" t="n">
        <x:v>2593.1575457735244</x:v>
      </x:c>
      <x:c r="AG423" s="13" t="n">
        <x:v>1.9633896079223527</x:v>
      </x:c>
      <x:c r="AH423" s="13" t="n">
        <x:v>0.12971498323900596</x:v>
      </x:c>
      <x:c r="AI423" s="13" t="n">
        <x:v>13</x:v>
      </x:c>
      <x:c r="AJ423" s="13" t="n">
        <x:v>26896.61</x:v>
      </x:c>
      <x:c r="AK423" s="13" t="n">
        <x:v>0.03446219766152326</x:v>
      </x:c>
      <x:c r="AL423" s="13" t="n">
        <x:v>0.09090909090909091</x:v>
      </x:c>
      <x:c r="AM423" s="13" t="n">
        <x:v>0</x:v>
      </x:c>
      <x:c r="AN423" s="13" t="n">
        <x:v>0.40111153383997517</x:v>
      </x:c>
      <x:c r="AO423" s="13" t="n">
        <x:v>2.018349412664786</x:v>
      </x:c>
      <x:c r="AP423" s="13" t="n">
        <x:v>0.03921646597885121</x:v>
      </x:c>
    </x:row>
    <x:row r="424" ht="15" hidden="0" customHeight="1">
      <x:c r="A424" s="2" t="str">
        <x:v>E423</x:v>
      </x:c>
      <x:c r="B424" s="2" t="str">
        <x:v>***通风设备有限公司</x:v>
      </x:c>
      <x:c r="C424" s="2" t="str">
        <x:v>无信贷记录</x:v>
      </x:c>
      <x:c r="D424" s="2" t="str"/>
      <x:c r="E424" s="2" t="str"/>
      <x:c r="F424" s="13" t="n">
        <x:v>21</x:v>
      </x:c>
      <x:c r="G424" s="13" t="n">
        <x:v>21</x:v>
      </x:c>
      <x:c r="H424" s="13" t="n">
        <x:v>0</x:v>
      </x:c>
      <x:c r="I424" s="13" t="n">
        <x:v>1</x:v>
      </x:c>
      <x:c r="J424" s="13" t="n">
        <x:v>69051.7</x:v>
      </x:c>
      <x:c r="K424" s="13" t="n">
        <x:v>89211.7</x:v>
      </x:c>
      <x:c r="L424" s="13" t="n">
        <x:v>8</x:v>
      </x:c>
      <x:c r="M424" s="13" t="n">
        <x:v>0</x:v>
      </x:c>
      <x:c r="N424" s="13" t="n">
        <x:v>0.047619047619047616</x:v>
      </x:c>
      <x:c r="O424" s="13" t="n">
        <x:v>0.5060863026797731</x:v>
      </x:c>
      <x:c r="P424" s="13" t="n">
        <x:v>0.6846859772877325</x:v>
      </x:c>
      <x:c r="Q424" s="13" t="n">
        <x:v>3002.247826086957</x:v>
      </x:c>
      <x:c r="R424" s="13" t="n">
        <x:v>1.5074786222590448</x:v>
      </x:c>
      <x:c r="S424" s="13" t="n">
        <x:v>-0.06408791594490904</x:v>
      </x:c>
      <x:c r="T424" s="13" t="n">
        <x:v>11</x:v>
      </x:c>
      <x:c r="U424" s="13" t="n">
        <x:v>9.440000000000001</x:v>
      </x:c>
      <x:c r="V424" s="13" t="n">
        <x:v>6.720000000000001</x:v>
      </x:c>
      <x:c r="W424" s="13" t="n">
        <x:v>1</x:v>
      </x:c>
      <x:c r="X424" s="13" t="n">
        <x:v>0</x:v>
      </x:c>
      <x:c r="Y424" s="13" t="n">
        <x:v>74970</x:v>
      </x:c>
      <x:c r="Z424" s="13" t="n">
        <x:v>74970</x:v>
      </x:c>
      <x:c r="AA424" s="13" t="n">
        <x:v>3</x:v>
      </x:c>
      <x:c r="AB424" s="13" t="n">
        <x:v>0.14285714285714285</x:v>
      </x:c>
      <x:c r="AC424" s="13" t="n">
        <x:v>0</x:v>
      </x:c>
      <x:c r="AD424" s="13" t="n">
        <x:v>0.3900977758049999</x:v>
      </x:c>
      <x:c r="AE424" s="13" t="n">
        <x:v>0.52781112444978</x:v>
      </x:c>
      <x:c r="AF424" s="13" t="n">
        <x:v>2593.1575457735244</x:v>
      </x:c>
      <x:c r="AG424" s="13" t="n">
        <x:v>2.742961980874312</x:v>
      </x:c>
      <x:c r="AH424" s="13" t="n">
        <x:v>-0.04017481870556873</x:v>
      </x:c>
      <x:c r="AI424" s="13" t="n">
        <x:v>6</x:v>
      </x:c>
      <x:c r="AJ424" s="13" t="n">
        <x:v>5918.300000000003</x:v>
      </x:c>
      <x:c r="AK424" s="13" t="n">
        <x:v>1.1899653194611017</x:v>
      </x:c>
      <x:c r="AL424" s="13" t="n">
        <x:v>0.03571428571428571</x:v>
      </x:c>
      <x:c r="AM424" s="13" t="n">
        <x:v>0.037037037037037035</x:v>
      </x:c>
      <x:c r="AN424" s="13" t="n">
        <x:v>0.4480920392423865</x:v>
      </x:c>
      <x:c r="AO424" s="13" t="n">
        <x:v>2.1252203015666784</x:v>
      </x:c>
      <x:c r="AP424" s="13" t="n">
        <x:v>-0.05213136732523888</x:v>
      </x:c>
    </x:row>
    <x:row r="425" ht="15" hidden="0" customHeight="1">
      <x:c r="A425" s="2" t="str">
        <x:v>E424</x:v>
      </x:c>
      <x:c r="B425" s="2" t="str">
        <x:v>***贸易有限公司</x:v>
      </x:c>
      <x:c r="C425" s="2" t="str">
        <x:v>无信贷记录</x:v>
      </x:c>
      <x:c r="D425" s="2" t="str"/>
      <x:c r="E425" s="2" t="str"/>
      <x:c r="F425" s="13" t="n">
        <x:v>25</x:v>
      </x:c>
      <x:c r="G425" s="13" t="n">
        <x:v>25</x:v>
      </x:c>
      <x:c r="H425" s="13" t="n">
        <x:v>0</x:v>
      </x:c>
      <x:c r="I425" s="13" t="n">
        <x:v>0</x:v>
      </x:c>
      <x:c r="J425" s="13" t="n">
        <x:v>271999.39</x:v>
      </x:c>
      <x:c r="K425" s="13" t="n">
        <x:v>271999.39</x:v>
      </x:c>
      <x:c r="L425" s="13" t="n">
        <x:v>13</x:v>
      </x:c>
      <x:c r="M425" s="13" t="n">
        <x:v>0</x:v>
      </x:c>
      <x:c r="N425" s="13" t="n">
        <x:v>0</x:v>
      </x:c>
      <x:c r="O425" s="13" t="n">
        <x:v>0.7139799185396164</x:v>
      </x:c>
      <x:c r="P425" s="13" t="n">
        <x:v>0.8386569543409637</x:v>
      </x:c>
      <x:c r="Q425" s="13" t="n">
        <x:v>12363.608636363637</x:v>
      </x:c>
      <x:c r="R425" s="13" t="n">
        <x:v>1.532561274431859</x:v>
      </x:c>
      <x:c r="S425" s="13" t="n">
        <x:v>-0.04321862039871563</x:v>
      </x:c>
      <x:c r="T425" s="13" t="n">
        <x:v>12</x:v>
      </x:c>
      <x:c r="U425" s="13" t="n">
        <x:v>43</x:v>
      </x:c>
      <x:c r="V425" s="13" t="n">
        <x:v>37</x:v>
      </x:c>
      <x:c r="W425" s="13" t="n">
        <x:v>6</x:v>
      </x:c>
      <x:c r="X425" s="13" t="n">
        <x:v>2</x:v>
      </x:c>
      <x:c r="Y425" s="13" t="n">
        <x:v>79203.3</x:v>
      </x:c>
      <x:c r="Z425" s="13" t="n">
        <x:v>81703.88</x:v>
      </x:c>
      <x:c r="AA425" s="13" t="n">
        <x:v>21</x:v>
      </x:c>
      <x:c r="AB425" s="13" t="n">
        <x:v>0.13953488372093023</x:v>
      </x:c>
      <x:c r="AC425" s="13" t="n">
        <x:v>0.05405405405405406</x:v>
      </x:c>
      <x:c r="AD425" s="13" t="n">
        <x:v>0.6842346743871394</x:v>
      </x:c>
      <x:c r="AE425" s="13" t="n">
        <x:v>0.8206831793055605</x:v>
      </x:c>
      <x:c r="AF425" s="13" t="n">
        <x:v>3046.280769230769</x:v>
      </x:c>
      <x:c r="AG425" s="13" t="n">
        <x:v>3.407039552429552</x:v>
      </x:c>
      <x:c r="AH425" s="13" t="n">
        <x:v>-0.1269185141976693</x:v>
      </x:c>
      <x:c r="AI425" s="13" t="n">
        <x:v>13</x:v>
      </x:c>
      <x:c r="AJ425" s="13" t="n">
        <x:v>-192796.09000000003</x:v>
      </x:c>
      <x:c r="AK425" s="13" t="n">
        <x:v>3.3290877985231138</x:v>
      </x:c>
      <x:c r="AL425" s="13" t="n">
        <x:v>0.08823529411764706</x:v>
      </x:c>
      <x:c r="AM425" s="13" t="n">
        <x:v>0.03225806451612903</x:v>
      </x:c>
      <x:c r="AN425" s="13" t="n">
        <x:v>0.6991072964633779</x:v>
      </x:c>
      <x:c r="AO425" s="13" t="n">
        <x:v>2.862975726728923</x:v>
      </x:c>
      <x:c r="AP425" s="13" t="n">
        <x:v>-0.08506856729819247</x:v>
      </x:c>
    </x:row>
    <x:row r="426" ht="15" hidden="0" customHeight="1">
      <x:c r="A426" s="2" t="str">
        <x:v>E425</x:v>
      </x:c>
      <x:c r="B426" s="2" t="str">
        <x:v>***商贸有限公司</x:v>
      </x:c>
      <x:c r="C426" s="2" t="str">
        <x:v>无信贷记录</x:v>
      </x:c>
      <x:c r="D426" s="2" t="str"/>
      <x:c r="E426" s="2" t="str"/>
      <x:c r="F426" s="13" t="n">
        <x:v>118</x:v>
      </x:c>
      <x:c r="G426" s="13" t="n">
        <x:v>116</x:v>
      </x:c>
      <x:c r="H426" s="13" t="n">
        <x:v>2</x:v>
      </x:c>
      <x:c r="I426" s="13" t="n">
        <x:v>3</x:v>
      </x:c>
      <x:c r="J426" s="13" t="n">
        <x:v>62081.399999999994</x:v>
      </x:c>
      <x:c r="K426" s="13" t="n">
        <x:v>63188.40000000001</x:v>
      </x:c>
      <x:c r="L426" s="13" t="n">
        <x:v>28</x:v>
      </x:c>
      <x:c r="M426" s="13" t="n">
        <x:v>0.01694915254237288</x:v>
      </x:c>
      <x:c r="N426" s="13" t="n">
        <x:v>0.02586206896551724</x:v>
      </x:c>
      <x:c r="O426" s="13" t="n">
        <x:v>0.08477761604792855</x:v>
      </x:c>
      <x:c r="P426" s="13" t="n">
        <x:v>0.17091744687316027</x:v>
      </x:c>
      <x:c r="Q426" s="13" t="n">
        <x:v>2586.725</x:v>
      </x:c>
      <x:c r="R426" s="13" t="n">
        <x:v>1.240893605330773</x:v>
      </x:c>
      <x:c r="S426" s="13" t="n">
        <x:v>-0.040012091838455825</x:v>
      </x:c>
      <x:c r="T426" s="13" t="n">
        <x:v>21</x:v>
      </x:c>
      <x:c r="U426" s="13" t="n">
        <x:v>18</x:v>
      </x:c>
      <x:c r="V426" s="13" t="n">
        <x:v>10</x:v>
      </x:c>
      <x:c r="W426" s="13" t="n">
        <x:v>8</x:v>
      </x:c>
      <x:c r="X426" s="13" t="n">
        <x:v>0</x:v>
      </x:c>
      <x:c r="Y426" s="13" t="n">
        <x:v>87680</x:v>
      </x:c>
      <x:c r="Z426" s="13" t="n">
        <x:v>87680</x:v>
      </x:c>
      <x:c r="AA426" s="13" t="n">
        <x:v>2</x:v>
      </x:c>
      <x:c r="AB426" s="13" t="n">
        <x:v>0.4444444444444444</x:v>
      </x:c>
      <x:c r="AC426" s="13" t="n">
        <x:v>0</x:v>
      </x:c>
      <x:c r="AD426" s="13" t="n">
        <x:v>0.8924527312323514</x:v>
      </x:c>
      <x:c r="AE426" s="13" t="n">
        <x:v>0.9429744525547445</x:v>
      </x:c>
      <x:c r="AF426" s="13" t="n">
        <x:v>5480</x:v>
      </x:c>
      <x:c r="AG426" s="13" t="n">
        <x:v>2.539072104991882</x:v>
      </x:c>
      <x:c r="AH426" s="13" t="n">
        <x:v>-0.14722911552630938</x:v>
      </x:c>
      <x:c r="AI426" s="13" t="n">
        <x:v>4</x:v>
      </x:c>
      <x:c r="AJ426" s="13" t="n">
        <x:v>25598.600000000006</x:v>
      </x:c>
      <x:c r="AK426" s="13" t="n">
        <x:v>0.720670620437948</x:v>
      </x:c>
      <x:c r="AL426" s="13" t="n">
        <x:v>0.07352941176470588</x:v>
      </x:c>
      <x:c r="AM426" s="13" t="n">
        <x:v>0.023809523809523808</x:v>
      </x:c>
      <x:c r="AN426" s="13" t="n">
        <x:v>0.48861517364013995</x:v>
      </x:c>
      <x:c r="AO426" s="13" t="n">
        <x:v>1.8899828551613274</x:v>
      </x:c>
      <x:c r="AP426" s="13" t="n">
        <x:v>-0.14632887016078774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</x:cols>
  <x:sheetData>
    <x:row r="1" ht="24" hidden="0" customHeight="1">
      <x:c r="A1" s="4" t="str">
        <x:v>企业代号</x:v>
      </x:c>
      <x:c r="B1" s="4" t="str">
        <x:v>企业名称</x:v>
      </x:c>
      <x:c r="C1" s="4" t="str">
        <x:v>样本类型</x:v>
      </x:c>
      <x:c r="D1" s="4" t="str">
        <x:v>信誉评级</x:v>
      </x:c>
      <x:c r="E1" s="4" t="str">
        <x:v>是否违约</x:v>
      </x:c>
      <x:c r="F1" s="4" t="str">
        <x:v>进项_发票总数</x:v>
      </x:c>
      <x:c r="G1" s="4" t="str">
        <x:v>进项_有效票数</x:v>
      </x:c>
      <x:c r="H1" s="4" t="str">
        <x:v>进项_作废票数</x:v>
      </x:c>
      <x:c r="I1" s="4" t="str">
        <x:v>进项_负数票数</x:v>
      </x:c>
      <x:c r="J1" s="4" t="str">
        <x:v>进项_有效价税合计</x:v>
      </x:c>
      <x:c r="K1" s="4" t="str">
        <x:v>进项_有效绝对额</x:v>
      </x:c>
      <x:c r="L1" s="4" t="str">
        <x:v>进项_交易对手数</x:v>
      </x:c>
      <x:c r="M1" s="4" t="str">
        <x:v>进项_作废率</x:v>
      </x:c>
      <x:c r="N1" s="4" t="str">
        <x:v>进项_负数率</x:v>
      </x:c>
      <x:c r="O1" s="4" t="str">
        <x:v>进项_交易集中度HHI</x:v>
      </x:c>
      <x:c r="P1" s="4" t="str">
        <x:v>进项_最大交易对手占比</x:v>
      </x:c>
      <x:c r="Q1" s="4" t="str">
        <x:v>进项_月均额</x:v>
      </x:c>
      <x:c r="R1" s="4" t="str">
        <x:v>进项_月波动率</x:v>
      </x:c>
      <x:c r="S1" s="4" t="str">
        <x:v>进项_月趋势</x:v>
      </x:c>
      <x:c r="T1" s="4" t="str">
        <x:v>进项_活跃月数</x:v>
      </x:c>
      <x:c r="U1" s="4" t="str">
        <x:v>销项_发票总数</x:v>
      </x:c>
      <x:c r="V1" s="4" t="str">
        <x:v>销项_有效票数</x:v>
      </x:c>
      <x:c r="W1" s="4" t="str">
        <x:v>销项_作废票数</x:v>
      </x:c>
      <x:c r="X1" s="4" t="str">
        <x:v>销项_负数票数</x:v>
      </x:c>
      <x:c r="Y1" s="4" t="str">
        <x:v>销项_有效价税合计</x:v>
      </x:c>
      <x:c r="Z1" s="4" t="str">
        <x:v>销项_有效绝对额</x:v>
      </x:c>
      <x:c r="AA1" s="4" t="str">
        <x:v>销项_交易对手数</x:v>
      </x:c>
      <x:c r="AB1" s="4" t="str">
        <x:v>销项_作废率</x:v>
      </x:c>
      <x:c r="AC1" s="4" t="str">
        <x:v>销项_负数率</x:v>
      </x:c>
      <x:c r="AD1" s="4" t="str">
        <x:v>销项_交易集中度HHI</x:v>
      </x:c>
      <x:c r="AE1" s="4" t="str">
        <x:v>销项_最大交易对手占比</x:v>
      </x:c>
      <x:c r="AF1" s="4" t="str">
        <x:v>销项_月均额</x:v>
      </x:c>
      <x:c r="AG1" s="4" t="str">
        <x:v>销项_月波动率</x:v>
      </x:c>
      <x:c r="AH1" s="4" t="str">
        <x:v>销项_月趋势</x:v>
      </x:c>
      <x:c r="AI1" s="4" t="str">
        <x:v>销项_活跃月数</x:v>
      </x:c>
      <x:c r="AJ1" s="4" t="str">
        <x:v>净流入代理</x:v>
      </x:c>
      <x:c r="AK1" s="4" t="str">
        <x:v>进销比</x:v>
      </x:c>
      <x:c r="AL1" s="4" t="str">
        <x:v>综合作废率</x:v>
      </x:c>
      <x:c r="AM1" s="4" t="str">
        <x:v>综合负数率</x:v>
      </x:c>
      <x:c r="AN1" s="4" t="str">
        <x:v>上下游集中度</x:v>
      </x:c>
      <x:c r="AO1" s="4" t="str">
        <x:v>经营波动率</x:v>
      </x:c>
      <x:c r="AP1" s="4" t="str">
        <x:v>经营趋势</x:v>
      </x:c>
    </x:row>
    <x:row r="2" ht="15" hidden="0" customHeight="1">
      <x:c r="A2" s="2" t="str">
        <x:v>E1</x:v>
      </x:c>
      <x:c r="B2" s="2" t="str">
        <x:v>***电器销售有限公司</x:v>
      </x:c>
      <x:c r="C2" s="2" t="str">
        <x:v>有信贷记录</x:v>
      </x:c>
      <x:c r="D2" s="2" t="str">
        <x:v>A</x:v>
      </x:c>
      <x:c r="E2" s="2" t="str">
        <x:v>否</x:v>
      </x:c>
      <x:c r="F2" s="13" t="n">
        <x:v>0.9824965433048319</x:v>
      </x:c>
      <x:c r="G2" s="13" t="n">
        <x:v>0.9463897572813754</x:v>
      </x:c>
      <x:c r="H2" s="13" t="n">
        <x:v>1.522466591036793</x:v>
      </x:c>
      <x:c r="I2" s="13" t="n">
        <x:v>2.5843315394136632</x:v>
      </x:c>
      <x:c r="J2" s="13" t="n">
        <x:v>5.2611480254075715</x:v>
      </x:c>
      <x:c r="K2" s="13" t="n">
        <x:v>5.198229868776137</x:v>
      </x:c>
      <x:c r="L2" s="13" t="n">
        <x:v>0.6146247432552746</x:v>
      </x:c>
      <x:c r="M2" s="13" t="n">
        <x:v>0.9915436986957761</x:v>
      </x:c>
      <x:c r="N2" s="13" t="n">
        <x:v>1.638422694985052</x:v>
      </x:c>
      <x:c r="O2" s="13" t="n">
        <x:v>2.616839920607955</x:v>
      </x:c>
      <x:c r="P2" s="13" t="n">
        <x:v>2.2315354886167134</x:v>
      </x:c>
      <x:c r="Q2" s="13" t="n">
        <x:v>5.1203834083072675</x:v>
      </x:c>
      <x:c r="R2" s="13" t="n">
        <x:v>-1.086491528845574</x:v>
      </x:c>
      <x:c r="S2" s="13" t="n">
        <x:v>-0.5646492701444821</x:v>
      </x:c>
      <x:c r="T2" s="13" t="n">
        <x:v>0.2590597127376754</x:v>
      </x:c>
      <x:c r="U2" s="13" t="n">
        <x:v>3.7139051315822624</x:v>
      </x:c>
      <x:c r="V2" s="13" t="n">
        <x:v>3.8774065258175368</x:v>
      </x:c>
      <x:c r="W2" s="13" t="n">
        <x:v>1.0432262894762578</x:v>
      </x:c>
      <x:c r="X2" s="13" t="n">
        <x:v>4.324978331238504</x:v>
      </x:c>
      <x:c r="Y2" s="13" t="n">
        <x:v>5.664503551170864</x:v>
      </x:c>
      <x:c r="Z2" s="13" t="n">
        <x:v>6.823437955894381</x:v>
      </x:c>
      <x:c r="AA2" s="13" t="n">
        <x:v>0.4466745652007659</x:v>
      </x:c>
      <x:c r="AB2" s="13" t="n">
        <x:v>-0.7915467846012831</x:v>
      </x:c>
      <x:c r="AC2" s="13" t="n">
        <x:v>0.269441111160188</x:v>
      </x:c>
      <x:c r="AD2" s="13" t="n">
        <x:v>-0.7059542759301689</x:v>
      </x:c>
      <x:c r="AE2" s="13" t="n">
        <x:v>-0.7103736296819897</x:v>
      </x:c>
      <x:c r="AF2" s="13" t="n">
        <x:v>5.60953384531505</x:v>
      </x:c>
      <x:c r="AG2" s="13" t="n">
        <x:v>-1.0655511708986496</x:v>
      </x:c>
      <x:c r="AH2" s="13" t="n">
        <x:v>-0.6644587211567246</x:v>
      </x:c>
      <x:c r="AI2" s="13" t="n">
        <x:v>0.2538228060223661</x:v>
      </x:c>
      <x:c r="AJ2" s="13" t="n">
        <x:v>-1.4358539357567408</x:v>
      </x:c>
      <x:c r="AK2" s="13" t="n">
        <x:v>0.21437275643184486</x:v>
      </x:c>
      <x:c r="AL2" s="13" t="n">
        <x:v>-0.6264327855079935</x:v>
      </x:c>
      <x:c r="AM2" s="13" t="n">
        <x:v>0.7968944538642626</x:v>
      </x:c>
      <x:c r="AN2" s="13" t="n">
        <x:v>1.451186957524658</x:v>
      </x:c>
      <x:c r="AO2" s="13" t="n">
        <x:v>-1.2392715086525812</x:v>
      </x:c>
      <x:c r="AP2" s="13" t="n">
        <x:v>-0.6844777811799648</x:v>
      </x:c>
    </x:row>
    <x:row r="3" ht="15" hidden="0" customHeight="1">
      <x:c r="A3" s="2" t="str">
        <x:v>E2</x:v>
      </x:c>
      <x:c r="B3" s="2" t="str">
        <x:v>***技术有限责任公司</x:v>
      </x:c>
      <x:c r="C3" s="2" t="str">
        <x:v>有信贷记录</x:v>
      </x:c>
      <x:c r="D3" s="2" t="str">
        <x:v>A</x:v>
      </x:c>
      <x:c r="E3" s="2" t="str">
        <x:v>否</x:v>
      </x:c>
      <x:c r="F3" s="13" t="n">
        <x:v>5.589811287023711</x:v>
      </x:c>
      <x:c r="G3" s="13" t="n">
        <x:v>5.673813215454509</x:v>
      </x:c>
      <x:c r="H3" s="13" t="n">
        <x:v>5.328445458760172</x:v>
      </x:c>
      <x:c r="I3" s="13" t="n">
        <x:v>5.9617045197048135</x:v>
      </x:c>
      <x:c r="J3" s="13" t="n">
        <x:v>2.6723562237583636</x:v>
      </x:c>
      <x:c r="K3" s="13" t="n">
        <x:v>2.6532955378249223</x:v>
      </x:c>
      <x:c r="L3" s="13" t="n">
        <x:v>4.179027609741294</x:v>
      </x:c>
      <x:c r="M3" s="13" t="n">
        <x:v>-0.2900954044761346</x:v>
      </x:c>
      <x:c r="N3" s="13" t="n">
        <x:v>-0.18566849270515492</x:v>
      </x:c>
      <x:c r="O3" s="13" t="n">
        <x:v>-0.7537770630041141</x:v>
      </x:c>
      <x:c r="P3" s="13" t="n">
        <x:v>-0.5531693711587959</x:v>
      </x:c>
      <x:c r="Q3" s="13" t="n">
        <x:v>2.52070366768511</x:v>
      </x:c>
      <x:c r="R3" s="13" t="n">
        <x:v>-0.8645594757399154</x:v>
      </x:c>
      <x:c r="S3" s="13" t="n">
        <x:v>0.027481046292547346</x:v>
      </x:c>
      <x:c r="T3" s="13" t="n">
        <x:v>0.918343412818586</x:v>
      </x:c>
      <x:c r="U3" s="13" t="n">
        <x:v>5.00072578438129</x:v>
      </x:c>
      <x:c r="V3" s="13" t="n">
        <x:v>4.882218273060832</x:v>
      </x:c>
      <x:c r="W3" s="13" t="n">
        <x:v>5.432265370540256</x:v>
      </x:c>
      <x:c r="X3" s="13" t="n">
        <x:v>5.979730980905291</x:v>
      </x:c>
      <x:c r="Y3" s="13" t="n">
        <x:v>4.354530367961025</x:v>
      </x:c>
      <x:c r="Z3" s="13" t="n">
        <x:v>3.5924367036674885</x:v>
      </x:c>
      <x:c r="AA3" s="13" t="n">
        <x:v>3.3863779214067877</x:v>
      </x:c>
      <x:c r="AB3" s="13" t="n">
        <x:v>-0.33502540545677467</x:v>
      </x:c>
      <x:c r="AC3" s="13" t="n">
        <x:v>0.3670233202687622</x:v>
      </x:c>
      <x:c r="AD3" s="13" t="n">
        <x:v>-0.9742190050631191</x:v>
      </x:c>
      <x:c r="AE3" s="13" t="n">
        <x:v>-1.2381709914140482</x:v>
      </x:c>
      <x:c r="AF3" s="13" t="n">
        <x:v>4.235241984566211</x:v>
      </x:c>
      <x:c r="AG3" s="13" t="n">
        <x:v>-0.7643701090334754</x:v>
      </x:c>
      <x:c r="AH3" s="13" t="n">
        <x:v>0.18751455234430173</x:v>
      </x:c>
      <x:c r="AI3" s="13" t="n">
        <x:v>0.9582284477355555</x:v>
      </x:c>
      <x:c r="AJ3" s="13" t="n">
        <x:v>5.210379143707881</x:v>
      </x:c>
      <x:c r="AK3" s="13" t="n">
        <x:v>-0.23872007335505818</x:v>
      </x:c>
      <x:c r="AL3" s="13" t="n">
        <x:v>-0.6032179594458629</x:v>
      </x:c>
      <x:c r="AM3" s="13" t="n">
        <x:v>-0.11813988422171799</x:v>
      </x:c>
      <x:c r="AN3" s="13" t="n">
        <x:v>-1.1431604485401852</x:v>
      </x:c>
      <x:c r="AO3" s="13" t="n">
        <x:v>-0.946981458993078</x:v>
      </x:c>
      <x:c r="AP3" s="13" t="n">
        <x:v>0.107331309304266</x:v>
      </x:c>
    </x:row>
    <x:row r="4" ht="15" hidden="0" customHeight="1">
      <x:c r="A4" s="2" t="str">
        <x:v>E3</x:v>
      </x:c>
      <x:c r="B4" s="2" t="str">
        <x:v>***电子(中国)有限公司***分公司</x:v>
      </x:c>
      <x:c r="C4" s="2" t="str">
        <x:v>有信贷记录</x:v>
      </x:c>
      <x:c r="D4" s="2" t="str">
        <x:v>C</x:v>
      </x:c>
      <x:c r="E4" s="2" t="str">
        <x:v>否</x:v>
      </x:c>
      <x:c r="F4" s="13" t="n">
        <x:v>1.501697457805406</x:v>
      </x:c>
      <x:c r="G4" s="13" t="n">
        <x:v>1.4824679697625671</x:v>
      </x:c>
      <x:c r="H4" s="13" t="n">
        <x:v>1.543729042811784</x:v>
      </x:c>
      <x:c r="I4" s="13" t="n">
        <x:v>0.654649161136591</x:v>
      </x:c>
      <x:c r="J4" s="13" t="n">
        <x:v>0.5110504425083695</x:v>
      </x:c>
      <x:c r="K4" s="13" t="n">
        <x:v>0.5028548581998046</x:v>
      </x:c>
      <x:c r="L4" s="13" t="n">
        <x:v>1.0283967991824985</x:v>
      </x:c>
      <x:c r="M4" s="13" t="n">
        <x:v>0.4822332870581163</x:v>
      </x:c>
      <x:c r="N4" s="13" t="n">
        <x:v>-0.07863055678551738</x:v>
      </x:c>
      <x:c r="O4" s="13" t="n">
        <x:v>0.4552676933388137</x:v>
      </x:c>
      <x:c r="P4" s="13" t="n">
        <x:v>0.8391207040432821</x:v>
      </x:c>
      <x:c r="Q4" s="13" t="n">
        <x:v>0.4500102290689477</x:v>
      </x:c>
      <x:c r="R4" s="13" t="n">
        <x:v>-0.914463646171818</x:v>
      </x:c>
      <x:c r="S4" s="13" t="n">
        <x:v>-0.4109682354531025</x:v>
      </x:c>
      <x:c r="T4" s="13" t="n">
        <x:v>0.918343412818586</x:v>
      </x:c>
      <x:c r="U4" s="13" t="n">
        <x:v>5.476902121275351</x:v>
      </x:c>
      <x:c r="V4" s="13" t="n">
        <x:v>5.468925103209986</x:v>
      </x:c>
      <x:c r="W4" s="13" t="n">
        <x:v>2.249582633458955</x:v>
      </x:c>
      <x:c r="X4" s="13" t="n">
        <x:v>6.907219841043514</x:v>
      </x:c>
      <x:c r="Y4" s="13" t="n">
        <x:v>5.590774951075766</x:v>
      </x:c>
      <x:c r="Z4" s="13" t="n">
        <x:v>6.823437955894381</x:v>
      </x:c>
      <x:c r="AA4" s="13" t="n">
        <x:v>-0.07969917723740265</x:v>
      </x:c>
      <x:c r="AB4" s="13" t="n">
        <x:v>-0.8875292595490747</x:v>
      </x:c>
      <x:c r="AC4" s="13" t="n">
        <x:v>5.267905931214426</x:v>
      </x:c>
      <x:c r="AD4" s="13" t="n">
        <x:v>-0.4132022620227898</x:v>
      </x:c>
      <x:c r="AE4" s="13" t="n">
        <x:v>-0.3931925532382728</x:v>
      </x:c>
      <x:c r="AF4" s="13" t="n">
        <x:v>5.287868980355604</x:v>
      </x:c>
      <x:c r="AG4" s="13" t="n">
        <x:v>-0.6829566384142098</x:v>
      </x:c>
      <x:c r="AH4" s="13" t="n">
        <x:v>-1.024299610197821</x:v>
      </x:c>
      <x:c r="AI4" s="13" t="n">
        <x:v>1.058857825123154</x:v>
      </x:c>
      <x:c r="AJ4" s="13" t="n">
        <x:v>5.720012480425505</x:v>
      </x:c>
      <x:c r="AK4" s="13" t="n">
        <x:v>-0.32562327080325104</x:v>
      </x:c>
      <x:c r="AL4" s="13" t="n">
        <x:v>-0.8968483611329335</x:v>
      </x:c>
      <x:c r="AM4" s="13" t="n">
        <x:v>5.277690058932323</x:v>
      </x:c>
      <x:c r="AN4" s="13" t="n">
        <x:v>0.07446724463190031</x:v>
      </x:c>
      <x:c r="AO4" s="13" t="n">
        <x:v>-0.9424856702560698</x:v>
      </x:c>
      <x:c r="AP4" s="13" t="n">
        <x:v>-0.7715540040347795</x:v>
      </x:c>
    </x:row>
    <x:row r="5" ht="15" hidden="0" customHeight="1">
      <x:c r="A5" s="2" t="str">
        <x:v>E4</x:v>
      </x:c>
      <x:c r="B5" s="2" t="str">
        <x:v>***发展有限责任公司</x:v>
      </x:c>
      <x:c r="C5" s="2" t="str">
        <x:v>有信贷记录</x:v>
      </x:c>
      <x:c r="D5" s="2" t="str">
        <x:v>C</x:v>
      </x:c>
      <x:c r="E5" s="2" t="str">
        <x:v>否</x:v>
      </x:c>
      <x:c r="F5" s="13" t="n">
        <x:v>-0.3539822392890567</x:v>
      </x:c>
      <x:c r="G5" s="13" t="n">
        <x:v>-0.36167944097326743</x:v>
      </x:c>
      <x:c r="H5" s="13" t="n">
        <x:v>-0.1253734215250054</x:v>
      </x:c>
      <x:c r="I5" s="13" t="n">
        <x:v>-0.2887511126877555</x:v>
      </x:c>
      <x:c r="J5" s="13" t="n">
        <x:v>4.510143502995314</x:v>
      </x:c>
      <x:c r="K5" s="13" t="n">
        <x:v>4.590947273818529</x:v>
      </x:c>
      <x:c r="L5" s="13" t="n">
        <x:v>-0.3163623825809796</x:v>
      </x:c>
      <x:c r="M5" s="13" t="n">
        <x:v>1.395150060916639</x:v>
      </x:c>
      <x:c r="N5" s="13" t="n">
        <x:v>0.10753398843420064</x:v>
      </x:c>
      <x:c r="O5" s="13" t="n">
        <x:v>2.215956051715268</x:v>
      </x:c>
      <x:c r="P5" s="13" t="n">
        <x:v>2.0187395749959705</x:v>
      </x:c>
      <x:c r="Q5" s="13" t="n">
        <x:v>4.28144205727443</x:v>
      </x:c>
      <x:c r="R5" s="13" t="n">
        <x:v>0.3914095105448609</x:v>
      </x:c>
      <x:c r="S5" s="13" t="n">
        <x:v>-0.40097641647305654</x:v>
      </x:c>
      <x:c r="T5" s="13" t="n">
        <x:v>0.918343412818586</x:v>
      </x:c>
      <x:c r="U5" s="13" t="n">
        <x:v>0.6159450096307971</x:v>
      </x:c>
      <x:c r="V5" s="13" t="n">
        <x:v>0.5981632747639026</x:v>
      </x:c>
      <x:c r="W5" s="13" t="n">
        <x:v>0.788467806896061</x:v>
      </x:c>
      <x:c r="X5" s="13" t="n">
        <x:v>-0.2049070472243266</x:v>
      </x:c>
      <x:c r="Y5" s="13" t="n">
        <x:v>5.664503551170864</x:v>
      </x:c>
      <x:c r="Z5" s="13" t="n">
        <x:v>6.823437955894381</x:v>
      </x:c>
      <x:c r="AA5" s="13" t="n">
        <x:v>-0.33818628289900327</x:v>
      </x:c>
      <x:c r="AB5" s="13" t="n">
        <x:v>-0.3165264993124019</x:v>
      </x:c>
      <x:c r="AC5" s="13" t="n">
        <x:v>-0.5505028774033988</x:v>
      </x:c>
      <x:c r="AD5" s="13" t="n">
        <x:v>0.3855724681881774</x:v>
      </x:c>
      <x:c r="AE5" s="13" t="n">
        <x:v>0.7924738243011538</x:v>
      </x:c>
      <x:c r="AF5" s="13" t="n">
        <x:v>5.60953384531505</x:v>
      </x:c>
      <x:c r="AG5" s="13" t="n">
        <x:v>0.24733061237433973</x:v>
      </x:c>
      <x:c r="AH5" s="13" t="n">
        <x:v>-1.9535323312515374</x:v>
      </x:c>
      <x:c r="AI5" s="13" t="n">
        <x:v>0.7569696929603585</x:v>
      </x:c>
      <x:c r="AJ5" s="13" t="n">
        <x:v>5.720012480425505</x:v>
      </x:c>
      <x:c r="AK5" s="13" t="n">
        <x:v>-0.29946068285047084</x:v>
      </x:c>
      <x:c r="AL5" s="13" t="n">
        <x:v>0.15051071550326356</x:v>
      </x:c>
      <x:c r="AM5" s="13" t="n">
        <x:v>-0.4833113366923078</x:v>
      </x:c>
      <x:c r="AN5" s="13" t="n">
        <x:v>1.8364066831948986</x:v>
      </x:c>
      <x:c r="AO5" s="13" t="n">
        <x:v>0.3809790164946538</x:v>
      </x:c>
      <x:c r="AP5" s="13" t="n">
        <x:v>-1.233409911996856</x:v>
      </x:c>
    </x:row>
    <x:row r="6" ht="15" hidden="0" customHeight="1">
      <x:c r="A6" s="2" t="str">
        <x:v>E5</x:v>
      </x:c>
      <x:c r="B6" s="2" t="str">
        <x:v>***供应链管理有限公司</x:v>
      </x:c>
      <x:c r="C6" s="2" t="str">
        <x:v>有信贷记录</x:v>
      </x:c>
      <x:c r="D6" s="2" t="str">
        <x:v>B</x:v>
      </x:c>
      <x:c r="E6" s="2" t="str">
        <x:v>否</x:v>
      </x:c>
      <x:c r="F6" s="13" t="n">
        <x:v>0.39283264755060837</x:v>
      </x:c>
      <x:c r="G6" s="13" t="n">
        <x:v>0.38777516198567935</x:v>
      </x:c>
      <x:c r="H6" s="13" t="n">
        <x:v>0.38492542107477734</x:v>
      </x:c>
      <x:c r="I6" s="13" t="n">
        <x:v>0.22583085485279714</x:v>
      </x:c>
      <x:c r="J6" s="13" t="n">
        <x:v>3.9663232317272055</x:v>
      </x:c>
      <x:c r="K6" s="13" t="n">
        <x:v>3.9274163460712628</x:v>
      </x:c>
      <x:c r="L6" s="13" t="n">
        <x:v>0.48075731339646677</x:v>
      </x:c>
      <x:c r="M6" s="13" t="n">
        <x:v>0.3537473243978897</x:v>
      </x:c>
      <x:c r="N6" s="13" t="n">
        <x:v>0.10753398843420064</x:v>
      </x:c>
      <x:c r="O6" s="13" t="n">
        <x:v>-0.484268039014367</x:v>
      </x:c>
      <x:c r="P6" s="13" t="n">
        <x:v>-0.46754068205355925</x:v>
      </x:c>
      <x:c r="Q6" s="13" t="n">
        <x:v>3.877887208215065</x:v>
      </x:c>
      <x:c r="R6" s="13" t="n">
        <x:v>-0.5695538060049035</x:v>
      </x:c>
      <x:c r="S6" s="13" t="n">
        <x:v>0.4726922785481864</x:v>
      </x:c>
      <x:c r="T6" s="13" t="n">
        <x:v>0.8241600270927416</x:v>
      </x:c>
      <x:c r="U6" s="13" t="n">
        <x:v>-0.0011176375549770035</x:v>
      </x:c>
      <x:c r="V6" s="13" t="n">
        <x:v>0.016932135654995108</x:v>
      </x:c>
      <x:c r="W6" s="13" t="n">
        <x:v>-0.22307322687825004</x:v>
      </x:c>
      <x:c r="X6" s="13" t="n">
        <x:v>-0.18422263910349174</x:v>
      </x:c>
      <x:c r="Y6" s="13" t="n">
        <x:v>1.6149299577839356</x:v>
      </x:c>
      <x:c r="Z6" s="13" t="n">
        <x:v>1.2198433690855808</x:v>
      </x:c>
      <x:c r="AA6" s="13" t="n">
        <x:v>-0.32173710344781054</x:v>
      </x:c>
      <x:c r="AB6" s="13" t="n">
        <x:v>-0.5912263849285289</x:v>
      </x:c>
      <x:c r="AC6" s="13" t="n">
        <x:v>-0.36509163593094834</x:v>
      </x:c>
      <x:c r="AD6" s="13" t="n">
        <x:v>-0.14992596250520193</x:v>
      </x:c>
      <x:c r="AE6" s="13" t="n">
        <x:v>0.15013554524754313</x:v>
      </x:c>
      <x:c r="AF6" s="13" t="n">
        <x:v>1.5515554848753377</x:v>
      </x:c>
      <x:c r="AG6" s="13" t="n">
        <x:v>-0.26730002933129177</x:v>
      </x:c>
      <x:c r="AH6" s="13" t="n">
        <x:v>0.695785893215895</x:v>
      </x:c>
      <x:c r="AI6" s="13" t="n">
        <x:v>0.5557109381851616</x:v>
      </x:c>
      <x:c r="AJ6" s="13" t="n">
        <x:v>-0.3179588753412154</x:v>
      </x:c>
      <x:c r="AK6" s="13" t="n">
        <x:v>0.005785188547794713</x:v>
      </x:c>
      <x:c r="AL6" s="13" t="n">
        <x:v>-0.5007082092741233</x:v>
      </x:c>
      <x:c r="AM6" s="13" t="n">
        <x:v>-0.28680778885856645</x:v>
      </x:c>
      <x:c r="AN6" s="13" t="n">
        <x:v>-0.43992340508031275</x:v>
      </x:c>
      <x:c r="AO6" s="13" t="n">
        <x:v>-0.5129106320596417</x:v>
      </x:c>
      <x:c r="AP6" s="13" t="n">
        <x:v>0.6360432430545558</x:v>
      </x:c>
    </x:row>
    <x:row r="7" ht="15" hidden="0" customHeight="1">
      <x:c r="A7" s="2" t="str">
        <x:v>E6</x:v>
      </x:c>
      <x:c r="B7" s="2" t="str">
        <x:v>***装饰设计工程有限公司</x:v>
      </x:c>
      <x:c r="C7" s="2" t="str">
        <x:v>有信贷记录</x:v>
      </x:c>
      <x:c r="D7" s="2" t="str">
        <x:v>A</x:v>
      </x:c>
      <x:c r="E7" s="2" t="str">
        <x:v>否</x:v>
      </x:c>
      <x:c r="F7" s="13" t="n">
        <x:v>4.642862990533879</x:v>
      </x:c>
      <x:c r="G7" s="13" t="n">
        <x:v>4.573788395403213</x:v>
      </x:c>
      <x:c r="H7" s="13" t="n">
        <x:v>5.041402359797794</x:v>
      </x:c>
      <x:c r="I7" s="13" t="n">
        <x:v>2.884504353812319</x:v>
      </x:c>
      <x:c r="J7" s="13" t="n">
        <x:v>5.2611480254075715</x:v>
      </x:c>
      <x:c r="K7" s="13" t="n">
        <x:v>5.198229868776137</x:v>
      </x:c>
      <x:c r="L7" s="13" t="n">
        <x:v>3.921758749085367</x:v>
      </x:c>
      <x:c r="M7" s="13" t="n">
        <x:v>0.6203821412033986</x:v>
      </x:c>
      <x:c r="N7" s="13" t="n">
        <x:v>0.057351077072880945</x:v>
      </x:c>
      <x:c r="O7" s="13" t="n">
        <x:v>-0.5869490257048637</x:v>
      </x:c>
      <x:c r="P7" s="13" t="n">
        <x:v>-0.2630143822590168</x:v>
      </x:c>
      <x:c r="Q7" s="13" t="n">
        <x:v>5.1203834083072675</x:v>
      </x:c>
      <x:c r="R7" s="13" t="n">
        <x:v>-0.8640307745494203</x:v>
      </x:c>
      <x:c r="S7" s="13" t="n">
        <x:v>0.27213964071014113</x:v>
      </x:c>
      <x:c r="T7" s="13" t="n">
        <x:v>0.8241600270927416</x:v>
      </x:c>
      <x:c r="U7" s="13" t="n">
        <x:v>-0.0053332662291752896</x:v>
      </x:c>
      <x:c r="V7" s="13" t="n">
        <x:v>-0.03468298480641367</x:v>
      </x:c>
      <x:c r="W7" s="13" t="n">
        <x:v>0.4063300830257657</x:v>
      </x:c>
      <x:c r="X7" s="13" t="n">
        <x:v>0.0846746664673612</x:v>
      </x:c>
      <x:c r="Y7" s="13" t="n">
        <x:v>3.1262203940790534</x:v>
      </x:c>
      <x:c r="Z7" s="13" t="n">
        <x:v>2.4065518105960613</x:v>
      </x:c>
      <x:c r="AA7" s="13" t="n">
        <x:v>-0.044450935556275294</x:v>
      </x:c>
      <x:c r="AB7" s="13" t="n">
        <x:v>0.07117486726548526</x:v>
      </x:c>
      <x:c r="AC7" s="13" t="n">
        <x:v>0.14494493786584609</x:v>
      </x:c>
      <x:c r="AD7" s="13" t="n">
        <x:v>-0.7127614469592966</x:v>
      </x:c>
      <x:c r="AE7" s="13" t="n">
        <x:v>-0.7187230431168098</x:v>
      </x:c>
      <x:c r="AF7" s="13" t="n">
        <x:v>3.0320012191986745</x:v>
      </x:c>
      <x:c r="AG7" s="13" t="n">
        <x:v>-0.7204459922879267</x:v>
      </x:c>
      <x:c r="AH7" s="13" t="n">
        <x:v>0.26394731679551175</x:v>
      </x:c>
      <x:c r="AI7" s="13" t="n">
        <x:v>0.9582284477355555</x:v>
      </x:c>
      <x:c r="AJ7" s="13" t="n">
        <x:v>0.7391002542393185</x:v>
      </x:c>
      <x:c r="AK7" s="13" t="n">
        <x:v>-0.050598587213152746</x:v>
      </x:c>
      <x:c r="AL7" s="13" t="n">
        <x:v>-0.32816285443291543</x:v>
      </x:c>
      <x:c r="AM7" s="13" t="n">
        <x:v>-0.2753072745397153</x:v>
      </x:c>
      <x:c r="AN7" s="13" t="n">
        <x:v>-0.8614897802921252</x:v>
      </x:c>
      <x:c r="AO7" s="13" t="n">
        <x:v>-0.9259415074347785</x:v>
      </x:c>
      <x:c r="AP7" s="13" t="n">
        <x:v>0.29570289848556036</x:v>
      </x:c>
    </x:row>
    <x:row r="8" ht="15" hidden="0" customHeight="1">
      <x:c r="A8" s="2" t="str">
        <x:v>E7</x:v>
      </x:c>
      <x:c r="B8" s="2" t="str">
        <x:v>***家电有限公司***分公司</x:v>
      </x:c>
      <x:c r="C8" s="2" t="str">
        <x:v>有信贷记录</x:v>
      </x:c>
      <x:c r="D8" s="2" t="str">
        <x:v>A</x:v>
      </x:c>
      <x:c r="E8" s="2" t="str">
        <x:v>否</x:v>
      </x:c>
      <x:c r="F8" s="13" t="n">
        <x:v>5.458750141891924</x:v>
      </x:c>
      <x:c r="G8" s="13" t="n">
        <x:v>5.4507893351421215</x:v>
      </x:c>
      <x:c r="H8" s="13" t="n">
        <x:v>4.307847773560606</x:v>
      </x:c>
      <x:c r="I8" s="13" t="n">
        <x:v>5.9617045197048135</x:v>
      </x:c>
      <x:c r="J8" s="13" t="n">
        <x:v>0.6968838190758202</x:v>
      </x:c>
      <x:c r="K8" s="13" t="n">
        <x:v>0.961814176512386</x:v>
      </x:c>
      <x:c r="L8" s="13" t="n">
        <x:v>4.116475010698179</x:v>
      </x:c>
      <x:c r="M8" s="13" t="n">
        <x:v>0.18001919202589364</x:v>
      </x:c>
      <x:c r="N8" s="13" t="n">
        <x:v>3.122290277192382</x:v>
      </x:c>
      <x:c r="O8" s="13" t="n">
        <x:v>-0.7255933212173664</x:v>
      </x:c>
      <x:c r="P8" s="13" t="n">
        <x:v>-0.643942273222987</x:v>
      </x:c>
      <x:c r="Q8" s="13" t="n">
        <x:v>0.6280525759096408</x:v>
      </x:c>
      <x:c r="R8" s="13" t="n">
        <x:v>-0.8298913938821177</x:v>
      </x:c>
      <x:c r="S8" s="13" t="n">
        <x:v>-0.21680287385971417</x:v>
      </x:c>
      <x:c r="T8" s="13" t="n">
        <x:v>0.918343412818586</x:v>
      </x:c>
      <x:c r="U8" s="13" t="n">
        <x:v>3.734456321368979</x:v>
      </x:c>
      <x:c r="V8" s="13" t="n">
        <x:v>3.9593174778541202</x:v>
      </x:c>
      <x:c r="W8" s="13" t="n">
        <x:v>0.24148635900328538</x:v>
      </x:c>
      <x:c r="X8" s="13" t="n">
        <x:v>6.907219841043514</x:v>
      </x:c>
      <x:c r="Y8" s="13" t="n">
        <x:v>4.9881465413684225</x:v>
      </x:c>
      <x:c r="Z8" s="13" t="n">
        <x:v>6.823437955894381</x:v>
      </x:c>
      <x:c r="AA8" s="13" t="n">
        <x:v>2.4581742238037676</x:v>
      </x:c>
      <x:c r="AB8" s="13" t="n">
        <x:v>-0.9010297358260013</x:v>
      </x:c>
      <x:c r="AC8" s="13" t="n">
        <x:v>5.267905931214426</x:v>
      </x:c>
      <x:c r="AD8" s="13" t="n">
        <x:v>-0.8617711185289063</x:v>
      </x:c>
      <x:c r="AE8" s="13" t="n">
        <x:v>-1.0532416518973513</x:v>
      </x:c>
      <x:c r="AF8" s="13" t="n">
        <x:v>4.713074898267882</x:v>
      </x:c>
      <x:c r="AG8" s="13" t="n">
        <x:v>-0.7012070151382283</x:v>
      </x:c>
      <x:c r="AH8" s="13" t="n">
        <x:v>-1.1249360505333896</x:v>
      </x:c>
      <x:c r="AI8" s="13" t="n">
        <x:v>1.058857825123154</x:v>
      </x:c>
      <x:c r="AJ8" s="13" t="n">
        <x:v>5.720012480425505</x:v>
      </x:c>
      <x:c r="AK8" s="13" t="n">
        <x:v>-0.3164678286864302</x:v>
      </x:c>
      <x:c r="AL8" s="13" t="n">
        <x:v>-0.7829028133352246</x:v>
      </x:c>
      <x:c r="AM8" s="13" t="n">
        <x:v>5.277690058932323</x:v>
      </x:c>
      <x:c r="AN8" s="13" t="n">
        <x:v>-1.053410394914418</x:v>
      </x:c>
      <x:c r="AO8" s="13" t="n">
        <x:v>-0.8937348230306636</x:v>
      </x:c>
      <x:c r="AP8" s="13" t="n">
        <x:v>-0.7032897356342894</x:v>
      </x:c>
    </x:row>
    <x:row r="9" ht="15" hidden="0" customHeight="1">
      <x:c r="A9" s="2" t="str">
        <x:v>E8</x:v>
      </x:c>
      <x:c r="B9" s="2" t="str">
        <x:v>***科学研究院有限公司</x:v>
      </x:c>
      <x:c r="C9" s="2" t="str">
        <x:v>有信贷记录</x:v>
      </x:c>
      <x:c r="D9" s="2" t="str">
        <x:v>A</x:v>
      </x:c>
      <x:c r="E9" s="2" t="str">
        <x:v>否</x:v>
      </x:c>
      <x:c r="F9" s="13" t="n">
        <x:v>5.589811287023711</x:v>
      </x:c>
      <x:c r="G9" s="13" t="n">
        <x:v>5.673813215454509</x:v>
      </x:c>
      <x:c r="H9" s="13" t="n">
        <x:v>5.328445458760172</x:v>
      </x:c>
      <x:c r="I9" s="13" t="n">
        <x:v>2.84162252318394</x:v>
      </x:c>
      <x:c r="J9" s="13" t="n">
        <x:v>2.8306146424844076</x:v>
      </x:c>
      <x:c r="K9" s="13" t="n">
        <x:v>2.7944161310424738</x:v>
      </x:c>
      <x:c r="L9" s="13" t="n">
        <x:v>4.179027609741294</x:v>
      </x:c>
      <x:c r="M9" s="13" t="n">
        <x:v>0.14219567275793557</x:v>
      </x:c>
      <x:c r="N9" s="13" t="n">
        <x:v>-0.33975603585377323</x:v>
      </x:c>
      <x:c r="O9" s="13" t="n">
        <x:v>-0.730145661526469</x:v>
      </x:c>
      <x:c r="P9" s="13" t="n">
        <x:v>-0.724868393998807</x:v>
      </x:c>
      <x:c r="Q9" s="13" t="n">
        <x:v>2.6723271316598645</x:v>
      </x:c>
      <x:c r="R9" s="13" t="n">
        <x:v>-1.1383968689730872</x:v>
      </x:c>
      <x:c r="S9" s="13" t="n">
        <x:v>-0.22874944345292952</x:v>
      </x:c>
      <x:c r="T9" s="13" t="n">
        <x:v>0.918343412818586</x:v>
      </x:c>
      <x:c r="U9" s="13" t="n">
        <x:v>4.406849094903606</x:v>
      </x:c>
      <x:c r="V9" s="13" t="n">
        <x:v>4.142775569059345</x:v>
      </x:c>
      <x:c r="W9" s="13" t="n">
        <x:v>5.432265370540256</x:v>
      </x:c>
      <x:c r="X9" s="13" t="n">
        <x:v>4.676613269292696</x:v>
      </x:c>
      <x:c r="Y9" s="13" t="n">
        <x:v>2.9858458205761575</x:v>
      </x:c>
      <x:c r="Z9" s="13" t="n">
        <x:v>2.487761114664432</x:v>
      </x:c>
      <x:c r="AA9" s="13" t="n">
        <x:v>5.931958937962228</x:v>
      </x:c>
      <x:c r="AB9" s="13" t="n">
        <x:v>-0.0858832438874224</x:v>
      </x:c>
      <x:c r="AC9" s="13" t="n">
        <x:v>0.2827506849826777</x:v>
      </x:c>
      <x:c r="AD9" s="13" t="n">
        <x:v>-0.9940326344087347</x:v>
      </x:c>
      <x:c r="AE9" s="13" t="n">
        <x:v>-1.3120639401541287</x:v>
      </x:c>
      <x:c r="AF9" s="13" t="n">
        <x:v>2.8032568639168365</x:v>
      </x:c>
      <x:c r="AG9" s="13" t="n">
        <x:v>-1.0549608696495727</x:v>
      </x:c>
      <x:c r="AH9" s="13" t="n">
        <x:v>-0.06222589041363316</x:v>
      </x:c>
      <x:c r="AI9" s="13" t="n">
        <x:v>1.058857825123154</x:v>
      </x:c>
      <x:c r="AJ9" s="13" t="n">
        <x:v>2.8245631672164797</x:v>
      </x:c>
      <x:c r="AK9" s="13" t="n">
        <x:v>-0.19360656692214587</x:v>
      </x:c>
      <x:c r="AL9" s="13" t="n">
        <x:v>-0.2653878197106664</x:v>
      </x:c>
      <x:c r="AM9" s="13" t="n">
        <x:v>-0.1534895280060138</x:v>
      </x:c>
      <x:c r="AN9" s="13" t="n">
        <x:v>-1.1406356254938124</x:v>
      </x:c>
      <x:c r="AO9" s="13" t="n">
        <x:v>-1.26947936877166</x:v>
      </x:c>
      <x:c r="AP9" s="13" t="n">
        <x:v>-0.17540987412707204</x:v>
      </x:c>
    </x:row>
    <x:row r="10" ht="15" hidden="0" customHeight="1">
      <x:c r="A10" s="2" t="str">
        <x:v>E9</x:v>
      </x:c>
      <x:c r="B10" s="2" t="str">
        <x:v>***生活用品服务有限公司***分公司</x:v>
      </x:c>
      <x:c r="C10" s="2" t="str">
        <x:v>有信贷记录</x:v>
      </x:c>
      <x:c r="D10" s="2" t="str">
        <x:v>A</x:v>
      </x:c>
      <x:c r="E10" s="2" t="str">
        <x:v>否</x:v>
      </x:c>
      <x:c r="F10" s="13" t="n">
        <x:v>1.3774600961213401</x:v>
      </x:c>
      <x:c r="G10" s="13" t="n">
        <x:v>1.4019123886383809</x:v>
      </x:c>
      <x:c r="H10" s="13" t="n">
        <x:v>0.48060645406223657</x:v>
      </x:c>
      <x:c r="I10" s="13" t="n">
        <x:v>0.654649161136591</x:v>
      </x:c>
      <x:c r="J10" s="13" t="n">
        <x:v>-0.04461521381331739</x:v>
      </x:c>
      <x:c r="K10" s="13" t="n">
        <x:v>-0.051694720953636565</x:v>
      </x:c>
      <x:c r="L10" s="13" t="n">
        <x:v>1.5395269859161282</x:v>
      </x:c>
      <x:c r="M10" s="13" t="n">
        <x:v>-0.31028753281022914</x:v>
      </x:c>
      <x:c r="N10" s="13" t="n">
        <x:v>-0.05290505451604357</x:v>
      </x:c>
      <x:c r="O10" s="13" t="n">
        <x:v>-0.5304914786372458</x:v>
      </x:c>
      <x:c r="P10" s="13" t="n">
        <x:v>-0.42017948694936114</x:v>
      </x:c>
      <x:c r="Q10" s="13" t="n">
        <x:v>-0.08235924802753332</x:v>
      </x:c>
      <x:c r="R10" s="13" t="n">
        <x:v>-1.147936651713514</x:v>
      </x:c>
      <x:c r="S10" s="13" t="n">
        <x:v>-0.2924681213526359</x:v>
      </x:c>
      <x:c r="T10" s="13" t="n">
        <x:v>0.918343412818586</x:v>
      </x:c>
      <x:c r="U10" s="13" t="n">
        <x:v>2.552499431840635</x:v>
      </x:c>
      <x:c r="V10" s="13" t="n">
        <x:v>2.6846484160245465</x:v>
      </x:c>
      <x:c r="W10" s="13" t="n">
        <x:v>0.45878035885110036</x:v>
      </x:c>
      <x:c r="X10" s="13" t="n">
        <x:v>2.1324310704300107</x:v>
      </x:c>
      <x:c r="Y10" s="13" t="n">
        <x:v>2.8800612698545183</x:v>
      </x:c>
      <x:c r="Z10" s="13" t="n">
        <x:v>2.3389012678780268</x:v>
      </x:c>
      <x:c r="AA10" s="13" t="n">
        <x:v>-0.10789777058230454</x:v>
      </x:c>
      <x:c r="AB10" s="13" t="n">
        <x:v>-0.8154829564235033</x:v>
      </x:c>
      <x:c r="AC10" s="13" t="n">
        <x:v>0.010717478818603911</x:v>
      </x:c>
      <x:c r="AD10" s="13" t="n">
        <x:v>-0.7671591641456933</x:v>
      </x:c>
      <x:c r="AE10" s="13" t="n">
        <x:v>-0.8614285027006632</x:v>
      </x:c>
      <x:c r="AF10" s="13" t="n">
        <x:v>2.7023583122527435</x:v>
      </x:c>
      <x:c r="AG10" s="13" t="n">
        <x:v>-1.2575639629886637</x:v>
      </x:c>
      <x:c r="AH10" s="13" t="n">
        <x:v>-0.2530893713653478</x:v>
      </x:c>
      <x:c r="AI10" s="13" t="n">
        <x:v>1.058857825123154</x:v>
      </x:c>
      <x:c r="AJ10" s="13" t="n">
        <x:v>4.864629382401366</x:v>
      </x:c>
      <x:c r="AK10" s="13" t="n">
        <x:v>-0.31870082859980026</x:v>
      </x:c>
      <x:c r="AL10" s="13" t="n">
        <x:v>-0.8401574681693704</x:v>
      </x:c>
      <x:c r="AM10" s="13" t="n">
        <x:v>0.0919947931213212</x:v>
      </x:c>
      <x:c r="AN10" s="13" t="n">
        <x:v>-0.8544030126232603</x:v>
      </x:c>
      <x:c r="AO10" s="13" t="n">
        <x:v>-1.3713425189033284</x:v>
      </x:c>
      <x:c r="AP10" s="13" t="n">
        <x:v>-0.31056617811252957</x:v>
      </x:c>
    </x:row>
    <x:row r="11" ht="15" hidden="0" customHeight="1">
      <x:c r="A11" s="2" t="str">
        <x:v>E10</x:v>
      </x:c>
      <x:c r="B11" s="2" t="str">
        <x:v>***建筑劳务有限公司</x:v>
      </x:c>
      <x:c r="C11" s="2" t="str">
        <x:v>有信贷记录</x:v>
      </x:c>
      <x:c r="D11" s="2" t="str">
        <x:v>B</x:v>
      </x:c>
      <x:c r="E11" s="2" t="str">
        <x:v>否</x:v>
      </x:c>
      <x:c r="F11" s="13" t="n">
        <x:v>1.2865999360837397</x:v>
      </x:c>
      <x:c r="G11" s="13" t="n">
        <x:v>1.2393627338699336</x:v>
      </x:c>
      <x:c r="H11" s="13" t="n">
        <x:v>2.000871755974089</x:v>
      </x:c>
      <x:c r="I11" s="13" t="n">
        <x:v>0.997703806163626</x:v>
      </x:c>
      <x:c r="J11" s="13" t="n">
        <x:v>-0.46198652797488987</x:v>
      </x:c>
      <x:c r="K11" s="13" t="n">
        <x:v>-0.45939535345572957</x:v>
      </x:c>
      <x:c r="L11" s="13" t="n">
        <x:v>1.9685112497818533</x:v>
      </x:c>
      <x:c r="M11" s="13" t="n">
        <x:v>1.0702439635201946</x:v>
      </x:c>
      <x:c r="N11" s="13" t="n">
        <x:v>0.22965087747569318</x:v>
      </x:c>
      <x:c r="O11" s="13" t="n">
        <x:v>-0.9332378422084181</x:v>
      </x:c>
      <x:c r="P11" s="13" t="n">
        <x:v>-1.1783355789815195</x:v>
      </x:c>
      <x:c r="Q11" s="13" t="n">
        <x:v>-0.47335379874387734</x:v>
      </x:c>
      <x:c r="R11" s="13" t="n">
        <x:v>-0.9126353870512733</x:v>
      </x:c>
      <x:c r="S11" s="13" t="n">
        <x:v>0.4073426498493153</x:v>
      </x:c>
      <x:c r="T11" s="13" t="n">
        <x:v>0.6357932556410528</x:v>
      </x:c>
      <x:c r="U11" s="13" t="n">
        <x:v>-0.2603788010181716</x:v>
      </x:c>
      <x:c r="V11" s="13" t="n">
        <x:v>-0.25741345027575374</x:v>
      </x:c>
      <x:c r="W11" s="13" t="n">
        <x:v>-0.2455519165176792</x:v>
      </x:c>
      <x:c r="X11" s="13" t="n">
        <x:v>-0.3496979040701705</x:v>
      </x:c>
      <x:c r="Y11" s="13" t="n">
        <x:v>2.713226679261311</x:v>
      </x:c>
      <x:c r="Z11" s="13" t="n">
        <x:v>2.0712175579295278</x:v>
      </x:c>
      <x:c r="AA11" s="13" t="n">
        <x:v>-0.33583640012026145</x:v>
      </x:c>
      <x:c r="AB11" s="13" t="n">
        <x:v>-0.263812648573141</x:v>
      </x:c>
      <x:c r="AC11" s="13" t="n">
        <x:v>-0.5683603214288228</x:v>
      </x:c>
      <x:c r="AD11" s="13" t="n">
        <x:v>-0.5558003973060072</x:v>
      </x:c>
      <x:c r="AE11" s="13" t="n">
        <x:v>-0.6802432030286918</x:v>
      </x:c>
      <x:c r="AF11" s="13" t="n">
        <x:v>2.6274365050176334</x:v>
      </x:c>
      <x:c r="AG11" s="13" t="n">
        <x:v>1.0331351851571602</x:v>
      </x:c>
      <x:c r="AH11" s="13" t="n">
        <x:v>-0.8071464213192197</x:v>
      </x:c>
      <x:c r="AI11" s="13" t="n">
        <x:v>0.7569696929603585</x:v>
      </x:c>
      <x:c r="AJ11" s="13" t="n">
        <x:v>4.9102114362352465</x:v>
      </x:c>
      <x:c r="AK11" s="13" t="n">
        <x:v>-0.3371964023320231</x:v>
      </x:c>
      <x:c r="AL11" s="13" t="n">
        <x:v>-0.18234872807920247</x:v>
      </x:c>
      <x:c r="AM11" s="13" t="n">
        <x:v>-0.2979927738674543</x:v>
      </x:c>
      <x:c r="AN11" s="13" t="n">
        <x:v>-1.0140747318890593</x:v>
      </x:c>
      <x:c r="AO11" s="13" t="n">
        <x:v>-0.1332321212062549</x:v>
      </x:c>
      <x:c r="AP11" s="13" t="n">
        <x:v>-0.16089170655278595</x:v>
      </x:c>
    </x:row>
    <x:row r="12" ht="15" hidden="0" customHeight="1">
      <x:c r="A12" s="2" t="str">
        <x:v>E11</x:v>
      </x:c>
      <x:c r="B12" s="2" t="str">
        <x:v>***建设工程有限公司</x:v>
      </x:c>
      <x:c r="C12" s="2" t="str">
        <x:v>有信贷记录</x:v>
      </x:c>
      <x:c r="D12" s="2" t="str">
        <x:v>C</x:v>
      </x:c>
      <x:c r="E12" s="2" t="str">
        <x:v>否</x:v>
      </x:c>
      <x:c r="F12" s="13" t="n">
        <x:v>0.7020353350255039</x:v>
      </x:c>
      <x:c r="G12" s="13" t="n">
        <x:v>0.6903380887080692</x:v>
      </x:c>
      <x:c r="H12" s="13" t="n">
        <x:v>0.7676495530246145</x:v>
      </x:c>
      <x:c r="I12" s="13" t="n">
        <x:v>0.5688854998798323</x:v>
      </x:c>
      <x:c r="J12" s="13" t="n">
        <x:v>2.307657193206678</x:v>
      </x:c>
      <x:c r="K12" s="13" t="n">
        <x:v>2.27351682389927</x:v>
      </x:c>
      <x:c r="L12" s="13" t="n">
        <x:v>0.7058979908862799</x:v>
      </x:c>
      <x:c r="M12" s="13" t="n">
        <x:v>0.4872711893040274</x:v>
      </x:c>
      <x:c r="N12" s="13" t="n">
        <x:v>0.2330515679186871</x:v>
      </x:c>
      <x:c r="O12" s="13" t="n">
        <x:v>-0.702760996866416</x:v>
      </x:c>
      <x:c r="P12" s="13" t="n">
        <x:v>-0.823293512687412</x:v>
      </x:c>
      <x:c r="Q12" s="13" t="n">
        <x:v>2.589038514402033</x:v>
      </x:c>
      <x:c r="R12" s="13" t="n">
        <x:v>-0.4947804706046186</x:v>
      </x:c>
      <x:c r="S12" s="13" t="n">
        <x:v>1.1281102258361335</x:v>
      </x:c>
      <x:c r="T12" s="13" t="n">
        <x:v>0.2590597127376754</x:v>
      </x:c>
      <x:c r="U12" s="13" t="n">
        <x:v>0.028918716748685784</x:v>
      </x:c>
      <x:c r="V12" s="13" t="n">
        <x:v>0.0427396958856995</x:v>
      </x:c>
      <x:c r="W12" s="13" t="n">
        <x:v>-0.14065136486700988</x:v>
      </x:c>
      <x:c r="X12" s="13" t="n">
        <x:v>-0.3703823121910053</x:v>
      </x:c>
      <x:c r="Y12" s="13" t="n">
        <x:v>0.9574282443303072</x:v>
      </x:c>
      <x:c r="Z12" s="13" t="n">
        <x:v>0.6950493402189447</x:v>
      </x:c>
      <x:c r="AA12" s="13" t="n">
        <x:v>-0.2958883928816505</x:v>
      </x:c>
      <x:c r="AB12" s="13" t="n">
        <x:v>-0.5317900359882118</x:v>
      </x:c>
      <x:c r="AC12" s="13" t="n">
        <x:v>-0.666225108064567</x:v>
      </x:c>
      <x:c r="AD12" s="13" t="n">
        <x:v>0.6756912378696842</x:v>
      </x:c>
      <x:c r="AE12" s="13" t="n">
        <x:v>0.45698920572140483</x:v>
      </x:c>
      <x:c r="AF12" s="13" t="n">
        <x:v>1.7090867859688117</x:v>
      </x:c>
      <x:c r="AG12" s="13" t="n">
        <x:v>-0.5813336696741139</x:v>
      </x:c>
      <x:c r="AH12" s="13" t="n">
        <x:v>0.5205969208364407</x:v>
      </x:c>
      <x:c r="AI12" s="13" t="n">
        <x:v>-0.6518415904660202</x:v>
      </x:c>
      <x:c r="AJ12" s="13" t="n">
        <x:v>-0.12769517513328654</x:v>
      </x:c>
      <x:c r="AK12" s="13" t="n">
        <x:v>-0.023756880750237037</x:v>
      </x:c>
      <x:c r="AL12" s="13" t="n">
        <x:v>-0.4330975205094449</x:v>
      </x:c>
      <x:c r="AM12" s="13" t="n">
        <x:v>-0.3913623348338409</x:v>
      </x:c>
      <x:c r="AN12" s="13" t="n">
        <x:v>-0.08749583822247733</x:v>
      </x:c>
      <x:c r="AO12" s="13" t="n">
        <x:v>-0.6100720925829579</x:v>
      </x:c>
      <x:c r="AP12" s="13" t="n">
        <x:v>0.9493267181588693</x:v>
      </x:c>
    </x:row>
    <x:row r="13" ht="15" hidden="0" customHeight="1">
      <x:c r="A13" s="2" t="str">
        <x:v>E12</x:v>
      </x:c>
      <x:c r="B13" s="2" t="str">
        <x:v>***建筑劳务有限公司</x:v>
      </x:c>
      <x:c r="C13" s="2" t="str">
        <x:v>有信贷记录</x:v>
      </x:c>
      <x:c r="D13" s="2" t="str">
        <x:v>B</x:v>
      </x:c>
      <x:c r="E13" s="2" t="str">
        <x:v>否</x:v>
      </x:c>
      <x:c r="F13" s="13" t="n">
        <x:v>0.2199202001321136</x:v>
      </x:c>
      <x:c r="G13" s="13" t="n">
        <x:v>0.23097947729753115</x:v>
      </x:c>
      <x:c r="H13" s="13" t="n">
        <x:v>-0.10411096975001445</x:v>
      </x:c>
      <x:c r="I13" s="13" t="n">
        <x:v>0.09718536296765899</x:v>
      </x:c>
      <x:c r="J13" s="13" t="n">
        <x:v>1.334549491977646</x:v>
      </x:c>
      <x:c r="K13" s="13" t="n">
        <x:v>1.3089049270170485</x:v>
      </x:c>
      <x:c r="L13" s="13" t="n">
        <x:v>0.4868421965718671</x:v>
      </x:c>
      <x:c r="M13" s="13" t="n">
        <x:v>-0.3172451956264819</x:v>
      </x:c>
      <x:c r="N13" s="13" t="n">
        <x:v>0.07744961331161243</x:v>
      </x:c>
      <x:c r="O13" s="13" t="n">
        <x:v>-0.5163574343850662</x:v>
      </x:c>
      <x:c r="P13" s="13" t="n">
        <x:v>-0.3324211070839237</x:v>
      </x:c>
      <x:c r="Q13" s="13" t="n">
        <x:v>1.2883031436316865</x:v>
      </x:c>
      <x:c r="R13" s="13" t="n">
        <x:v>-0.28051331660490625</x:v>
      </x:c>
      <x:c r="S13" s="13" t="n">
        <x:v>0.4041156514558611</x:v>
      </x:c>
      <x:c r="T13" s="13" t="n">
        <x:v>0.7299766413668972</x:v>
      </x:c>
      <x:c r="U13" s="13" t="n">
        <x:v>-0.40950666536793595</x:v>
      </x:c>
      <x:c r="V13" s="13" t="n">
        <x:v>-0.39935503154462787</x:v>
      </x:c>
      <x:c r="W13" s="13" t="n">
        <x:v>-0.47033881291197055</x:v>
      </x:c>
      <x:c r="X13" s="13" t="n">
        <x:v>-0.3703823121910053</x:v>
      </x:c>
      <x:c r="Y13" s="13" t="n">
        <x:v>1.7051976630099137</x:v>
      </x:c>
      <x:c r="Z13" s="13" t="n">
        <x:v>1.2881464121524713</x:v>
      </x:c>
      <x:c r="AA13" s="13" t="n">
        <x:v>-0.38753382125258157</x:v>
      </x:c>
      <x:c r="AB13" s="13" t="n">
        <x:v>-0.3823239322851685</x:v>
      </x:c>
      <x:c r="AC13" s="13" t="n">
        <x:v>-0.5708261917761625</x:v>
      </x:c>
      <x:c r="AD13" s="13" t="n">
        <x:v>1.3868683874232701</x:v>
      </x:c>
      <x:c r="AE13" s="13" t="n">
        <x:v>1.4906930926134536</x:v>
      </x:c>
      <x:c r="AF13" s="13" t="n">
        <x:v>2.7019377037514283</x:v>
      </x:c>
      <x:c r="AG13" s="13" t="n">
        <x:v>0.1505803966152833</x:v>
      </x:c>
      <x:c r="AH13" s="13" t="n">
        <x:v>-0.96260612770124</x:v>
      </x:c>
      <x:c r="AI13" s="13" t="n">
        <x:v>-1.1549884774040124</x:v>
      </x:c>
      <x:c r="AJ13" s="13" t="n">
        <x:v>1.8588353379862446</x:v>
      </x:c>
      <x:c r="AK13" s="13" t="n">
        <x:v>-0.2028333579988475</x:v>
      </x:c>
      <x:c r="AL13" s="13" t="n">
        <x:v>-0.7411734261527853</x:v>
      </x:c>
      <x:c r="AM13" s="13" t="n">
        <x:v>-0.3741768115121501</x:v>
      </x:c>
      <x:c r="AN13" s="13" t="n">
        <x:v>0.4860050721051681</x:v>
      </x:c>
      <x:c r="AO13" s="13" t="n">
        <x:v>-0.12017055957781105</x:v>
      </x:c>
      <x:c r="AP13" s="13" t="n">
        <x:v>-0.2411606519069379</x:v>
      </x:c>
    </x:row>
    <x:row r="14" ht="15" hidden="0" customHeight="1">
      <x:c r="A14" s="2" t="str">
        <x:v>E13</x:v>
      </x:c>
      <x:c r="B14" s="2" t="str">
        <x:v>***汽车贸易有限公司</x:v>
      </x:c>
      <x:c r="C14" s="2" t="str">
        <x:v>有信贷记录</x:v>
      </x:c>
      <x:c r="D14" s="2" t="str">
        <x:v>A</x:v>
      </x:c>
      <x:c r="E14" s="2" t="str">
        <x:v>否</x:v>
      </x:c>
      <x:c r="F14" s="13" t="n">
        <x:v>5.589811287023711</x:v>
      </x:c>
      <x:c r="G14" s="13" t="n">
        <x:v>5.673813215454509</x:v>
      </x:c>
      <x:c r="H14" s="13" t="n">
        <x:v>1.7563535605616933</x:v>
      </x:c>
      <x:c r="I14" s="13" t="n">
        <x:v>1.2121129593055229</x:v>
      </x:c>
      <x:c r="J14" s="13" t="n">
        <x:v>1.4978117033848333</x:v>
      </x:c>
      <x:c r="K14" s="13" t="n">
        <x:v>1.4753638838378003</x:v>
      </x:c>
      <x:c r="L14" s="13" t="n">
        <x:v>1.4908479205129255</x:v>
      </x:c>
      <x:c r="M14" s="13" t="n">
        <x:v>-0.5409876222816229</x:v>
      </x:c>
      <x:c r="N14" s="13" t="n">
        <x:v>-0.40385795041322237</x:v>
      </x:c>
      <x:c r="O14" s="13" t="n">
        <x:v>-0.6354370513985068</x:v>
      </x:c>
      <x:c r="P14" s="13" t="n">
        <x:v>-0.39071813580666964</x:v>
      </x:c>
      <x:c r="Q14" s="13" t="n">
        <x:v>1.3954017077313379</x:v>
      </x:c>
      <x:c r="R14" s="13" t="n">
        <x:v>-1.1883640355996674</x:v>
      </x:c>
      <x:c r="S14" s="13" t="n">
        <x:v>-0.5211955000856094</x:v>
      </x:c>
      <x:c r="T14" s="13" t="n">
        <x:v>0.918343412818586</x:v>
      </x:c>
      <x:c r="U14" s="13" t="n">
        <x:v>3.65857500523341</x:v>
      </x:c>
      <x:c r="V14" s="13" t="n">
        <x:v>3.27261196215016</x:v>
      </x:c>
      <x:c r="W14" s="13" t="n">
        <x:v>5.432265370540256</x:v>
      </x:c>
      <x:c r="X14" s="13" t="n">
        <x:v>1.1188950725091034</x:v>
      </x:c>
      <x:c r="Y14" s="13" t="n">
        <x:v>1.7142594795002513</x:v>
      </x:c>
      <x:c r="Z14" s="13" t="n">
        <x:v>1.345162509058348</x:v>
      </x:c>
      <x:c r="AA14" s="13" t="n">
        <x:v>5.931958937962228</x:v>
      </x:c>
      <x:c r="AB14" s="13" t="n">
        <x:v>0.21483046636473985</x:v>
      </x:c>
      <x:c r="AC14" s="13" t="n">
        <x:v>-0.33924315228547836</x:v>
      </x:c>
      <x:c r="AD14" s="13" t="n">
        <x:v>-0.7503301288532658</x:v>
      </x:c>
      <x:c r="AE14" s="13" t="n">
        <x:v>-0.6551808604864608</x:v>
      </x:c>
      <x:c r="AF14" s="13" t="n">
        <x:v>1.5904028199646747</x:v>
      </x:c>
      <x:c r="AG14" s="13" t="n">
        <x:v>-0.34945833495809664</x:v>
      </x:c>
      <x:c r="AH14" s="13" t="n">
        <x:v>-0.1331015329809974</x:v>
      </x:c>
      <x:c r="AI14" s="13" t="n">
        <x:v>1.058857825123154</x:v>
      </x:c>
      <x:c r="AJ14" s="13" t="n">
        <x:v>1.7480490329872649</x:v>
      </x:c>
      <x:c r="AK14" s="13" t="n">
        <x:v>-0.19520029688299131</x:v>
      </x:c>
      <x:c r="AL14" s="13" t="n">
        <x:v>-0.1180271156875351</x:v>
      </x:c>
      <x:c r="AM14" s="13" t="n">
        <x:v>-0.45343406308258255</x:v>
      </x:c>
      <x:c r="AN14" s="13" t="n">
        <x:v>-0.9196281794249224</x:v>
      </x:c>
      <x:c r="AO14" s="13" t="n">
        <x:v>-0.9711768430264219</x:v>
      </x:c>
      <x:c r="AP14" s="13" t="n">
        <x:v>-0.39025758652798803</x:v>
      </x:c>
    </x:row>
    <x:row r="15" ht="15" hidden="0" customHeight="1">
      <x:c r="A15" s="2" t="str">
        <x:v>E14</x:v>
      </x:c>
      <x:c r="B15" s="2" t="str">
        <x:v>个体经营E14</x:v>
      </x:c>
      <x:c r="C15" s="2" t="str">
        <x:v>有信贷记录</x:v>
      </x:c>
      <x:c r="D15" s="2" t="str">
        <x:v>C</x:v>
      </x:c>
      <x:c r="E15" s="2" t="str">
        <x:v>否</x:v>
      </x:c>
      <x:c r="F15" s="13" t="n">
        <x:v>2.6680452264513383</x:v>
      </x:c>
      <x:c r="G15" s="13" t="n">
        <x:v>2.51818258421639</x:v>
      </x:c>
      <x:c r="H15" s="13" t="n">
        <x:v>5.328445458760172</x:v>
      </x:c>
      <x:c r="I15" s="13" t="n">
        <x:v>5.114359546488047</x:v>
      </x:c>
      <x:c r="J15" s="13" t="n">
        <x:v>1.9263501704775106</x:v>
      </x:c>
      <x:c r="K15" s="13" t="n">
        <x:v>1.9784828848562157</x:v>
      </x:c>
      <x:c r="L15" s="13" t="n">
        <x:v>2.053699614237458</x:v>
      </x:c>
      <x:c r="M15" s="13" t="n">
        <x:v>1.8332318839073536</x:v>
      </x:c>
      <x:c r="N15" s="13" t="n">
        <x:v>1.4293831762099303</x:v>
      </x:c>
      <x:c r="O15" s="13" t="n">
        <x:v>-0.7724439682895443</x:v>
      </x:c>
      <x:c r="P15" s="13" t="n">
        <x:v>-0.6467243710368106</x:v>
      </x:c>
      <x:c r="Q15" s="13" t="n">
        <x:v>1.938850956899065</x:v>
      </x:c>
      <x:c r="R15" s="13" t="n">
        <x:v>-0.4148591495543894</x:v>
      </x:c>
      <x:c r="S15" s="13" t="n">
        <x:v>-0.16236027689086716</x:v>
      </x:c>
      <x:c r="T15" s="13" t="n">
        <x:v>0.7299766413668972</x:v>
      </x:c>
      <x:c r="U15" s="13" t="n">
        <x:v>1.1982287202544355</x:v>
      </x:c>
      <x:c r="V15" s="13" t="n">
        <x:v>1.190615092233986</x:v>
      </x:c>
      <x:c r="W15" s="13" t="n">
        <x:v>1.1556197376734034</x:v>
      </x:c>
      <x:c r="X15" s="13" t="n">
        <x:v>0.4776784207632232</x:v>
      </x:c>
      <x:c r="Y15" s="13" t="n">
        <x:v>1.6936504034712165</x:v>
      </x:c>
      <x:c r="Z15" s="13" t="n">
        <x:v>1.302255935854765</x:v>
      </x:c>
      <x:c r="AA15" s="13" t="n">
        <x:v>1.5487695884306814</x:v>
      </x:c>
      <x:c r="AB15" s="13" t="n">
        <x:v>-0.42814159877283986</x:v>
      </x:c>
      <x:c r="AC15" s="13" t="n">
        <x:v>-0.2442449534888521</x:v>
      </x:c>
      <x:c r="AD15" s="13" t="n">
        <x:v>-0.9736224196120714</x:v>
      </x:c>
      <x:c r="AE15" s="13" t="n">
        <x:v>-1.2996891681974172</x:v>
      </x:c>
      <x:c r="AF15" s="13" t="n">
        <x:v>1.689810909159096</x:v>
      </x:c>
      <x:c r="AG15" s="13" t="n">
        <x:v>-1.193892195138907</x:v>
      </x:c>
      <x:c r="AH15" s="13" t="n">
        <x:v>-0.1688561624937602</x:v>
      </x:c>
      <x:c r="AI15" s="13" t="n">
        <x:v>0.857599070347957</x:v>
      </x:c>
      <x:c r="AJ15" s="13" t="n">
        <x:v>1.3838195975991028</x:v>
      </x:c>
      <x:c r="AK15" s="13" t="n">
        <x:v>-0.15444269150720835</x:v>
      </x:c>
      <x:c r="AL15" s="13" t="n">
        <x:v>0.05427651757520976</x:v>
      </x:c>
      <x:c r="AM15" s="13" t="n">
        <x:v>0.2689969768490889</x:v>
      </x:c>
      <x:c r="AN15" s="13" t="n">
        <x:v>-1.1562423646103102</x:v>
      </x:c>
      <x:c r="AO15" s="13" t="n">
        <x:v>-0.8443020398669908</x:v>
      </x:c>
      <x:c r="AP15" s="13" t="n">
        <x:v>-0.18844038246399017</x:v>
      </x:c>
    </x:row>
    <x:row r="16" ht="15" hidden="0" customHeight="1">
      <x:c r="A16" s="2" t="str">
        <x:v>E15</x:v>
      </x:c>
      <x:c r="B16" s="2" t="str">
        <x:v>***劳务有限公司</x:v>
      </x:c>
      <x:c r="C16" s="2" t="str">
        <x:v>有信贷记录</x:v>
      </x:c>
      <x:c r="D16" s="2" t="str">
        <x:v>A</x:v>
      </x:c>
      <x:c r="E16" s="2" t="str">
        <x:v>否</x:v>
      </x:c>
      <x:c r="F16" s="13" t="n">
        <x:v>-0.5700069055009027</x:v>
      </x:c>
      <x:c r="G16" s="13" t="n">
        <x:v>-0.5673838713439573</x:v>
      </x:c>
      <x:c r="H16" s="13" t="n">
        <x:v>-0.518728779362338</x:v>
      </x:c>
      <x:c r="I16" s="13" t="n">
        <x:v>-0.46027843520127304</x:v>
      </x:c>
      <x:c r="J16" s="13" t="n">
        <x:v>-0.4742392842094883</x:v>
      </x:c>
      <x:c r="K16" s="13" t="n">
        <x:v>-0.47835718062927424</x:v>
      </x:c>
      <x:c r="L16" s="13" t="n">
        <x:v>-0.614521658175597</x:v>
      </x:c>
      <x:c r="M16" s="13" t="n">
        <x:v>-1.151103901665672</x:v>
      </x:c>
      <x:c r="N16" s="13" t="n">
        <x:v>-0.7216149855326618</x:v>
      </x:c>
      <x:c r="O16" s="13" t="n">
        <x:v>-0.03667416385591252</x:v>
      </x:c>
      <x:c r="P16" s="13" t="n">
        <x:v>0.25314336415058913</x:v>
      </x:c>
      <x:c r="Q16" s="13" t="n">
        <x:v>-0.4694796739363565</x:v>
      </x:c>
      <x:c r="R16" s="13" t="n">
        <x:v>0.34877026437727593</x:v>
      </x:c>
      <x:c r="S16" s="13" t="n">
        <x:v>1.5689620893940397</x:v>
      </x:c>
      <x:c r="T16" s="13" t="n">
        <x:v>-0.7769575302466126</x:v>
      </x:c>
      <x:c r="U16" s="13" t="n">
        <x:v>0.7113236083845333</x:v>
      </x:c>
      <x:c r="V16" s="13" t="n">
        <x:v>0.7210297028187779</x:v>
      </x:c>
      <x:c r="W16" s="13" t="n">
        <x:v>0.5037377381299586</x:v>
      </x:c>
      <x:c r="X16" s="13" t="n">
        <x:v>-0.3910667203118402</x:v>
      </x:c>
      <x:c r="Y16" s="13" t="n">
        <x:v>1.487694541081796</x:v>
      </x:c>
      <x:c r="Z16" s="13" t="n">
        <x:v>1.1049870538256514</x:v>
      </x:c>
      <x:c r="AA16" s="13" t="n">
        <x:v>-0.3945834695888071</x:v>
      </x:c>
      <x:c r="AB16" s="13" t="n">
        <x:v>-0.4993363320516683</x:v>
      </x:c>
      <x:c r="AC16" s="13" t="n">
        <x:v>-0.6980651016988949</x:v>
      </x:c>
      <x:c r="AD16" s="13" t="n">
        <x:v>2.0428252778605853</x:v>
      </x:c>
      <x:c r="AE16" s="13" t="n">
        <x:v>1.921923332439473</x:v>
      </x:c>
      <x:c r="AF16" s="13" t="n">
        <x:v>1.4269168810783694</x:v>
      </x:c>
      <x:c r="AG16" s="13" t="n">
        <x:v>-0.12148935781654653</x:v>
      </x:c>
      <x:c r="AH16" s="13" t="n">
        <x:v>-0.004459106299317715</x:v>
      </x:c>
      <x:c r="AI16" s="13" t="n">
        <x:v>0.15319342863476768</x:v>
      </x:c>
      <x:c r="AJ16" s="13" t="n">
        <x:v>2.892538773561933</x:v>
      </x:c>
      <x:c r="AK16" s="13" t="n">
        <x:v>-0.3352084503402471</x:v>
      </x:c>
      <x:c r="AL16" s="13" t="n">
        <x:v>-0.20371389154835826</x:v>
      </x:c>
      <x:c r="AM16" s="13" t="n">
        <x:v>-0.7815911692517314</x:v>
      </x:c>
      <x:c r="AN16" s="13" t="n">
        <x:v>1.2367257267113918</x:v>
      </x:c>
      <x:c r="AO16" s="13" t="n">
        <x:v>0.17841042984352176</x:v>
      </x:c>
      <x:c r="AP16" s="13" t="n">
        <x:v>0.9549673694886835</x:v>
      </x:c>
    </x:row>
    <x:row r="17" ht="15" hidden="0" customHeight="1">
      <x:c r="A17" s="2" t="str">
        <x:v>E16</x:v>
      </x:c>
      <x:c r="B17" s="2" t="str">
        <x:v>***建筑劳务有限公司</x:v>
      </x:c>
      <x:c r="C17" s="2" t="str">
        <x:v>有信贷记录</x:v>
      </x:c>
      <x:c r="D17" s="2" t="str">
        <x:v>A</x:v>
      </x:c>
      <x:c r="E17" s="2" t="str">
        <x:v>否</x:v>
      </x:c>
      <x:c r="F17" s="13" t="n">
        <x:v>-0.4782196009731226</x:v>
      </x:c>
      <x:c r="G17" s="13" t="n">
        <x:v>-0.4729228625257151</x:v>
      </x:c>
      <x:c r="H17" s="13" t="n">
        <x:v>-0.5080975534748424</x:v>
      </x:c>
      <x:c r="I17" s="13" t="n">
        <x:v>-0.4173966045728936</x:v>
      </x:c>
      <x:c r="J17" s="13" t="n">
        <x:v>-0.5642605167735775</x:v>
      </x:c>
      <x:c r="K17" s="13" t="n">
        <x:v>-0.5659832795319154</x:v>
      </x:c>
      <x:c r="L17" s="13" t="n">
        <x:v>-0.48065422831678917</x:v>
      </x:c>
      <x:c r="M17" s="13" t="n">
        <x:v>-1.0186892035183346</x:v>
      </x:c>
      <x:c r="N17" s="13" t="n">
        <x:v>-0.3479241417292575</x:v>
      </x:c>
      <x:c r="O17" s="13" t="n">
        <x:v>-0.6838356220656979</x:v>
      </x:c>
      <x:c r="P17" s="13" t="n">
        <x:v>-0.7891949612006631</x:v>
      </x:c>
      <x:c r="Q17" s="13" t="n">
        <x:v>-0.5793705034930781</x:v>
      </x:c>
      <x:c r="R17" s="13" t="n">
        <x:v>-0.3835595736054187</x:v>
      </x:c>
      <x:c r="S17" s="13" t="n">
        <x:v>0.7025956442376979</x:v>
      </x:c>
      <x:c r="T17" s="13" t="n">
        <x:v>-0.21185721589154644</x:v>
      </x:c>
      <x:c r="U17" s="13" t="n">
        <x:v>-0.32835581338961894</x:v>
      </x:c>
      <x:c r="V17" s="13" t="n">
        <x:v>-0.32810372395116144</x:v>
      </x:c>
      <x:c r="W17" s="13" t="n">
        <x:v>-0.26803060615710833</x:v>
      </x:c>
      <x:c r="X17" s="13" t="n">
        <x:v>-0.3910667203118402</x:v>
      </x:c>
      <x:c r="Y17" s="13" t="n">
        <x:v>1.4315191900356408</x:v>
      </x:c>
      <x:c r="Z17" s="13" t="n">
        <x:v>1.0614063015362176</x:v>
      </x:c>
      <x:c r="AA17" s="13" t="n">
        <x:v>-0.2700396823154904</x:v>
      </x:c>
      <x:c r="AB17" s="13" t="n">
        <x:v>-0.09815128967865892</x:v>
      </x:c>
      <x:c r="AC17" s="13" t="n">
        <x:v>-0.6980651016988949</x:v>
      </x:c>
      <x:c r="AD17" s="13" t="n">
        <x:v>-0.7335156294926621</x:v>
      </x:c>
      <x:c r="AE17" s="13" t="n">
        <x:v>-0.836007534662747</x:v>
      </x:c>
      <x:c r="AF17" s="13" t="n">
        <x:v>1.37188804159582</x:v>
      </x:c>
      <x:c r="AG17" s="13" t="n">
        <x:v>-0.3542256452389735</x:v>
      </x:c>
      <x:c r="AH17" s="13" t="n">
        <x:v>-0.2759510183986424</x:v>
      </x:c>
      <x:c r="AI17" s="13" t="n">
        <x:v>0.857599070347957</x:v>
      </x:c>
      <x:c r="AJ17" s="13" t="n">
        <x:v>2.868972215641141</x:v>
      </x:c>
      <x:c r="AK17" s="13" t="n">
        <x:v>-0.3424782970489254</x:v>
      </x:c>
      <x:c r="AL17" s="13" t="n">
        <x:v>-0.06872030669164027</x:v>
      </x:c>
      <x:c r="AM17" s="13" t="n">
        <x:v>-0.6950166896984015</x:v>
      </x:c>
      <x:c r="AN17" s="13" t="n">
        <x:v>-0.9441176835951676</x:v>
      </x:c>
      <x:c r="AO17" s="13" t="n">
        <x:v>-0.42772634547485344</x:v>
      </x:c>
      <x:c r="AP17" s="13" t="n">
        <x:v>0.2875001750372932</x:v>
      </x:c>
    </x:row>
    <x:row r="18" ht="15" hidden="0" customHeight="1">
      <x:c r="A18" s="2" t="str">
        <x:v>E17</x:v>
      </x:c>
      <x:c r="B18" s="2" t="str">
        <x:v>***消防工程有限公司</x:v>
      </x:c>
      <x:c r="C18" s="2" t="str">
        <x:v>有信贷记录</x:v>
      </x:c>
      <x:c r="D18" s="2" t="str">
        <x:v>A</x:v>
      </x:c>
      <x:c r="E18" s="2" t="str">
        <x:v>否</x:v>
      </x:c>
      <x:c r="F18" s="13" t="n">
        <x:v>2.8956591987904297</x:v>
      </x:c>
      <x:c r="G18" s="13" t="n">
        <x:v>2.813553048338406</x:v>
      </x:c>
      <x:c r="H18" s="13" t="n">
        <x:v>3.999542222823238</x:v>
      </x:c>
      <x:c r="I18" s="13" t="n">
        <x:v>3.4419681519812513</x:v>
      </x:c>
      <x:c r="J18" s="13" t="n">
        <x:v>2.2791228620479096</x:v>
      </x:c>
      <x:c r="K18" s="13" t="n">
        <x:v>2.361097830663735</x:v>
      </x:c>
      <x:c r="L18" s="13" t="n">
        <x:v>1.944171717080252</x:v>
      </x:c>
      <x:c r="M18" s="13" t="n">
        <x:v>1.0053590405461839</x:v>
      </x:c>
      <x:c r="N18" s="13" t="n">
        <x:v>0.654234867636277</x:v>
      </x:c>
      <x:c r="O18" s="13" t="n">
        <x:v>-0.9328503045487657</x:v>
      </x:c>
      <x:c r="P18" s="13" t="n">
        <x:v>-1.2501619055623228</x:v>
      </x:c>
      <x:c r="Q18" s="13" t="n">
        <x:v>2.217734161967078</x:v>
      </x:c>
      <x:c r="R18" s="13" t="n">
        <x:v>-0.9050570953786548</x:v>
      </x:c>
      <x:c r="S18" s="13" t="n">
        <x:v>0.44773200619909514</x:v>
      </x:c>
      <x:c r="T18" s="13" t="n">
        <x:v>0.8241600270927416</x:v>
      </x:c>
      <x:c r="U18" s="13" t="n">
        <x:v>-0.20346781391649474</x:v>
      </x:c>
      <x:c r="V18" s="13" t="n">
        <x:v>-0.23216692396310815</x:v>
      </x:c>
      <x:c r="W18" s="13" t="n">
        <x:v>0.22650056591033263</x:v>
      </x:c>
      <x:c r="X18" s="13" t="n">
        <x:v>-0.12216941474098722</x:v>
      </x:c>
      <x:c r="Y18" s="13" t="n">
        <x:v>1.0089272104033422</x:v>
      </x:c>
      <x:c r="Z18" s="13" t="n">
        <x:v>0.782708251758958</x:v>
      </x:c>
      <x:c r="AA18" s="13" t="n">
        <x:v>0.0636436722658486</x:v>
      </x:c>
      <x:c r="AB18" s="13" t="n">
        <x:v>0.3847743851080547</x:v>
      </x:c>
      <x:c r="AC18" s="13" t="n">
        <x:v>0.07738914611897002</x:v>
      </x:c>
      <x:c r="AD18" s="13" t="n">
        <x:v>-0.8373932480412716</x:v>
      </x:c>
      <x:c r="AE18" s="13" t="n">
        <x:v>-1.0199447423959263</x:v>
      </x:c>
      <x:c r="AF18" s="13" t="n">
        <x:v>0.9579209585117828</x:v>
      </x:c>
      <x:c r="AG18" s="13" t="n">
        <x:v>-0.7356180383400595</x:v>
      </x:c>
      <x:c r="AH18" s="13" t="n">
        <x:v>0.5811085850765471</x:v>
      </x:c>
      <x:c r="AI18" s="13" t="n">
        <x:v>0.9582284477355555</x:v>
      </x:c>
      <x:c r="AJ18" s="13" t="n">
        <x:v>-0.02052995475485706</x:v>
      </x:c>
      <x:c r="AK18" s="13" t="n">
        <x:v>-0.03680730026127005</x:v>
      </x:c>
      <x:c r="AL18" s="13" t="n">
        <x:v>-0.12154026467649517</x:v>
      </x:c>
      <x:c r="AM18" s="13" t="n">
        <x:v>0.011963276249040313</x:v>
      </x:c>
      <x:c r="AN18" s="13" t="n">
        <x:v>-1.1876937025617333</x:v>
      </x:c>
      <x:c r="AO18" s="13" t="n">
        <x:v>-0.9609029644956877</x:v>
      </x:c>
      <x:c r="AP18" s="13" t="n">
        <x:v>0.5629991000564194</x:v>
      </x:c>
    </x:row>
    <x:row r="19" ht="15" hidden="0" customHeight="1">
      <x:c r="A19" s="2" t="str">
        <x:v>E18</x:v>
      </x:c>
      <x:c r="B19" s="2" t="str">
        <x:v>***消防工程有限责任公司</x:v>
      </x:c>
      <x:c r="C19" s="2" t="str">
        <x:v>有信贷记录</x:v>
      </x:c>
      <x:c r="D19" s="2" t="str">
        <x:v>A</x:v>
      </x:c>
      <x:c r="E19" s="2" t="str">
        <x:v>否</x:v>
      </x:c>
      <x:c r="F19" s="13" t="n">
        <x:v>2.059838440893523</x:v>
      </x:c>
      <x:c r="G19" s="13" t="n">
        <x:v>2.004161257043011</x:v>
      </x:c>
      <x:c r="H19" s="13" t="n">
        <x:v>2.7769512457612584</x:v>
      </x:c>
      <x:c r="I19" s="13" t="n">
        <x:v>0.8690583142784879</x:v>
      </x:c>
      <x:c r="J19" s="13" t="n">
        <x:v>2.1787651833698933</x:v>
      </x:c>
      <x:c r="K19" s="13" t="n">
        <x:v>2.192345504768915</x:v>
      </x:c>
      <x:c r="L19" s="13" t="n">
        <x:v>1.2504950350846116</x:v>
      </x:c>
      <x:c r="M19" s="13" t="n">
        <x:v>0.9137844527915051</x:v>
      </x:c>
      <x:c r="N19" s="13" t="n">
        <x:v>-0.10788514691951805</x:v>
      </x:c>
      <x:c r="O19" s="13" t="n">
        <x:v>-0.8500740041216892</x:v>
      </x:c>
      <x:c r="P19" s="13" t="n">
        <x:v>-0.9531239824301903</x:v>
      </x:c>
      <x:c r="Q19" s="13" t="n">
        <x:v>2.118985306190478</x:v>
      </x:c>
      <x:c r="R19" s="13" t="n">
        <x:v>-0.5361170315960115</x:v>
      </x:c>
      <x:c r="S19" s="13" t="n">
        <x:v>0.19231429222219018</x:v>
      </x:c>
      <x:c r="T19" s="13" t="n">
        <x:v>0.8241600270927416</x:v>
      </x:c>
      <x:c r="U19" s="13" t="n">
        <x:v>-0.35891912127755654</x:v>
      </x:c>
      <x:c r="V19" s="13" t="n">
        <x:v>-0.353350250263807</x:v>
      </x:c>
      <x:c r="W19" s="13" t="n">
        <x:v>-0.36543826126130124</x:v>
      </x:c>
      <x:c r="X19" s="13" t="n">
        <x:v>-0.3496979040701705</x:v>
      </x:c>
      <x:c r="Y19" s="13" t="n">
        <x:v>1.2837395575105386</x:v>
      </x:c>
      <x:c r="Z19" s="13" t="n">
        <x:v>0.9621898838816869</x:v>
      </x:c>
      <x:c r="AA19" s="13" t="n">
        <x:v>-0.2841389789879413</x:v>
      </x:c>
      <x:c r="AB19" s="13" t="n">
        <x:v>-0.23955210212904962</x:v>
      </x:c>
      <x:c r="AC19" s="13" t="n">
        <x:v>-0.5040718651210477</x:v>
      </x:c>
      <x:c r="AD19" s="13" t="n">
        <x:v>-0.4715811192632345</x:v>
      </x:c>
      <x:c r="AE19" s="13" t="n">
        <x:v>-0.3903070998835953</x:v>
      </x:c>
      <x:c r="AF19" s="13" t="n">
        <x:v>1.2271245194180513</x:v>
      </x:c>
      <x:c r="AG19" s="13" t="n">
        <x:v>-0.4130520098270838</x:v>
      </x:c>
      <x:c r="AH19" s="13" t="n">
        <x:v>-0.15133243441522198</x:v>
      </x:c>
      <x:c r="AI19" s="13" t="n">
        <x:v>0.9582284477355555</x:v>
      </x:c>
      <x:c r="AJ19" s="13" t="n">
        <x:v>0.5113423208472683</x:v>
      </x:c>
      <x:c r="AK19" s="13" t="n">
        <x:v>-0.09038049973318055</x:v>
      </x:c>
      <x:c r="AL19" s="13" t="n">
        <x:v>-0.27915496990750727</x:v>
      </x:c>
      <x:c r="AM19" s="13" t="n">
        <x:v>-0.4471300721221687</x:v>
      </x:c>
      <x:c r="AN19" s="13" t="n">
        <x:v>-0.9021416962082842</x:v>
      </x:c>
      <x:c r="AO19" s="13" t="n">
        <x:v>-0.5588655774913751</x:v>
      </x:c>
      <x:c r="AP19" s="13" t="n">
        <x:v>0.03765984923720717</x:v>
      </x:c>
    </x:row>
    <x:row r="20" ht="15" hidden="0" customHeight="1">
      <x:c r="A20" s="2" t="str">
        <x:v>E19</x:v>
      </x:c>
      <x:c r="B20" s="2" t="str">
        <x:v>***科技有限公司</x:v>
      </x:c>
      <x:c r="C20" s="2" t="str">
        <x:v>有信贷记录</x:v>
      </x:c>
      <x:c r="D20" s="2" t="str">
        <x:v>A</x:v>
      </x:c>
      <x:c r="E20" s="2" t="str">
        <x:v>否</x:v>
      </x:c>
      <x:c r="F20" s="13" t="n">
        <x:v>0.09382854946768847</x:v>
      </x:c>
      <x:c r="G20" s="13" t="n">
        <x:v>0.10007665797072855</x:v>
      </x:c>
      <x:c r="H20" s="13" t="n">
        <x:v>-0.09347974386251898</x:v>
      </x:c>
      <x:c r="I20" s="13" t="n">
        <x:v>-0.33163294331613485</x:v>
      </x:c>
      <x:c r="J20" s="13" t="n">
        <x:v>3.663177348225071</x:v>
      </x:c>
      <x:c r="K20" s="13" t="n">
        <x:v>3.592408839400319</x:v>
      </x:c>
      <x:c r="L20" s="13" t="n">
        <x:v>-0.20683448542377325</x:v>
      </x:c>
      <x:c r="M20" s="13" t="n">
        <x:v>-0.14322299713213316</x:v>
      </x:c>
      <x:c r="N20" s="13" t="n">
        <x:v>-0.5032929089979236</x:v>
      </x:c>
      <x:c r="O20" s="13" t="n">
        <x:v>-0.31561417937610536</x:v>
      </x:c>
      <x:c r="P20" s="13" t="n">
        <x:v>-0.10344991766596154</x:v>
      </x:c>
      <x:c r="Q20" s="13" t="n">
        <x:v>3.5796010230068034</x:v>
      </x:c>
      <x:c r="R20" s="13" t="n">
        <x:v>-1.1077197132582153</x:v>
      </x:c>
      <x:c r="S20" s="13" t="n">
        <x:v>-0.062456872028303745</x:v>
      </x:c>
      <x:c r="T20" s="13" t="n">
        <x:v>0.8241600270927416</x:v>
      </x:c>
      <x:c r="U20" s="13" t="n">
        <x:v>1.0733407207813113</x:v>
      </x:c>
      <x:c r="V20" s="13" t="n">
        <x:v>1.0357697308497598</x:v>
      </x:c>
      <x:c r="W20" s="13" t="n">
        <x:v>1.4478427029859822</x:v>
      </x:c>
      <x:c r="X20" s="13" t="n">
        <x:v>0.9534198075424246</x:v>
      </x:c>
      <x:c r="Y20" s="13" t="n">
        <x:v>1.390239093437405</x:v>
      </x:c>
      <x:c r="Z20" s="13" t="n">
        <x:v>1.0988836306051526</x:v>
      </x:c>
      <x:c r="AA20" s="13" t="n">
        <x:v>0.8132562786844904</x:v>
      </x:c>
      <x:c r="AB20" s="13" t="n">
        <x:v>-0.2790260984510815</x:v>
      </x:c>
      <x:c r="AC20" s="13" t="n">
        <x:v>0.07299096534439155</x:v>
      </x:c>
      <x:c r="AD20" s="13" t="n">
        <x:v>-0.952465866862832</x:v>
      </x:c>
      <x:c r="AE20" s="13" t="n">
        <x:v>-1.2223462018057552</x:v>
      </x:c>
      <x:c r="AF20" s="13" t="n">
        <x:v>1.3314504516702652</x:v>
      </x:c>
      <x:c r="AG20" s="13" t="n">
        <x:v>-1.170358300674838</x:v>
      </x:c>
      <x:c r="AH20" s="13" t="n">
        <x:v>0.001019487452244201</x:v>
      </x:c>
      <x:c r="AI20" s="13" t="n">
        <x:v>0.9582284477355555</x:v>
      </x:c>
      <x:c r="AJ20" s="13" t="n">
        <x:v>-0.45607279911950116</x:v>
      </x:c>
      <x:c r="AK20" s="13" t="n">
        <x:v>0.0045752825936193516</x:v>
      </x:c>
      <x:c r="AL20" s="13" t="n">
        <x:v>-0.06530624248570777</x:v>
      </x:c>
      <x:c r="AM20" s="13" t="n">
        <x:v>0.1469377203966656</x:v>
      </x:c>
      <x:c r="AN20" s="13" t="n">
        <x:v>-0.8140108383406748</x:v>
      </x:c>
      <x:c r="AO20" s="13" t="n">
        <x:v>-1.3030131657555593</x:v>
      </x:c>
      <x:c r="AP20" s="13" t="n">
        <x:v>-0.04168699488494772</x:v>
      </x:c>
    </x:row>
    <x:row r="21" ht="15" hidden="0" customHeight="1">
      <x:c r="A21" s="2" t="str">
        <x:v>E20</x:v>
      </x:c>
      <x:c r="B21" s="2" t="str">
        <x:v>***贸易有限公司</x:v>
      </x:c>
      <x:c r="C21" s="2" t="str">
        <x:v>有信贷记录</x:v>
      </x:c>
      <x:c r="D21" s="2" t="str">
        <x:v>B</x:v>
      </x:c>
      <x:c r="E21" s="2" t="str">
        <x:v>否</x:v>
      </x:c>
      <x:c r="F21" s="13" t="n">
        <x:v>-0.08881891509769205</x:v>
      </x:c>
      <x:c r="G21" s="13" t="n">
        <x:v>-0.11234073749364344</x:v>
      </x:c>
      <x:c r="H21" s="13" t="n">
        <x:v>0.4274503246247592</x:v>
      </x:c>
      <x:c r="I21" s="13" t="n">
        <x:v>-0.33163294331613485</x:v>
      </x:c>
      <x:c r="J21" s="13" t="n">
        <x:v>3.507513032531081</x:v>
      </x:c>
      <x:c r="K21" s="13" t="n">
        <x:v>3.435017163053281</x:v>
      </x:c>
      <x:c r="L21" s="13" t="n">
        <x:v>-0.49890887784299026</x:v>
      </x:c>
      <x:c r="M21" s="13" t="n">
        <x:v>1.873341548938555</x:v>
      </x:c>
      <x:c r="N21" s="13" t="n">
        <x:v>-0.41038543550619544</x:v>
      </x:c>
      <x:c r="O21" s="13" t="n">
        <x:v>-0.7356222704627874</x:v>
      </x:c>
      <x:c r="P21" s="13" t="n">
        <x:v>-0.8756001891687877</x:v>
      </x:c>
      <x:c r="Q21" s="13" t="n">
        <x:v>3.4264321448251276</x:v>
      </x:c>
      <x:c r="R21" s="13" t="n">
        <x:v>-0.9141905771226546</x:v>
      </x:c>
      <x:c r="S21" s="13" t="n">
        <x:v>-0.2139062216617261</x:v>
      </x:c>
      <x:c r="T21" s="13" t="n">
        <x:v>0.8241600270927416</x:v>
      </x:c>
      <x:c r="U21" s="13" t="n">
        <x:v>-0.15024550190474137</x:v>
      </x:c>
      <x:c r="V21" s="13" t="n">
        <x:v>-0.1334249543847609</x:v>
      </x:c>
      <x:c r="W21" s="13" t="n">
        <x:v>-0.33546667507539574</x:v>
      </x:c>
      <x:c r="X21" s="13" t="n">
        <x:v>-0.3910667203118402</x:v>
      </x:c>
      <x:c r="Y21" s="13" t="n">
        <x:v>1.511126998579945</x:v>
      </x:c>
      <x:c r="Z21" s="13" t="n">
        <x:v>1.1231659188748517</x:v>
      </x:c>
      <x:c r="AA21" s="13" t="n">
        <x:v>-0.33818628289900327</x:v>
      </x:c>
      <x:c r="AB21" s="13" t="n">
        <x:v>-0.5945840293148591</x:v>
      </x:c>
      <x:c r="AC21" s="13" t="n">
        <x:v>-0.6980651016988949</x:v>
      </x:c>
      <x:c r="AD21" s="13" t="n">
        <x:v>0.32618673770460094</x:v>
      </x:c>
      <x:c r="AE21" s="13" t="n">
        <x:v>0.7359115035800551</x:v>
      </x:c>
      <x:c r="AF21" s="13" t="n">
        <x:v>1.4498710935280228</x:v>
      </x:c>
      <x:c r="AG21" s="13" t="n">
        <x:v>-0.9395765642709637</x:v>
      </x:c>
      <x:c r="AH21" s="13" t="n">
        <x:v>-0.11796200531710166</x:v>
      </x:c>
      <x:c r="AI21" s="13" t="n">
        <x:v>0.7569696929603585</x:v>
      </x:c>
      <x:c r="AJ21" s="13" t="n">
        <x:v>-0.1361942961711605</x:v>
      </x:c>
      <x:c r="AK21" s="13" t="n">
        <x:v>-0.013632047682661175</x:v>
      </x:c>
      <x:c r="AL21" s="13" t="n">
        <x:v>-0.08484217087673064</x:v>
      </x:c>
      <x:c r="AM21" s="13" t="n">
        <x:v>-0.6824054466138613</x:v>
      </x:c>
      <x:c r="AN21" s="13" t="n">
        <x:v>-0.3270110319396384</x:v>
      </x:c>
      <x:c r="AO21" s="13" t="n">
        <x:v>-1.0631288226710656</x:v>
      </x:c>
      <x:c r="AP21" s="13" t="n">
        <x:v>-0.19438648720950508</x:v>
      </x:c>
    </x:row>
    <x:row r="22" ht="15" hidden="0" customHeight="1">
      <x:c r="A22" s="2" t="str">
        <x:v>E21</x:v>
      </x:c>
      <x:c r="B22" s="2" t="str">
        <x:v>***建设工程有限公司</x:v>
      </x:c>
      <x:c r="C22" s="2" t="str">
        <x:v>有信贷记录</x:v>
      </x:c>
      <x:c r="D22" s="2" t="str">
        <x:v>B</x:v>
      </x:c>
      <x:c r="E22" s="2" t="str">
        <x:v>否</x:v>
      </x:c>
      <x:c r="F22" s="13" t="n">
        <x:v>0.45912347859844954</x:v>
      </x:c>
      <x:c r="G22" s="13" t="n">
        <x:v>0.4175040074005576</x:v>
      </x:c>
      <x:c r="H22" s="13" t="n">
        <x:v>1.2460547179619108</x:v>
      </x:c>
      <x:c r="I22" s="13" t="n">
        <x:v>0.48312183862307345</x:v>
      </x:c>
      <x:c r="J22" s="13" t="n">
        <x:v>1.8882577345258333</x:v>
      </x:c>
      <x:c r="K22" s="13" t="n">
        <x:v>1.8845765773553942</x:v>
      </x:c>
      <x:c r="L22" s="13" t="n">
        <x:v>0.7484921731140823</x:v>
      </x:c>
      <x:c r="M22" s="13" t="n">
        <x:v>1.6060083685820872</x:v>
      </x:c>
      <x:c r="N22" s="13" t="n">
        <x:v>0.3855268527255137</x:v>
      </x:c>
      <x:c r="O22" s="13" t="n">
        <x:v>-0.7929337665108022</x:v>
      </x:c>
      <x:c r="P22" s="13" t="n">
        <x:v>-0.8841905752757436</x:v>
      </x:c>
      <x:c r="Q22" s="13" t="n">
        <x:v>1.833134950285287</x:v>
      </x:c>
      <x:c r="R22" s="13" t="n">
        <x:v>-0.6775653552450607</x:v>
      </x:c>
      <x:c r="S22" s="13" t="n">
        <x:v>0.657286232780888</x:v>
      </x:c>
      <x:c r="T22" s="13" t="n">
        <x:v>0.8241600270927416</x:v>
      </x:c>
      <x:c r="U22" s="13" t="n">
        <x:v>0.21282551766058602</x:v>
      </x:c>
      <x:c r="V22" s="13" t="n">
        <x:v>0.25424948299386374</x:v>
      </x:c>
      <x:c r="W22" s="13" t="n">
        <x:v>-0.35045246816834846</x:v>
      </x:c>
      <x:c r="X22" s="13" t="n">
        <x:v>0.5604160532465625</x:v>
      </x:c>
      <x:c r="Y22" s="13" t="n">
        <x:v>0.6523554106054522</x:v>
      </x:c>
      <x:c r="Z22" s="13" t="n">
        <x:v>0.5216712309642052</x:v>
      </x:c>
      <x:c r="AA22" s="13" t="n">
        <x:v>0.3949771440684458</x:v>
      </x:c>
      <x:c r="AB22" s="13" t="n">
        <x:v>-0.8055748993509668</x:v>
      </x:c>
      <x:c r="AC22" s="13" t="n">
        <x:v>0.37990151752044465</x:v>
      </x:c>
      <x:c r="AD22" s="13" t="n">
        <x:v>0.009483451949217883</x:v>
      </x:c>
      <x:c r="AE22" s="13" t="n">
        <x:v>0.4416613509611745</x:v>
      </x:c>
      <x:c r="AF22" s="13" t="n">
        <x:v>0.6086266155363348</x:v>
      </x:c>
      <x:c r="AG22" s="13" t="n">
        <x:v>-0.08719585029610782</x:v>
      </x:c>
      <x:c r="AH22" s="13" t="n">
        <x:v>1.049108421287129</x:v>
      </x:c>
      <x:c r="AI22" s="13" t="n">
        <x:v>0.6563403155727601</x:v>
      </x:c>
      <x:c r="AJ22" s="13" t="n">
        <x:v>-0.30920595383611205</x:v>
      </x:c>
      <x:c r="AK22" s="13" t="n">
        <x:v>-0.01960281916165159</x:v>
      </x:c>
      <x:c r="AL22" s="13" t="n">
        <x:v>-0.31853473405646593</x:v>
      </x:c>
      <x:c r="AM22" s="13" t="n">
        <x:v>0.33685227505054877</x:v>
      </x:c>
      <x:c r="AN22" s="13" t="n">
        <x:v>-0.5638872491029867</x:v>
      </x:c>
      <x:c r="AO22" s="13" t="n">
        <x:v>-0.5013463069599134</x:v>
      </x:c>
      <x:c r="AP22" s="13" t="n">
        <x:v>0.9270652594380797</x:v>
      </x:c>
    </x:row>
    <x:row r="23" ht="15" hidden="0" customHeight="1">
      <x:c r="A23" s="2" t="str">
        <x:v>E22</x:v>
      </x:c>
      <x:c r="B23" s="2" t="str">
        <x:v>***物流有限公司</x:v>
      </x:c>
      <x:c r="C23" s="2" t="str">
        <x:v>有信贷记录</x:v>
      </x:c>
      <x:c r="D23" s="2" t="str">
        <x:v>A</x:v>
      </x:c>
      <x:c r="E23" s="2" t="str">
        <x:v>否</x:v>
      </x:c>
      <x:c r="F23" s="13" t="n">
        <x:v>-0.2385527502616969</x:v>
      </x:c>
      <x:c r="G23" s="13" t="n">
        <x:v>-0.24612054186059557</x:v>
      </x:c>
      <x:c r="H23" s="13" t="n">
        <x:v>-0.040323614425041614</x:v>
      </x:c>
      <x:c r="I23" s="13" t="n">
        <x:v>-0.07434195954585855</x:v>
      </x:c>
      <x:c r="J23" s="13" t="n">
        <x:v>0.17712719835372173</x:v>
      </x:c>
      <x:c r="K23" s="13" t="n">
        <x:v>0.1799729392590636</x:v>
      </x:c>
      <x:c r="L23" s="13" t="n">
        <x:v>-0.47152690355368865</x:v>
      </x:c>
      <x:c r="M23" s="13" t="n">
        <x:v>0.9901746743228684</x:v>
      </x:c>
      <x:c r="N23" s="13" t="n">
        <x:v>0.5539360443002181</x:v>
      </x:c>
      <x:c r="O23" s="13" t="n">
        <x:v>-0.5452011771828806</x:v>
      </x:c>
      <x:c r="P23" s="13" t="n">
        <x:v>-0.5780352818258564</x:v>
      </x:c>
      <x:c r="Q23" s="13" t="n">
        <x:v>0.1494353594097508</x:v>
      </x:c>
      <x:c r="R23" s="13" t="n">
        <x:v>-0.4881365180244074</x:v>
      </x:c>
      <x:c r="S23" s="13" t="n">
        <x:v>0.2692094050851072</x:v>
      </x:c>
      <x:c r="T23" s="13" t="n">
        <x:v>0.8241600270927416</x:v>
      </x:c>
      <x:c r="U23" s="13" t="n">
        <x:v>-0.14761073398336744</x:v>
      </x:c>
      <x:c r="V23" s="13" t="n">
        <x:v>-0.16315975204187683</x:v>
      </x:c>
      <x:c r="W23" s="13" t="n">
        <x:v>0.09912132462023421</x:v>
      </x:c>
      <x:c r="X23" s="13" t="n">
        <x:v>-0.2669602715868311</x:v>
      </x:c>
      <x:c r="Y23" s="13" t="n">
        <x:v>0.017847787612985222</x:v>
      </x:c>
      <x:c r="Z23" s="13" t="n">
        <x:v>-0.030607658891684236</x:v>
      </x:c>
      <x:c r="AA23" s="13" t="n">
        <x:v>-0.28648886176668314</x:v>
      </x:c>
      <x:c r="AB23" s="13" t="n">
        <x:v>0.01496178669198815</x:v>
      </x:c>
      <x:c r="AC23" s="13" t="n">
        <x:v>-0.4045227042455736</x:v>
      </x:c>
      <x:c r="AD23" s="13" t="n">
        <x:v>-0.5979615948453851</x:v>
      </x:c>
      <x:c r="AE23" s="13" t="n">
        <x:v>-0.49353120506652276</x:v>
      </x:c>
      <x:c r="AF23" s="13" t="n">
        <x:v>-0.012931015806609278</x:v>
      </x:c>
      <x:c r="AG23" s="13" t="n">
        <x:v>-0.48565096034507643</x:v>
      </x:c>
      <x:c r="AH23" s="13" t="n">
        <x:v>0.9653081075684841</x:v>
      </x:c>
      <x:c r="AI23" s="13" t="n">
        <x:v>0.7569696929603585</x:v>
      </x:c>
      <x:c r="AJ23" s="13" t="n">
        <x:v>-0.04049050249013993</x:v>
      </x:c>
      <x:c r="AK23" s="13" t="n">
        <x:v>-0.12182333232401923</x:v>
      </x:c>
      <x:c r="AL23" s="13" t="n">
        <x:v>0.2978029607678379</x:v>
      </x:c>
      <x:c r="AM23" s="13" t="n">
        <x:v>-0.17179789521945948</x:v>
      </x:c>
      <x:c r="AN23" s="13" t="n">
        <x:v>-0.7605137213616989</x:v>
      </x:c>
      <x:c r="AO23" s="13" t="n">
        <x:v>-0.5605154197320127</x:v>
      </x:c>
      <x:c r="AP23" s="13" t="n">
        <x:v>0.6471246944468338</x:v>
      </x:c>
    </x:row>
    <x:row r="24" ht="15" hidden="0" customHeight="1">
      <x:c r="A24" s="2" t="str">
        <x:v>E23</x:v>
      </x:c>
      <x:c r="B24" s="2" t="str">
        <x:v>***贸易有限公司</x:v>
      </x:c>
      <x:c r="C24" s="2" t="str">
        <x:v>有信贷记录</x:v>
      </x:c>
      <x:c r="D24" s="2" t="str">
        <x:v>B</x:v>
      </x:c>
      <x:c r="E24" s="2" t="str">
        <x:v>否</x:v>
      </x:c>
      <x:c r="F24" s="13" t="n">
        <x:v>1.6824906333904273</x:v>
      </x:c>
      <x:c r="G24" s="13" t="n">
        <x:v>1.6910493851734063</x:v>
      </x:c>
      <x:c r="H24" s="13" t="n">
        <x:v>1.0653238778744876</x:v>
      </x:c>
      <x:c r="I24" s="13" t="n">
        <x:v>2.7129770312988013</x:v>
      </x:c>
      <x:c r="J24" s="13" t="n">
        <x:v>3.4407619056236665</x:v>
      </x:c>
      <x:c r="K24" s="13" t="n">
        <x:v>3.4112950770444583</x:v>
      </x:c>
      <x:c r="L24" s="13" t="n">
        <x:v>1.3691502570049183</x:v>
      </x:c>
      <x:c r="M24" s="13" t="n">
        <x:v>0.004549321308766808</x:v>
      </x:c>
      <x:c r="N24" s="13" t="n">
        <x:v>0.9426399885572182</x:v>
      </x:c>
      <x:c r="O24" s="13" t="n">
        <x:v>1.4499328878633426</x:v>
      </x:c>
      <x:c r="P24" s="13" t="n">
        <x:v>1.5691994262512166</x:v>
      </x:c>
      <x:c r="Q24" s="13" t="n">
        <x:v>3.3607510978864688</x:v>
      </x:c>
      <x:c r="R24" s="13" t="n">
        <x:v>-1.2403566270363164</x:v>
      </x:c>
      <x:c r="S24" s="13" t="n">
        <x:v>-0.33493653277252994</x:v>
      </x:c>
      <x:c r="T24" s="13" t="n">
        <x:v>0.8241600270927416</x:v>
      </x:c>
      <x:c r="U24" s="13" t="n">
        <x:v>1.3215358589747352</x:v>
      </x:c>
      <x:c r="V24" s="13" t="n">
        <x:v>1.3836107600462102</x:v>
      </x:c>
      <x:c r="W24" s="13" t="n">
        <x:v>0.33140111756100193</x:v>
      </x:c>
      <x:c r="X24" s="13" t="n">
        <x:v>0.31220315579654445</x:v>
      </x:c>
      <x:c r="Y24" s="13" t="n">
        <x:v>1.4174655761822934</x:v>
      </x:c>
      <x:c r="Z24" s="13" t="n">
        <x:v>1.0665954256463168</x:v>
      </x:c>
      <x:c r="AA24" s="13" t="n">
        <x:v>-0.11964718447601366</x:v>
      </x:c>
      <x:c r="AB24" s="13" t="n">
        <x:v>-0.7212618498830184</x:v>
      </x:c>
      <x:c r="AC24" s="13" t="n">
        <x:v>-0.3674140315073595</x:v>
      </x:c>
      <x:c r="AD24" s="13" t="n">
        <x:v>-0.7850599522301726</x:v>
      </x:c>
      <x:c r="AE24" s="13" t="n">
        <x:v>-1.0088398142041668</x:v>
      </x:c>
      <x:c r="AF24" s="13" t="n">
        <x:v>1.3581212551586472</x:v>
      </x:c>
      <x:c r="AG24" s="13" t="n">
        <x:v>-1.3618772862157669</x:v>
      </x:c>
      <x:c r="AH24" s="13" t="n">
        <x:v>-0.37620185745199947</x:v>
      </x:c>
      <x:c r="AI24" s="13" t="n">
        <x:v>0.9582284477355555</x:v>
      </x:c>
      <x:c r="AJ24" s="13" t="n">
        <x:v>-0.23969231728954501</x:v>
      </x:c>
      <x:c r="AK24" s="13" t="n">
        <x:v>-0.0035921730976155174</x:v>
      </x:c>
      <x:c r="AL24" s="13" t="n">
        <x:v>-0.6844577716000285</x:v>
      </x:c>
      <x:c r="AM24" s="13" t="n">
        <x:v>-0.011400736811504619</x:v>
      </x:c>
      <x:c r="AN24" s="13" t="n">
        <x:v>0.5615264853326101</x:v>
      </x:c>
      <x:c r="AO24" s="13" t="n">
        <x:v>-1.4208734473559648</x:v>
      </x:c>
      <x:c r="AP24" s="13" t="n">
        <x:v>-0.3985839686732981</x:v>
      </x:c>
    </x:row>
    <x:row r="25" ht="15" hidden="0" customHeight="1">
      <x:c r="A25" s="2" t="str">
        <x:v>E24</x:v>
      </x:c>
      <x:c r="B25" s="2" t="str">
        <x:v>***建筑工程有限公司</x:v>
      </x:c>
      <x:c r="C25" s="2" t="str">
        <x:v>有信贷记录</x:v>
      </x:c>
      <x:c r="D25" s="2" t="str">
        <x:v>A</x:v>
      </x:c>
      <x:c r="E25" s="2" t="str">
        <x:v>否</x:v>
      </x:c>
      <x:c r="F25" s="13" t="n">
        <x:v>0.336276833649653</x:v>
      </x:c>
      <x:c r="G25" s="13" t="n">
        <x:v>0.34941536145035257</x:v>
      </x:c>
      <x:c r="H25" s="13" t="n">
        <x:v>-0.06158606620003256</x:v>
      </x:c>
      <x:c r="I25" s="13" t="n">
        <x:v>0.22583085485279714</x:v>
      </x:c>
      <x:c r="J25" s="13" t="n">
        <x:v>1.1506367160704767</x:v>
      </x:c>
      <x:c r="K25" s="13" t="n">
        <x:v>1.1553970967984226</x:v>
      </x:c>
      <x:c r="L25" s="13" t="n">
        <x:v>0.40165383211626215</x:v>
      </x:c>
      <x:c r="M25" s="13" t="n">
        <x:v>-0.34445451920485287</x:v>
      </x:c>
      <x:c r="N25" s="13" t="n">
        <x:v>0.14063374787399552</x:v>
      </x:c>
      <x:c r="O25" s="13" t="n">
        <x:v>-0.6999124664853377</x:v>
      </x:c>
      <x:c r="P25" s="13" t="n">
        <x:v>-0.8229269468433296</x:v>
      </x:c>
      <x:c r="Q25" s="13" t="n">
        <x:v>1.107338653193455</x:v>
      </x:c>
      <x:c r="R25" s="13" t="n">
        <x:v>-0.9171729403143632</x:v>
      </x:c>
      <x:c r="S25" s="13" t="n">
        <x:v>0.29816366876899686</x:v>
      </x:c>
      <x:c r="T25" s="13" t="n">
        <x:v>0.7299766413668972</x:v>
      </x:c>
      <x:c r="U25" s="13" t="n">
        <x:v>0.37934285029141834</x:v>
      </x:c>
      <x:c r="V25" s="13" t="n">
        <x:v>0.37206660578620987</x:v>
      </x:c>
      <x:c r="W25" s="13" t="n">
        <x:v>0.4437945657581476</x:v>
      </x:c>
      <x:c r="X25" s="13" t="n">
        <x:v>0.18809670707153542</x:v>
      </x:c>
      <x:c r="Y25" s="13" t="n">
        <x:v>0.8802999327198728</x:v>
      </x:c>
      <x:c r="Z25" s="13" t="n">
        <x:v>0.6663128509392932</x:v>
      </x:c>
      <x:c r="AA25" s="13" t="n">
        <x:v>-0.2841389789879413</x:v>
      </x:c>
      <x:c r="AB25" s="13" t="n">
        <x:v>-0.3524813162229107</x:v>
      </x:c>
      <x:c r="AC25" s="13" t="n">
        <x:v>-0.12603376307190972</x:v>
      </x:c>
      <x:c r="AD25" s="13" t="n">
        <x:v>-0.41284310848383543</x:v>
      </x:c>
      <x:c r="AE25" s="13" t="n">
        <x:v>-0.27874838623321574</x:v>
      </x:c>
      <x:c r="AF25" s="13" t="n">
        <x:v>0.8319189009384297</x:v>
      </x:c>
      <x:c r="AG25" s="13" t="n">
        <x:v>-0.7176648467836189</x:v>
      </x:c>
      <x:c r="AH25" s="13" t="n">
        <x:v>0.5401180337959226</x:v>
      </x:c>
      <x:c r="AI25" s="13" t="n">
        <x:v>0.7569696929603585</x:v>
      </x:c>
      <x:c r="AJ25" s="13" t="n">
        <x:v>0.6360834723571314</x:v>
      </x:c>
      <x:c r="AK25" s="13" t="n">
        <x:v>-0.14432599911214655</x:v>
      </x:c>
      <x:c r="AL25" s="13" t="n">
        <x:v>-0.4068671186592359</x:v>
      </x:c>
      <x:c r="AM25" s="13" t="n">
        <x:v>-0.07140469172968732</x:v>
      </x:c>
      <x:c r="AN25" s="13" t="n">
        <x:v>-0.7576698329713918</x:v>
      </x:c>
      <x:c r="AO25" s="13" t="n">
        <x:v>-0.9606648982222039</x:v>
      </x:c>
      <x:c r="AP25" s="13" t="n">
        <x:v>0.45072944827224004</x:v>
      </x:c>
    </x:row>
    <x:row r="26" ht="15" hidden="0" customHeight="1">
      <x:c r="A26" s="2" t="str">
        <x:v>E25</x:v>
      </x:c>
      <x:c r="B26" s="2" t="str">
        <x:v>***通讯设备有限公司</x:v>
      </x:c>
      <x:c r="C26" s="2" t="str">
        <x:v>有信贷记录</x:v>
      </x:c>
      <x:c r="D26" s="2" t="str">
        <x:v>C</x:v>
      </x:c>
      <x:c r="E26" s="2" t="str">
        <x:v>否</x:v>
      </x:c>
      <x:c r="F26" s="13" t="n">
        <x:v>0.04098131352745147</x:v>
      </x:c>
      <x:c r="G26" s="13" t="n">
        <x:v>0.055483389848411176</x:v>
      </x:c>
      <x:c r="H26" s="13" t="n">
        <x:v>-0.3167354874999239</x:v>
      </x:c>
      <x:c r="I26" s="13" t="n">
        <x:v>-0.20298745143099672</x:v>
      </x:c>
      <x:c r="J26" s="13" t="n">
        <x:v>-0.3704680423597184</x:v>
      </x:c>
      <x:c r="K26" s="13" t="n">
        <x:v>-0.3733180500724781</x:v>
      </x:c>
      <x:c r="L26" s="13" t="n">
        <x:v>0.40469627370396233</x:v>
      </x:c>
      <x:c r="M26" s="13" t="n">
        <x:v>-0.6336535564232401</x:v>
      </x:c>
      <x:c r="N26" s="13" t="n">
        <x:v>-0.25577751381799396</x:v>
      </x:c>
      <x:c r="O26" s="13" t="n">
        <x:v>-0.7639009241500427</x:v>
      </x:c>
      <x:c r="P26" s="13" t="n">
        <x:v>-0.7731070640405563</x:v>
      </x:c>
      <x:c r="Q26" s="13" t="n">
        <x:v>-0.372049032770317</x:v>
      </x:c>
      <x:c r="R26" s="13" t="n">
        <x:v>-0.602155841673025</x:v>
      </x:c>
      <x:c r="S26" s="13" t="n">
        <x:v>0.14161478797529498</x:v>
      </x:c>
      <x:c r="T26" s="13" t="n">
        <x:v>0.5416098699152085</x:v>
      </x:c>
      <x:c r="U26" s="13" t="n">
        <x:v>-0.044327831465509435</x:v>
      </x:c>
      <x:c r="V26" s="13" t="n">
        <x:v>-0.09022534269423399</x:v>
      </x:c>
      <x:c r="W26" s="13" t="n">
        <x:v>0.5936524966876752</x:v>
      </x:c>
      <x:c r="X26" s="13" t="n">
        <x:v>0.06399025834652636</x:v>
      </x:c>
      <x:c r="Y26" s="13" t="n">
        <x:v>-0.14590978432208174</x:v>
      </x:c>
      <x:c r="Z26" s="13" t="n">
        <x:v>-0.15440102266195324</x:v>
      </x:c>
      <x:c r="AA26" s="13" t="n">
        <x:v>0.15763898341552157</x:v>
      </x:c>
      <x:c r="AB26" s="13" t="n">
        <x:v>0.36472150465982384</x:v>
      </x:c>
      <x:c r="AC26" s="13" t="n">
        <x:v>0.2063628255897168</x:v>
      </x:c>
      <x:c r="AD26" s="13" t="n">
        <x:v>-0.8023518615619213</x:v>
      </x:c>
      <x:c r="AE26" s="13" t="n">
        <x:v>-0.8551067094843642</x:v>
      </x:c>
      <x:c r="AF26" s="13" t="n">
        <x:v>-0.13813318505065114</x:v>
      </x:c>
      <x:c r="AG26" s="13" t="n">
        <x:v>-0.07633899692929959</x:v>
      </x:c>
      <x:c r="AH26" s="13" t="n">
        <x:v>0.06307178997718041</x:v>
      </x:c>
      <x:c r="AI26" s="13" t="n">
        <x:v>0.6563403155727601</x:v>
      </x:c>
      <x:c r="AJ26" s="13" t="n">
        <x:v>0.11050402140791289</x:v>
      </x:c>
      <x:c r="AK26" s="13" t="n">
        <x:v>-0.2621021086739013</x:v>
      </x:c>
      <x:c r="AL26" s="13" t="n">
        <x:v>0.06904412687757663</x:v>
      </x:c>
      <x:c r="AM26" s="13" t="n">
        <x:v>-0.035126767769686755</x:v>
      </x:c>
      <x:c r="AN26" s="13" t="n">
        <x:v>-1.0443182560117799</x:v>
      </x:c>
      <x:c r="AO26" s="13" t="n">
        <x:v>-0.4451032214783868</x:v>
      </x:c>
      <x:c r="AP26" s="13" t="n">
        <x:v>0.1145786455993247</x:v>
      </x:c>
    </x:row>
    <x:row r="27" ht="15" hidden="0" customHeight="1">
      <x:c r="A27" s="2" t="str">
        <x:v>E26</x:v>
      </x:c>
      <x:c r="B27" s="2" t="str">
        <x:v>***金属材料有限公司</x:v>
      </x:c>
      <x:c r="C27" s="2" t="str">
        <x:v>有信贷记录</x:v>
      </x:c>
      <x:c r="D27" s="2" t="str">
        <x:v>A</x:v>
      </x:c>
      <x:c r="E27" s="2" t="str">
        <x:v>否</x:v>
      </x:c>
      <x:c r="F27" s="13" t="n">
        <x:v>-0.24596990618313366</x:v>
      </x:c>
      <x:c r="G27" s="13" t="n">
        <x:v>-0.24803853188736188</x:v>
      </x:c>
      <x:c r="H27" s="13" t="n">
        <x:v>-0.1678983250749873</x:v>
      </x:c>
      <x:c r="I27" s="13" t="n">
        <x:v>-0.4173966045728936</x:v>
      </x:c>
      <x:c r="J27" s="13" t="n">
        <x:v>0.2808898220078407</x:v>
      </x:c>
      <x:c r="K27" s="13" t="n">
        <x:v>0.26653839426999937</x:v>
      </x:c>
      <x:c r="L27" s="13" t="n">
        <x:v>-0.3589565648087821</x:v>
      </x:c>
      <x:c r="M27" s="13" t="n">
        <x:v>0.4509298041118479</x:v>
      </x:c>
      <x:c r="N27" s="13" t="n">
        <x:v>-0.5791391888846621</x:v>
      </x:c>
      <x:c r="O27" s="13" t="n">
        <x:v>-0.6875020253228907</x:v>
      </x:c>
      <x:c r="P27" s="13" t="n">
        <x:v>-0.8239886221685679</x:v>
      </x:c>
      <x:c r="Q27" s="13" t="n">
        <x:v>0.2515345758642925</x:v>
      </x:c>
      <x:c r="R27" s="13" t="n">
        <x:v>-0.8871089453316093</x:v>
      </x:c>
      <x:c r="S27" s="13" t="n">
        <x:v>-0.055737775893412445</x:v>
      </x:c>
      <x:c r="T27" s="13" t="n">
        <x:v>0.8241600270927416</x:v>
      </x:c>
      <x:c r="U27" s="13" t="n">
        <x:v>-0.2941038304117579</x:v>
      </x:c>
      <x:c r="V27" s="13" t="n">
        <x:v>-0.29444168886763394</x:v>
      </x:c>
      <x:c r="W27" s="13" t="n">
        <x:v>-0.23056612342472643</x:v>
      </x:c>
      <x:c r="X27" s="13" t="n">
        <x:v>-0.3496979040701705</x:v>
      </x:c>
      <x:c r="Y27" s="13" t="n">
        <x:v>-0.1589655026664945</x:v>
      </x:c>
      <x:c r="Z27" s="13" t="n">
        <x:v>-0.17159851545662333</x:v>
      </x:c>
      <x:c r="AA27" s="13" t="n">
        <x:v>-0.2958883928816505</x:v>
      </x:c>
      <x:c r="AB27" s="13" t="n">
        <x:v>-0.13508788934081226</x:v>
      </x:c>
      <x:c r="AC27" s="13" t="n">
        <x:v>-0.5493369536558788</x:v>
      </x:c>
      <x:c r="AD27" s="13" t="n">
        <x:v>-0.6723330446841471</x:v>
      </x:c>
      <x:c r="AE27" s="13" t="n">
        <x:v>-0.7011788462981907</x:v>
      </x:c>
      <x:c r="AF27" s="13" t="n">
        <x:v>-0.1754052560642248</x:v>
      </x:c>
      <x:c r="AG27" s="13" t="n">
        <x:v>-0.6971492689090893</x:v>
      </x:c>
      <x:c r="AH27" s="13" t="n">
        <x:v>0.026831610884783898</x:v>
      </x:c>
      <x:c r="AI27" s="13" t="n">
        <x:v>0.857599070347957</x:v>
      </x:c>
      <x:c r="AJ27" s="13" t="n">
        <x:v>-0.4128889177662304</x:v>
      </x:c>
      <x:c r="AK27" s="13" t="n">
        <x:v>0.01697130173795357</x:v>
      </x:c>
      <x:c r="AL27" s="13" t="n">
        <x:v>-0.09278761154947535</x:v>
      </x:c>
      <x:c r="AM27" s="13" t="n">
        <x:v>-0.6356042364287735</x:v>
      </x:c>
      <x:c r="AN27" s="13" t="n">
        <x:v>-0.9089760673937929</x:v>
      </x:c>
      <x:c r="AO27" s="13" t="n">
        <x:v>-0.9306204348613164</x:v>
      </x:c>
      <x:c r="AP27" s="13" t="n">
        <x:v>-0.024571439616762968</x:v>
      </x:c>
    </x:row>
    <x:row r="28" ht="15" hidden="0" customHeight="1">
      <x:c r="A28" s="2" t="str">
        <x:v>E27</x:v>
      </x:c>
      <x:c r="B28" s="2" t="str">
        <x:v>***农业开发有限公司</x:v>
      </x:c>
      <x:c r="C28" s="2" t="str">
        <x:v>有信贷记录</x:v>
      </x:c>
      <x:c r="D28" s="2" t="str">
        <x:v>A</x:v>
      </x:c>
      <x:c r="E28" s="2" t="str">
        <x:v>否</x:v>
      </x:c>
      <x:c r="F28" s="13" t="n">
        <x:v>0.5764072566061685</x:v>
      </x:c>
      <x:c r="G28" s="13" t="n">
        <x:v>0.5752586871020889</x:v>
      </x:c>
      <x:c r="H28" s="13" t="n">
        <x:v>0.43808155051225467</x:v>
      </x:c>
      <x:c r="I28" s="13" t="n">
        <x:v>0.48312183862307345</x:v>
      </x:c>
      <x:c r="J28" s="13" t="n">
        <x:v>0.4054945409197365</x:v>
      </x:c>
      <x:c r="K28" s="13" t="n">
        <x:v>0.3906428399619319</x:v>
      </x:c>
      <x:c r="L28" s="13" t="n">
        <x:v>0.520309054036569</x:v>
      </x:c>
      <x:c r="M28" s="13" t="n">
        <x:v>0.19627372860547979</x:v>
      </x:c>
      <x:c r="N28" s="13" t="n">
        <x:v>0.23835527099341677</x:v>
      </x:c>
      <x:c r="O28" s="13" t="n">
        <x:v>0.37754890132545155</x:v>
      </x:c>
      <x:c r="P28" s="13" t="n">
        <x:v>0.7909142207178649</x:v>
      </x:c>
      <x:c r="Q28" s="13" t="n">
        <x:v>0.37414177024143613</x:v>
      </x:c>
      <x:c r="R28" s="13" t="n">
        <x:v>-1.0338350389382869</x:v>
      </x:c>
      <x:c r="S28" s="13" t="n">
        <x:v>0.17980556158455827</x:v>
      </x:c>
      <x:c r="T28" s="13" t="n">
        <x:v>0.8241600270927416</x:v>
      </x:c>
      <x:c r="U28" s="13" t="n">
        <x:v>0.21387942482913558</x:v>
      </x:c>
      <x:c r="V28" s="13" t="n">
        <x:v>0.2323691601895709</x:v>
      </x:c>
      <x:c r="W28" s="13" t="n">
        <x:v>-0.04324370976281698</x:v>
      </x:c>
      <x:c r="X28" s="13" t="n">
        <x:v>0.10535907458819604</x:v>
      </x:c>
      <x:c r="Y28" s="13" t="n">
        <x:v>-0.10105651996387084</x:v>
      </x:c>
      <x:c r="Z28" s="13" t="n">
        <x:v>-0.12301672398402841</x:v>
      </x:c>
      <x:c r="AA28" s="13" t="n">
        <x:v>0.026045547805979428</x:v>
      </x:c>
      <x:c r="AB28" s="13" t="n">
        <x:v>-0.5753114045215674</x:v>
      </x:c>
      <x:c r="AC28" s="13" t="n">
        <x:v>-0.11985631881027922</x:v>
      </x:c>
      <x:c r="AD28" s="13" t="n">
        <x:v>-0.736149121022636</x:v>
      </x:c>
      <x:c r="AE28" s="13" t="n">
        <x:v>-0.7177564190060756</x:v>
      </x:c>
      <x:c r="AF28" s="13" t="n">
        <x:v>-0.12940854435920318</x:v>
      </x:c>
      <x:c r="AG28" s="13" t="n">
        <x:v>-0.9944455408042985</x:v>
      </x:c>
      <x:c r="AH28" s="13" t="n">
        <x:v>0.2771895984060456</x:v>
      </x:c>
      <x:c r="AI28" s="13" t="n">
        <x:v>0.9582284477355555</x:v>
      </x:c>
      <x:c r="AJ28" s="13" t="n">
        <x:v>-0.4130975003089333</x:v>
      </x:c>
      <x:c r="AK28" s="13" t="n">
        <x:v>0.013729321507833509</x:v>
      </x:c>
      <x:c r="AL28" s="13" t="n">
        <x:v>-0.5255827885105365</x:v>
      </x:c>
      <x:c r="AM28" s="13" t="n">
        <x:v>-0.08178079286231459</x:v>
      </x:c>
      <x:c r="AN28" s="13" t="n">
        <x:v>-0.1809690709931521</x:v>
      </x:c>
      <x:c r="AO28" s="13" t="n">
        <x:v>-1.170088182072422</x:v>
      </x:c>
      <x:c r="AP28" s="13" t="n">
        <x:v>0.2458077212124918</x:v>
      </x:c>
    </x:row>
    <x:row r="29" ht="15" hidden="0" customHeight="1">
      <x:c r="A29" s="2" t="str">
        <x:v>E28</x:v>
      </x:c>
      <x:c r="B29" s="2" t="str">
        <x:v>***景观工程有限公司</x:v>
      </x:c>
      <x:c r="C29" s="2" t="str">
        <x:v>有信贷记录</x:v>
      </x:c>
      <x:c r="D29" s="2" t="str">
        <x:v>B</x:v>
      </x:c>
      <x:c r="E29" s="2" t="str">
        <x:v>否</x:v>
      </x:c>
      <x:c r="F29" s="13" t="n">
        <x:v>-0.5343118426289882</x:v>
      </x:c>
      <x:c r="G29" s="13" t="n">
        <x:v>-0.5366960309156958</x:v>
      </x:c>
      <x:c r="H29" s="13" t="n">
        <x:v>-0.38052284282489673</x:v>
      </x:c>
      <x:c r="I29" s="13" t="n">
        <x:v>-0.46027843520127304</x:v>
      </x:c>
      <x:c r="J29" s="13" t="n">
        <x:v>-0.5418708274104156</x:v>
      </x:c>
      <x:c r="K29" s="13" t="n">
        <x:v>-0.5447931001747349</x:v>
      </x:c>
      <x:c r="L29" s="13" t="n">
        <x:v>-0.529333293719992</x:v>
      </x:c>
      <x:c r="M29" s="13" t="n">
        <x:v>1.802762441621084</x:v>
      </x:c>
      <x:c r="N29" s="13" t="n">
        <x:v>-0.7216149855326618</x:v>
      </x:c>
      <x:c r="O29" s="13" t="n">
        <x:v>-0.6203317469314724</x:v>
      </x:c>
      <x:c r="P29" s="13" t="n">
        <x:v>-0.7207667663667313</x:v>
      </x:c>
      <x:c r="Q29" s="13" t="n">
        <x:v>-0.5580364881370293</x:v>
      </x:c>
      <x:c r="R29" s="13" t="n">
        <x:v>0.3986517626341755</x:v>
      </x:c>
      <x:c r="S29" s="13" t="n">
        <x:v>0.2382642387578431</x:v>
      </x:c>
      <x:c r="T29" s="13" t="n">
        <x:v>-0.30604060161739083</x:v>
      </x:c>
      <x:c r="U29" s="13" t="n">
        <x:v>-0.25985184743389683</x:v>
      </x:c>
      <x:c r="V29" s="13" t="n">
        <x:v>-0.25236414501322463</x:v>
      </x:c>
      <x:c r="W29" s="13" t="n">
        <x:v>-0.30549508888949023</x:v>
      </x:c>
      <x:c r="X29" s="13" t="n">
        <x:v>-0.3910667203118402</x:v>
      </x:c>
      <x:c r="Y29" s="13" t="n">
        <x:v>-0.05352847736805914</x:v>
      </x:c>
      <x:c r="Z29" s="13" t="n">
        <x:v>-0.0906914304022376</x:v>
      </x:c>
      <x:c r="AA29" s="13" t="n">
        <x:v>-0.38518393847383975</x:v>
      </x:c>
      <x:c r="AB29" s="13" t="n">
        <x:v>-0.3812040243320413</x:v>
      </x:c>
      <x:c r="AC29" s="13" t="n">
        <x:v>-0.6980651016988949</x:v>
      </x:c>
      <x:c r="AD29" s="13" t="n">
        <x:v>0.4672874527744098</x:v>
      </x:c>
      <x:c r="AE29" s="13" t="n">
        <x:v>0.4595680747227966</x:v>
      </x:c>
      <x:c r="AF29" s="13" t="n">
        <x:v>-0.082850525971818</x:v>
      </x:c>
      <x:c r="AG29" s="13" t="n">
        <x:v>0.3141164936928953</x:v>
      </x:c>
      <x:c r="AH29" s="13" t="n">
        <x:v>1.0730177201895141</x:v>
      </x:c>
      <x:c r="AI29" s="13" t="n">
        <x:v>-0.3499534583032247</x:v>
      </x:c>
      <x:c r="AJ29" s="13" t="n">
        <x:v>0.39535542538436375</x:v>
      </x:c>
      <x:c r="AK29" s="13" t="n">
        <x:v>-0.33362167490009803</x:v>
      </x:c>
      <x:c r="AL29" s="13" t="n">
        <x:v>0.07936194018737755</x:v>
      </x:c>
      <x:c r="AM29" s="13" t="n">
        <x:v>-0.7815911692517314</x:v>
      </x:c>
      <x:c r="AN29" s="13" t="n">
        <x:v>-0.15680204392808728</x:v>
      </x:c>
      <x:c r="AO29" s="13" t="n">
        <x:v>0.4173354265554298</x:v>
      </x:c>
      <x:c r="AP29" s="13" t="n">
        <x:v>0.6824119061470836</x:v>
      </x:c>
    </x:row>
    <x:row r="30" ht="15" hidden="0" customHeight="1">
      <x:c r="A30" s="2" t="str">
        <x:v>E29</x:v>
      </x:c>
      <x:c r="B30" s="2" t="str">
        <x:v>***建筑劳务有限公司</x:v>
      </x:c>
      <x:c r="C30" s="2" t="str">
        <x:v>有信贷记录</x:v>
      </x:c>
      <x:c r="D30" s="2" t="str">
        <x:v>C</x:v>
      </x:c>
      <x:c r="E30" s="2" t="str">
        <x:v>是</x:v>
      </x:c>
      <x:c r="F30" s="13" t="n">
        <x:v>-0.5894769397946742</x:v>
      </x:c>
      <x:c r="G30" s="13" t="n">
        <x:v>-0.588481761638387</x:v>
      </x:c>
      <x:c r="H30" s="13" t="n">
        <x:v>-0.497466327587347</x:v>
      </x:c>
      <x:c r="I30" s="13" t="n">
        <x:v>-0.46027843520127304</x:v>
      </x:c>
      <x:c r="J30" s="13" t="n">
        <x:v>-0.5663783479583111</x:v>
      </x:c>
      <x:c r="K30" s="13" t="n">
        <x:v>-0.5688673647311644</x:v>
      </x:c>
      <x:c r="L30" s="13" t="n">
        <x:v>-0.6632007235787998</x:v>
      </x:c>
      <x:c r="M30" s="13" t="n">
        <x:v>0.38490659684344114</x:v>
      </x:c>
      <x:c r="N30" s="13" t="n">
        <x:v>-0.7216149855326618</x:v>
      </x:c>
      <x:c r="O30" s="13" t="n">
        <x:v>1.9242069341886923</x:v>
      </x:c>
      <x:c r="P30" s="13" t="n">
        <x:v>1.8527822181051419</x:v>
      </x:c>
      <x:c r="Q30" s="13" t="n">
        <x:v>-0.5820493456185806</x:v>
      </x:c>
      <x:c r="R30" s="13" t="n">
        <x:v>3.4906279575237282</x:v>
      </x:c>
      <x:c r="S30" s="13" t="n">
        <x:v>-2.726929916520689</x:v>
      </x:c>
      <x:c r="T30" s="13" t="n">
        <x:v>-0.9653243016983014</x:v>
      </x:c>
      <x:c r="U30" s="13" t="n">
        <x:v>-0.30938548435572666</x:v>
      </x:c>
      <x:c r="V30" s="13" t="n">
        <x:v>-0.28378204442451693</x:v>
      </x:c>
      <x:c r="W30" s="13" t="n">
        <x:v>-0.5902251576555926</x:v>
      </x:c>
      <x:c r="X30" s="13" t="n">
        <x:v>-0.3910667203118402</x:v>
      </x:c>
      <x:c r="Y30" s="13" t="n">
        <x:v>-0.1167021677961349</x:v>
      </x:c>
      <x:c r="Z30" s="13" t="n">
        <x:v>-0.13970148378834404</x:v>
      </x:c>
      <x:c r="AA30" s="13" t="n">
        <x:v>-0.3898837040313234</x:v>
      </x:c>
      <x:c r="AB30" s="13" t="n">
        <x:v>-0.9152779461970194</x:v>
      </x:c>
      <x:c r="AC30" s="13" t="n">
        <x:v>-0.6980651016988949</x:v>
      </x:c>
      <x:c r="AD30" s="13" t="n">
        <x:v>0.6862832695810872</x:v>
      </x:c>
      <x:c r="AE30" s="13" t="n">
        <x:v>0.706946203843217</x:v>
      </x:c>
      <x:c r="AF30" s="13" t="n">
        <x:v>0.03621272800087069</x:v>
      </x:c>
      <x:c r="AG30" s="13" t="n">
        <x:v>0.38061098753955763</x:v>
      </x:c>
      <x:c r="AH30" s="13" t="n">
        <x:v>0.286398593861164</x:v>
      </x:c>
      <x:c r="AI30" s="13" t="n">
        <x:v>-1.255617854791611</x:v>
      </x:c>
      <x:c r="AJ30" s="13" t="n">
        <x:v>0.30974220658515794</x:v>
      </x:c>
      <x:c r="AK30" s="13" t="n">
        <x:v>-0.34161585293880314</x:v>
      </x:c>
      <x:c r="AL30" s="13" t="n">
        <x:v>-0.9821606750276978</x:v>
      </x:c>
      <x:c r="AM30" s="13" t="n">
        <x:v>-0.7815911692517314</x:v>
      </x:c>
      <x:c r="AN30" s="13" t="n">
        <x:v>1.8118929562517607</x:v>
      </x:c>
      <x:c r="AO30" s="13" t="n">
        <x:v>2.853244993801808</x:v>
      </x:c>
      <x:c r="AP30" s="13" t="n">
        <x:v>-1.5302317108209413</x:v>
      </x:c>
    </x:row>
    <x:row r="31" ht="15" hidden="0" customHeight="1">
      <x:c r="A31" s="2" t="str">
        <x:v>E30</x:v>
      </x:c>
      <x:c r="B31" s="2" t="str">
        <x:v>***建筑工程有限公司</x:v>
      </x:c>
      <x:c r="C31" s="2" t="str">
        <x:v>有信贷记录</x:v>
      </x:c>
      <x:c r="D31" s="2" t="str">
        <x:v>B</x:v>
      </x:c>
      <x:c r="E31" s="2" t="str">
        <x:v>否</x:v>
      </x:c>
      <x:c r="F31" s="13" t="n">
        <x:v>-0.2631220792514562</x:v>
      </x:c>
      <x:c r="G31" s="13" t="n">
        <x:v>-0.2566694870078104</x:v>
      </x:c>
      <x:c r="H31" s="13" t="n">
        <x:v>-0.3698916169374013</x:v>
      </x:c>
      <x:c r="I31" s="13" t="n">
        <x:v>-0.37451477394451427</x:v>
      </x:c>
      <x:c r="J31" s="13" t="n">
        <x:v>-0.08677264859296331</x:v>
      </x:c>
      <x:c r="K31" s="13" t="n">
        <x:v>-0.09760805511389203</x:v>
      </x:c>
      <x:c r="L31" s="13" t="n">
        <x:v>-0.1977071606606727</x:v>
      </x:c>
      <x:c r="M31" s="13" t="n">
        <x:v>-0.43810168087231705</x:v>
      </x:c>
      <x:c r="N31" s="13" t="n">
        <x:v>-0.42973213726459736</x:v>
      </x:c>
      <x:c r="O31" s="13" t="n">
        <x:v>1.3466193109600453</x:v>
      </x:c>
      <x:c r="P31" s="13" t="n">
        <x:v>1.5033650724416987</x:v>
      </x:c>
      <x:c r="Q31" s="13" t="n">
        <x:v>-0.11023393813562254</x:v>
      </x:c>
      <x:c r="R31" s="13" t="n">
        <x:v>-0.34566961935024626</x:v>
      </x:c>
      <x:c r="S31" s="13" t="n">
        <x:v>0.7215419392744604</x:v>
      </x:c>
      <x:c r="T31" s="13" t="n">
        <x:v>0.35324309846351976</x:v>
      </x:c>
      <x:c r="U31" s="13" t="n">
        <x:v>-0.1381255694664213</x:v>
      </x:c>
      <x:c r="V31" s="13" t="n">
        <x:v>-0.127814615204173</x:v>
      </x:c>
      <x:c r="W31" s="13" t="n">
        <x:v>-0.2380590199712028</x:v>
      </x:c>
      <x:c r="X31" s="13" t="n">
        <x:v>-0.3910667203118402</x:v>
      </x:c>
      <x:c r="Y31" s="13" t="n">
        <x:v>0.1726444517164837</x:v>
      </x:c>
      <x:c r="Z31" s="13" t="n">
        <x:v>0.0847731855448974</x:v>
      </x:c>
      <x:c r="AA31" s="13" t="n">
        <x:v>-0.38283405569509793</x:v>
      </x:c>
      <x:c r="AB31" s="13" t="n">
        <x:v>-0.4726581893986242</x:v>
      </x:c>
      <x:c r="AC31" s="13" t="n">
        <x:v>-0.6980651016988949</x:v>
      </x:c>
      <x:c r="AD31" s="13" t="n">
        <x:v>-0.03835381064702521</x:v>
      </x:c>
      <x:c r="AE31" s="13" t="n">
        <x:v>0.003047408001192567</x:v>
      </x:c>
      <x:c r="AF31" s="13" t="n">
        <x:v>0.3348816405755473</x:v>
      </x:c>
      <x:c r="AG31" s="13" t="n">
        <x:v>-0.3300949288984777</x:v>
      </x:c>
      <x:c r="AH31" s="13" t="n">
        <x:v>-0.27836178478268625</x:v>
      </x:c>
      <x:c r="AI31" s="13" t="n">
        <x:v>-0.3499534583032247</x:v>
      </x:c>
      <x:c r="AJ31" s="13" t="n">
        <x:v>0.41885864552753205</x:v>
      </x:c>
      <x:c r="AK31" s="13" t="n">
        <x:v>-0.23202708134756503</x:v>
      </x:c>
      <x:c r="AL31" s="13" t="n">
        <x:v>-0.5048608594940432</x:v>
      </x:c>
      <x:c r="AM31" s="13" t="n">
        <x:v>-0.7025271859071301</x:v>
      </x:c>
      <x:c r="AN31" s="13" t="n">
        <x:v>0.9482142611178864</x:v>
      </x:c>
      <x:c r="AO31" s="13" t="n">
        <x:v>-0.3906733435196933</x:v>
      </x:c>
      <x:c r="AP31" s="13" t="n">
        <x:v>0.297892645860335</x:v>
      </x:c>
    </x:row>
    <x:row r="32" ht="15" hidden="0" customHeight="1">
      <x:c r="A32" s="2" t="str">
        <x:v>E31</x:v>
      </x:c>
      <x:c r="B32" s="2" t="str">
        <x:v>***食品有限公司</x:v>
      </x:c>
      <x:c r="C32" s="2" t="str">
        <x:v>有信贷记录</x:v>
      </x:c>
      <x:c r="D32" s="2" t="str">
        <x:v>A</x:v>
      </x:c>
      <x:c r="E32" s="2" t="str">
        <x:v>否</x:v>
      </x:c>
      <x:c r="F32" s="13" t="n">
        <x:v>-0.42166378707216723</x:v>
      </x:c>
      <x:c r="G32" s="13" t="n">
        <x:v>-0.41778064925618286</x:v>
      </x:c>
      <x:c r="H32" s="13" t="n">
        <x:v>-0.4336789722623741</x:v>
      </x:c>
      <x:c r="I32" s="13" t="n">
        <x:v>-0.4173966045728936</x:v>
      </x:c>
      <x:c r="J32" s="13" t="n">
        <x:v>-0.4691454903709799</x:v>
      </x:c>
      <x:c r="K32" s="13" t="n">
        <x:v>-0.4731457275482904</x:v>
      </x:c>
      <x:c r="L32" s="13" t="n">
        <x:v>-0.3832960975103835</x:v>
      </x:c>
      <x:c r="M32" s="13" t="n">
        <x:v>-0.4054677373408598</x:v>
      </x:c>
      <x:c r="N32" s="13" t="n">
        <x:v>-0.4542965353861671</x:v>
      </x:c>
      <x:c r="O32" s="13" t="n">
        <x:v>1.5274148335825182</x:v>
      </x:c>
      <x:c r="P32" s="13" t="n">
        <x:v>1.6166978255556834</x:v>
      </x:c>
      <x:c r="Q32" s="13" t="n">
        <x:v>-0.4864770029714469</x:v>
      </x:c>
      <x:c r="R32" s="13" t="n">
        <x:v>-0.6088804992428247</x:v>
      </x:c>
      <x:c r="S32" s="13" t="n">
        <x:v>-0.9702429717651402</x:v>
      </x:c>
      <x:c r="T32" s="13" t="n">
        <x:v>0.8241600270927416</x:v>
      </x:c>
      <x:c r="U32" s="13" t="n">
        <x:v>0.8146065109023913</x:v>
      </x:c>
      <x:c r="V32" s="13" t="n">
        <x:v>0.8562388770709465</x:v>
      </x:c>
      <x:c r="W32" s="13" t="n">
        <x:v>0.16655739353852161</x:v>
      </x:c>
      <x:c r="X32" s="13" t="n">
        <x:v>-0.2669602715868311</x:v>
      </x:c>
      <x:c r="Y32" s="13" t="n">
        <x:v>-0.04889701768454461</x:v>
      </x:c>
      <x:c r="Z32" s="13" t="n">
        <x:v>-0.0866695783670921</x:v>
      </x:c>
      <x:c r="AA32" s="13" t="n">
        <x:v>-0.03975116999879164</x:v>
      </x:c>
      <x:c r="AB32" s="13" t="n">
        <x:v>-0.6808688952745587</x:v>
      </x:c>
      <x:c r="AC32" s="13" t="n">
        <x:v>-0.6177840141906694</x:v>
      </x:c>
      <x:c r="AD32" s="13" t="n">
        <x:v>-0.7341266914591847</x:v>
      </x:c>
      <x:c r="AE32" s="13" t="n">
        <x:v>-0.618503098558412</x:v>
      </x:c>
      <x:c r="AF32" s="13" t="n">
        <x:v>-0.0783135921254301</x:v>
      </x:c>
      <x:c r="AG32" s="13" t="n">
        <x:v>-1.2144489515294754</x:v>
      </x:c>
      <x:c r="AH32" s="13" t="n">
        <x:v>0.02167651186386228</x:v>
      </x:c>
      <x:c r="AI32" s="13" t="n">
        <x:v>0.9582284477355555</x:v>
      </x:c>
      <x:c r="AJ32" s="13" t="n">
        <x:v>0.3469894838829695</x:v>
      </x:c>
      <x:c r="AK32" s="13" t="n">
        <x:v>-0.3096417779068345</x:v>
      </x:c>
      <x:c r="AL32" s="13" t="n">
        <x:v>-0.5910712470080333</x:v>
      </x:c>
      <x:c r="AM32" s="13" t="n">
        <x:v>-0.639942803910259</x:v>
      </x:c>
      <x:c r="AN32" s="13" t="n">
        <x:v>0.6488096196603775</x:v>
      </x:c>
      <x:c r="AO32" s="13" t="n">
        <x:v>-0.9855366666066153</x:v>
      </x:c>
      <x:c r="AP32" s="13" t="n">
        <x:v>-0.5873970015747745</x:v>
      </x:c>
    </x:row>
    <x:row r="33" ht="15" hidden="0" customHeight="1">
      <x:c r="A33" s="2" t="str">
        <x:v>E32</x:v>
      </x:c>
      <x:c r="B33" s="2" t="str">
        <x:v>***建筑劳务有限公司</x:v>
      </x:c>
      <x:c r="C33" s="2" t="str">
        <x:v>有信贷记录</x:v>
      </x:c>
      <x:c r="D33" s="2" t="str">
        <x:v>B</x:v>
      </x:c>
      <x:c r="E33" s="2" t="str">
        <x:v>否</x:v>
      </x:c>
      <x:c r="F33" s="13" t="n">
        <x:v>0.6973996125746058</x:v>
      </x:c>
      <x:c r="G33" s="13" t="n">
        <x:v>0.7363698493504613</x:v>
      </x:c>
      <x:c r="H33" s="13" t="n">
        <x:v>-0.3592603910499058</x:v>
      </x:c>
      <x:c r="I33" s="13" t="n">
        <x:v>-0.20298745143099672</x:v>
      </x:c>
      <x:c r="J33" s="13" t="n">
        <x:v>-0.5193650554137901</x:v>
      </x:c>
      <x:c r="K33" s="13" t="n">
        <x:v>-0.5215037659848751</x:v>
      </x:c>
      <x:c r="L33" s="13" t="n">
        <x:v>0.11262188128474535</x:v>
      </x:c>
      <x:c r="M33" s="13" t="n">
        <x:v>-0.9472808525004499</x:v>
      </x:c>
      <x:c r="N33" s="13" t="n">
        <x:v>-0.49109918220462806</x:v>
      </x:c>
      <x:c r="O33" s="13" t="n">
        <x:v>-0.5796107496960056</x:v>
      </x:c>
      <x:c r="P33" s="13" t="n">
        <x:v>-0.3403337496169791</x:v>
      </x:c>
      <x:c r="Q33" s="13" t="n">
        <x:v>-0.529840120313718</x:v>
      </x:c>
      <x:c r="R33" s="13" t="n">
        <x:v>-0.7137031862472129</x:v>
      </x:c>
      <x:c r="S33" s="13" t="n">
        <x:v>0.5850457573337647</x:v>
      </x:c>
      <x:c r="T33" s="13" t="n">
        <x:v>0.2590597127376754</x:v>
      </x:c>
      <x:c r="U33" s="13" t="n">
        <x:v>-0.2688100583665682</x:v>
      </x:c>
      <x:c r="V33" s="13" t="n">
        <x:v>-0.2843430783425757</x:v>
      </x:c>
      <x:c r="W33" s="13" t="n">
        <x:v>-0.00577922703043509</x:v>
      </x:c>
      <x:c r="X33" s="13" t="n">
        <x:v>-0.3496979040701705</x:v>
      </x:c>
      <x:c r="Y33" s="13" t="n">
        <x:v>-0.1306538443148583</x:v>
      </x:c>
      <x:c r="Z33" s="13" t="n">
        <x:v>-0.1476410201790356</x:v>
      </x:c>
      <x:c r="AA33" s="13" t="n">
        <x:v>-0.368734759022647</x:v>
      </x:c>
      <x:c r="AB33" s="13" t="n">
        <x:v>0.23664321761481907</x:v>
      </x:c>
      <x:c r="AC33" s="13" t="n">
        <x:v>-0.5550572670421485</x:v>
      </x:c>
      <x:c r="AD33" s="13" t="n">
        <x:v>1.3420858794140893</x:v>
      </x:c>
      <x:c r="AE33" s="13" t="n">
        <x:v>1.529812639212318</x:v>
      </x:c>
      <x:c r="AF33" s="13" t="n">
        <x:v>-0.14690104067516277</x:v>
      </x:c>
      <x:c r="AG33" s="13" t="n">
        <x:v>-0.07389698323045005</x:v>
      </x:c>
      <x:c r="AH33" s="13" t="n">
        <x:v>0.34313991691833706</x:v>
      </x:c>
      <x:c r="AI33" s="13" t="n">
        <x:v>0.15319342863476768</x:v>
      </x:c>
      <x:c r="AJ33" s="13" t="n">
        <x:v>0.2504467520876361</x:v>
      </x:c>
      <x:c r="AK33" s="13" t="n">
        <x:v>-0.32273175604606924</x:v>
      </x:c>
      <x:c r="AL33" s="13" t="n">
        <x:v>-0.7412684180834554</x:v>
      </x:c>
      <x:c r="AM33" s="13" t="n">
        <x:v>-0.6381716593603962</x:v>
      </x:c>
      <x:c r="AN33" s="13" t="n">
        <x:v>0.41277271041497793</x:v>
      </x:c>
      <x:c r="AO33" s="13" t="n">
        <x:v>-0.5195877408367227</x:v>
      </x:c>
      <x:c r="AP33" s="13" t="n">
        <x:v>0.5272730787168342</x:v>
      </x:c>
    </x:row>
    <x:row r="34" ht="15" hidden="0" customHeight="1">
      <x:c r="A34" s="2" t="str">
        <x:v>E33</x:v>
      </x:c>
      <x:c r="B34" s="2" t="str">
        <x:v>***园林有限责任公司</x:v>
      </x:c>
      <x:c r="C34" s="2" t="str">
        <x:v>有信贷记录</x:v>
      </x:c>
      <x:c r="D34" s="2" t="str">
        <x:v>B</x:v>
      </x:c>
      <x:c r="E34" s="2" t="str">
        <x:v>否</x:v>
      </x:c>
      <x:c r="F34" s="13" t="n">
        <x:v>-0.013256639148054932</x:v>
      </x:c>
      <x:c r="G34" s="13" t="n">
        <x:v>-0.06822696687801766</x:v>
      </x:c>
      <x:c r="H34" s="13" t="n">
        <x:v>1.182267362636938</x:v>
      </x:c>
      <x:c r="I34" s="13" t="n">
        <x:v>0.14006719359603836</x:v>
      </x:c>
      <x:c r="J34" s="13" t="n">
        <x:v>0.8196636554128159</x:v>
      </x:c>
      <x:c r="K34" s="13" t="n">
        <x:v>0.8155858545791144</x:v>
      </x:c>
      <x:c r="L34" s="13" t="n">
        <x:v>0.021348633653740033</x:v>
      </x:c>
      <x:c r="M34" s="13" t="n">
        <x:v>3.600668715531893</x:v>
      </x:c>
      <x:c r="N34" s="13" t="n">
        <x:v>0.6128538176699629</x:v>
      </x:c>
      <x:c r="O34" s="13" t="n">
        <x:v>-0.8352081728518133</x:v>
      </x:c>
      <x:c r="P34" s="13" t="n">
        <x:v>-1.0391801730860626</x:v>
      </x:c>
      <x:c r="Q34" s="13" t="n">
        <x:v>0.9023319854052366</x:v>
      </x:c>
      <x:c r="R34" s="13" t="n">
        <x:v>-0.8795266641310688</x:v>
      </x:c>
      <x:c r="S34" s="13" t="n">
        <x:v>-0.7721870805884243</x:v>
      </x:c>
      <x:c r="T34" s="13" t="n">
        <x:v>0.5416098699152085</x:v>
      </x:c>
      <x:c r="U34" s="13" t="n">
        <x:v>0.005732759040595212</x:v>
      </x:c>
      <x:c r="V34" s="13" t="n">
        <x:v>-0.03524401872447246</x:v>
      </x:c>
      <x:c r="W34" s="13" t="n">
        <x:v>0.571173807048246</x:v>
      </x:c>
      <x:c r="X34" s="13" t="n">
        <x:v>-0.10148500662015238</x:v>
      </x:c>
      <x:c r="Y34" s="13" t="n">
        <x:v>0.13855236381388522</x:v>
      </x:c>
      <x:c r="Z34" s="13" t="n">
        <x:v>0.07732625724506419</x:v>
      </x:c>
      <x:c r="AA34" s="13" t="n">
        <x:v>-0.18779378505952654</x:v>
      </x:c>
      <x:c r="AB34" s="13" t="n">
        <x:v>0.21908224685205985</x:v>
      </x:c>
      <x:c r="AC34" s="13" t="n">
        <x:v>-0.18436590615558263</x:v>
      </x:c>
      <x:c r="AD34" s="13" t="n">
        <x:v>-0.8245395783852475</x:v>
      </x:c>
      <x:c r="AE34" s="13" t="n">
        <x:v>-1.0248880303205528</x:v>
      </x:c>
      <x:c r="AF34" s="13" t="n">
        <x:v>0.16511055980800207</x:v>
      </x:c>
      <x:c r="AG34" s="13" t="n">
        <x:v>-0.5449237995994325</x:v>
      </x:c>
      <x:c r="AH34" s="13" t="n">
        <x:v>-0.8701500097609779</x:v>
      </x:c>
      <x:c r="AI34" s="13" t="n">
        <x:v>0.6563403155727601</x:v>
      </x:c>
      <x:c r="AJ34" s="13" t="n">
        <x:v>-0.33583907694226633</x:v>
      </x:c>
      <x:c r="AK34" s="13" t="n">
        <x:v>-0.014222922540459959</x:v>
      </x:c>
      <x:c r="AL34" s="13" t="n">
        <x:v>1.0799058574373488</x:v>
      </x:c>
      <x:c r="AM34" s="13" t="n">
        <x:v>0.02327631498685461</x:v>
      </x:c>
      <x:c r="AN34" s="13" t="n">
        <x:v>-1.1094003793080722</x:v>
      </x:c>
      <x:c r="AO34" s="13" t="n">
        <x:v>-0.8538046340007237</x:v>
      </x:c>
      <x:c r="AP34" s="13" t="n">
        <x:v>-0.9152057626406155</x:v>
      </x:c>
    </x:row>
    <x:row r="35" ht="15" hidden="0" customHeight="1">
      <x:c r="A35" s="2" t="str">
        <x:v>E34</x:v>
      </x:c>
      <x:c r="B35" s="2" t="str">
        <x:v>***建设工程有限公司</x:v>
      </x:c>
      <x:c r="C35" s="2" t="str">
        <x:v>有信贷记录</x:v>
      </x:c>
      <x:c r="D35" s="2" t="str">
        <x:v>B</x:v>
      </x:c>
      <x:c r="E35" s="2" t="str">
        <x:v>否</x:v>
      </x:c>
      <x:c r="F35" s="13" t="n">
        <x:v>0.4577327618631801</x:v>
      </x:c>
      <x:c r="G35" s="13" t="n">
        <x:v>0.38154169439868874</x:v>
      </x:c>
      <x:c r="H35" s="13" t="n">
        <x:v>2.0115029818615846</x:v>
      </x:c>
      <x:c r="I35" s="13" t="n">
        <x:v>1.4265221124474199</x:v>
      </x:c>
      <x:c r="J35" s="13" t="n">
        <x:v>0.4845201595231429</x:v>
      </x:c>
      <x:c r="K35" s="13" t="n">
        <x:v>0.5860841563670828</x:v>
      </x:c>
      <x:c r="L35" s="13" t="n">
        <x:v>0.657218925483077</x:v>
      </x:c>
      <x:c r="M35" s="13" t="n">
        <x:v>2.807000241309305</x:v>
      </x:c>
      <x:c r="N35" s="13" t="n">
        <x:v>1.572857621808762</x:v>
      </x:c>
      <x:c r="O35" s="13" t="n">
        <x:v>-0.8655731366542656</x:v>
      </x:c>
      <x:c r="P35" s="13" t="n">
        <x:v>-0.9327448426315516</x:v>
      </x:c>
      <x:c r="Q35" s="13" t="n">
        <x:v>0.45190053785065254</x:v>
      </x:c>
      <x:c r="R35" s="13" t="n">
        <x:v>0.2365069246890146</x:v>
      </x:c>
      <x:c r="S35" s="13" t="n">
        <x:v>1.379116820245346</x:v>
      </x:c>
      <x:c r="T35" s="13" t="n">
        <x:v>0.8241600270927416</x:v>
      </x:c>
      <x:c r="U35" s="13" t="n">
        <x:v>-0.18713225280397638</x:v>
      </x:c>
      <x:c r="V35" s="13" t="n">
        <x:v>-0.21253073683105045</x:v>
      </x:c>
      <x:c r="W35" s="13" t="n">
        <x:v>0.19652897972442712</x:v>
      </x:c>
      <x:c r="X35" s="13" t="n">
        <x:v>-0.32901349594933565</x:v>
      </x:c>
      <x:c r="Y35" s="13" t="n">
        <x:v>0.33492212658673726</x:v>
      </x:c>
      <x:c r="Z35" s="13" t="n">
        <x:v>0.21448606566505404</x:v>
      </x:c>
      <x:c r="AA35" s="13" t="n">
        <x:v>-0.2324415578556212</x:v>
      </x:c>
      <x:c r="AB35" s="13" t="n">
        <x:v>0.2764942137172664</x:v>
      </x:c>
      <x:c r="AC35" s="13" t="n">
        <x:v>-0.5296229877240025</x:v>
      </x:c>
      <x:c r="AD35" s="13" t="n">
        <x:v>0.1710900535861309</x:v>
      </x:c>
      <x:c r="AE35" s="13" t="n">
        <x:v>0.5901389742314664</x:v>
      </x:c>
      <x:c r="AF35" s="13" t="n">
        <x:v>0.2976719902891821</x:v>
      </x:c>
      <x:c r="AG35" s="13" t="n">
        <x:v>0.41487245922837995</x:v>
      </x:c>
      <x:c r="AH35" s="13" t="n">
        <x:v>0.25429542882753425</x:v>
      </x:c>
      <x:c r="AI35" s="13" t="n">
        <x:v>0.7569696929603585</x:v>
      </x:c>
      <x:c r="AJ35" s="13" t="n">
        <x:v>0.24715996505155663</x:v>
      </x:c>
      <x:c r="AK35" s="13" t="n">
        <x:v>-0.1229142682248769</x:v>
      </x:c>
      <x:c r="AL35" s="13" t="n">
        <x:v>0.7382224854034898</x:v>
      </x:c>
      <x:c r="AM35" s="13" t="n">
        <x:v>0.2543486005215786</x:v>
      </x:c>
      <x:c r="AN35" s="13" t="n">
        <x:v>-0.5164266890090102</x:v>
      </x:c>
      <x:c r="AO35" s="13" t="n">
        <x:v>0.3548341039405702</x:v>
      </x:c>
      <x:c r="AP35" s="13" t="n">
        <x:v>0.9689804883018063</x:v>
      </x:c>
    </x:row>
    <x:row r="36" ht="15" hidden="0" customHeight="1">
      <x:c r="A36" s="2" t="str">
        <x:v>E35</x:v>
      </x:c>
      <x:c r="B36" s="2" t="str">
        <x:v>***商贸有限公司</x:v>
      </x:c>
      <x:c r="C36" s="2" t="str">
        <x:v>有信贷记录</x:v>
      </x:c>
      <x:c r="D36" s="2" t="str">
        <x:v>B</x:v>
      </x:c>
      <x:c r="E36" s="2" t="str">
        <x:v>否</x:v>
      </x:c>
      <x:c r="F36" s="13" t="n">
        <x:v>-0.30252572008408907</x:v>
      </x:c>
      <x:c r="G36" s="13" t="n">
        <x:v>-0.30797572022381</x:v>
      </x:c>
      <x:c r="H36" s="13" t="n">
        <x:v>-0.13600464741250087</x:v>
      </x:c>
      <x:c r="I36" s="13" t="n">
        <x:v>0.011421701710900218</x:v>
      </x:c>
      <x:c r="J36" s="13" t="n">
        <x:v>0.09743311922654135</x:v>
      </x:c>
      <x:c r="K36" s="13" t="n">
        <x:v>0.11913182095069484</x:v>
      </x:c>
      <x:c r="L36" s="13" t="n">
        <x:v>-0.40155074703658455</x:v>
      </x:c>
      <x:c r="M36" s="13" t="n">
        <x:v>0.915277934893673</x:v>
      </x:c>
      <x:c r="N36" s="13" t="n">
        <x:v>1.1551041178654775</x:v>
      </x:c>
      <x:c r="O36" s="13" t="n">
        <x:v>-0.8335948390445029</x:v>
      </x:c>
      <x:c r="P36" s="13" t="n">
        <x:v>-1.0152099399798027</x:v>
      </x:c>
      <x:c r="Q36" s="13" t="n">
        <x:v>0.0710188472938453</x:v>
      </x:c>
      <x:c r="R36" s="13" t="n">
        <x:v>-0.8586538540720696</x:v>
      </x:c>
      <x:c r="S36" s="13" t="n">
        <x:v>0.317088719230238</x:v>
      </x:c>
      <x:c r="T36" s="13" t="n">
        <x:v>0.8241600270927416</x:v>
      </x:c>
      <x:c r="U36" s="13" t="n">
        <x:v>-0.15393417699466488</x:v>
      </x:c>
      <x:c r="V36" s="13" t="n">
        <x:v>-0.1334249543847609</x:v>
      </x:c>
      <x:c r="W36" s="13" t="n">
        <x:v>-0.38791695090073036</x:v>
      </x:c>
      <x:c r="X36" s="13" t="n">
        <x:v>-0.3496979040701705</x:v>
      </x:c>
      <x:c r="Y36" s="13" t="n">
        <x:v>-0.1942443079516974</x:v>
      </x:c>
      <x:c r="Z36" s="13" t="n">
        <x:v>-0.19957620012718147</x:v>
      </x:c>
      <x:c r="AA36" s="13" t="n">
        <x:v>-0.32408698622655235</x:v>
      </x:c>
      <x:c r="AB36" s="13" t="n">
        <x:v>-0.6657660903050582</x:v>
      </x:c>
      <x:c r="AC36" s="13" t="n">
        <x:v>-0.607254156489455</x:v>
      </x:c>
      <x:c r="AD36" s="13" t="n">
        <x:v>-0.35543570957943466</x:v>
      </x:c>
      <x:c r="AE36" s="13" t="n">
        <x:v>-0.5387304382367257</x:v>
      </x:c>
      <x:c r="AF36" s="13" t="n">
        <x:v>-0.2206944149664496</x:v>
      </x:c>
      <x:c r="AG36" s="13" t="n">
        <x:v>-0.6783918350497823</x:v>
      </x:c>
      <x:c r="AH36" s="13" t="n">
        <x:v>0.6908005136007749</x:v>
      </x:c>
      <x:c r="AI36" s="13" t="n">
        <x:v>0.9582284477355555</x:v>
      </x:c>
      <x:c r="AJ36" s="13" t="n">
        <x:v>-0.329909681503566</x:v>
      </x:c>
      <x:c r="AK36" s="13" t="n">
        <x:v>-0.01649933696107144</x:v>
      </x:c>
      <x:c r="AL36" s="13" t="n">
        <x:v>-0.42206888738728804</x:v>
      </x:c>
      <x:c r="AM36" s="13" t="n">
        <x:v>-0.22378611011505756</x:v>
      </x:c>
      <x:c r="AN36" s="13" t="n">
        <x:v>-0.8185419000432675</x:v>
      </x:c>
      <x:c r="AO36" s="13" t="n">
        <x:v>-0.9024946976520803</x:v>
      </x:c>
      <x:c r="AP36" s="13" t="n">
        <x:v>0.538209190015338</x:v>
      </x:c>
    </x:row>
    <x:row r="37" ht="15" hidden="0" customHeight="1">
      <x:c r="A37" s="2" t="str">
        <x:v>E36</x:v>
      </x:c>
      <x:c r="B37" s="2" t="str">
        <x:v>***超硬材料有限公司</x:v>
      </x:c>
      <x:c r="C37" s="2" t="str">
        <x:v>有信贷记录</x:v>
      </x:c>
      <x:c r="D37" s="2" t="str">
        <x:v>D</x:v>
      </x:c>
      <x:c r="E37" s="2" t="str">
        <x:v>是</x:v>
      </x:c>
      <x:c r="F37" s="13" t="n">
        <x:v>0.1457486409177459</x:v>
      </x:c>
      <x:c r="G37" s="13" t="n">
        <x:v>0.13747746349267215</x:v>
      </x:c>
      <x:c r="H37" s="13" t="n">
        <x:v>0.2679819363123271</x:v>
      </x:c>
      <x:c r="I37" s="13" t="n">
        <x:v>-0.20298745143099672</x:v>
      </x:c>
      <x:c r="J37" s="13" t="n">
        <x:v>-0.12310065924680295</x:v>
      </x:c>
      <x:c r="K37" s="13" t="n">
        <x:v>-0.1306941662273218</x:v>
      </x:c>
      <x:c r="L37" s="13" t="n">
        <x:v>0.5568183530889712</x:v>
      </x:c>
      <x:c r="M37" s="13" t="n">
        <x:v>0.5858272855237285</x:v>
      </x:c>
      <x:c r="N37" s="13" t="n">
        <x:v>-0.306775085945528</x:v>
      </x:c>
      <x:c r="O37" s="13" t="n">
        <x:v>-0.802902490644444</x:v>
      </x:c>
      <x:c r="P37" s="13" t="n">
        <x:v>-1.0684733535191393</x:v>
      </x:c>
      <x:c r="Q37" s="13" t="n">
        <x:v>-0.07725522874039338</x:v>
      </x:c>
      <x:c r="R37" s="13" t="n">
        <x:v>-1.2368169854187148</x:v>
      </x:c>
      <x:c r="S37" s="13" t="n">
        <x:v>-0.07075271580929032</x:v>
      </x:c>
      <x:c r="T37" s="13" t="n">
        <x:v>0.35324309846351976</x:v>
      </x:c>
      <x:c r="U37" s="13" t="n">
        <x:v>0.25550875798684364</x:v>
      </x:c>
      <x:c r="V37" s="13" t="n">
        <x:v>0.2548105169119225</x:v>
      </x:c>
      <x:c r="W37" s="13" t="n">
        <x:v>0.24897925554976177</x:v>
      </x:c>
      <x:c r="X37" s="13" t="n">
        <x:v>0.2915187476757096</x:v>
      </x:c>
      <x:c r="Y37" s="13" t="n">
        <x:v>-0.1799460986243461</x:v>
      </x:c>
      <x:c r="Z37" s="13" t="n">
        <x:v>-0.1759843528081277</x:v>
      </x:c>
      <x:c r="AA37" s="13" t="n">
        <x:v>0.07774296893829956</x:v>
      </x:c>
      <x:c r="AB37" s="13" t="n">
        <x:v>-0.38988813163385133</x:v>
      </x:c>
      <x:c r="AC37" s="13" t="n">
        <x:v>0.07471761294028977</x:v>
      </x:c>
      <x:c r="AD37" s="13" t="n">
        <x:v>-0.8889929460499255</x:v>
      </x:c>
      <x:c r="AE37" s="13" t="n">
        <x:v>-1.2052473503988086</x:v>
      </x:c>
      <x:c r="AF37" s="13" t="n">
        <x:v>-0.14954096659768878</x:v>
      </x:c>
      <x:c r="AG37" s="13" t="n">
        <x:v>-1.2036590308721031</x:v>
      </x:c>
      <x:c r="AH37" s="13" t="n">
        <x:v>0.2581452206451429</x:v>
      </x:c>
      <x:c r="AI37" s="13" t="n">
        <x:v>0.4550815607975631</x:v>
      </x:c>
      <x:c r="AJ37" s="13" t="n">
        <x:v>-0.13636303800451594</x:v>
      </x:c>
      <x:c r="AK37" s="13" t="n">
        <x:v>-0.15071624239653333</x:v>
      </x:c>
      <x:c r="AL37" s="13" t="n">
        <x:v>-0.21026172813931673</x:v>
      </x:c>
      <x:c r="AM37" s="13" t="n">
        <x:v>-0.015098761009762297</x:v>
      </x:c>
      <x:c r="AN37" s="13" t="n">
        <x:v>-1.125925994809648</x:v>
      </x:c>
      <x:c r="AO37" s="13" t="n">
        <x:v>-1.40622666472287</x:v>
      </x:c>
      <x:c r="AP37" s="13" t="n">
        <x:v>0.0827237024246264</x:v>
      </x:c>
    </x:row>
    <x:row r="38" ht="15" hidden="0" customHeight="1">
      <x:c r="A38" s="2" t="str">
        <x:v>E37</x:v>
      </x:c>
      <x:c r="B38" s="2" t="str">
        <x:v>***木业有限公司</x:v>
      </x:c>
      <x:c r="C38" s="2" t="str">
        <x:v>有信贷记录</x:v>
      </x:c>
      <x:c r="D38" s="2" t="str">
        <x:v>B</x:v>
      </x:c>
      <x:c r="E38" s="2" t="str">
        <x:v>否</x:v>
      </x:c>
      <x:c r="F38" s="13" t="n">
        <x:v>-0.3261679045836688</x:v>
      </x:c>
      <x:c r="G38" s="13" t="n">
        <x:v>-0.32763511799816497</x:v>
      </x:c>
      <x:c r="H38" s="13" t="n">
        <x:v>-0.2423169062874556</x:v>
      </x:c>
      <x:c r="I38" s="13" t="n">
        <x:v>-0.37451477394451427</x:v>
      </x:c>
      <x:c r="J38" s="13" t="n">
        <x:v>0.4292140251753831</x:v>
      </x:c>
      <x:c r="K38" s="13" t="n">
        <x:v>0.41304489608910216</x:v>
      </x:c>
      <x:c r="L38" s="13" t="n">
        <x:v>-0.4745693451413888</x:v>
      </x:c>
      <x:c r="M38" s="13" t="n">
        <x:v>0.4644411210380877</x:v>
      </x:c>
      <x:c r="N38" s="13" t="n">
        <x:v>-0.35676142519758125</x:v>
      </x:c>
      <x:c r="O38" s="13" t="n">
        <x:v>-0.7742127805317367</x:v>
      </x:c>
      <x:c r="P38" s="13" t="n">
        <x:v>-0.8556912221170487</x:v>
      </x:c>
      <x:c r="Q38" s="13" t="n">
        <x:v>0.39748101005557124</x:v>
      </x:c>
      <x:c r="R38" s="13" t="n">
        <x:v>-0.8833097271201064</x:v>
      </x:c>
      <x:c r="S38" s="13" t="n">
        <x:v>0.03708140926208873</x:v>
      </x:c>
      <x:c r="T38" s="13" t="n">
        <x:v>0.8241600270927416</x:v>
      </x:c>
      <x:c r="U38" s="13" t="n">
        <x:v>0.11112347589555237</x:v>
      </x:c>
      <x:c r="V38" s="13" t="n">
        <x:v>0.11735720698751871</x:v>
      </x:c>
      <x:c r="W38" s="13" t="n">
        <x:v>0.0316852557019468</x:v>
      </x:c>
      <x:c r="X38" s="13" t="n">
        <x:v>-0.10148500662015238</x:v>
      </x:c>
      <x:c r="Y38" s="13" t="n">
        <x:v>-0.08777073382189883</x:v>
      </x:c>
      <x:c r="Z38" s="13" t="n">
        <x:v>-0.10897511220969898</x:v>
      </x:c>
      <x:c r="AA38" s="13" t="n">
        <x:v>0.25868394290142</x:v>
      </x:c>
      <x:c r="AB38" s="13" t="n">
        <x:v>-0.44241527551500887</x:v>
      </x:c>
      <x:c r="AC38" s="13" t="n">
        <x:v>-0.3023778835101273</x:v>
      </x:c>
      <x:c r="AD38" s="13" t="n">
        <x:v>-0.9106073458018888</x:v>
      </x:c>
      <x:c r="AE38" s="13" t="n">
        <x:v>-1.0890586531205384</x:v>
      </x:c>
      <x:c r="AF38" s="13" t="n">
        <x:v>-0.11639391464366523</x:v>
      </x:c>
      <x:c r="AG38" s="13" t="n">
        <x:v>-0.7593781632930654</x:v>
      </x:c>
      <x:c r="AH38" s="13" t="n">
        <x:v>0.19953733530972936</x:v>
      </x:c>
      <x:c r="AI38" s="13" t="n">
        <x:v>0.9582284477355555</x:v>
      </x:c>
      <x:c r="AJ38" s="13" t="n">
        <x:v>-0.40939511486364194</x:v>
      </x:c>
      <x:c r="AK38" s="13" t="n">
        <x:v>0.008152090385855536</x:v>
      </x:c>
      <x:c r="AL38" s="13" t="n">
        <x:v>-0.2018046454921597</x:v>
      </x:c>
      <x:c r="AM38" s="13" t="n">
        <x:v>-0.2520049384705511</x:v>
      </x:c>
      <x:c r="AN38" s="13" t="n">
        <x:v>-1.1186017922498874</x:v>
      </x:c>
      <x:c r="AO38" s="13" t="n">
        <x:v>-0.9573445740726776</x:v>
      </x:c>
      <x:c r="AP38" s="13" t="n">
        <x:v>0.11926740018033237</x:v>
      </x:c>
    </x:row>
    <x:row r="39" ht="15" hidden="0" customHeight="1">
      <x:c r="A39" s="2" t="str">
        <x:v>E38</x:v>
      </x:c>
      <x:c r="B39" s="2" t="str">
        <x:v>***建设工程有限公司</x:v>
      </x:c>
      <x:c r="C39" s="2" t="str">
        <x:v>有信贷记录</x:v>
      </x:c>
      <x:c r="D39" s="2" t="str">
        <x:v>B</x:v>
      </x:c>
      <x:c r="E39" s="2" t="str">
        <x:v>否</x:v>
      </x:c>
      <x:c r="F39" s="13" t="n">
        <x:v>-0.15325545716517402</x:v>
      </x:c>
      <x:c r="G39" s="13" t="n">
        <x:v>-0.15213903054904496</x:v>
      </x:c>
      <x:c r="H39" s="13" t="n">
        <x:v>-0.1678983250749873</x:v>
      </x:c>
      <x:c r="I39" s="13" t="n">
        <x:v>-0.2887511126877555</x:v>
      </x:c>
      <x:c r="J39" s="13" t="n">
        <x:v>-0.30744304566190483</x:v>
      </x:c>
      <x:c r="K39" s="13" t="n">
        <x:v>-0.31408855420558796</x:v>
      </x:c>
      <x:c r="L39" s="13" t="n">
        <x:v>0.006136425715239148</x:v>
      </x:c>
      <x:c r="M39" s="13" t="n">
        <x:v>0.12761321364211653</x:v>
      </x:c>
      <x:c r="N39" s="13" t="n">
        <x:v>-0.27068949969055817</x:v>
      </x:c>
      <x:c r="O39" s="13" t="n">
        <x:v>-0.5581167483208551</x:v>
      </x:c>
      <x:c r="P39" s="13" t="n">
        <x:v>-0.359740482071148</x:v>
      </x:c>
      <x:c r="Q39" s="13" t="n">
        <x:v>-0.3045625019833508</x:v>
      </x:c>
      <x:c r="R39" s="13" t="n">
        <x:v>0.9764491048608078</x:v>
      </x:c>
      <x:c r="S39" s="13" t="n">
        <x:v>0.738765592611692</x:v>
      </x:c>
      <x:c r="T39" s="13" t="n">
        <x:v>0.2590597127376754</x:v>
      </x:c>
      <x:c r="U39" s="13" t="n">
        <x:v>-0.22876158596168444</x:v>
      </x:c>
      <x:c r="V39" s="13" t="n">
        <x:v>-0.23721622922563726</x:v>
      </x:c>
      <x:c r="W39" s="13" t="n">
        <x:v>-0.06572239940224611</x:v>
      </x:c>
      <x:c r="X39" s="13" t="n">
        <x:v>-0.3083290878285008</x:v>
      </x:c>
      <x:c r="Y39" s="13" t="n">
        <x:v>-0.08754625078251153</x:v>
      </x:c>
      <x:c r="Z39" s="13" t="n">
        <x:v>-0.11131406125457623</x:v>
      </x:c>
      <x:c r="AA39" s="13" t="n">
        <x:v>-0.3804841729163561</x:v>
      </x:c>
      <x:c r="AB39" s="13" t="n">
        <x:v>-0.020539516167355013</x:v>
      </x:c>
      <x:c r="AC39" s="13" t="n">
        <x:v>-0.455573555976586</x:v>
      </x:c>
      <x:c r="AD39" s="13" t="n">
        <x:v>0.775472840313169</x:v>
      </x:c>
      <x:c r="AE39" s="13" t="n">
        <x:v>1.096119786964109</x:v>
      </x:c>
      <x:c r="AF39" s="13" t="n">
        <x:v>-0.044884140296696004</x:v>
      </x:c>
      <x:c r="AG39" s="13" t="n">
        <x:v>0.16913803335288255</x:v>
      </x:c>
      <x:c r="AH39" s="13" t="n">
        <x:v>-0.047502756464464585</x:v>
      </x:c>
      <x:c r="AI39" s="13" t="n">
        <x:v>-0.3499534583032247</x:v>
      </x:c>
      <x:c r="AJ39" s="13" t="n">
        <x:v>0.15848754003300766</x:v>
      </x:c>
      <x:c r="AK39" s="13" t="n">
        <x:v>-0.2503616732695107</x:v>
      </x:c>
      <x:c r="AL39" s="13" t="n">
        <x:v>-0.09032132145399974</x:v>
      </x:c>
      <x:c r="AM39" s="13" t="n">
        <x:v>-0.4701523792294214</x:v>
      </x:c>
      <x:c r="AN39" s="13" t="n">
        <x:v>0.07834712123328946</x:v>
      </x:c>
      <x:c r="AO39" s="13" t="n">
        <x:v>0.740846680271812</x:v>
      </x:c>
      <x:c r="AP39" s="13" t="n">
        <x:v>0.4247083383028481</x:v>
      </x:c>
    </x:row>
    <x:row r="40" ht="15" hidden="0" customHeight="1">
      <x:c r="A40" s="2" t="str">
        <x:v>E39</x:v>
      </x:c>
      <x:c r="B40" s="2" t="str">
        <x:v>***建筑劳务有限公司</x:v>
      </x:c>
      <x:c r="C40" s="2" t="str">
        <x:v>有信贷记录</x:v>
      </x:c>
      <x:c r="D40" s="2" t="str">
        <x:v>C</x:v>
      </x:c>
      <x:c r="E40" s="2" t="str">
        <x:v>否</x:v>
      </x:c>
      <x:c r="F40" s="13" t="n">
        <x:v>-0.481928178933841</x:v>
      </x:c>
      <x:c r="G40" s="13" t="n">
        <x:v>-0.4777178375926309</x:v>
      </x:c>
      <x:c r="H40" s="13" t="n">
        <x:v>-0.4868351016998515</x:v>
      </x:c>
      <x:c r="I40" s="13" t="n">
        <x:v>-0.46027843520127304</x:v>
      </x:c>
      <x:c r="J40" s="13" t="n">
        <x:v>-0.5626542924773436</x:v>
      </x:c>
      <x:c r="K40" s="13" t="n">
        <x:v>-0.5652091449330244</x:v>
      </x:c>
      <x:c r="L40" s="13" t="n">
        <x:v>-0.5506303848338933</x:v>
      </x:c>
      <x:c r="M40" s="13" t="n">
        <x:v>-0.7425904712111205</x:v>
      </x:c>
      <x:c r="N40" s="13" t="n">
        <x:v>-0.7216149855326618</x:v>
      </x:c>
      <x:c r="O40" s="13" t="n">
        <x:v>-0.6506535612551952</x:v>
      </x:c>
      <x:c r="P40" s="13" t="n">
        <x:v>-0.8136090978488858</x:v>
      </x:c>
      <x:c r="Q40" s="13" t="n">
        <x:v>-0.5770683291524158</x:v>
      </x:c>
      <x:c r="R40" s="13" t="n">
        <x:v>0.42818671439976835</x:v>
      </x:c>
      <x:c r="S40" s="13" t="n">
        <x:v>1.1893690238526868</x:v>
      </x:c>
      <x:c r="T40" s="13" t="n">
        <x:v>-0.21185721589154644</x:v>
      </x:c>
      <x:c r="U40" s="13" t="n">
        <x:v>-0.42057269063770647</x:v>
      </x:c>
      <x:c r="V40" s="13" t="n">
        <x:v>-0.41450294733221527</x:v>
      </x:c>
      <x:c r="W40" s="13" t="n">
        <x:v>-0.42538143363311226</x:v>
      </x:c>
      <x:c r="X40" s="13" t="n">
        <x:v>-0.2669602715868311</x:v>
      </x:c>
      <x:c r="Y40" s="13" t="n">
        <x:v>-0.2473676280175495</x:v>
      </x:c>
      <x:c r="Z40" s="13" t="n">
        <x:v>-0.23521109504382212</x:v>
      </x:c>
      <x:c r="AA40" s="13" t="n">
        <x:v>-0.3945834695888071</x:v>
      </x:c>
      <x:c r="AB40" s="13" t="n">
        <x:v>-0.1440218657880217</x:v>
      </x:c>
      <x:c r="AC40" s="13" t="n">
        <x:v>0.15271032142852797</x:v>
      </x:c>
      <x:c r="AD40" s="13" t="n">
        <x:v>3.0005187277812264</x:v>
      </x:c>
      <x:c r="AE40" s="13" t="n">
        <x:v>2.492809251539607</x:v>
      </x:c>
      <x:c r="AF40" s="13" t="n">
        <x:v>-0.16173511178671646</x:v>
      </x:c>
      <x:c r="AG40" s="13" t="n">
        <x:v>-0.03517980056180813</x:v>
      </x:c>
      <x:c r="AH40" s="13" t="n">
        <x:v>-0.19495398298182928</x:v>
      </x:c>
      <x:c r="AI40" s="13" t="n">
        <x:v>-0.3499534583032247</x:v>
      </x:c>
      <x:c r="AJ40" s="13" t="n">
        <x:v>0.09074384035076516</x:v>
      </x:c>
      <x:c r="AK40" s="13" t="n">
        <x:v>-0.33907738293959705</x:v>
      </x:c>
      <x:c r="AL40" s="13" t="n">
        <x:v>-0.2709402168928488</x:v>
      </x:c>
      <x:c r="AM40" s="13" t="n">
        <x:v>-0.09672819895995255</x:v>
      </x:c>
      <x:c r="AN40" s="13" t="n">
        <x:v>1.3857516019672576</x:v>
      </x:c>
      <x:c r="AO40" s="13" t="n">
        <x:v>0.2728969630246792</x:v>
      </x:c>
      <x:c r="AP40" s="13" t="n">
        <x:v>0.6264908467395414</x:v>
      </x:c>
    </x:row>
    <x:row r="41" ht="15" hidden="0" customHeight="1">
      <x:c r="A41" s="2" t="str">
        <x:v>E40</x:v>
      </x:c>
      <x:c r="B41" s="2" t="str">
        <x:v>***财税咨询服务有限公司</x:v>
      </x:c>
      <x:c r="C41" s="2" t="str">
        <x:v>有信贷记录</x:v>
      </x:c>
      <x:c r="D41" s="2" t="str">
        <x:v>C</x:v>
      </x:c>
      <x:c r="E41" s="2" t="str">
        <x:v>否</x:v>
      </x:c>
      <x:c r="F41" s="13" t="n">
        <x:v>0.8466698754935209</x:v>
      </x:c>
      <x:c r="G41" s="13" t="n">
        <x:v>0.8596007085701987</x:v>
      </x:c>
      <x:c r="H41" s="13" t="n">
        <x:v>0.33176929163729996</x:v>
      </x:c>
      <x:c r="I41" s="13" t="n">
        <x:v>0.997703806163626</x:v>
      </x:c>
      <x:c r="J41" s="13" t="n">
        <x:v>-0.48057719564769413</x:v>
      </x:c>
      <x:c r="K41" s="13" t="n">
        <x:v>-0.48333383076183406</x:v>
      </x:c>
      <x:c r="L41" s="13" t="n">
        <x:v>1.7220734811781389</x:v>
      </x:c>
      <x:c r="M41" s="13" t="n">
        <x:v>-0.17523954429012362</x:v>
      </x:c>
      <x:c r="N41" s="13" t="n">
        <x:v>0.4752188577568593</x:v>
      </x:c>
      <x:c r="O41" s="13" t="n">
        <x:v>-0.9238404570693609</x:v>
      </x:c>
      <x:c r="P41" s="13" t="n">
        <x:v>-1.187275880098085</x:v>
      </x:c>
      <x:c r="Q41" s="13" t="n">
        <x:v>-0.4899528035380439</x:v>
      </x:c>
      <x:c r="R41" s="13" t="n">
        <x:v>-0.4897225515333874</x:v>
      </x:c>
      <x:c r="S41" s="13" t="n">
        <x:v>0.22248898633242564</x:v>
      </x:c>
      <x:c r="T41" s="13" t="n">
        <x:v>0.5416098699152085</x:v>
      </x:c>
      <x:c r="U41" s="13" t="n">
        <x:v>-0.09438842197161408</x:v>
      </x:c>
      <x:c r="V41" s="13" t="n">
        <x:v>-0.09807981754705707</x:v>
      </x:c>
      <x:c r="W41" s="13" t="n">
        <x:v>-0.013272123576911469</x:v>
      </x:c>
      <x:c r="X41" s="13" t="n">
        <x:v>0.4776784207632232</x:v>
      </x:c>
      <x:c r="Y41" s="13" t="n">
        <x:v>-0.23258738664952758</x:v>
      </x:c>
      <x:c r="Z41" s="13" t="n">
        <x:v>-0.18954094390533907</x:v>
      </x:c>
      <x:c r="AA41" s="13" t="n">
        <x:v>0.857904051480585</x:v>
      </x:c>
      <x:c r="AB41" s="13" t="n">
        <x:v>-0.24360079692441602</x:v>
      </x:c>
      <x:c r="AC41" s="13" t="n">
        <x:v>1.0587861470592332</x:v>
      </x:c>
      <x:c r="AD41" s="13" t="n">
        <x:v>-0.9582489536136001</x:v>
      </x:c>
      <x:c r="AE41" s="13" t="n">
        <x:v>-1.1205674182361427</x:v>
      </x:c>
      <x:c r="AF41" s="13" t="n">
        <x:v>-0.24030211468902915</x:v>
      </x:c>
      <x:c r="AG41" s="13" t="n">
        <x:v>-0.05892747733770102</x:v>
      </x:c>
      <x:c r="AH41" s="13" t="n">
        <x:v>0.8881779970468365</x:v>
      </x:c>
      <x:c r="AI41" s="13" t="n">
        <x:v>0.7569696929603585</x:v>
      </x:c>
      <x:c r="AJ41" s="13" t="n">
        <x:v>0.05196018361908089</x:v>
      </x:c>
      <x:c r="AK41" s="13" t="n">
        <x:v>-0.3023921235188159</x:v>
      </x:c>
      <x:c r="AL41" s="13" t="n">
        <x:v>-0.5507122540622766</x:v>
      </x:c>
      <x:c r="AM41" s="13" t="n">
        <x:v>0.3734216132896432</x:v>
      </x:c>
      <x:c r="AN41" s="13" t="n">
        <x:v>-1.206684152073725</x:v>
      </x:c>
      <x:c r="AO41" s="13" t="n">
        <x:v>-0.3606700450934644</x:v>
      </x:c>
      <x:c r="AP41" s="13" t="n">
        <x:v>0.5796595912122521</x:v>
      </x:c>
    </x:row>
    <x:row r="42" ht="15" hidden="0" customHeight="1">
      <x:c r="A42" s="2" t="str">
        <x:v>E41</x:v>
      </x:c>
      <x:c r="B42" s="2" t="str">
        <x:v>***物业发展有限公司</x:v>
      </x:c>
      <x:c r="C42" s="2" t="str">
        <x:v>有信贷记录</x:v>
      </x:c>
      <x:c r="D42" s="2" t="str">
        <x:v>C</x:v>
      </x:c>
      <x:c r="E42" s="2" t="str">
        <x:v>否</x:v>
      </x:c>
      <x:c r="F42" s="13" t="n">
        <x:v>0.3297868222183958</x:v>
      </x:c>
      <x:c r="G42" s="13" t="n">
        <x:v>0.3321534512094555</x:v>
      </x:c>
      <x:c r="H42" s="13" t="n">
        <x:v>0.17230090332486786</x:v>
      </x:c>
      <x:c r="I42" s="13" t="n">
        <x:v>0.09718536296765899</x:v>
      </x:c>
      <x:c r="J42" s="13" t="n">
        <x:v>-0.46256990067864584</x:v>
      </x:c>
      <x:c r="K42" s="13" t="n">
        <x:v>-0.46133315846990486</x:v>
      </x:c>
      <x:c r="L42" s="13" t="n">
        <x:v>0.7637043810525832</x:v>
      </x:c>
      <x:c r="M42" s="13" t="n">
        <x:v>0.07664674274028407</x:v>
      </x:c>
      <x:c r="N42" s="13" t="n">
        <x:v>-0.008222454958784781</x:v>
      </x:c>
      <x:c r="O42" s="13" t="n">
        <x:v>-0.8970909528898275</x:v>
      </x:c>
      <x:c r="P42" s="13" t="n">
        <x:v>-1.107514431487836</x:v>
      </x:c>
      <x:c r="Q42" s="13" t="n">
        <x:v>-0.4739606206480345</x:v>
      </x:c>
      <x:c r="R42" s="13" t="n">
        <x:v>-0.7082985992017653</x:v>
      </x:c>
      <x:c r="S42" s="13" t="n">
        <x:v>0.4976147157609777</x:v>
      </x:c>
      <x:c r="T42" s="13" t="n">
        <x:v>0.5416098699152085</x:v>
      </x:c>
      <x:c r="U42" s="13" t="n">
        <x:v>-0.21031821051206695</x:v>
      </x:c>
      <x:c r="V42" s="13" t="n">
        <x:v>-0.20748143156852134</x:v>
      </x:c>
      <x:c r="W42" s="13" t="n">
        <x:v>-0.20059453723882092</x:v>
      </x:c>
      <x:c r="X42" s="13" t="n">
        <x:v>-0.018747374136813013</x:v>
      </x:c>
      <x:c r="Y42" s="13" t="n">
        <x:v>-0.2435129640578717</x:v>
      </x:c>
      <x:c r="Z42" s="13" t="n">
        <x:v>-0.22096032708031346</x:v>
      </x:c>
      <x:c r="AA42" s="13" t="n">
        <x:v>-0.368734759022647</x:v>
      </x:c>
      <x:c r="AB42" s="13" t="n">
        <x:v>-0.2973951990039175</x:v>
      </x:c>
      <x:c r="AC42" s="13" t="n">
        <x:v>0.2975530794155107</x:v>
      </x:c>
      <x:c r="AD42" s="13" t="n">
        <x:v>0.41368420233914505</x:v>
      </x:c>
      <x:c r="AE42" s="13" t="n">
        <x:v>0.737289483516877</x:v>
      </x:c>
      <x:c r="AF42" s="13" t="n">
        <x:v>-0.27694361857797656</x:v>
      </x:c>
      <x:c r="AG42" s="13" t="n">
        <x:v>-0.5576144696326527</x:v>
      </x:c>
      <x:c r="AH42" s="13" t="n">
        <x:v>0.8198076895316928</x:v>
      </x:c>
      <x:c r="AI42" s="13" t="n">
        <x:v>1.058857825123154</x:v>
      </x:c>
      <x:c r="AJ42" s="13" t="n">
        <x:v>0.02001595504078791</x:v>
      </x:c>
      <x:c r="AK42" s="13" t="n">
        <x:v>-0.2861824476939174</x:v>
      </x:c>
      <x:c r="AL42" s="13" t="n">
        <x:v>-0.461908636395678</x:v>
      </x:c>
      <x:c r="AM42" s="13" t="n">
        <x:v>-0.07334934254436973</x:v>
      </x:c>
      <x:c r="AN42" s="13" t="n">
        <x:v>-0.38932219747094765</x:v>
      </x:c>
      <x:c r="AO42" s="13" t="n">
        <x:v>-0.7436793202022054</x:v>
      </x:c>
      <x:c r="AP42" s="13" t="n">
        <x:v>0.7137702465708395</x:v>
      </x:c>
    </x:row>
    <x:row r="43" ht="15" hidden="0" customHeight="1">
      <x:c r="A43" s="2" t="str">
        <x:v>E42</x:v>
      </x:c>
      <x:c r="B43" s="2" t="str">
        <x:v>***园艺场</x:v>
      </x:c>
      <x:c r="C43" s="2" t="str">
        <x:v>有信贷记录</x:v>
      </x:c>
      <x:c r="D43" s="2" t="str">
        <x:v>A</x:v>
      </x:c>
      <x:c r="E43" s="2" t="str">
        <x:v>否</x:v>
      </x:c>
      <x:c r="F43" s="13" t="n">
        <x:v>-0.5908676565299436</x:v>
      </x:c>
      <x:c r="G43" s="13" t="n">
        <x:v>-0.5889612591450786</x:v>
      </x:c>
      <x:c r="H43" s="13" t="n">
        <x:v>-0.518728779362338</x:v>
      </x:c>
      <x:c r="I43" s="13" t="n">
        <x:v>-0.46027843520127304</x:v>
      </x:c>
      <x:c r="J43" s="13" t="n">
        <x:v>-0.5698674807807729</x:v>
      </x:c>
      <x:c r="K43" s="13" t="n">
        <x:v>-0.5722948149489988</x:v>
      </x:c>
      <x:c r="L43" s="13" t="n">
        <x:v>-0.6936251394558016</x:v>
      </x:c>
      <x:c r="M43" s="13" t="n">
        <x:v>-1.151103901665672</x:v>
      </x:c>
      <x:c r="N43" s="13" t="n">
        <x:v>-0.7216149855326618</x:v>
      </x:c>
      <x:c r="O43" s="13" t="n">
        <x:v>1.3038098908261153</x:v>
      </x:c>
      <x:c r="P43" s="13" t="n">
        <x:v>1.4474408361452331</x:v>
      </x:c>
      <x:c r="Q43" s="13" t="n">
        <x:v>-0.5854987427032488</x:v>
      </x:c>
      <x:c r="R43" s="13" t="n">
        <x:v>0.7700324377234261</x:v>
      </x:c>
      <x:c r="S43" s="13" t="n">
        <x:v>2.301889516642137</x:v>
      </x:c>
      <x:c r="T43" s="13" t="n">
        <x:v>-2.0013415446825893</x:v>
      </x:c>
      <x:c r="U43" s="13" t="n">
        <x:v>-0.38737461482839497</x:v>
      </x:c>
      <x:c r="V43" s="13" t="n">
        <x:v>-0.38196298008480534</x:v>
      </x:c>
      <x:c r="W43" s="13" t="n">
        <x:v>-0.38791695090073036</x:v>
      </x:c>
      <x:c r="X43" s="13" t="n">
        <x:v>-0.2669602715868311</x:v>
      </x:c>
      <x:c r="Y43" s="13" t="n">
        <x:v>-0.30947131246184617</x:v>
      </x:c>
      <x:c r="Z43" s="13" t="n">
        <x:v>-0.28092206012164933</x:v>
      </x:c>
      <x:c r="AA43" s="13" t="n">
        <x:v>-0.33348651734151963</x:v>
      </x:c>
      <x:c r="AB43" s="13" t="n">
        <x:v>-0.18647874468393486</x:v>
      </x:c>
      <x:c r="AC43" s="13" t="n">
        <x:v>-0.015129728031984126</x:v>
      </x:c>
      <x:c r="AD43" s="13" t="n">
        <x:v>-0.6697492267443098</x:v>
      </x:c>
      <x:c r="AE43" s="13" t="n">
        <x:v>-0.8267869506324313</x:v>
      </x:c>
      <x:c r="AF43" s="13" t="n">
        <x:v>-0.2567934222081655</x:v>
      </x:c>
      <x:c r="AG43" s="13" t="n">
        <x:v>0.1287154786536248</x:v>
      </x:c>
      <x:c r="AH43" s="13" t="n">
        <x:v>1.0349468192552276</x:v>
      </x:c>
      <x:c r="AI43" s="13" t="n">
        <x:v>-0.8531003452412171</x:v>
      </x:c>
      <x:c r="AJ43" s="13" t="n">
        <x:v>-0.006422853175577375</x:v>
      </x:c>
      <x:c r="AK43" s="13" t="n">
        <x:v>-0.3428838372856259</x:v>
      </x:c>
      <x:c r="AL43" s="13" t="n">
        <x:v>0.2676954656867132</x:v>
      </x:c>
      <x:c r="AM43" s="13" t="n">
        <x:v>0.2527326715115124</x:v>
      </x:c>
      <x:c r="AN43" s="13" t="n">
        <x:v>0.527448704130487</x:v>
      </x:c>
      <x:c r="AO43" s="13" t="n">
        <x:v>0.5818537277519712</x:v>
      </x:c>
      <x:c r="AP43" s="13" t="n">
        <x:v>1.927423483721224</x:v>
      </x:c>
    </x:row>
    <x:row r="44" ht="15" hidden="0" customHeight="1">
      <x:c r="A44" s="2" t="str">
        <x:v>E43</x:v>
      </x:c>
      <x:c r="B44" s="2" t="str">
        <x:v>***建设工程有限公司</x:v>
      </x:c>
      <x:c r="C44" s="2" t="str">
        <x:v>有信贷记录</x:v>
      </x:c>
      <x:c r="D44" s="2" t="str">
        <x:v>B</x:v>
      </x:c>
      <x:c r="E44" s="2" t="str">
        <x:v>否</x:v>
      </x:c>
      <x:c r="F44" s="13" t="n">
        <x:v>-0.5764969169321599</x:v>
      </x:c>
      <x:c r="G44" s="13" t="n">
        <x:v>-0.5788918115045553</x:v>
      </x:c>
      <x:c r="H44" s="13" t="n">
        <x:v>-0.4124165204873832</x:v>
      </x:c>
      <x:c r="I44" s="13" t="n">
        <x:v>-0.031460128917479166</x:v>
      </x:c>
      <x:c r="J44" s="13" t="n">
        <x:v>-0.4923468079079511</x:v>
      </x:c>
      <x:c r="K44" s="13" t="n">
        <x:v>-0.4936133059547556</x:v>
      </x:c>
      <x:c r="L44" s="13" t="n">
        <x:v>-0.6571158404033994</x:v>
      </x:c>
      <x:c r="M44" s="13" t="n">
        <x:v>3.7424680070460514</x:v>
      </x:c>
      <x:c r="N44" s="13" t="n">
        <x:v>4.5203208139493745</x:v>
      </x:c>
      <x:c r="O44" s="13" t="n">
        <x:v>-0.028226106469793944</x:v>
      </x:c>
      <x:c r="P44" s="13" t="n">
        <x:v>-0.1156538621258516</x:v>
      </x:c>
      <x:c r="Q44" s="13" t="n">
        <x:v>-0.46273566648809517</x:v>
      </x:c>
      <x:c r="R44" s="13" t="n">
        <x:v>0.9420054161078368</x:v>
      </x:c>
      <x:c r="S44" s="13" t="n">
        <x:v>-0.3200382297522705</x:v>
      </x:c>
      <x:c r="T44" s="13" t="n">
        <x:v>-1.4362412303275232</x:v>
      </x:c>
      <x:c r="U44" s="13" t="n">
        <x:v>-0.4305848087389274</x:v>
      </x:c>
      <x:c r="V44" s="13" t="n">
        <x:v>-0.42684569352950863</x:v>
      </x:c>
      <x:c r="W44" s="13" t="n">
        <x:v>-0.40290274399368314</x:v>
      </x:c>
      <x:c r="X44" s="13" t="n">
        <x:v>-0.28764467970766594</x:v>
      </x:c>
      <x:c r="Y44" s="13" t="n">
        <x:v>-0.3700691912997072</x:v>
      </x:c>
      <x:c r="Z44" s="13" t="n">
        <x:v>-0.32958373593026236</x:v>
      </x:c>
      <x:c r="AA44" s="13" t="n">
        <x:v>-0.38518393847383975</x:v>
      </x:c>
      <x:c r="AB44" s="13" t="n">
        <x:v>0.02495791729919839</x:v>
      </x:c>
      <x:c r="AC44" s="13" t="n">
        <x:v>0.0838001625459329</x:v>
      </x:c>
      <x:c r="AD44" s="13" t="n">
        <x:v>0.8035760911470792</x:v>
      </x:c>
      <x:c r="AE44" s="13" t="n">
        <x:v>1.0100029191645359</x:v>
      </x:c>
      <x:c r="AF44" s="13" t="n">
        <x:v>-0.12966647558503505</x:v>
      </x:c>
      <x:c r="AG44" s="13" t="n">
        <x:v>-0.9326435534286931</x:v>
      </x:c>
      <x:c r="AH44" s="13" t="n">
        <x:v>0.21363258497427867</x:v>
      </x:c>
      <x:c r="AI44" s="13" t="n">
        <x:v>-1.456876609566808</x:v>
      </x:c>
      <x:c r="AJ44" s="13" t="n">
        <x:v>-0.16637674487058957</x:v>
      </x:c>
      <x:c r="AK44" s="13" t="n">
        <x:v>-0.2732399821546416</x:v>
      </x:c>
      <x:c r="AL44" s="13" t="n">
        <x:v>0.9303105582616068</x:v>
      </x:c>
      <x:c r="AM44" s="13" t="n">
        <x:v>2.3452211507860885</x:v>
      </x:c>
      <x:c r="AN44" s="13" t="n">
        <x:v>0.4775122003743613</x:v>
      </x:c>
      <x:c r="AO44" s="13" t="n">
        <x:v>0.19872347630354095</x:v>
      </x:c>
      <x:c r="AP44" s="13" t="n">
        <x:v>-0.0924068516325411</x:v>
      </x:c>
    </x:row>
    <x:row r="45" ht="15" hidden="0" customHeight="1">
      <x:c r="A45" s="2" t="str">
        <x:v>E44</x:v>
      </x:c>
      <x:c r="B45" s="2" t="str">
        <x:v>***商贸有限公司</x:v>
      </x:c>
      <x:c r="C45" s="2" t="str">
        <x:v>有信贷记录</x:v>
      </x:c>
      <x:c r="D45" s="2" t="str">
        <x:v>C</x:v>
      </x:c>
      <x:c r="E45" s="2" t="str">
        <x:v>否</x:v>
      </x:c>
      <x:c r="F45" s="13" t="n">
        <x:v>-0.034117390177095856</x:v>
      </x:c>
      <x:c r="G45" s="13" t="n">
        <x:v>-0.025551688782466626</x:v>
      </x:c>
      <x:c r="H45" s="13" t="n">
        <x:v>-0.2423169062874556</x:v>
      </x:c>
      <x:c r="I45" s="13" t="n">
        <x:v>-0.37451477394451427</x:v>
      </x:c>
      <x:c r="J45" s="13" t="n">
        <x:v>0.11598552883950539</x:v>
      </x:c>
      <x:c r="K45" s="13" t="n">
        <x:v>0.10547369466803051</x:v>
      </x:c>
      <x:c r="L45" s="13" t="n">
        <x:v>-0.07296705556496545</x:v>
      </x:c>
      <x:c r="M45" s="13" t="n">
        <x:v>-0.3510984336921755</x:v>
      </x:c>
      <x:c r="N45" s="13" t="n">
        <x:v>-0.5448610512295786</x:v>
      </x:c>
      <x:c r="O45" s="13" t="n">
        <x:v>-0.8083258033930114</x:v>
      </x:c>
      <x:c r="P45" s="13" t="n">
        <x:v>-1.0138030000677813</x:v>
      </x:c>
      <x:c r="Q45" s="13" t="n">
        <x:v>0.08927384527020131</x:v>
      </x:c>
      <x:c r="R45" s="13" t="n">
        <x:v>-0.8186708883573461</x:v>
      </x:c>
      <x:c r="S45" s="13" t="n">
        <x:v>0.3139329178396436</x:v>
      </x:c>
      <x:c r="T45" s="13" t="n">
        <x:v>0.8241600270927416</x:v>
      </x:c>
      <x:c r="U45" s="13" t="n">
        <x:v>0.7234435408228534</x:v>
      </x:c>
      <x:c r="V45" s="13" t="n">
        <x:v>0.7109310922937196</x:v>
      </x:c>
      <x:c r="W45" s="13" t="n">
        <x:v>0.8109464965354901</x:v>
      </x:c>
      <x:c r="X45" s="13" t="n">
        <x:v>0.767260134454911</x:v>
      </x:c>
      <x:c r="Y45" s="13" t="n">
        <x:v>-0.20254152811863604</x:v>
      </x:c>
      <x:c r="Z45" s="13" t="n">
        <x:v>-0.19896203334597867</x:v>
      </x:c>
      <x:c r="AA45" s="13" t="n">
        <x:v>-0.32173710344781054</x:v>
      </x:c>
      <x:c r="AB45" s="13" t="n">
        <x:v>-0.3652542731037671</x:v>
      </x:c>
      <x:c r="AC45" s="13" t="n">
        <x:v>0.13778443681225733</x:v>
      </x:c>
      <x:c r="AD45" s="13" t="n">
        <x:v>0.48431081684617294</x:v>
      </x:c>
      <x:c r="AE45" s="13" t="n">
        <x:v>0.6158673173402949</x:v>
      </x:c>
      <x:c r="AF45" s="13" t="n">
        <x:v>-0.228822292909619</x:v>
      </x:c>
      <x:c r="AG45" s="13" t="n">
        <x:v>-0.7025784019224468</x:v>
      </x:c>
      <x:c r="AH45" s="13" t="n">
        <x:v>0.43889146095837306</x:v>
      </x:c>
      <x:c r="AI45" s="13" t="n">
        <x:v>0.9582284477355555</x:v>
      </x:c>
      <x:c r="AJ45" s="13" t="n">
        <x:v>-0.3579263810766633</x:v>
      </x:c>
      <x:c r="AK45" s="13" t="n">
        <x:v>-0.023650940130891702</x:v>
      </x:c>
      <x:c r="AL45" s="13" t="n">
        <x:v>-0.22495336833337376</x:v>
      </x:c>
      <x:c r="AM45" s="13" t="n">
        <x:v>0.2026686903814207</x:v>
      </x:c>
      <x:c r="AN45" s="13" t="n">
        <x:v>-0.2817473424911609</x:v>
      </x:c>
      <x:c r="AO45" s="13" t="n">
        <x:v>-0.8867725052697485</x:v>
      </x:c>
      <x:c r="AP45" s="13" t="n">
        <x:v>0.40941037764210225</x:v>
      </x:c>
    </x:row>
    <x:row r="46" ht="15" hidden="0" customHeight="1">
      <x:c r="A46" s="2" t="str">
        <x:v>E45</x:v>
      </x:c>
      <x:c r="B46" s="2" t="str">
        <x:v>个体经营E45</x:v>
      </x:c>
      <x:c r="C46" s="2" t="str">
        <x:v>有信贷记录</x:v>
      </x:c>
      <x:c r="D46" s="2" t="str">
        <x:v>B</x:v>
      </x:c>
      <x:c r="E46" s="2" t="str">
        <x:v>是</x:v>
      </x:c>
      <x:c r="F46" s="13" t="n">
        <x:v>-0.33451220499528517</x:v>
      </x:c>
      <x:c r="G46" s="13" t="n">
        <x:v>-0.32763511799816497</x:v>
      </x:c>
      <x:c r="H46" s="13" t="n">
        <x:v>-0.4336789722623741</x:v>
      </x:c>
      <x:c r="I46" s="13" t="n">
        <x:v>-0.46027843520127304</x:v>
      </x:c>
      <x:c r="J46" s="13" t="n">
        <x:v>-0.032945985532919865</x:v>
      </x:c>
      <x:c r="K46" s="13" t="n">
        <x:v>-0.04486528174228417</x:v>
      </x:c>
      <x:c r="L46" s="13" t="n">
        <x:v>-0.36808388957188265</x:v>
      </x:c>
      <x:c r="M46" s="13" t="n">
        <x:v>-0.6391004021626342</x:v>
      </x:c>
      <x:c r="N46" s="13" t="n">
        <x:v>-0.7216149855326618</x:v>
      </x:c>
      <x:c r="O46" s="13" t="n">
        <x:v>0.49099307712068874</x:v>
      </x:c>
      <x:c r="P46" s="13" t="n">
        <x:v>0.8141179123911149</x:v>
      </x:c>
      <x:c r="Q46" s="13" t="n">
        <x:v>0.08853542242608269</x:v>
      </x:c>
      <x:c r="R46" s="13" t="n">
        <x:v>-0.33371630664559143</x:v>
      </x:c>
      <x:c r="S46" s="13" t="n">
        <x:v>1.2497817464012644</x:v>
      </x:c>
      <x:c r="T46" s="13" t="n">
        <x:v>0.07069294128598666</x:v>
      </x:c>
      <x:c r="U46" s="13" t="n">
        <x:v>-0.38842852199694455</x:v>
      </x:c>
      <x:c r="V46" s="13" t="n">
        <x:v>-0.37579160698615865</x:v>
      </x:c>
      <x:c r="W46" s="13" t="n">
        <x:v>-0.4853246060049233</x:v>
      </x:c>
      <x:c r="X46" s="13" t="n">
        <x:v>-0.24627586346599628</x:v>
      </x:c>
      <x:c r="Y46" s="13" t="n">
        <x:v>-0.2937603965964723</x:v>
      </x:c>
      <x:c r="Z46" s="13" t="n">
        <x:v>-0.26838429885721227</x:v>
      </x:c>
      <x:c r="AA46" s="13" t="n">
        <x:v>-0.24889073730681396</x:v>
      </x:c>
      <x:c r="AB46" s="13" t="n">
        <x:v>-0.5115519122470721</x:v>
      </x:c>
      <x:c r="AC46" s="13" t="n">
        <x:v>0.06995730212979495</x:v>
      </x:c>
      <x:c r="AD46" s="13" t="n">
        <x:v>-0.5605740560643103</x:v>
      </x:c>
      <x:c r="AE46" s="13" t="n">
        <x:v>-0.35238906018693017</x:v>
      </x:c>
      <x:c r="AF46" s="13" t="n">
        <x:v>-0.1961395385962563</x:v>
      </x:c>
      <x:c r="AG46" s="13" t="n">
        <x:v>-0.12032608018804637</x:v>
      </x:c>
      <x:c r="AH46" s="13" t="n">
        <x:v>1.631261939517727</x:v>
      </x:c>
      <x:c r="AI46" s="13" t="n">
        <x:v>-0.5512122130784217</x:v>
      </x:c>
      <x:c r="AJ46" s="13" t="n">
        <x:v>-0.3940735176284026</x:v>
      </x:c>
      <x:c r="AK46" s="13" t="n">
        <x:v>-0.012313565878163162</x:v>
      </x:c>
      <x:c r="AL46" s="13" t="n">
        <x:v>-0.7247801650815721</x:v>
      </x:c>
      <x:c r="AM46" s="13" t="n">
        <x:v>-0.32285259476234773</x:v>
      </x:c>
      <x:c r="AN46" s="13" t="n">
        <x:v>0.009199242411159866</x:v>
      </x:c>
      <x:c r="AO46" s="13" t="n">
        <x:v>-0.2837997441010465</x:v>
      </x:c>
      <x:c r="AP46" s="13" t="n">
        <x:v>1.583212389255953</x:v>
      </x:c>
    </x:row>
    <x:row r="47" ht="15" hidden="0" customHeight="1">
      <x:c r="A47" s="2" t="str">
        <x:v>E46</x:v>
      </x:c>
      <x:c r="B47" s="2" t="str">
        <x:v>***广告传媒有限公司</x:v>
      </x:c>
      <x:c r="C47" s="2" t="str">
        <x:v>有信贷记录</x:v>
      </x:c>
      <x:c r="D47" s="2" t="str">
        <x:v>C</x:v>
      </x:c>
      <x:c r="E47" s="2" t="str">
        <x:v>否</x:v>
      </x:c>
      <x:c r="F47" s="13" t="n">
        <x:v>0.5666722394592827</x:v>
      </x:c>
      <x:c r="G47" s="13" t="n">
        <x:v>0.5834101447158458</x:v>
      </x:c>
      <x:c r="H47" s="13" t="n">
        <x:v>0.0340949667874267</x:v>
      </x:c>
      <x:c r="I47" s="13" t="n">
        <x:v>0.26871268548117655</x:v>
      </x:c>
      <x:c r="J47" s="13" t="n">
        <x:v>0.48160056834583836</x:v>
      </x:c>
      <x:c r="K47" s="13" t="n">
        <x:v>0.47849880948365253</x:v>
      </x:c>
      <x:c r="L47" s="13" t="n">
        <x:v>0.6267945096060753</x:v>
      </x:c>
      <x:c r="M47" s="13" t="n">
        <x:v>-0.3661928764841283</x:v>
      </x:c>
      <x:c r="N47" s="13" t="n">
        <x:v>0.015119812062091556</x:v>
      </x:c>
      <x:c r="O47" s="13" t="n">
        <x:v>-0.7173121897553028</x:v>
      </x:c>
      <x:c r="P47" s="13" t="n">
        <x:v>-0.8592894440742297</x:v>
      </x:c>
      <x:c r="Q47" s="13" t="n">
        <x:v>0.44902775031817815</x:v>
      </x:c>
      <x:c r="R47" s="13" t="n">
        <x:v>-1.028969495609088</x:v>
      </x:c>
      <x:c r="S47" s="13" t="n">
        <x:v>-0.2778432298549158</x:v>
      </x:c>
      <x:c r="T47" s="13" t="n">
        <x:v>0.8241600270927416</x:v>
      </x:c>
      <x:c r="U47" s="13" t="n">
        <x:v>-0.04643564580260858</x:v>
      </x:c>
      <x:c r="V47" s="13" t="n">
        <x:v>-0.04814779883982466</x:v>
      </x:c>
      <x:c r="W47" s="13" t="n">
        <x:v>0.0017136695160412882</x:v>
      </x:c>
      <x:c r="X47" s="13" t="n">
        <x:v>0.35357197203821417</x:v>
      </x:c>
      <x:c r="Y47" s="13" t="n">
        <x:v>0.023969014091622245</x:v>
      </x:c>
      <x:c r="Z47" s="13" t="n">
        <x:v>0.007401026288566681</x:v>
      </x:c>
      <x:c r="AA47" s="13" t="n">
        <x:v>-0.05150058389250076</x:v>
      </x:c>
      <x:c r="AB47" s="13" t="n">
        <x:v>-0.29914651637858386</x:v>
      </x:c>
      <x:c r="AC47" s="13" t="n">
        <x:v>0.6570507578606447</x:v>
      </x:c>
      <x:c r="AD47" s="13" t="n">
        <x:v>-0.8067118018423591</x:v>
      </x:c>
      <x:c r="AE47" s="13" t="n">
        <x:v>-0.7833948453045229</x:v>
      </x:c>
      <x:c r="AF47" s="13" t="n">
        <x:v>-0.006934720580033936</x:v>
      </x:c>
      <x:c r="AG47" s="13" t="n">
        <x:v>-0.8965461385916236</x:v>
      </x:c>
      <x:c r="AH47" s="13" t="n">
        <x:v>-0.4231942242965536</x:v>
      </x:c>
      <x:c r="AI47" s="13" t="n">
        <x:v>0.9582284477355555</x:v>
      </x:c>
      <x:c r="AJ47" s="13" t="n">
        <x:v>-0.2649280408669086</x:v>
      </x:c>
      <x:c r="AK47" s="13" t="n">
        <x:v>-0.05823760172336139</x:v>
      </x:c>
      <x:c r="AL47" s="13" t="n">
        <x:v>-0.5762930861110117</x:v>
      </x:c>
      <x:c r="AM47" s="13" t="n">
        <x:v>0.13989827046601008</x:v>
      </x:c>
      <x:c r="AN47" s="13" t="n">
        <x:v>-1.013441482653336</x:v>
      </x:c>
      <x:c r="AO47" s="13" t="n">
        <x:v>-1.1206936344865204</x:v>
      </x:c>
      <x:c r="AP47" s="13" t="n">
        <x:v>-0.3872745251746947</x:v>
      </x:c>
    </x:row>
    <x:row r="48" ht="15" hidden="0" customHeight="1">
      <x:c r="A48" s="2" t="str">
        <x:v>E47</x:v>
      </x:c>
      <x:c r="B48" s="2" t="str">
        <x:v>***控制设备有限责任公司</x:v>
      </x:c>
      <x:c r="C48" s="2" t="str">
        <x:v>有信贷记录</x:v>
      </x:c>
      <x:c r="D48" s="2" t="str">
        <x:v>C</x:v>
      </x:c>
      <x:c r="E48" s="2" t="str">
        <x:v>否</x:v>
      </x:c>
      <x:c r="F48" s="13" t="n">
        <x:v>0.7340218199366999</x:v>
      </x:c>
      <x:c r="G48" s="13" t="n">
        <x:v>0.7363698493504613</x:v>
      </x:c>
      <x:c r="H48" s="13" t="n">
        <x:v>0.48060645406223657</x:v>
      </x:c>
      <x:c r="I48" s="13" t="n">
        <x:v>0.011421701710900218</x:v>
      </x:c>
      <x:c r="J48" s="13" t="n">
        <x:v>0.38634127915896177</x:v>
      </x:c>
      <x:c r="K48" s="13" t="n">
        <x:v>0.3711480365938463</x:v>
      </x:c>
      <x:c r="L48" s="13" t="n">
        <x:v>0.4259933648178636</x:v>
      </x:c>
      <x:c r="M48" s="13" t="n">
        <x:v>0.09145192329006499</x:v>
      </x:c>
      <x:c r="N48" s="13" t="n">
        <x:v>-0.2990026794312665</x:v>
      </x:c>
      <x:c r="O48" s="13" t="n">
        <x:v>-0.43301708797410443</x:v>
      </x:c>
      <x:c r="P48" s="13" t="n">
        <x:v>-0.11812896035781151</x:v>
      </x:c>
      <x:c r="Q48" s="13" t="n">
        <x:v>0.3552955523119203</x:v>
      </x:c>
      <x:c r="R48" s="13" t="n">
        <x:v>-1.2578492478039218</x:v>
      </x:c>
      <x:c r="S48" s="13" t="n">
        <x:v>-0.604692759097623</x:v>
      </x:c>
      <x:c r="T48" s="13" t="n">
        <x:v>0.8241600270927416</x:v>
      </x:c>
      <x:c r="U48" s="13" t="n">
        <x:v>1.2941342725924465</x:v>
      </x:c>
      <x:c r="V48" s="13" t="n">
        <x:v>1.3359228770112128</x:v>
      </x:c>
      <x:c r="W48" s="13" t="n">
        <x:v>0.5786667035947224</x:v>
      </x:c>
      <x:c r="X48" s="13" t="n">
        <x:v>0.02262144210485667</x:v>
      </x:c>
      <x:c r="Y48" s="13" t="n">
        <x:v>-0.01807365205603671</x:v>
      </x:c>
      <x:c r="Z48" s="13" t="n">
        <x:v>-0.05695085036120661</x:v>
      </x:c>
      <x:c r="AA48" s="13" t="n">
        <x:v>1.4030768561486882</x:v>
      </x:c>
      <x:c r="AB48" s="13" t="n">
        <x:v>-0.6394182243485237</x:v>
      </x:c>
      <x:c r="AC48" s="13" t="n">
        <x:v>-0.4986382047401427</x:v>
      </x:c>
      <x:c r="AD48" s="13" t="n">
        <x:v>-0.9306095489254195</x:v>
      </x:c>
      <x:c r="AE48" s="13" t="n">
        <x:v>-1.1833657327216596</x:v>
      </x:c>
      <x:c r="AF48" s="13" t="n">
        <x:v>-0.04811931638179524</x:v>
      </x:c>
      <x:c r="AG48" s="13" t="n">
        <x:v>-1.2129464780944523</x:v>
      </x:c>
      <x:c r="AH48" s="13" t="n">
        <x:v>-0.6379326296785756</x:v>
      </x:c>
      <x:c r="AI48" s="13" t="n">
        <x:v>0.9582284477355555</x:v>
      </x:c>
      <x:c r="AJ48" s="13" t="n">
        <x:v>-0.26108286082680277</x:v>
      </x:c>
      <x:c r="AK48" s="13" t="n">
        <x:v>-0.04828365263247433</x:v>
      </x:c>
      <x:c r="AL48" s="13" t="n">
        <x:v>-0.5606404558952348</x:v>
      </x:c>
      <x:c r="AM48" s="13" t="n">
        <x:v>-0.4860980250782206</x:v>
      </x:c>
      <x:c r="AN48" s="13" t="n">
        <x:v>-0.885107463613389</x:v>
      </x:c>
      <x:c r="AO48" s="13" t="n">
        <x:v>-1.4208734473559648</x:v>
      </x:c>
      <x:c r="AP48" s="13" t="n">
        <x:v>-0.6956495977008503</x:v>
      </x:c>
    </x:row>
    <x:row r="49" ht="15" hidden="0" customHeight="1">
      <x:c r="A49" s="2" t="str">
        <x:v>E48</x:v>
      </x:c>
      <x:c r="B49" s="2" t="str">
        <x:v>***化工有限公司</x:v>
      </x:c>
      <x:c r="C49" s="2" t="str">
        <x:v>有信贷记录</x:v>
      </x:c>
      <x:c r="D49" s="2" t="str">
        <x:v>A</x:v>
      </x:c>
      <x:c r="E49" s="2" t="str">
        <x:v>否</x:v>
      </x:c>
      <x:c r="F49" s="13" t="n">
        <x:v>-0.04014382936326323</x:v>
      </x:c>
      <x:c r="G49" s="13" t="n">
        <x:v>-0.031305658862765644</x:v>
      </x:c>
      <x:c r="H49" s="13" t="n">
        <x:v>-0.2529481321749511</x:v>
      </x:c>
      <x:c r="I49" s="13" t="n">
        <x:v>-0.2458692820593761</x:v>
      </x:c>
      <x:c r="J49" s="13" t="n">
        <x:v>-0.283202396238758</x:v>
      </x:c>
      <x:c r="K49" s="13" t="n">
        <x:v>-0.2879411011919251</x:v>
      </x:c>
      <x:c r="L49" s="13" t="n">
        <x:v>-0.00603334063556156</x:v>
      </x:c>
      <x:c r="M49" s="13" t="n">
        <x:v>-0.3737706534323151</x:v>
      </x:c>
      <x:c r="N49" s="13" t="n">
        <x:v>-0.2753478208252906</x:v>
      </x:c>
      <x:c r="O49" s="13" t="n">
        <x:v>-0.4971769734582415</x:v>
      </x:c>
      <x:c r="P49" s="13" t="n">
        <x:v>-0.24498412852875884</x:v>
      </x:c>
      <x:c r="Q49" s="13" t="n">
        <x:v>-0.3109437072337396</x:v>
      </x:c>
      <x:c r="R49" s="13" t="n">
        <x:v>-0.5866607996861601</x:v>
      </x:c>
      <x:c r="S49" s="13" t="n">
        <x:v>0.6360083922943721</x:v>
      </x:c>
      <x:c r="T49" s="13" t="n">
        <x:v>0.918343412818586</x:v>
      </x:c>
      <x:c r="U49" s="13" t="n">
        <x:v>-0.28936124815328484</x:v>
      </x:c>
      <x:c r="V49" s="13" t="n">
        <x:v>-0.27536653565363506</x:v>
      </x:c>
      <x:c r="W49" s="13" t="n">
        <x:v>-0.41788853708663587</x:v>
      </x:c>
      <x:c r="X49" s="13" t="n">
        <x:v>-0.32901349594933565</x:v>
      </x:c>
      <x:c r="Y49" s="13" t="n">
        <x:v>-0.2844998516044041</x:v>
      </x:c>
      <x:c r="Z49" s="13" t="n">
        <x:v>-0.26928114840855855</x:v>
      </x:c>
      <x:c r="AA49" s="13" t="n">
        <x:v>-0.2606401512005231</x:v>
      </x:c>
      <x:c r="AB49" s="13" t="n">
        <x:v>-0.5528949633076812</x:v>
      </x:c>
      <x:c r="AC49" s="13" t="n">
        <x:v>-0.4906446473000604</x:v>
      </x:c>
      <x:c r="AD49" s="13" t="n">
        <x:v>-0.7476919914793904</x:v>
      </x:c>
      <x:c r="AE49" s="13" t="n">
        <x:v>-0.7753699118742176</x:v>
      </x:c>
      <x:c r="AF49" s="13" t="n">
        <x:v>-0.3091078869177742</x:v>
      </x:c>
      <x:c r="AG49" s="13" t="n">
        <x:v>-0.663020237783686</x:v>
      </x:c>
      <x:c r="AH49" s="13" t="n">
        <x:v>0.9348003260654687</x:v>
      </x:c>
      <x:c r="AI49" s="13" t="n">
        <x:v>0.857599070347957</x:v>
      </x:c>
      <x:c r="AJ49" s="13" t="n">
        <x:v>-0.185961565344815</x:v>
      </x:c>
      <x:c r="AK49" s="13" t="n">
        <x:v>-0.1639024149381108</x:v>
      </x:c>
      <x:c r="AL49" s="13" t="n">
        <x:v>-0.7141272453981728</x:v>
      </x:c>
      <x:c r="AM49" s="13" t="n">
        <x:v>-0.5039804414278305</x:v>
      </x:c>
      <x:c r="AN49" s="13" t="n">
        <x:v>-0.8183764343684385</x:v>
      </x:c>
      <x:c r="AO49" s="13" t="n">
        <x:v>-0.710833007141393</x:v>
      </x:c>
      <x:c r="AP49" s="13" t="n">
        <x:v>0.8564629299549207</x:v>
      </x:c>
    </x:row>
    <x:row r="50" ht="15" hidden="0" customHeight="1">
      <x:c r="A50" s="2" t="str">
        <x:v>E49</x:v>
      </x:c>
      <x:c r="B50" s="2" t="str">
        <x:v>***地球环保科技有限公司</x:v>
      </x:c>
      <x:c r="C50" s="2" t="str">
        <x:v>有信贷记录</x:v>
      </x:c>
      <x:c r="D50" s="2" t="str">
        <x:v>C</x:v>
      </x:c>
      <x:c r="E50" s="2" t="str">
        <x:v>否</x:v>
      </x:c>
      <x:c r="F50" s="13" t="n">
        <x:v>1.063158113950457</x:v>
      </x:c>
      <x:c r="G50" s="13" t="n">
        <x:v>1.0753745865814117</x:v>
      </x:c>
      <x:c r="H50" s="13" t="n">
        <x:v>0.512500131724723</x:v>
      </x:c>
      <x:c r="I50" s="13" t="n">
        <x:v>0.3544763467379353</x:v>
      </x:c>
      <x:c r="J50" s="13" t="n">
        <x:v>-0.08118850799758079</x:v>
      </x:c>
      <x:c r="K50" s="13" t="n">
        <x:v>-0.08835788327216709</x:v>
      </x:c>
      <x:c r="L50" s="13" t="n">
        <x:v>1.4604235046359237</x:v>
      </x:c>
      <x:c r="M50" s="13" t="n">
        <x:v>-0.12072341511391563</x:v>
      </x:c>
      <x:c r="N50" s="13" t="n">
        <x:v>-0.13834709942564283</x:v>
      </x:c>
      <x:c r="O50" s="13" t="n">
        <x:v>-0.7052688702417073</x:v>
      </x:c>
      <x:c r="P50" s="13" t="n">
        <x:v>-0.5072135763985909</x:v>
      </x:c>
      <x:c r="Q50" s="13" t="n">
        <x:v>-0.10473931628352837</x:v>
      </x:c>
      <x:c r="R50" s="13" t="n">
        <x:v>-0.39210310833204265</x:v>
      </x:c>
      <x:c r="S50" s="13" t="n">
        <x:v>0.40464498015647554</x:v>
      </x:c>
      <x:c r="T50" s="13" t="n">
        <x:v>0.8241600270927416</x:v>
      </x:c>
      <x:c r="U50" s="13" t="n">
        <x:v>-0.28936124815328484</x:v>
      </x:c>
      <x:c r="V50" s="13" t="n">
        <x:v>-0.28827031576898726</x:v>
      </x:c>
      <x:c r="W50" s="13" t="n">
        <x:v>-0.2455519165176792</x:v>
      </x:c>
      <x:c r="X50" s="13" t="n">
        <x:v>-0.12216941474098722</x:v>
      </x:c>
      <x:c r="Y50" s="13" t="n">
        <x:v>-0.18891961414809688</x:v>
      </x:c>
      <x:c r="Z50" s="13" t="n">
        <x:v>-0.1832488701754739</x:v>
      </x:c>
      <x:c r="AA50" s="13" t="n">
        <x:v>0.29393218458254733</x:v>
      </x:c>
      <x:c r="AB50" s="13" t="n">
        <x:v>-0.1827880092022292</x:v>
      </x:c>
      <x:c r="AC50" s="13" t="n">
        <x:v>0.2456004797020209</x:v>
      </x:c>
      <x:c r="AD50" s="13" t="n">
        <x:v>-0.7016171008580151</x:v>
      </x:c>
      <x:c r="AE50" s="13" t="n">
        <x:v>-0.45581921123572117</x:v>
      </x:c>
      <x:c r="AF50" s="13" t="n">
        <x:v>-0.2154783955708376</x:v>
      </x:c>
      <x:c r="AG50" s="13" t="n">
        <x:v>0.31534097059550054</x:v>
      </x:c>
      <x:c r="AH50" s="13" t="n">
        <x:v>0.004649382856131411</x:v>
      </x:c>
      <x:c r="AI50" s="13" t="n">
        <x:v>0.15319342863476768</x:v>
      </x:c>
      <x:c r="AJ50" s="13" t="n">
        <x:v>-0.18349442652064377</x:v>
      </x:c>
      <x:c r="AK50" s="13" t="n">
        <x:v>-0.12710119057976763</x:v>
      </x:c>
      <x:c r="AL50" s="13" t="n">
        <x:v>-0.6250499577803253</x:v>
      </x:c>
      <x:c r="AM50" s="13" t="n">
        <x:v>-0.3088366350132915</x:v>
      </x:c>
      <x:c r="AN50" s="13" t="n">
        <x:v>-0.9398622977388593</x:v>
      </x:c>
      <x:c r="AO50" s="13" t="n">
        <x:v>-0.11825691619724642</x:v>
      </x:c>
      <x:c r="AP50" s="13" t="n">
        <x:v>0.24628945555133147</x:v>
      </x:c>
    </x:row>
    <x:row r="51" ht="15" hidden="0" customHeight="1">
      <x:c r="A51" s="2" t="str">
        <x:v>E50</x:v>
      </x:c>
      <x:c r="B51" s="2" t="str">
        <x:v>***建筑劳务有限公司</x:v>
      </x:c>
      <x:c r="C51" s="2" t="str">
        <x:v>有信贷记录</x:v>
      </x:c>
      <x:c r="D51" s="2" t="str">
        <x:v>C</x:v>
      </x:c>
      <x:c r="E51" s="2" t="str">
        <x:v>否</x:v>
      </x:c>
      <x:c r="F51" s="13" t="n">
        <x:v>-0.5213318197664738</x:v>
      </x:c>
      <x:c r="G51" s="13" t="n">
        <x:v>-0.5223111057149483</x:v>
      </x:c>
      <x:c r="H51" s="13" t="n">
        <x:v>-0.4017852945998877</x:v>
      </x:c>
      <x:c r="I51" s="13" t="n">
        <x:v>-0.4173966045728936</x:v>
      </x:c>
      <x:c r="J51" s="13" t="n">
        <x:v>-0.5325868743495613</x:v>
      </x:c>
      <x:c r="K51" s="13" t="n">
        <x:v>-0.5352185001656721</x:v>
      </x:c>
      <x:c r="L51" s="13" t="n">
        <x:v>-0.5141210857814911</x:v>
      </x:c>
      <x:c r="M51" s="13" t="n">
        <x:v>0.9930731901617701</x:v>
      </x:c>
      <x:c r="N51" s="13" t="n">
        <x:v>-0.14098781424672716</x:v>
      </x:c>
      <x:c r="O51" s="13" t="n">
        <x:v>0.7466707052384594</x:v>
      </x:c>
      <x:c r="P51" s="13" t="n">
        <x:v>1.0756557184892377</x:v>
      </x:c>
      <x:c r="Q51" s="13" t="n">
        <x:v>-0.5402880864277013</x:v>
      </x:c>
      <x:c r="R51" s="13" t="n">
        <x:v>2.0531650629701184</x:v>
      </x:c>
      <x:c r="S51" s="13" t="n">
        <x:v>2.4558459496387233</x:v>
      </x:c>
      <x:c r="T51" s="13" t="n">
        <x:v>-0.023490444439857705</x:v>
      </x:c>
      <x:c r="U51" s="13" t="n">
        <x:v>-0.40950666536793595</x:v>
      </x:c>
      <x:c r="V51" s="13" t="n">
        <x:v>-0.4038433028890982</x:v>
      </x:c>
      <x:c r="W51" s="13" t="n">
        <x:v>-0.4103956405401595</x:v>
      </x:c>
      <x:c r="X51" s="13" t="n">
        <x:v>-0.018747374136813013</x:v>
      </x:c>
      <x:c r="Y51" s="13" t="n">
        <x:v>-0.36621182813473674</x:v>
      </x:c>
      <x:c r="Z51" s="13" t="n">
        <x:v>-0.30878989597987844</x:v>
      </x:c>
      <x:c r="AA51" s="13" t="n">
        <x:v>-0.38753382125258157</x:v>
      </x:c>
      <x:c r="AB51" s="13" t="n">
        <x:v>-0.15060479580175512</x:v>
      </x:c>
      <x:c r="AC51" s="13" t="n">
        <x:v>1.6640878378078319</x:v>
      </x:c>
      <x:c r="AD51" s="13" t="n">
        <x:v>0.32872099114634784</x:v>
      </x:c>
      <x:c r="AE51" s="13" t="n">
        <x:v>0.21710987450046682</x:v>
      </x:c>
      <x:c r="AF51" s="13" t="n">
        <x:v>-0.3302416853100864</x:v>
      </x:c>
      <x:c r="AG51" s="13" t="n">
        <x:v>0.4163759716536517</x:v>
      </x:c>
      <x:c r="AH51" s="13" t="n">
        <x:v>0.946922447414895</x:v>
      </x:c>
      <x:c r="AI51" s="13" t="n">
        <x:v>-1.456876609566808</x:v>
      </x:c>
      <x:c r="AJ51" s="13" t="n">
        <x:v>-0.12899596726795529</x:v>
      </x:c>
      <x:c r="AK51" s="13" t="n">
        <x:v>-0.3140846840408994</x:v>
      </x:c>
      <x:c r="AL51" s="13" t="n">
        <x:v>0.21336652697600822</x:v>
      </x:c>
      <x:c r="AM51" s="13" t="n">
        <x:v>1.7510559072052059</x:v>
      </x:c>
      <x:c r="AN51" s="13" t="n">
        <x:v>0.7426122612197489</x:v>
      </x:c>
      <x:c r="AO51" s="13" t="n">
        <x:v>1.5873214290424742</x:v>
      </x:c>
      <x:c r="AP51" s="13" t="n">
        <x:v>1.9774072550335813</x:v>
      </x:c>
    </x:row>
    <x:row r="52" ht="15" hidden="0" customHeight="1">
      <x:c r="A52" s="2" t="str">
        <x:v>E51</x:v>
      </x:c>
      <x:c r="B52" s="2" t="str">
        <x:v>***物流有限公司</x:v>
      </x:c>
      <x:c r="C52" s="2" t="str">
        <x:v>有信贷记录</x:v>
      </x:c>
      <x:c r="D52" s="2" t="str">
        <x:v>B</x:v>
      </x:c>
      <x:c r="E52" s="2" t="str">
        <x:v>否</x:v>
      </x:c>
      <x:c r="F52" s="13" t="n">
        <x:v>-0.4026573250234855</x:v>
      </x:c>
      <x:c r="G52" s="13" t="n">
        <x:v>-0.39524426644167837</x:v>
      </x:c>
      <x:c r="H52" s="13" t="n">
        <x:v>-0.497466327587347</x:v>
      </x:c>
      <x:c r="I52" s="13" t="n">
        <x:v>-0.2887511126877555</x:v>
      </x:c>
      <x:c r="J52" s="13" t="n">
        <x:v>-0.11993407299271722</x:v>
      </x:c>
      <x:c r="K52" s="13" t="n">
        <x:v>-0.12732554484758804</x:v>
      </x:c>
      <x:c r="L52" s="13" t="n">
        <x:v>-0.529333293719992</x:v>
      </x:c>
      <x:c r="M52" s="13" t="n">
        <x:v>-0.981566319048772</x:v>
      </x:c>
      <x:c r="N52" s="13" t="n">
        <x:v>0.23622673383925694</x:v>
      </x:c>
      <x:c r="O52" s="13" t="n">
        <x:v>0.02266060887002789</x:v>
      </x:c>
      <x:c r="P52" s="13" t="n">
        <x:v>0.35805617995009364</x:v>
      </x:c>
      <x:c r="Q52" s="13" t="n">
        <x:v>-0.1428637553906046</x:v>
      </x:c>
      <x:c r="R52" s="13" t="n">
        <x:v>-0.8056361882925092</x:v>
      </x:c>
      <x:c r="S52" s="13" t="n">
        <x:v>0.36098194016449914</x:v>
      </x:c>
      <x:c r="T52" s="13" t="n">
        <x:v>0.8241600270927416</x:v>
      </x:c>
      <x:c r="U52" s="13" t="n">
        <x:v>-0.08806497896031666</x:v>
      </x:c>
      <x:c r="V52" s="13" t="n">
        <x:v>-0.07900466433305817</x:v>
      </x:c>
      <x:c r="W52" s="13" t="n">
        <x:v>-0.17811584759939178</x:v>
      </x:c>
      <x:c r="X52" s="13" t="n">
        <x:v>-0.32901349594933565</x:v>
      </x:c>
      <x:c r="Y52" s="13" t="n">
        <x:v>-0.2702697099851516</x:v>
      </x:c>
      <x:c r="Z52" s="13" t="n">
        <x:v>-0.25683779528215517</x:v>
      </x:c>
      <x:c r="AA52" s="13" t="n">
        <x:v>-0.08909870835236995</x:v>
      </x:c>
      <x:c r="AB52" s="13" t="n">
        <x:v>-0.4569206654687255</x:v>
      </x:c>
      <x:c r="AC52" s="13" t="n">
        <x:v>-0.577691600584943</x:v>
      </x:c>
      <x:c r="AD52" s="13" t="n">
        <x:v>-0.5468097399421368</x:v>
      </x:c>
      <x:c r="AE52" s="13" t="n">
        <x:v>-0.23018968091185146</x:v>
      </x:c>
      <x:c r="AF52" s="13" t="n">
        <x:v>-0.29516817556044944</x:v>
      </x:c>
      <x:c r="AG52" s="13" t="n">
        <x:v>-0.8945247452396538</x:v>
      </x:c>
      <x:c r="AH52" s="13" t="n">
        <x:v>0.6693864108321387</x:v>
      </x:c>
      <x:c r="AI52" s="13" t="n">
        <x:v>0.9582284477355555</x:v>
      </x:c>
      <x:c r="AJ52" s="13" t="n">
        <x:v>-0.2882038237784224</x:v>
      </x:c>
      <x:c r="AK52" s="13" t="n">
        <x:v>-0.0785382161347829</x:v>
      </x:c>
      <x:c r="AL52" s="13" t="n">
        <x:v>-0.44285599471303494</x:v>
      </x:c>
      <x:c r="AM52" s="13" t="n">
        <x:v>-0.46136665460816945</x:v>
      </x:c>
      <x:c r="AN52" s="13" t="n">
        <x:v>-0.31975502779243564</x:v>
      </x:c>
      <x:c r="AO52" s="13" t="n">
        <x:v>-0.9683114160184176</x:v>
      </x:c>
      <x:c r="AP52" s="13" t="n">
        <x:v>0.5543138489049771</x:v>
      </x:c>
    </x:row>
    <x:row r="53" ht="15" hidden="0" customHeight="1">
      <x:c r="A53" s="2" t="str">
        <x:v>E52</x:v>
      </x:c>
      <x:c r="B53" s="2" t="str">
        <x:v>***商贸有限公司</x:v>
      </x:c>
      <x:c r="C53" s="2" t="str">
        <x:v>有信贷记录</x:v>
      </x:c>
      <x:c r="D53" s="2" t="str">
        <x:v>D</x:v>
      </x:c>
      <x:c r="E53" s="2" t="str">
        <x:v>是</x:v>
      </x:c>
      <x:c r="F53" s="13" t="n">
        <x:v>-0.4156373478859999</x:v>
      </x:c>
      <x:c r="G53" s="13" t="n">
        <x:v>-0.41538316172272494</x:v>
      </x:c>
      <x:c r="H53" s="13" t="n">
        <x:v>-0.3486291651624103</x:v>
      </x:c>
      <x:c r="I53" s="13" t="n">
        <x:v>-0.37451477394451427</x:v>
      </x:c>
      <x:c r="J53" s="13" t="n">
        <x:v>-0.20218239350268166</x:v>
      </x:c>
      <x:c r="K53" s="13" t="n">
        <x:v>-0.21030619045730187</x:v>
      </x:c>
      <x:c r="L53" s="13" t="n">
        <x:v>-0.3163623825809796</x:v>
      </x:c>
      <x:c r="M53" s="13" t="n">
        <x:v>0.2945530381076108</x:v>
      </x:c>
      <x:c r="N53" s="13" t="n">
        <x:v>-0.19351398866623717</x:v>
      </x:c>
      <x:c r="O53" s="13" t="n">
        <x:v>-0.48985751115019266</x:v>
      </x:c>
      <x:c r="P53" s="13" t="n">
        <x:v>-0.41701503056766703</x:v>
      </x:c>
      <x:c r="Q53" s="13" t="n">
        <x:v>-0.12392546434555593</x:v>
      </x:c>
      <x:c r="R53" s="13" t="n">
        <x:v>0.3616679387463971</x:v>
      </x:c>
      <x:c r="S53" s="13" t="n">
        <x:v>1.2416405776463273</x:v>
      </x:c>
      <x:c r="T53" s="13" t="n">
        <x:v>0.07069294128598666</x:v>
      </x:c>
      <x:c r="U53" s="13" t="n">
        <x:v>-0.3599730284461061</x:v>
      </x:c>
      <x:c r="V53" s="13" t="n">
        <x:v>-0.38645125142927567</x:v>
      </x:c>
      <x:c r="W53" s="13" t="n">
        <x:v>0.06165684188785231</x:v>
      </x:c>
      <x:c r="X53" s="13" t="n">
        <x:v>-0.28764467970766594</x:v>
      </x:c>
      <x:c r="Y53" s="13" t="n">
        <x:v>-0.35561993112802737</x:v>
      </x:c>
      <x:c r="Z53" s="13" t="n">
        <x:v>-0.32291033605755765</x:v>
      </x:c>
      <x:c r="AA53" s="13" t="n">
        <x:v>-0.368734759022647</x:v>
      </x:c>
      <x:c r="AB53" s="13" t="n">
        <x:v>1.0060802736825663</x:v>
      </x:c>
      <x:c r="AC53" s="13" t="n">
        <x:v>-0.11303305083038734</x:v>
      </x:c>
      <x:c r="AD53" s="13" t="n">
        <x:v>0.8790693720754973</x:v>
      </x:c>
      <x:c r="AE53" s="13" t="n">
        <x:v>1.0516180571067684</x:v>
      </x:c>
      <x:c r="AF53" s="13" t="n">
        <x:v>-0.3070531959906991</x:v>
      </x:c>
      <x:c r="AG53" s="13" t="n">
        <x:v>0.7118044075586568</x:v>
      </x:c>
      <x:c r="AH53" s="13" t="n">
        <x:v>1.372953741789191</x:v>
      </x:c>
      <x:c r="AI53" s="13" t="n">
        <x:v>-0.3499534583032247</x:v>
      </x:c>
      <x:c r="AJ53" s="13" t="n">
        <x:v>-0.366015719669779</x:v>
      </x:c>
      <x:c r="AK53" s="13" t="n">
        <x:v>-0.03640427339654826</x:v>
      </x:c>
      <x:c r="AL53" s="13" t="n">
        <x:v>1.0781956978283218</x:v>
      </x:c>
      <x:c r="AM53" s="13" t="n">
        <x:v>-0.1895213831841385</x:v>
      </x:c>
      <x:c r="AN53" s="13" t="n">
        <x:v>0.19150718705844386</x:v>
      </x:c>
      <x:c r="AO53" s="13" t="n">
        <x:v>0.5795081759358262</x:v>
      </x:c>
      <x:c r="AP53" s="13" t="n">
        <x:v>1.4481368067547857</x:v>
      </x:c>
    </x:row>
    <x:row r="54" ht="15" hidden="0" customHeight="1">
      <x:c r="A54" s="2" t="str">
        <x:v>E53</x:v>
      </x:c>
      <x:c r="B54" s="2" t="str">
        <x:v>***文化传媒有限公司</x:v>
      </x:c>
      <x:c r="C54" s="2" t="str">
        <x:v>有信贷记录</x:v>
      </x:c>
      <x:c r="D54" s="2" t="str">
        <x:v>C</x:v>
      </x:c>
      <x:c r="E54" s="2" t="str">
        <x:v>否</x:v>
      </x:c>
      <x:c r="F54" s="13" t="n">
        <x:v>-0.3206050376425912</x:v>
      </x:c>
      <x:c r="G54" s="13" t="n">
        <x:v>-0.32427863545132385</x:v>
      </x:c>
      <x:c r="H54" s="13" t="n">
        <x:v>-0.18916077684997823</x:v>
      </x:c>
      <x:c r="I54" s="13" t="n">
        <x:v>-0.4173966045728936</x:v>
      </x:c>
      <x:c r="J54" s="13" t="n">
        <x:v>0.12719380577761027</x:v>
      </x:c>
      <x:c r="K54" s="13" t="n">
        <x:v>0.11537361886531355</x:v>
      </x:c>
      <x:c r="L54" s="13" t="n">
        <x:v>-0.5232484105445917</x:v>
      </x:c>
      <x:c r="M54" s="13" t="n">
        <x:v>0.7384328226907766</x:v>
      </x:c>
      <x:c r="N54" s="13" t="n">
        <x:v>-0.5413200709096504</x:v>
      </x:c>
      <x:c r="O54" s="13" t="n">
        <x:v>0.6548017339904607</x:v>
      </x:c>
      <x:c r="P54" s="13" t="n">
        <x:v>0.962294343885091</x:v>
      </x:c>
      <x:c r="Q54" s="13" t="n">
        <x:v>0.20750835920089333</x:v>
      </x:c>
      <x:c r="R54" s="13" t="n">
        <x:v>-0.9033289225515444</x:v>
      </x:c>
      <x:c r="S54" s="13" t="n">
        <x:v>0.30830281456062764</x:v>
      </x:c>
      <x:c r="T54" s="13" t="n">
        <x:v>0.2590597127376754</x:v>
      </x:c>
      <x:c r="U54" s="13" t="n">
        <x:v>-0.3204515096254972</x:v>
      </x:c>
      <x:c r="V54" s="13" t="n">
        <x:v>-0.3247375204428087</x:v>
      </x:c>
      <x:c r="W54" s="13" t="n">
        <x:v>-0.20059453723882092</x:v>
      </x:c>
      <x:c r="X54" s="13" t="n">
        <x:v>-0.3083290878285008</x:v>
      </x:c>
      <x:c r="Y54" s="13" t="n">
        <x:v>-0.19894663027828632</x:v>
      </x:c>
      <x:c r="Z54" s="13" t="n">
        <x:v>-0.1999842691472869</x:v>
      </x:c>
      <x:c r="AA54" s="13" t="n">
        <x:v>-0.2911886273241668</x:v>
      </x:c>
      <x:c r="AB54" s="13" t="n">
        <x:v>0.03505123040053923</x:v>
      </x:c>
      <x:c r="AC54" s="13" t="n">
        <x:v>-0.3600465834193128</x:v>
      </x:c>
      <x:c r="AD54" s="13" t="n">
        <x:v>-0.6854659778378871</x:v>
      </x:c>
      <x:c r="AE54" s="13" t="n">
        <x:v>-0.7041674244578331</x:v>
      </x:c>
      <x:c r="AF54" s="13" t="n">
        <x:v>-0.17106194728519827</x:v>
      </x:c>
      <x:c r="AG54" s="13" t="n">
        <x:v>-0.11542653024883733</x:v>
      </x:c>
      <x:c r="AH54" s="13" t="n">
        <x:v>0.5081558401067853</x:v>
      </x:c>
      <x:c r="AI54" s="13" t="n">
        <x:v>0.2538228060223661</x:v>
      </x:c>
      <x:c r="AJ54" s="13" t="n">
        <x:v>-0.3606148955053367</x:v>
      </x:c>
      <x:c r="AK54" s="13" t="n">
        <x:v>-0.01779765328132675</x:v>
      </x:c>
      <x:c r="AL54" s="13" t="n">
        <x:v>0.16270398201451408</x:v>
      </x:c>
      <x:c r="AM54" s="13" t="n">
        <x:v>-0.4861938244441383</x:v>
      </x:c>
      <x:c r="AN54" s="13" t="n">
        <x:v>0.050103444755225525</x:v>
      </x:c>
      <x:c r="AO54" s="13" t="n">
        <x:v>-0.6677168771202237</x:v>
      </x:c>
      <x:c r="AP54" s="13" t="n">
        <x:v>0.4408440393886731</x:v>
      </x:c>
    </x:row>
    <x:row r="55" ht="15" hidden="0" customHeight="1">
      <x:c r="A55" s="2" t="str">
        <x:v>E54</x:v>
      </x:c>
      <x:c r="B55" s="2" t="str">
        <x:v>***新技术开发有限公司</x:v>
      </x:c>
      <x:c r="C55" s="2" t="str">
        <x:v>有信贷记录</x:v>
      </x:c>
      <x:c r="D55" s="2" t="str">
        <x:v>A</x:v>
      </x:c>
      <x:c r="E55" s="2" t="str">
        <x:v>否</x:v>
      </x:c>
      <x:c r="F55" s="13" t="n">
        <x:v>0.14945721887846428</x:v>
      </x:c>
      <x:c r="G55" s="13" t="n">
        <x:v>0.13412098094583105</x:v>
      </x:c>
      <x:c r="H55" s="13" t="n">
        <x:v>0.4274503246247592</x:v>
      </x:c>
      <x:c r="I55" s="13" t="n">
        <x:v>0.3973581773663147</x:v>
      </x:c>
      <x:c r="J55" s="13" t="n">
        <x:v>-0.4071906220193912</x:v>
      </x:c>
      <x:c r="K55" s="13" t="n">
        <x:v>-0.4005613544629933</x:v>
      </x:c>
      <x:c r="L55" s="13" t="n">
        <x:v>0.6815584581846784</x:v>
      </x:c>
      <x:c r="M55" s="13" t="n">
        <x:v>0.9277424238712968</x:v>
      </x:c>
      <x:c r="N55" s="13" t="n">
        <x:v>0.6674095014021786</x:v>
      </x:c>
      <x:c r="O55" s="13" t="n">
        <x:v>-0.8686413010431988</x:v>
      </x:c>
      <x:c r="P55" s="13" t="n">
        <x:v>-1.074655063294125</x:v>
      </x:c>
      <x:c r="Q55" s="13" t="n">
        <x:v>-0.4297337497242241</x:v>
      </x:c>
      <x:c r="R55" s="13" t="n">
        <x:v>-0.8987123075419859</x:v>
      </x:c>
      <x:c r="S55" s="13" t="n">
        <x:v>-0.42051946912301713</x:v>
      </x:c>
      <x:c r="T55" s="13" t="n">
        <x:v>0.918343412818586</x:v>
      </x:c>
      <x:c r="U55" s="13" t="n">
        <x:v>1.285176061659775</x:v>
      </x:c>
      <x:c r="V55" s="13" t="n">
        <x:v>1.2568170945649233</x:v>
      </x:c>
      <x:c r="W55" s="13" t="n">
        <x:v>1.5077858753577933</x:v>
      </x:c>
      <x:c r="X55" s="13" t="n">
        <x:v>0.374256380159049</x:v>
      </x:c>
      <x:c r="Y55" s="13" t="n">
        <x:v>-0.204674968011108</x:v>
      </x:c>
      <x:c r="Z55" s="13" t="n">
        <x:v>-0.20337883366760734</x:v>
      </x:c>
      <x:c r="AA55" s="13" t="n">
        <x:v>2.260784070389454</x:v>
      </x:c>
      <x:c r="AB55" s="13" t="n">
        <x:v>-0.3451932737398401</x:v>
      </x:c>
      <x:c r="AC55" s="13" t="n">
        <x:v>-0.3129447805610693</x:v>
      </x:c>
      <x:c r="AD55" s="13" t="n">
        <x:v>-0.9433907126568656</x:v>
      </x:c>
      <x:c r="AE55" s="13" t="n">
        <x:v>-1.1955683058441766</x:v>
      </x:c>
      <x:c r="AF55" s="13" t="n">
        <x:v>-0.23989948005376163</x:v>
      </x:c>
      <x:c r="AG55" s="13" t="n">
        <x:v>-0.8486060471159796</x:v>
      </x:c>
      <x:c r="AH55" s="13" t="n">
        <x:v>-0.04929337260282282</x:v>
      </x:c>
      <x:c r="AI55" s="13" t="n">
        <x:v>1.058857825123154</x:v>
      </x:c>
      <x:c r="AJ55" s="13" t="n">
        <x:v>0.041593095231648475</x:v>
      </x:c>
      <x:c r="AK55" s="13" t="n">
        <x:v>-0.2607291751685954</x:v>
      </x:c>
      <x:c r="AL55" s="13" t="n">
        <x:v>0.004890342672460888</x:v>
      </x:c>
      <x:c r="AM55" s="13" t="n">
        <x:v>-0.07913999898914689</x:v>
      </x:c>
      <x:c r="AN55" s="13" t="n">
        <x:v>-1.206684152073725</x:v>
      </x:c>
      <x:c r="AO55" s="13" t="n">
        <x:v>-1.009800782547339</x:v>
      </x:c>
      <x:c r="AP55" s="13" t="n">
        <x:v>-0.2863758934570285</x:v>
      </x:c>
    </x:row>
    <x:row r="56" ht="15" hidden="0" customHeight="1">
      <x:c r="A56" s="2" t="str">
        <x:v>E55</x:v>
      </x:c>
      <x:c r="B56" s="2" t="str">
        <x:v>***集团有限公司***电力设备分公司</x:v>
      </x:c>
      <x:c r="C56" s="2" t="str">
        <x:v>有信贷记录</x:v>
      </x:c>
      <x:c r="D56" s="2" t="str">
        <x:v>C</x:v>
      </x:c>
      <x:c r="E56" s="2" t="str">
        <x:v>否</x:v>
      </x:c>
      <x:c r="F56" s="13" t="n">
        <x:v>-0.23113559434026013</x:v>
      </x:c>
      <x:c r="G56" s="13" t="n">
        <x:v>-0.2509155169275114</x:v>
      </x:c>
      <x:c r="H56" s="13" t="n">
        <x:v>0.23608825864984068</x:v>
      </x:c>
      <x:c r="I56" s="13" t="n">
        <x:v>0.8261764836501084</x:v>
      </x:c>
      <x:c r="J56" s="13" t="n">
        <x:v>-0.35337494023439336</x:v>
      </x:c>
      <x:c r="K56" s="13" t="n">
        <x:v>-0.3359551952207345</x:v>
      </x:c>
      <x:c r="L56" s="13" t="n">
        <x:v>-0.29810773305477856</x:v>
      </x:c>
      <x:c r="M56" s="13" t="n">
        <x:v>2.1616769426279796</x:v>
      </x:c>
      <x:c r="N56" s="13" t="n">
        <x:v>3.5867621631049915</x:v>
      </x:c>
      <x:c r="O56" s="13" t="n">
        <x:v>-0.798783607687623</x:v>
      </x:c>
      <x:c r="P56" s="13" t="n">
        <x:v>-1.1360611922962576</x:v>
      </x:c>
      <x:c r="Q56" s="13" t="n">
        <x:v>-0.37817428038231476</x:v>
      </x:c>
      <x:c r="R56" s="13" t="n">
        <x:v>-0.30989939959275886</x:v>
      </x:c>
      <x:c r="S56" s="13" t="n">
        <x:v>0.876649923483756</x:v>
      </x:c>
      <x:c r="T56" s="13" t="n">
        <x:v>0.918343412818586</x:v>
      </x:c>
      <x:c r="U56" s="13" t="n">
        <x:v>-0.2487858221641263</x:v>
      </x:c>
      <x:c r="V56" s="13" t="n">
        <x:v>-0.2983689262940455</x:v>
      </x:c>
      <x:c r="W56" s="13" t="n">
        <x:v>0.46627325539757675</x:v>
      </x:c>
      <x:c r="X56" s="13" t="n">
        <x:v>1.0568418481465989</x:v>
      </x:c>
      <x:c r="Y56" s="13" t="n">
        <x:v>-0.31542551118384055</x:v>
      </x:c>
      <x:c r="Z56" s="13" t="n">
        <x:v>-0.18839717443371484</x:v>
      </x:c>
      <x:c r="AA56" s="13" t="n">
        <x:v>-0.3428860484564869</x:v>
      </x:c>
      <x:c r="AB56" s="13" t="n">
        <x:v>1.0372012438626916</x:v>
      </x:c>
      <x:c r="AC56" s="13" t="n">
        <x:v>4.589673795992988</x:v>
      </x:c>
      <x:c r="AD56" s="13" t="n">
        <x:v>-0.34329700823829473</x:v>
      </x:c>
      <x:c r="AE56" s="13" t="n">
        <x:v>-0.1279886818243739</x:v>
      </x:c>
      <x:c r="AF56" s="13" t="n">
        <x:v>-0.33292940131780635</x:v>
      </x:c>
      <x:c r="AG56" s="13" t="n">
        <x:v>0.972967260613803</x:v>
      </x:c>
      <x:c r="AH56" s="13" t="n">
        <x:v>0.28103877233062613</x:v>
      </x:c>
      <x:c r="AI56" s="13" t="n">
        <x:v>-0.14869470352802777</x:v>
      </x:c>
      <x:c r="AJ56" s="13" t="n">
        <x:v>-0.18305462679983894</x:v>
      </x:c>
      <x:c r="AK56" s="13" t="n">
        <x:v>-0.2356554554143751</x:v>
      </x:c>
      <x:c r="AL56" s="13" t="n">
        <x:v>1.3985397993332134</x:v>
      </x:c>
      <x:c r="AM56" s="13" t="n">
        <x:v>4.137578003694797</x:v>
      </x:c>
      <x:c r="AN56" s="13" t="n">
        <x:v>-0.7859625753834089</x:v>
      </x:c>
      <x:c r="AO56" s="13" t="n">
        <x:v>0.24712135218258055</x:v>
      </x:c>
      <x:c r="AP56" s="13" t="n">
        <x:v>0.6746357411418241</x:v>
      </x:c>
    </x:row>
    <x:row r="57" ht="15" hidden="0" customHeight="1">
      <x:c r="A57" s="2" t="str">
        <x:v>E56</x:v>
      </x:c>
      <x:c r="B57" s="2" t="str">
        <x:v>***家居材料***有限公司</x:v>
      </x:c>
      <x:c r="C57" s="2" t="str">
        <x:v>有信贷记录</x:v>
      </x:c>
      <x:c r="D57" s="2" t="str">
        <x:v>C</x:v>
      </x:c>
      <x:c r="E57" s="2" t="str">
        <x:v>否</x:v>
      </x:c>
      <x:c r="F57" s="13" t="n">
        <x:v>-0.05590528569631637</x:v>
      </x:c>
      <x:c r="G57" s="13" t="n">
        <x:v>-0.05911651425087755</x:v>
      </x:c>
      <x:c r="H57" s="13" t="n">
        <x:v>0.002201289124940277</x:v>
      </x:c>
      <x:c r="I57" s="13" t="n">
        <x:v>-0.16010562080261734</x:v>
      </x:c>
      <x:c r="J57" s="13" t="n">
        <x:v>-0.008093419474274416</x:v>
      </x:c>
      <x:c r="K57" s="13" t="n">
        <x:v>-0.007851128579170594</x:v>
      </x:c>
      <x:c r="L57" s="13" t="n">
        <x:v>-0.21900425177457394</x:v>
      </x:c>
      <x:c r="M57" s="13" t="n">
        <x:v>0.41560122795436427</x:v>
      </x:c>
      <x:c r="N57" s="13" t="n">
        <x:v>-0.06538531798553777</x:v>
      </x:c>
      <x:c r="O57" s="13" t="n">
        <x:v>-0.6360098451434382</x:v>
      </x:c>
      <x:c r="P57" s="13" t="n">
        <x:v>-0.6444047774938136</x:v>
      </x:c>
      <x:c r="Q57" s="13" t="n">
        <x:v>-0.0174549123709614</x:v>
      </x:c>
      <x:c r="R57" s="13" t="n">
        <x:v>-0.7707763782502707</x:v>
      </x:c>
      <x:c r="S57" s="13" t="n">
        <x:v>0.31096833409113966</x:v>
      </x:c>
      <x:c r="T57" s="13" t="n">
        <x:v>0.7299766413668972</x:v>
      </x:c>
      <x:c r="U57" s="13" t="n">
        <x:v>-0.298846412670231</x:v>
      </x:c>
      <x:c r="V57" s="13" t="n">
        <x:v>-0.2899534175231636</x:v>
      </x:c>
      <x:c r="W57" s="13" t="n">
        <x:v>-0.35794536471482485</x:v>
      </x:c>
      <x:c r="X57" s="13" t="n">
        <x:v>-0.22559145534516142</x:v>
      </x:c>
      <x:c r="Y57" s="13" t="n">
        <x:v>-0.27316468303705194</x:v>
      </x:c>
      <x:c r="Z57" s="13" t="n">
        <x:v>-0.25549688442645657</x:v>
      </x:c>
      <x:c r="AA57" s="13" t="n">
        <x:v>-0.30763780677535957</x:v>
      </x:c>
      <x:c r="AB57" s="13" t="n">
        <x:v>-0.4025115843272841</x:v>
      </x:c>
      <x:c r="AC57" s="13" t="n">
        <x:v>-0.11354399585297999</x:v>
      </x:c>
      <x:c r="AD57" s="13" t="n">
        <x:v>-0.11919083255736193</x:v>
      </x:c>
      <x:c r="AE57" s="13" t="n">
        <x:v>0.03964591690824323</x:v>
      </x:c>
      <x:c r="AF57" s="13" t="n">
        <x:v>-0.2823226272725544</x:v>
      </x:c>
      <x:c r="AG57" s="13" t="n">
        <x:v>-0.8533191835897165</x:v>
      </x:c>
      <x:c r="AH57" s="13" t="n">
        <x:v>0.6966167850159355</x:v>
      </x:c>
      <x:c r="AI57" s="13" t="n">
        <x:v>0.7569696929603585</x:v>
      </x:c>
      <x:c r="AJ57" s="13" t="n">
        <x:v>-0.37915293584646187</x:v>
      </x:c>
      <x:c r="AK57" s="13" t="n">
        <x:v>-0.00957479684173995</x:v>
      </x:c>
      <x:c r="AL57" s="13" t="n">
        <x:v>-0.37485364153756345</x:v>
      </x:c>
      <x:c r="AM57" s="13" t="n">
        <x:v>-0.23391348338175297</x:v>
      </x:c>
      <x:c r="AN57" s="13" t="n">
        <x:v>-0.5302796114412113</x:v>
      </x:c>
      <x:c r="AO57" s="13" t="n">
        <x:v>-0.9252733819301974</x:v>
      </x:c>
      <x:c r="AP57" s="13" t="n">
        <x:v>0.5373889890249887</x:v>
      </x:c>
    </x:row>
    <x:row r="58" ht="15" hidden="0" customHeight="1">
      <x:c r="A58" s="2" t="str">
        <x:v>E57</x:v>
      </x:c>
      <x:c r="B58" s="2" t="str">
        <x:v>***机械设备有限公司</x:v>
      </x:c>
      <x:c r="C58" s="2" t="str">
        <x:v>有信贷记录</x:v>
      </x:c>
      <x:c r="D58" s="2" t="str">
        <x:v>B</x:v>
      </x:c>
      <x:c r="E58" s="2" t="str">
        <x:v>否</x:v>
      </x:c>
      <x:c r="F58" s="13" t="n">
        <x:v>-0.5523911601874903</x:v>
      </x:c>
      <x:c r="G58" s="13" t="n">
        <x:v>-0.5529989461432098</x:v>
      </x:c>
      <x:c r="H58" s="13" t="n">
        <x:v>-0.4336789722623741</x:v>
      </x:c>
      <x:c r="I58" s="13" t="n">
        <x:v>-0.46027843520127304</x:v>
      </x:c>
      <x:c r="J58" s="13" t="n">
        <x:v>0.0649372518878701</x:v>
      </x:c>
      <x:c r="K58" s="13" t="n">
        <x:v>0.05128752770666052</x:v>
      </x:c>
      <x:c r="L58" s="13" t="n">
        <x:v>-0.5901821254739955</x:v>
      </x:c>
      <x:c r="M58" s="13" t="n">
        <x:v>1.2119891729637327</x:v>
      </x:c>
      <x:c r="N58" s="13" t="n">
        <x:v>-0.7216149855326618</x:v>
      </x:c>
      <x:c r="O58" s="13" t="n">
        <x:v>1.3526797191814937</x:v>
      </x:c>
      <x:c r="P58" s="13" t="n">
        <x:v>1.452486244162385</x:v>
      </x:c>
      <x:c r="Q58" s="13" t="n">
        <x:v>0.039043917627951626</x:v>
      </x:c>
      <x:c r="R58" s="13" t="n">
        <x:v>0.13369123252335144</x:v>
      </x:c>
      <x:c r="S58" s="13" t="n">
        <x:v>1.070434406380102</x:v>
      </x:c>
      <x:c r="T58" s="13" t="n">
        <x:v>0.16487632701183103</x:v>
      </x:c>
      <x:c r="U58" s="13" t="n">
        <x:v>-0.32888276697389374</x:v>
      </x:c>
      <x:c r="V58" s="13" t="n">
        <x:v>-0.3303478596233966</x:v>
      </x:c>
      <x:c r="W58" s="13" t="n">
        <x:v>-0.2455519165176792</x:v>
      </x:c>
      <x:c r="X58" s="13" t="n">
        <x:v>-0.2049070472243266</x:v>
      </x:c>
      <x:c r="Y58" s="13" t="n">
        <x:v>-0.21139475362636603</x:v>
      </x:c>
      <x:c r="Z58" s="13" t="n">
        <x:v>-0.2004483383987259</x:v>
      </x:c>
      <x:c r="AA58" s="13" t="n">
        <x:v>-0.3405361656777451</x:v>
      </x:c>
      <x:c r="AB58" s="13" t="n">
        <x:v>-0.03950657967957061</x:v>
      </x:c>
      <x:c r="AC58" s="13" t="n">
        <x:v>0.0821797164024203</x:v>
      </x:c>
      <x:c r="AD58" s="13" t="n">
        <x:v>-0.4984379658481784</x:v>
      </x:c>
      <x:c r="AE58" s="13" t="n">
        <x:v>-0.41759158844786604</x:v>
      </x:c>
      <x:c r="AF58" s="13" t="n">
        <x:v>-0.23749482839528793</x:v>
      </x:c>
      <x:c r="AG58" s="13" t="n">
        <x:v>-0.09397740938663739</x:v>
      </x:c>
      <x:c r="AH58" s="13" t="n">
        <x:v>0.7732831144864305</x:v>
      </x:c>
      <x:c r="AI58" s="13" t="n">
        <x:v>0.05256405124716919</x:v>
      </x:c>
      <x:c r="AJ58" s="13" t="n">
        <x:v>-0.3332432568299182</x:v>
      </x:c>
      <x:c r="AK58" s="13" t="n">
        <x:v>-0.04760527460470085</x:v>
      </x:c>
      <x:c r="AL58" s="13" t="n">
        <x:v>0.565592279137285</x:v>
      </x:c>
      <x:c r="AM58" s="13" t="n">
        <x:v>0.2598589184459047</x:v>
      </x:c>
      <x:c r="AN58" s="13" t="n">
        <x:v>0.6684551971061762</x:v>
      </x:c>
      <x:c r="AO58" s="13" t="n">
        <x:v>0.04553063467263463</x:v>
      </x:c>
      <x:c r="AP58" s="13" t="n">
        <x:v>1.0412512287535425</x:v>
      </x:c>
    </x:row>
    <x:row r="59" ht="15" hidden="0" customHeight="1">
      <x:c r="A59" s="2" t="str">
        <x:v>E58</x:v>
      </x:c>
      <x:c r="B59" s="2" t="str">
        <x:v>***油气工程建设有限责任公司</x:v>
      </x:c>
      <x:c r="C59" s="2" t="str">
        <x:v>有信贷记录</x:v>
      </x:c>
      <x:c r="D59" s="2" t="str">
        <x:v>B</x:v>
      </x:c>
      <x:c r="E59" s="2" t="str">
        <x:v>否</x:v>
      </x:c>
      <x:c r="F59" s="13" t="n">
        <x:v>0.014094123312243167</x:v>
      </x:c>
      <x:c r="G59" s="13" t="n">
        <x:v>0.018082584326467577</x:v>
      </x:c>
      <x:c r="H59" s="13" t="n">
        <x:v>-0.10411096975001445</x:v>
      </x:c>
      <x:c r="I59" s="13" t="n">
        <x:v>-0.07434195954585855</x:v>
      </x:c>
      <x:c r="J59" s="13" t="n">
        <x:v>-0.42817604217315497</x:v>
      </x:c>
      <x:c r="K59" s="13" t="n">
        <x:v>-0.4316115971436161</x:v>
      </x:c>
      <x:c r="L59" s="13" t="n">
        <x:v>0.36210209147615985</x:v>
      </x:c>
      <x:c r="M59" s="13" t="n">
        <x:v>-0.0434040229331384</x:v>
      </x:c>
      <x:c r="N59" s="13" t="n">
        <x:v>0.01865149179609257</x:v>
      </x:c>
      <x:c r="O59" s="13" t="n">
        <x:v>-0.3856740202267108</x:v>
      </x:c>
      <x:c r="P59" s="13" t="n">
        <x:v>-0.23219146956323278</x:v>
      </x:c>
      <x:c r="Q59" s="13" t="n">
        <x:v>-0.41357907829963547</x:v>
      </x:c>
      <x:c r="R59" s="13" t="n">
        <x:v>0.6386623648214101</x:v>
      </x:c>
      <x:c r="S59" s="13" t="n">
        <x:v>0.9792038267310393</x:v>
      </x:c>
      <x:c r="T59" s="13" t="n">
        <x:v>0.07069294128598666</x:v>
      </x:c>
      <x:c r="U59" s="13" t="n">
        <x:v>-0.35523044618763305</x:v>
      </x:c>
      <x:c r="V59" s="13" t="n">
        <x:v>-0.3875733192653933</x:v>
      </x:c>
      <x:c r="W59" s="13" t="n">
        <x:v>0.14407870389909247</x:v>
      </x:c>
      <x:c r="X59" s="13" t="n">
        <x:v>-0.2669602715868311</x:v>
      </x:c>
      <x:c r="Y59" s="13" t="n">
        <x:v>-0.3293760796547195</x:v>
      </x:c>
      <x:c r="Z59" s="13" t="n">
        <x:v>-0.298570499847852</x:v>
      </x:c>
      <x:c r="AA59" s="13" t="n">
        <x:v>-0.3452359312352288</x:v>
      </x:c>
      <x:c r="AB59" s="13" t="n">
        <x:v>1.1931273100943278</x:v>
      </x:c>
      <x:c r="AC59" s="13" t="n">
        <x:v>0.008917292167555031</x:v>
      </x:c>
      <x:c r="AD59" s="13" t="n">
        <x:v>-0.11219414899926436</x:v>
      </x:c>
      <x:c r="AE59" s="13" t="n">
        <x:v>0.05603646583458687</x:v>
      </x:c>
      <x:c r="AF59" s="13" t="n">
        <x:v>-0.28255932441097437</x:v>
      </x:c>
      <x:c r="AG59" s="13" t="n">
        <x:v>0.08763298584249908</x:v>
      </x:c>
      <x:c r="AH59" s="13" t="n">
        <x:v>0.9583008251129183</x:v>
      </x:c>
      <x:c r="AI59" s="13" t="n">
        <x:v>-0.24932408091562624</x:v>
      </x:c>
      <x:c r="AJ59" s="13" t="n">
        <x:v>-0.14850397064600965</x:v>
      </x:c>
      <x:c r="AK59" s="13" t="n">
        <x:v>-0.23989230569331496</x:v>
      </x:c>
      <x:c r="AL59" s="13" t="n">
        <x:v>0.1640837907512091</x:v>
      </x:c>
      <x:c r="AM59" s="13" t="n">
        <x:v>-0.22945524298331238</x:v>
      </x:c>
      <x:c r="AN59" s="13" t="n">
        <x:v>-0.34558065889897466</x:v>
      </x:c>
      <x:c r="AO59" s="13" t="n">
        <x:v>0.4734351563466003</x:v>
      </x:c>
      <x:c r="AP59" s="13" t="n">
        <x:v>1.0785410004962501</x:v>
      </x:c>
    </x:row>
    <x:row r="60" ht="15" hidden="0" customHeight="1">
      <x:c r="A60" s="2" t="str">
        <x:v>E59</x:v>
      </x:c>
      <x:c r="B60" s="2" t="str">
        <x:v>***商贸有限公司</x:v>
      </x:c>
      <x:c r="C60" s="2" t="str">
        <x:v>有信贷记录</x:v>
      </x:c>
      <x:c r="D60" s="2" t="str">
        <x:v>A</x:v>
      </x:c>
      <x:c r="E60" s="2" t="str">
        <x:v>否</x:v>
      </x:c>
      <x:c r="F60" s="13" t="n">
        <x:v>-0.35815438949486483</x:v>
      </x:c>
      <x:c r="G60" s="13" t="n">
        <x:v>-0.35640496839966</x:v>
      </x:c>
      <x:c r="H60" s="13" t="n">
        <x:v>-0.3379979392749149</x:v>
      </x:c>
      <x:c r="I60" s="13" t="n">
        <x:v>-0.46027843520127304</x:v>
      </x:c>
      <x:c r="J60" s="13" t="n">
        <x:v>-0.14733568752626894</x:v>
      </x:c>
      <x:c r="K60" s="13" t="n">
        <x:v>-0.15723274637164622</x:v>
      </x:c>
      <x:c r="L60" s="13" t="n">
        <x:v>-0.48369666990448934</x:v>
      </x:c>
      <x:c r="M60" s="13" t="n">
        <x:v>0.037975263846847324</x:v>
      </x:c>
      <x:c r="N60" s="13" t="n">
        <x:v>-0.7216149855326618</x:v>
      </x:c>
      <x:c r="O60" s="13" t="n">
        <x:v>-0.4618008159621606</x:v>
      </x:c>
      <x:c r="P60" s="13" t="n">
        <x:v>-0.5957202569104812</x:v>
      </x:c>
      <x:c r="Q60" s="13" t="n">
        <x:v>-0.16982609765741916</x:v>
      </x:c>
      <x:c r="R60" s="13" t="n">
        <x:v>-1.0463806407322307</x:v>
      </x:c>
      <x:c r="S60" s="13" t="n">
        <x:v>-0.38030122097804553</x:v>
      </x:c>
      <x:c r="T60" s="13" t="n">
        <x:v>0.8241600270927416</x:v>
      </x:c>
      <x:c r="U60" s="13" t="n">
        <x:v>0.5727348157202647</x:v>
      </x:c>
      <x:c r="V60" s="13" t="n">
        <x:v>0.6127501566334312</x:v>
      </x:c>
      <x:c r="W60" s="13" t="n">
        <x:v>-0.020765020123387847</x:v>
      </x:c>
      <x:c r="X60" s="13" t="n">
        <x:v>-0.3496979040701705</x:v>
      </x:c>
      <x:c r="Y60" s="13" t="n">
        <x:v>-0.2658126701556888</x:v>
      </x:c>
      <x:c r="Z60" s="13" t="n">
        <x:v>-0.2550438849152459</x:v>
      </x:c>
      <x:c r="AA60" s="13" t="n">
        <x:v>0.037794961699688545</x:v>
      </x:c>
      <x:c r="AB60" s="13" t="n">
        <x:v>-0.7045634108243407</x:v>
      </x:c>
      <x:c r="AC60" s="13" t="n">
        <x:v>-0.6656859693237827</x:v>
      </x:c>
      <x:c r="AD60" s="13" t="n">
        <x:v>-0.9044504436033796</x:v>
      </x:c>
      <x:c r="AE60" s="13" t="n">
        <x:v>-1.100021133715268</x:v>
      </x:c>
      <x:c r="AF60" s="13" t="n">
        <x:v>-0.2908021017438155</x:v>
      </x:c>
      <x:c r="AG60" s="13" t="n">
        <x:v>-0.8177873436383563</x:v>
      </x:c>
      <x:c r="AH60" s="13" t="n">
        <x:v>-0.21037617143815573</x:v>
      </x:c>
      <x:c r="AI60" s="13" t="n">
        <x:v>0.9582284477355555</x:v>
      </x:c>
      <x:c r="AJ60" s="13" t="n">
        <x:v>-0.2597217228340555</x:v>
      </x:c>
      <x:c r="AK60" s="13" t="n">
        <x:v>-0.09828797346545141</x:v>
      </x:c>
      <x:c r="AL60" s="13" t="n">
        <x:v>-0.6147958463397931</x:v>
      </x:c>
      <x:c r="AM60" s="13" t="n">
        <x:v>-0.736355254194624</x:v>
      </x:c>
      <x:c r="AN60" s="13" t="n">
        <x:v>-0.8896928185466796</x:v>
      </x:c>
      <x:c r="AO60" s="13" t="n">
        <x:v>-1.095415992717677</x:v>
      </x:c>
      <x:c r="AP60" s="13" t="n">
        <x:v>-0.34286199733481887</x:v>
      </x:c>
    </x:row>
    <x:row r="61" ht="15" hidden="0" customHeight="1">
      <x:c r="A61" s="2" t="str">
        <x:v>E60</x:v>
      </x:c>
      <x:c r="B61" s="2" t="str">
        <x:v>***机械租赁有限公司</x:v>
      </x:c>
      <x:c r="C61" s="2" t="str">
        <x:v>有信贷记录</x:v>
      </x:c>
      <x:c r="D61" s="2" t="str">
        <x:v>B</x:v>
      </x:c>
      <x:c r="E61" s="2" t="str">
        <x:v>否</x:v>
      </x:c>
      <x:c r="F61" s="13" t="n">
        <x:v>-0.36325368419085263</x:v>
      </x:c>
      <x:c r="G61" s="13" t="n">
        <x:v>-0.3573639634130432</x:v>
      </x:c>
      <x:c r="H61" s="13" t="n">
        <x:v>-0.4336789722623741</x:v>
      </x:c>
      <x:c r="I61" s="13" t="n">
        <x:v>-0.46027843520127304</x:v>
      </x:c>
      <x:c r="J61" s="13" t="n">
        <x:v>-0.46283539809637264</x:v>
      </x:c>
      <x:c r="K61" s="13" t="n">
        <x:v>-0.4671548980188404</x:v>
      </x:c>
      <x:c r="L61" s="13" t="n">
        <x:v>-0.32244726575638</x:v>
      </x:c>
      <x:c r="M61" s="13" t="n">
        <x:v>-0.580096281402061</x:v>
      </x:c>
      <x:c r="N61" s="13" t="n">
        <x:v>-0.7216149855326618</x:v>
      </x:c>
      <x:c r="O61" s="13" t="n">
        <x:v>-0.02688636395211</x:v>
      </x:c>
      <x:c r="P61" s="13" t="n">
        <x:v>0.2356310893362798</x:v>
      </x:c>
      <x:c r="Q61" s="13" t="n">
        <x:v>-0.44634213332623124</x:v>
      </x:c>
      <x:c r="R61" s="13" t="n">
        <x:v>1.0402188973293498</x:v>
      </x:c>
      <x:c r="S61" s="13" t="n">
        <x:v>-1.5475308494654887</x:v>
      </x:c>
      <x:c r="T61" s="13" t="n">
        <x:v>-0.023490444439857705</x:v>
      </x:c>
      <x:c r="U61" s="13" t="n">
        <x:v>-0.28936124815328484</x:v>
      </x:c>
      <x:c r="V61" s="13" t="n">
        <x:v>-0.3090285707371625</x:v>
      </x:c>
      <x:c r="W61" s="13" t="n">
        <x:v>0.0316852557019468</x:v>
      </x:c>
      <x:c r="X61" s="13" t="n">
        <x:v>-0.3703823121910053</x:v>
      </x:c>
      <x:c r="Y61" s="13" t="n">
        <x:v>-0.4770122788158933</x:v>
      </x:c>
      <x:c r="Z61" s="13" t="n">
        <x:v>-0.4181591554814531</x:v>
      </x:c>
      <x:c r="AA61" s="13" t="n">
        <x:v>-0.3804841729163561</x:v>
      </x:c>
      <x:c r="AB61" s="13" t="n">
        <x:v>0.41260143870654137</x:v>
      </x:c>
      <x:c r="AC61" s="13" t="n">
        <x:v>-0.6191409665345585</x:v>
      </x:c>
      <x:c r="AD61" s="13" t="n">
        <x:v>0.050214466002571886</x:v>
      </x:c>
      <x:c r="AE61" s="13" t="n">
        <x:v>0.3259705086920659</x:v>
      </x:c>
      <x:c r="AF61" s="13" t="n">
        <x:v>-0.4700104994027222</x:v>
      </x:c>
      <x:c r="AG61" s="13" t="n">
        <x:v>0.08449502915218338</x:v>
      </x:c>
      <x:c r="AH61" s="13" t="n">
        <x:v>0.381576747376442</x:v>
      </x:c>
      <x:c r="AI61" s="13" t="n">
        <x:v>-0.6518415904660202</x:v>
      </x:c>
      <x:c r="AJ61" s="13" t="n">
        <x:v>-0.36600297534081794</x:v>
      </x:c>
      <x:c r="AK61" s="13" t="n">
        <x:v>-0.11284405710078013</x:v>
      </x:c>
      <x:c r="AL61" s="13" t="n">
        <x:v>0.3371723288663071</x:v>
      </x:c>
      <x:c r="AM61" s="13" t="n">
        <x:v>-0.7199726455444871</x:v>
      </x:c>
      <x:c r="AN61" s="13" t="n">
        <x:v>0.013237617970951375</x:v>
      </x:c>
      <x:c r="AO61" s="13" t="n">
        <x:v>0.7442318224923083</x:v>
      </x:c>
      <x:c r="AP61" s="13" t="n">
        <x:v>-0.7597940576400564</x:v>
      </x:c>
    </x:row>
    <x:row r="62" ht="15" hidden="0" customHeight="1">
      <x:c r="A62" s="2" t="str">
        <x:v>E61</x:v>
      </x:c>
      <x:c r="B62" s="2" t="str">
        <x:v>***调味品有限公司</x:v>
      </x:c>
      <x:c r="C62" s="2" t="str">
        <x:v>有信贷记录</x:v>
      </x:c>
      <x:c r="D62" s="2" t="str">
        <x:v>B</x:v>
      </x:c>
      <x:c r="E62" s="2" t="str">
        <x:v>否</x:v>
      </x:c>
      <x:c r="F62" s="13" t="n">
        <x:v>-0.5143782360901269</x:v>
      </x:c>
      <x:c r="G62" s="13" t="n">
        <x:v>-0.5112826630610419</x:v>
      </x:c>
      <x:c r="H62" s="13" t="n">
        <x:v>-0.4868351016998515</x:v>
      </x:c>
      <x:c r="I62" s="13" t="n">
        <x:v>-0.37451477394451427</x:v>
      </x:c>
      <x:c r="J62" s="13" t="n">
        <x:v>-0.5515035845194627</x:v>
      </x:c>
      <x:c r="K62" s="13" t="n">
        <x:v>-0.5518044310370774</x:v>
      </x:c>
      <x:c r="L62" s="13" t="n">
        <x:v>-0.581054800710895</x:v>
      </x:c>
      <x:c r="M62" s="13" t="n">
        <x:v>-0.6077039611553724</x:v>
      </x:c>
      <x:c r="N62" s="13" t="n">
        <x:v>0.3118458169475663</x:v>
      </x:c>
      <x:c r="O62" s="13" t="n">
        <x:v>-0.6329940485157762</x:v>
      </x:c>
      <x:c r="P62" s="13" t="n">
        <x:v>-0.7672556076390885</x:v>
      </x:c>
      <x:c r="Q62" s="13" t="n">
        <x:v>-0.5675148235770525</x:v>
      </x:c>
      <x:c r="R62" s="13" t="n">
        <x:v>-0.4280086231378336</x:v>
      </x:c>
      <x:c r="S62" s="13" t="n">
        <x:v>-0.24981739973210104</x:v>
      </x:c>
      <x:c r="T62" s="13" t="n">
        <x:v>0.35324309846351976</x:v>
      </x:c>
      <x:c r="U62" s="13" t="n">
        <x:v>0.14221373736776471</x:v>
      </x:c>
      <x:c r="V62" s="13" t="n">
        <x:v>0.18636437890875002</x:v>
      </x:c>
      <x:c r="W62" s="13" t="n">
        <x:v>-0.4478601232725414</x:v>
      </x:c>
      <x:c r="X62" s="13" t="n">
        <x:v>0.43630960452155354</x:v>
      </x:c>
      <x:c r="Y62" s="13" t="n">
        <x:v>-0.4406558070346243</x:v>
      </x:c>
      <x:c r="Z62" s="13" t="n">
        <x:v>-0.3855727157498677</x:v>
      </x:c>
      <x:c r="AA62" s="13" t="n">
        <x:v>-0.24419097174933033</x:v>
      </x:c>
      <x:c r="AB62" s="13" t="n">
        <x:v>-0.8646154795886245</x:v>
      </x:c>
      <x:c r="AC62" s="13" t="n">
        <x:v>0.32607669813824763</x:v>
      </x:c>
      <x:c r="AD62" s="13" t="n">
        <x:v>-0.5578026429553291</x:v>
      </x:c>
      <x:c r="AE62" s="13" t="n">
        <x:v>-0.46257665010106347</x:v>
      </x:c>
      <x:c r="AF62" s="13" t="n">
        <x:v>-0.46207677532851965</x:v>
      </x:c>
      <x:c r="AG62" s="13" t="n">
        <x:v>-1.2375398336601753</x:v>
      </x:c>
      <x:c r="AH62" s="13" t="n">
        <x:v>-0.43898233400268016</x:v>
      </x:c>
      <x:c r="AI62" s="13" t="n">
        <x:v>0.9582284477355555</x:v>
      </x:c>
      <x:c r="AJ62" s="13" t="n">
        <x:v>-0.23755808616470425</x:v>
      </x:c>
      <x:c r="AK62" s="13" t="n">
        <x:v>-0.31365773592181234</x:v>
      </x:c>
      <x:c r="AL62" s="13" t="n">
        <x:v>-0.932564826355685</x:v>
      </x:c>
      <x:c r="AM62" s="13" t="n">
        <x:v>0.8469912897864365</x:v>
      </x:c>
      <x:c r="AN62" s="13" t="n">
        <x:v>-0.798972166014633</x:v>
      </x:c>
      <x:c r="AO62" s="13" t="n">
        <x:v>-0.8737692884181315</x:v>
      </x:c>
      <x:c r="AP62" s="13" t="n">
        <x:v>-0.37805694742383333</x:v>
      </x:c>
    </x:row>
    <x:row r="63" ht="15" hidden="0" customHeight="1">
      <x:c r="A63" s="2" t="str">
        <x:v>E62</x:v>
      </x:c>
      <x:c r="B63" s="2" t="str">
        <x:v>***工程造价咨询有限公司***分公司</x:v>
      </x:c>
      <x:c r="C63" s="2" t="str">
        <x:v>有信贷记录</x:v>
      </x:c>
      <x:c r="D63" s="2" t="str">
        <x:v>B</x:v>
      </x:c>
      <x:c r="E63" s="2" t="str">
        <x:v>否</x:v>
      </x:c>
      <x:c r="F63" s="13" t="n">
        <x:v>-0.366962262151571</x:v>
      </x:c>
      <x:c r="G63" s="13" t="n">
        <x:v>-0.35880245593311794</x:v>
      </x:c>
      <x:c r="H63" s="13" t="n">
        <x:v>-0.4868351016998515</x:v>
      </x:c>
      <x:c r="I63" s="13" t="n">
        <x:v>-0.46027843520127304</x:v>
      </x:c>
      <x:c r="J63" s="13" t="n">
        <x:v>-0.545380574817987</x:v>
      </x:c>
      <x:c r="K63" s="13" t="n">
        <x:v>-0.5482408005429131</x:v>
      </x:c>
      <x:c r="L63" s="13" t="n">
        <x:v>-0.2646408755900766</x:v>
      </x:c>
      <x:c r="M63" s="13" t="n">
        <x:v>-0.9337439254615522</x:v>
      </x:c>
      <x:c r="N63" s="13" t="n">
        <x:v>-0.7216149855326618</x:v>
      </x:c>
      <x:c r="O63" s="13" t="n">
        <x:v>-0.2703589415282968</x:v>
      </x:c>
      <x:c r="P63" s="13" t="n">
        <x:v>0.027464236446593047</x:v>
      </x:c>
      <x:c r="Q63" s="13" t="n">
        <x:v>-0.5614899711701963</x:v>
      </x:c>
      <x:c r="R63" s="13" t="n">
        <x:v>0.3589076117494046</x:v>
      </x:c>
      <x:c r="S63" s="13" t="n">
        <x:v>0.3391752103870443</x:v>
      </x:c>
      <x:c r="T63" s="13" t="n">
        <x:v>0.7299766413668972</x:v>
      </x:c>
      <x:c r="U63" s="13" t="n">
        <x:v>-0.4442856019300718</x:v>
      </x:c>
      <x:c r="V63" s="13" t="n">
        <x:v>-0.43974947364486083</x:v>
      </x:c>
      <x:c r="W63" s="13" t="n">
        <x:v>-0.42538143363311226</x:v>
      </x:c>
      <x:c r="X63" s="13" t="n">
        <x:v>0.0846746664673612</x:v>
      </x:c>
      <x:c r="Y63" s="13" t="n">
        <x:v>-0.45980726489842244</x:v>
      </x:c>
      <x:c r="Z63" s="13" t="n">
        <x:v>-0.383161337472188</x:v>
      </x:c>
      <x:c r="AA63" s="13" t="n">
        <x:v>-0.328786751784036</x:v>
      </x:c>
      <x:c r="AB63" s="13" t="n">
        <x:v>0.03588149554619746</x:v>
      </x:c>
      <x:c r="AC63" s="13" t="n">
        <x:v>3.3316111607231393</x:v>
      </x:c>
      <x:c r="AD63" s="13" t="n">
        <x:v>-0.38510254496595353</x:v>
      </x:c>
      <x:c r="AE63" s="13" t="n">
        <x:v>-0.35000391219797705</x:v>
      </x:c>
      <x:c r="AF63" s="13" t="n">
        <x:v>-0.4808373612619811</x:v>
      </x:c>
      <x:c r="AG63" s="13" t="n">
        <x:v>-0.060062984035990086</x:v>
      </x:c>
      <x:c r="AH63" s="13" t="n">
        <x:v>-0.697587625490799</x:v>
      </x:c>
      <x:c r="AI63" s="13" t="n">
        <x:v>-0.14869470352802777</x:v>
      </x:c>
      <x:c r="AJ63" s="13" t="n">
        <x:v>-0.2739529666296557</x:v>
      </x:c>
      <x:c r="AK63" s="13" t="n">
        <x:v>-0.30947659437047426</x:v>
      </x:c>
      <x:c r="AL63" s="13" t="n">
        <x:v>-0.5344138162035468</x:v>
      </x:c>
      <x:c r="AM63" s="13" t="n">
        <x:v>1.1014640496679808</x:v>
      </x:c>
      <x:c r="AN63" s="13" t="n">
        <x:v>-0.4310261039554543</x:v>
      </x:c>
      <x:c r="AO63" s="13" t="n">
        <x:v>0.2142063509073302</x:v>
      </x:c>
      <x:c r="AP63" s="13" t="n">
        <x:v>-0.14747572208124266</x:v>
      </x:c>
    </x:row>
    <x:row r="64" ht="15" hidden="0" customHeight="1">
      <x:c r="A64" s="2" t="str">
        <x:v>E63</x:v>
      </x:c>
      <x:c r="B64" s="2" t="str">
        <x:v>***科技有限公司</x:v>
      </x:c>
      <x:c r="C64" s="2" t="str">
        <x:v>有信贷记录</x:v>
      </x:c>
      <x:c r="D64" s="2" t="str">
        <x:v>B</x:v>
      </x:c>
      <x:c r="E64" s="2" t="str">
        <x:v>否</x:v>
      </x:c>
      <x:c r="F64" s="13" t="n">
        <x:v>0.1165435894770886</x:v>
      </x:c>
      <x:c r="G64" s="13" t="n">
        <x:v>0.1202155532517751</x:v>
      </x:c>
      <x:c r="H64" s="13" t="n">
        <x:v>-0.01906116265005067</x:v>
      </x:c>
      <x:c r="I64" s="13" t="n">
        <x:v>0.5688854998798323</x:v>
      </x:c>
      <x:c r="J64" s="13" t="n">
        <x:v>0.21692931965329354</x:v>
      </x:c>
      <x:c r="K64" s="13" t="n">
        <x:v>0.2598855466412476</x:v>
      </x:c>
      <x:c r="L64" s="13" t="n">
        <x:v>0.17651315462644906</x:v>
      </x:c>
      <x:c r="M64" s="13" t="n">
        <x:v>-0.0037343303063534557</x:v>
      </x:c>
      <x:c r="N64" s="13" t="n">
        <x:v>0.9768907108109894</x:v>
      </x:c>
      <x:c r="O64" s="13" t="n">
        <x:v>1.8341104844309644</x:v>
      </x:c>
      <x:c r="P64" s="13" t="n">
        <x:v>1.8041746558261011</x:v>
      </x:c>
      <x:c r="Q64" s="13" t="n">
        <x:v>0.16822007955008222</x:v>
      </x:c>
      <x:c r="R64" s="13" t="n">
        <x:v>-0.34302476188363096</x:v>
      </x:c>
      <x:c r="S64" s="13" t="n">
        <x:v>-1.4135127367682294</x:v>
      </x:c>
      <x:c r="T64" s="13" t="n">
        <x:v>0.918343412818586</x:v>
      </x:c>
      <x:c r="U64" s="13" t="n">
        <x:v>-0.2050486746693191</x:v>
      </x:c>
      <x:c r="V64" s="13" t="n">
        <x:v>-0.1962607532073455</x:v>
      </x:c>
      <x:c r="W64" s="13" t="n">
        <x:v>-0.2755235027035847</x:v>
      </x:c>
      <x:c r="X64" s="13" t="n">
        <x:v>-0.32901349594933565</x:v>
      </x:c>
      <x:c r="Y64" s="13" t="n">
        <x:v>-0.04233169488680918</x:v>
      </x:c>
      <x:c r="Z64" s="13" t="n">
        <x:v>-0.07857992187813853</x:v>
      </x:c>
      <x:c r="AA64" s="13" t="n">
        <x:v>-0.3005881584391341</x:v>
      </x:c>
      <x:c r="AB64" s="13" t="n">
        <x:v>-0.43078525243381705</x:v>
      </x:c>
      <x:c r="AC64" s="13" t="n">
        <x:v>-0.5374387018124376</x:v>
      </x:c>
      <x:c r="AD64" s="13" t="n">
        <x:v>-0.20958033666331788</x:v>
      </x:c>
      <x:c r="AE64" s="13" t="n">
        <x:v>-0.13915830627051723</x:v>
      </x:c>
      <x:c r="AF64" s="13" t="n">
        <x:v>0.08900782199822686</x:v>
      </x:c>
      <x:c r="AG64" s="13" t="n">
        <x:v>-0.3613236833477524</x:v>
      </x:c>
      <x:c r="AH64" s="13" t="n">
        <x:v>-1.2244896675812653</x:v>
      </x:c>
      <x:c r="AI64" s="13" t="n">
        <x:v>-0.4505828356908232</x:v>
      </x:c>
      <x:c r="AJ64" s="13" t="n">
        <x:v>-0.17069444081513763</x:v>
      </x:c>
      <x:c r="AK64" s="13" t="n">
        <x:v>-0.0689715741827858</x:v>
      </x:c>
      <x:c r="AL64" s="13" t="n">
        <x:v>-0.518851660765679</x:v>
      </x:c>
      <x:c r="AM64" s="13" t="n">
        <x:v>-0.043715793309752136</x:v>
      </x:c>
      <x:c r="AN64" s="13" t="n">
        <x:v>1.1937321418448024</x:v>
      </x:c>
      <x:c r="AO64" s="13" t="n">
        <x:v>-0.40358392083482436</x:v>
      </x:c>
      <x:c r="AP64" s="13" t="n">
        <x:v>-1.4865356039898419</x:v>
      </x:c>
    </x:row>
    <x:row r="65" ht="15" hidden="0" customHeight="1">
      <x:c r="A65" s="2" t="str">
        <x:v>E64</x:v>
      </x:c>
      <x:c r="B65" s="2" t="str">
        <x:v>***图书有限责任公司</x:v>
      </x:c>
      <x:c r="C65" s="2" t="str">
        <x:v>有信贷记录</x:v>
      </x:c>
      <x:c r="D65" s="2" t="str">
        <x:v>A</x:v>
      </x:c>
      <x:c r="E65" s="2" t="str">
        <x:v>否</x:v>
      </x:c>
      <x:c r="F65" s="13" t="n">
        <x:v>-0.5978212402062906</x:v>
      </x:c>
      <x:c r="G65" s="13" t="n">
        <x:v>-0.5961537217454523</x:v>
      </x:c>
      <x:c r="H65" s="13" t="n">
        <x:v>-0.518728779362338</x:v>
      </x:c>
      <x:c r="I65" s="13" t="n">
        <x:v>-0.46027843520127304</x:v>
      </x:c>
      <x:c r="J65" s="13" t="n">
        <x:v>-0.5682937231839508</x:v>
      </x:c>
      <x:c r="K65" s="13" t="n">
        <x:v>-0.5707488790123323</x:v>
      </x:c>
      <x:c r="L65" s="13" t="n">
        <x:v>-0.6510309572279991</x:v>
      </x:c>
      <x:c r="M65" s="13" t="n">
        <x:v>-1.151103901665672</x:v>
      </x:c>
      <x:c r="N65" s="13" t="n">
        <x:v>-0.7216149855326618</x:v>
      </x:c>
      <x:c r="O65" s="13" t="n">
        <x:v>0.5947386308540527</x:v>
      </x:c>
      <x:c r="P65" s="13" t="n">
        <x:v>0.813499834706834</x:v>
      </x:c>
      <x:c r="Q65" s="13" t="n">
        <x:v>-0.5838200904423319</x:v>
      </x:c>
      <x:c r="R65" s="13" t="n">
        <x:v>1.1428784934291836</x:v>
      </x:c>
      <x:c r="S65" s="13" t="n">
        <x:v>-0.4317660910136233</x:v>
      </x:c>
      <x:c r="T65" s="13" t="n">
        <x:v>-0.871140915972457</x:v>
      </x:c>
      <x:c r="U65" s="13" t="n">
        <x:v>0.16487274149158052</x:v>
      </x:c>
      <x:c r="V65" s="13" t="n">
        <x:v>0.17289956487533903</x:v>
      </x:c>
      <x:c r="W65" s="13" t="n">
        <x:v>0.05416394534137593</x:v>
      </x:c>
      <x:c r="X65" s="13" t="n">
        <x:v>-0.3910667203118402</x:v>
      </x:c>
      <x:c r="Y65" s="13" t="n">
        <x:v>-0.4701793815167121</x:v>
      </x:c>
      <x:c r="Z65" s="13" t="n">
        <x:v>-0.41392857101132685</x:v>
      </x:c>
      <x:c r="AA65" s="13" t="n">
        <x:v>0.037794961699688545</x:v>
      </x:c>
      <x:c r="AB65" s="13" t="n">
        <x:v>-0.46721739774227367</x:v>
      </x:c>
      <x:c r="AC65" s="13" t="n">
        <x:v>-0.6980651016988949</x:v>
      </x:c>
      <x:c r="AD65" s="13" t="n">
        <x:v>-0.6783911332716098</x:v>
      </x:c>
      <x:c r="AE65" s="13" t="n">
        <x:v>-0.5318875221762707</x:v>
      </x:c>
      <x:c r="AF65" s="13" t="n">
        <x:v>-0.4909977880301769</x:v>
      </x:c>
      <x:c r="AG65" s="13" t="n">
        <x:v>-0.5130676338834633</x:v>
      </x:c>
      <x:c r="AH65" s="13" t="n">
        <x:v>0.013906405975658887</x:v>
      </x:c>
      <x:c r="AI65" s="13" t="n">
        <x:v>0.6563403155727601</x:v>
      </x:c>
      <x:c r="AJ65" s="13" t="n">
        <x:v>-0.2734571390569467</x:v>
      </x:c>
      <x:c r="AK65" s="13" t="n">
        <x:v>-0.33941097071424087</x:v>
      </x:c>
      <x:c r="AL65" s="13" t="n">
        <x:v>-0.12350645691464619</x:v>
      </x:c>
      <x:c r="AM65" s="13" t="n">
        <x:v>-0.7815911692517314</x:v>
      </x:c>
      <x:c r="AN65" s="13" t="n">
        <x:v>0.011194381594395583</x:v>
      </x:c>
      <x:c r="AO65" s="13" t="n">
        <x:v>0.5324802244356712</x:v>
      </x:c>
      <x:c r="AP65" s="13" t="n">
        <x:v>-0.2614371653586759</x:v>
      </x:c>
    </x:row>
    <x:row r="66" ht="15" hidden="0" customHeight="1">
      <x:c r="A66" s="2" t="str">
        <x:v>E65</x:v>
      </x:c>
      <x:c r="B66" s="2" t="str">
        <x:v>***商贸有限公司</x:v>
      </x:c>
      <x:c r="C66" s="2" t="str">
        <x:v>有信贷记录</x:v>
      </x:c>
      <x:c r="D66" s="2" t="str">
        <x:v>B</x:v>
      </x:c>
      <x:c r="E66" s="2" t="str">
        <x:v>否</x:v>
      </x:c>
      <x:c r="F66" s="13" t="n">
        <x:v>-0.3405386441814525</x:v>
      </x:c>
      <x:c r="G66" s="13" t="n">
        <x:v>-0.33386858558515553</x:v>
      </x:c>
      <x:c r="H66" s="13" t="n">
        <x:v>-0.4336789722623741</x:v>
      </x:c>
      <x:c r="I66" s="13" t="n">
        <x:v>-0.46027843520127304</x:v>
      </x:c>
      <x:c r="J66" s="13" t="n">
        <x:v>-0.4735284556796476</x:v>
      </x:c>
      <x:c r="K66" s="13" t="n">
        <x:v>-0.4776589184754917</x:v>
      </x:c>
      <x:c r="L66" s="13" t="n">
        <x:v>-0.599309450237096</x:v>
      </x:c>
      <x:c r="M66" s="13" t="n">
        <x:v>-0.6277613127358207</x:v>
      </x:c>
      <x:c r="N66" s="13" t="n">
        <x:v>-0.7216149855326618</x:v>
      </x:c>
      <x:c r="O66" s="13" t="n">
        <x:v>2.010328737104432</x:v>
      </x:c>
      <x:c r="P66" s="13" t="n">
        <x:v>1.9047912133260527</x:v>
      </x:c>
      <x:c r="Q66" s="13" t="n">
        <x:v>-0.4853596648091761</x:v>
      </x:c>
      <x:c r="R66" s="13" t="n">
        <x:v>-0.537076720559963</x:v>
      </x:c>
      <x:c r="S66" s="13" t="n">
        <x:v>-0.5482299392575308</x:v>
      </x:c>
      <x:c r="T66" s="13" t="n">
        <x:v>0.44742648418936415</x:v>
      </x:c>
      <x:c r="U66" s="13" t="n">
        <x:v>-0.3041159485129788</x:v>
      </x:c>
      <x:c r="V66" s="13" t="n">
        <x:v>-0.29163651927734</x:v>
      </x:c>
      <x:c r="W66" s="13" t="n">
        <x:v>-0.4103956405401595</x:v>
      </x:c>
      <x:c r="X66" s="13" t="n">
        <x:v>-0.24627586346599628</x:v>
      </x:c>
      <x:c r="Y66" s="13" t="n">
        <x:v>-0.4774340424223215</x:v>
      </x:c>
      <x:c r="Z66" s="13" t="n">
        <x:v>-0.41857866550439843</x:v>
      </x:c>
      <x:c r="AA66" s="13" t="n">
        <x:v>-0.2629900339792649</x:v>
      </x:c>
      <x:c r="AB66" s="13" t="n">
        <x:v>-0.5089333573740439</x:v>
      </x:c>
      <x:c r="AC66" s="13" t="n">
        <x:v>-0.18323689693460826</x:v>
      </x:c>
      <x:c r="AD66" s="13" t="n">
        <x:v>-0.24280699402282835</x:v>
      </x:c>
      <x:c r="AE66" s="13" t="n">
        <x:v>0.14348658774059675</x:v>
      </x:c>
      <x:c r="AF66" s="13" t="n">
        <x:v>-0.4960398066473609</x:v>
      </x:c>
      <x:c r="AG66" s="13" t="n">
        <x:v>-1.0334260518286822</x:v>
      </x:c>
      <x:c r="AH66" s="13" t="n">
        <x:v>-0.048988086244512896</x:v>
      </x:c>
      <x:c r="AI66" s="13" t="n">
        <x:v>0.857599070347957</x:v>
      </x:c>
      <x:c r="AJ66" s="13" t="n">
        <x:v>-0.3584628034109941</x:v>
      </x:c>
      <x:c r="AK66" s="13" t="n">
        <x:v>-0.1343383359837558</x:v>
      </x:c>
      <x:c r="AL66" s="13" t="n">
        <x:v>-0.6361313001404442</x:v>
      </x:c>
      <x:c r="AM66" s="13" t="n">
        <x:v>-0.3836332376105543</x:v>
      </x:c>
      <x:c r="AN66" s="13" t="n">
        <x:v>1.300186073028929</x:v>
      </x:c>
      <x:c r="AO66" s="13" t="n">
        <x:v>-0.8516165420204657</x:v>
      </x:c>
      <x:c r="AP66" s="13" t="n">
        <x:v>-0.36445806703501227</x:v>
      </x:c>
    </x:row>
    <x:row r="67" ht="15" hidden="0" customHeight="1">
      <x:c r="A67" s="2" t="str">
        <x:v>E66</x:v>
      </x:c>
      <x:c r="B67" s="2" t="str">
        <x:v>***快递有限公司</x:v>
      </x:c>
      <x:c r="C67" s="2" t="str">
        <x:v>有信贷记录</x:v>
      </x:c>
      <x:c r="D67" s="2" t="str">
        <x:v>B</x:v>
      </x:c>
      <x:c r="E67" s="2" t="str">
        <x:v>否</x:v>
      </x:c>
      <x:c r="F67" s="13" t="n">
        <x:v>-0.3451743666323505</x:v>
      </x:c>
      <x:c r="G67" s="13" t="n">
        <x:v>-0.3357865756119219</x:v>
      </x:c>
      <x:c r="H67" s="13" t="n">
        <x:v>-0.497466327587347</x:v>
      </x:c>
      <x:c r="I67" s="13" t="n">
        <x:v>-0.4173966045728936</x:v>
      </x:c>
      <x:c r="J67" s="13" t="n">
        <x:v>-0.46278180396655105</x:v>
      </x:c>
      <x:c r="K67" s="13" t="n">
        <x:v>-0.46704740413234275</x:v>
      </x:c>
      <x:c r="L67" s="13" t="n">
        <x:v>-0.6236489829386975</x:v>
      </x:c>
      <x:c r="M67" s="13" t="n">
        <x:v>-1.018000738883253</x:v>
      </x:c>
      <x:c r="N67" s="13" t="n">
        <x:v>-0.5337947179514725</x:v>
      </x:c>
      <x:c r="O67" s="13" t="n">
        <x:v>1.9475149554121798</x:v>
      </x:c>
      <x:c r="P67" s="13" t="n">
        <x:v>1.8626955460876926</x:v>
      </x:c>
      <x:c r="Q67" s="13" t="n">
        <x:v>-0.46371531892642365</x:v>
      </x:c>
      <x:c r="R67" s="13" t="n">
        <x:v>-0.5053365042159843</x:v>
      </x:c>
      <x:c r="S67" s="13" t="n">
        <x:v>0.333919554264926</x:v>
      </x:c>
      <x:c r="T67" s="13" t="n">
        <x:v>0.35324309846351976</x:v>
      </x:c>
      <x:c r="U67" s="13" t="n">
        <x:v>-0.2018869531636704</x:v>
      </x:c>
      <x:c r="V67" s="13" t="n">
        <x:v>-0.19457765145316913</x:v>
      </x:c>
      <x:c r="W67" s="13" t="n">
        <x:v>-0.25304481306415555</x:v>
      </x:c>
      <x:c r="X67" s="13" t="n">
        <x:v>-0.2669602715868311</x:v>
      </x:c>
      <x:c r="Y67" s="13" t="n">
        <x:v>-0.506558469389101</x:v>
      </x:c>
      <x:c r="Z67" s="13" t="n">
        <x:v>-0.44188174182236484</x:v>
      </x:c>
      <x:c r="AA67" s="13" t="n">
        <x:v>-0.03270152166256617</x:v>
      </x:c>
      <x:c r="AB67" s="13" t="n">
        <x:v>-0.39951517160822003</x:v>
      </x:c>
      <x:c r="AC67" s="13" t="n">
        <x:v>-0.37834694905865324</x:v>
      </x:c>
      <x:c r="AD67" s="13" t="n">
        <x:v>-0.340917590037898</x:v>
      </x:c>
      <x:c r="AE67" s="13" t="n">
        <x:v>-0.04291267868836137</x:v>
      </x:c>
      <x:c r="AF67" s="13" t="n">
        <x:v>-0.5096733581711167</x:v>
      </x:c>
      <x:c r="AG67" s="13" t="n">
        <x:v>-0.0749796605073247</x:v>
      </x:c>
      <x:c r="AH67" s="13" t="n">
        <x:v>1.8295664884503873</x:v>
      </x:c>
      <x:c r="AI67" s="13" t="n">
        <x:v>-0.04806532614042929</x:v>
      </x:c>
      <x:c r="AJ67" s="13" t="n">
        <x:v>-0.41491563671732873</x:v>
      </x:c>
      <x:c r="AK67" s="13" t="n">
        <x:v>0.03700062279576187</x:v>
      </x:c>
      <x:c r="AL67" s="13" t="n">
        <x:v>-0.5205632657796111</x:v>
      </x:c>
      <x:c r="AM67" s="13" t="n">
        <x:v>-0.43953921470727825</x:v>
      </x:c>
      <x:c r="AN67" s="13" t="n">
        <x:v>1.1943375511831922</x:v>
      </x:c>
      <x:c r="AO67" s="13" t="n">
        <x:v>-0.3788151334257704</x:v>
      </x:c>
      <x:c r="AP67" s="13" t="n">
        <x:v>1.12202116281607</x:v>
      </x:c>
    </x:row>
    <x:row r="68" ht="15" hidden="0" customHeight="1">
      <x:c r="A68" s="2" t="str">
        <x:v>E67</x:v>
      </x:c>
      <x:c r="B68" s="2" t="str">
        <x:v>***信息技术有限公司</x:v>
      </x:c>
      <x:c r="C68" s="2" t="str">
        <x:v>有信贷记录</x:v>
      </x:c>
      <x:c r="D68" s="2" t="str">
        <x:v>B</x:v>
      </x:c>
      <x:c r="E68" s="2" t="str">
        <x:v>否</x:v>
      </x:c>
      <x:c r="F68" s="13" t="n">
        <x:v>-0.3127243094760646</x:v>
      </x:c>
      <x:c r="G68" s="13" t="n">
        <x:v>-0.3108527052639595</x:v>
      </x:c>
      <x:c r="H68" s="13" t="n">
        <x:v>-0.30610426161242843</x:v>
      </x:c>
      <x:c r="I68" s="13" t="n">
        <x:v>-0.37451477394451427</x:v>
      </x:c>
      <x:c r="J68" s="13" t="n">
        <x:v>-0.5443543260743846</x:v>
      </x:c>
      <x:c r="K68" s="13" t="n">
        <x:v>-0.5470523218557426</x:v>
      </x:c>
      <x:c r="L68" s="13" t="n">
        <x:v>-0.1186036793804681</x:v>
      </x:c>
      <x:c r="M68" s="13" t="n">
        <x:v>0.0359212131018034</x:v>
      </x:c>
      <x:c r="N68" s="13" t="n">
        <x:v>-0.37712805137258576</x:v>
      </x:c>
      <x:c r="O68" s="13" t="n">
        <x:v>-0.7943266994275148</x:v>
      </x:c>
      <x:c r="P68" s="13" t="n">
        <x:v>-1.0105724847938886</x:v>
      </x:c>
      <x:c r="Q68" s="13" t="n">
        <x:v>-0.5611468910145316</x:v>
      </x:c>
      <x:c r="R68" s="13" t="n">
        <x:v>0.7797922121972947</x:v>
      </x:c>
      <x:c r="S68" s="13" t="n">
        <x:v>1.0275602487724103</x:v>
      </x:c>
      <x:c r="T68" s="13" t="n">
        <x:v>0.918343412818586</x:v>
      </x:c>
      <x:c r="U68" s="13" t="n">
        <x:v>-0.446393416267171</x:v>
      </x:c>
      <x:c r="V68" s="13" t="n">
        <x:v>-0.43918843972680205</x:v>
      </x:c>
      <x:c r="W68" s="13" t="n">
        <x:v>-0.46284591636549416</x:v>
      </x:c>
      <x:c r="X68" s="13" t="n">
        <x:v>-0.32901349594933565</x:v>
      </x:c>
      <x:c r="Y68" s="13" t="n">
        <x:v>-0.49948119716595263</x:v>
      </x:c>
      <x:c r="Z68" s="13" t="n">
        <x:v>-0.4350024871784639</x:v>
      </x:c>
      <x:c r="AA68" s="13" t="n">
        <x:v>-0.3428860484564869</x:v>
      </x:c>
      <x:c r="AB68" s="13" t="n">
        <x:v>-0.13645915084201182</x:v>
      </x:c>
      <x:c r="AC68" s="13" t="n">
        <x:v>-0.1751927062351663</x:v>
      </x:c>
      <x:c r="AD68" s="13" t="n">
        <x:v>-0.47175128079275774</x:v>
      </x:c>
      <x:c r="AE68" s="13" t="n">
        <x:v>-0.4548344086281075</x:v>
      </x:c>
      <x:c r="AF68" s="13" t="n">
        <x:v>-0.5150491297846839</x:v>
      </x:c>
      <x:c r="AG68" s="13" t="n">
        <x:v>0.48117499824106896</x:v>
      </x:c>
      <x:c r="AH68" s="13" t="n">
        <x:v>1.2901142550192521</x:v>
      </x:c>
      <x:c r="AI68" s="13" t="n">
        <x:v>-0.3499534583032247</x:v>
      </x:c>
      <x:c r="AJ68" s="13" t="n">
        <x:v>-0.34036691026839677</x:v>
      </x:c>
      <x:c r="AK68" s="13" t="n">
        <x:v>-0.26579985776455806</x:v>
      </x:c>
      <x:c r="AL68" s="13" t="n">
        <x:v>-0.3889545536650006</x:v>
      </x:c>
      <x:c r="AM68" s="13" t="n">
        <x:v>-0.42271405315459454</x:v>
      </x:c>
      <x:c r="AN68" s="13" t="n">
        <x:v>-0.8620783581412369</x:v>
      </x:c>
      <x:c r="AO68" s="13" t="n">
        <x:v>0.7544252482820878</x:v>
      </x:c>
      <x:c r="AP68" s="13" t="n">
        <x:v>1.2752710485113388</x:v>
      </x:c>
    </x:row>
    <x:row r="69" ht="15" hidden="0" customHeight="1">
      <x:c r="A69" s="2" t="str">
        <x:v>E68</x:v>
      </x:c>
      <x:c r="B69" s="2" t="str">
        <x:v>***花木总公司</x:v>
      </x:c>
      <x:c r="C69" s="2" t="str">
        <x:v>有信贷记录</x:v>
      </x:c>
      <x:c r="D69" s="2" t="str">
        <x:v>C</x:v>
      </x:c>
      <x:c r="E69" s="2" t="str">
        <x:v>否</x:v>
      </x:c>
      <x:c r="F69" s="13" t="n">
        <x:v>-0.6112648353138947</x:v>
      </x:c>
      <x:c r="G69" s="13" t="n">
        <x:v>-0.6100591494395083</x:v>
      </x:c>
      <x:c r="H69" s="13" t="n">
        <x:v>-0.518728779362338</x:v>
      </x:c>
      <x:c r="I69" s="13" t="n">
        <x:v>-0.46027843520127304</x:v>
      </x:c>
      <x:c r="J69" s="13" t="n">
        <x:v>-0.570087565248295</x:v>
      </x:c>
      <x:c r="K69" s="13" t="n">
        <x:v>-0.5725110086551525</x:v>
      </x:c>
      <x:c r="L69" s="13" t="n">
        <x:v>-0.7088373473943025</x:v>
      </x:c>
      <x:c r="M69" s="13" t="n">
        <x:v>-1.151103901665672</x:v>
      </x:c>
      <x:c r="N69" s="13" t="n">
        <x:v>-0.7216149855326618</x:v>
      </x:c>
      <x:c r="O69" s="13" t="n">
        <x:v>1.3051202526372108</x:v>
      </x:c>
      <x:c r="P69" s="13" t="n">
        <x:v>1.3424861048313566</x:v>
      </x:c>
      <x:c r="Q69" s="13" t="n">
        <x:v>-0.5857795758489589</x:v>
      </x:c>
      <x:c r="R69" s="13" t="n">
        <x:v>0.5474759686497612</x:v>
      </x:c>
      <x:c r="S69" s="13" t="n">
        <x:v>-1.1677952290634206</x:v>
      </x:c>
      <x:c r="T69" s="13" t="n">
        <x:v>-2.378075087585967</x:v>
      </x:c>
      <x:c r="U69" s="13" t="n">
        <x:v>-0.5212208252341906</x:v>
      </x:c>
      <x:c r="V69" s="13" t="n">
        <x:v>-0.5104397473202685</x:v>
      </x:c>
      <x:c r="W69" s="13" t="n">
        <x:v>-0.5752393645626398</x:v>
      </x:c>
      <x:c r="X69" s="13" t="n">
        <x:v>-0.3910667203118402</x:v>
      </x:c>
      <x:c r="Y69" s="13" t="n">
        <x:v>-0.4979414530633848</x:v>
      </x:c>
      <x:c r="Z69" s="13" t="n">
        <x:v>-0.43546634408412876</x:v>
      </x:c>
      <x:c r="AA69" s="13" t="n">
        <x:v>-0.3804841729163561</x:v>
      </x:c>
      <x:c r="AB69" s="13" t="n">
        <x:v>-0.11489465490533868</x:v>
      </x:c>
      <x:c r="AC69" s="13" t="n">
        <x:v>-0.6980651016988949</x:v>
      </x:c>
      <x:c r="AD69" s="13" t="n">
        <x:v>1.0157535330467873</x:v>
      </x:c>
      <x:c r="AE69" s="13" t="n">
        <x:v>0.9875107627455424</x:v>
      </x:c>
      <x:c r="AF69" s="13" t="n">
        <x:v>-0.485180061939599</x:v>
      </x:c>
      <x:c r="AG69" s="13" t="n">
        <x:v>1.0376573530567321</x:v>
      </x:c>
      <x:c r="AH69" s="13" t="n">
        <x:v>-2.1626592216519303</x:v>
      </x:c>
      <x:c r="AI69" s="13" t="n">
        <x:v>-1.658135364342005</x:v>
      </x:c>
      <x:c r="AJ69" s="13" t="n">
        <x:v>-0.31799550675488875</x:v>
      </x:c>
      <x:c r="AK69" s="13" t="n">
        <x:v>-0.3429214597564249</x:v>
      </x:c>
      <x:c r="AL69" s="13" t="n">
        <x:v>0.5592461064196662</x:v>
      </x:c>
      <x:c r="AM69" s="13" t="n">
        <x:v>-0.7815911692517314</x:v>
      </x:c>
      <x:c r="AN69" s="13" t="n">
        <x:v>1.5692783630992382</x:v>
      </x:c>
      <x:c r="AO69" s="13" t="n">
        <x:v>0.8589210863407787</x:v>
      </x:c>
      <x:c r="AP69" s="13" t="n">
        <x:v>-1.8084857930723321</x:v>
      </x:c>
    </x:row>
    <x:row r="70" ht="15" hidden="0" customHeight="1">
      <x:c r="A70" s="2" t="str">
        <x:v>E69</x:v>
      </x:c>
      <x:c r="B70" s="2" t="str">
        <x:v>***电子器材经营部</x:v>
      </x:c>
      <x:c r="C70" s="2" t="str">
        <x:v>有信贷记录</x:v>
      </x:c>
      <x:c r="D70" s="2" t="str">
        <x:v>C</x:v>
      </x:c>
      <x:c r="E70" s="2" t="str">
        <x:v>否</x:v>
      </x:c>
      <x:c r="F70" s="13" t="n">
        <x:v>-0.6117284075589845</x:v>
      </x:c>
      <x:c r="G70" s="13" t="n">
        <x:v>-0.6105386469461999</x:v>
      </x:c>
      <x:c r="H70" s="13" t="n">
        <x:v>-0.518728779362338</x:v>
      </x:c>
      <x:c r="I70" s="13" t="n">
        <x:v>-0.46027843520127304</x:v>
      </x:c>
      <x:c r="J70" s="13" t="n">
        <x:v>-0.570037478022483</x:v>
      </x:c>
      <x:c r="K70" s="13" t="n">
        <x:v>-0.5724618068959317</x:v>
      </x:c>
      <x:c r="L70" s="13" t="n">
        <x:v>-0.7118797889820027</x:v>
      </x:c>
      <x:c r="M70" s="13" t="n">
        <x:v>-1.151103901665672</x:v>
      </x:c>
      <x:c r="N70" s="13" t="n">
        <x:v>-0.7216149855326618</x:v>
      </x:c>
      <x:c r="O70" s="13" t="n">
        <x:v>2.6494337955283003</x:v>
      </x:c>
      <x:c r="P70" s="13" t="n">
        <x:v>2.2482144815216887</x:v>
      </x:c>
      <x:c r="Q70" s="13" t="n">
        <x:v>-0.5834542870891637</x:v>
      </x:c>
      <x:c r="R70" s="13" t="n">
        <x:v>-1.2639507400639614</x:v>
      </x:c>
      <x:c r="S70" s="13" t="n">
        <x:v>-0.31703243974069</x:v>
      </x:c>
      <x:c r="T70" s="13" t="n">
        <x:v>-2.472258473311811</x:v>
      </x:c>
      <x:c r="U70" s="13" t="n">
        <x:v>-0.2503666829169507</x:v>
      </x:c>
      <x:c r="V70" s="13" t="n">
        <x:v>-0.2534862128493422</x:v>
      </x:c>
      <x:c r="W70" s="13" t="n">
        <x:v>-0.15563715795996266</x:v>
      </x:c>
      <x:c r="X70" s="13" t="n">
        <x:v>0.41562519640071866</x:v>
      </x:c>
      <x:c r="Y70" s="13" t="n">
        <x:v>-0.5184692761540318</x:v>
      </x:c>
      <x:c r="Z70" s="13" t="n">
        <x:v>-0.44620117883056</x:v>
      </x:c>
      <x:c r="AA70" s="13" t="n">
        <x:v>-0.3475858140139706</x:v>
      </x:c>
      <x:c r="AB70" s="13" t="n">
        <x:v>-0.11951811437403989</x:v>
      </x:c>
      <x:c r="AC70" s="13" t="n">
        <x:v>1.7973259099215002</x:v>
      </x:c>
      <x:c r="AD70" s="13" t="n">
        <x:v>2.1397454039555286</x:v>
      </x:c>
      <x:c r="AE70" s="13" t="n">
        <x:v>2.03546256208638</x:v>
      </x:c>
      <x:c r="AF70" s="13" t="n">
        <x:v>-0.5059711817719792</x:v>
      </x:c>
      <x:c r="AG70" s="13" t="n">
        <x:v>-0.5407694513169866</x:v>
      </x:c>
      <x:c r="AH70" s="13" t="n">
        <x:v>0.9674674995159425</x:v>
      </x:c>
      <x:c r="AI70" s="13" t="n">
        <x:v>-0.8531003452412171</x:v>
      </x:c>
      <x:c r="AJ70" s="13" t="n">
        <x:v>-0.35198848414054595</x:v>
      </x:c>
      <x:c r="AK70" s="13" t="n">
        <x:v>-0.3427773009380801</x:v>
      </x:c>
      <x:c r="AL70" s="13" t="n">
        <x:v>0.6205492714470034</x:v>
      </x:c>
      <x:c r="AM70" s="13" t="n">
        <x:v>3.5935591991675997</x:v>
      </x:c>
      <x:c r="AN70" s="13" t="n">
        <x:v>3.1377122917985374</x:v>
      </x:c>
      <x:c r="AO70" s="13" t="n">
        <x:v>-1.3439098096061022</x:v>
      </x:c>
      <x:c r="AP70" s="13" t="n">
        <x:v>0.2890782110229731</x:v>
      </x:c>
    </x:row>
    <x:row r="71" ht="15" hidden="0" customHeight="1">
      <x:c r="A71" s="2" t="str">
        <x:v>E70</x:v>
      </x:c>
      <x:c r="B71" s="2" t="str">
        <x:v>***科技有限公司</x:v>
      </x:c>
      <x:c r="C71" s="2" t="str">
        <x:v>有信贷记录</x:v>
      </x:c>
      <x:c r="D71" s="2" t="str">
        <x:v>B</x:v>
      </x:c>
      <x:c r="E71" s="2" t="str">
        <x:v>否</x:v>
      </x:c>
      <x:c r="F71" s="13" t="n">
        <x:v>0.23521808422007695</x:v>
      </x:c>
      <x:c r="G71" s="13" t="n">
        <x:v>0.2453644024982787</x:v>
      </x:c>
      <x:c r="H71" s="13" t="n">
        <x:v>-0.07221729208752804</x:v>
      </x:c>
      <x:c r="I71" s="13" t="n">
        <x:v>-0.20298745143099672</x:v>
      </x:c>
      <x:c r="J71" s="13" t="n">
        <x:v>-0.4485890870618151</x:v>
      </x:c>
      <x:c r="K71" s="13" t="n">
        <x:v>-0.45239234082706253</x:v>
      </x:c>
      <x:c r="L71" s="13" t="n">
        <x:v>-0.14294321208206953</x:v>
      </x:c>
      <x:c r="M71" s="13" t="n">
        <x:v>-0.26930454494912254</x:v>
      </x:c>
      <x:c r="N71" s="13" t="n">
        <x:v>-0.3590073060949992</x:v>
      </x:c>
      <x:c r="O71" s="13" t="n">
        <x:v>-0.7363580728330327</x:v>
      </x:c>
      <x:c r="P71" s="13" t="n">
        <x:v>-0.6591657193539163</x:v>
      </x:c>
      <x:c r="Q71" s="13" t="n">
        <x:v>-0.4693965918244981</x:v>
      </x:c>
      <x:c r="R71" s="13" t="n">
        <x:v>-0.5212097541883219</x:v>
      </x:c>
      <x:c r="S71" s="13" t="n">
        <x:v>0.16638600430066536</x:v>
      </x:c>
      <x:c r="T71" s="13" t="n">
        <x:v>0.918343412818586</x:v>
      </x:c>
      <x:c r="U71" s="13" t="n">
        <x:v>-0.25510926517542376</x:v>
      </x:c>
      <x:c r="V71" s="13" t="n">
        <x:v>-0.28378204442451693</x:v>
      </x:c>
      <x:c r="W71" s="13" t="n">
        <x:v>0.18154318663147437</x:v>
      </x:c>
      <x:c r="X71" s="13" t="n">
        <x:v>-0.10148500662015238</x:v>
      </x:c>
      <x:c r="Y71" s="13" t="n">
        <x:v>-0.45402699195378615</x:v>
      </x:c>
      <x:c r="Z71" s="13" t="n">
        <x:v>-0.3981673590754576</x:v>
      </x:c>
      <x:c r="AA71" s="13" t="n">
        <x:v>-0.2606401512005231</x:v>
      </x:c>
      <x:c r="AB71" s="13" t="n">
        <x:v>0.5371861099583768</x:v>
      </x:c>
      <x:c r="AC71" s="13" t="n">
        <x:v>0.30085529560494484</x:v>
      </x:c>
      <x:c r="AD71" s="13" t="n">
        <x:v>-0.42127372869756885</x:v>
      </x:c>
      <x:c r="AE71" s="13" t="n">
        <x:v>-0.11977945115634743</x:v>
      </x:c>
      <x:c r="AF71" s="13" t="n">
        <x:v>-0.4777343803175105</x:v>
      </x:c>
      <x:c r="AG71" s="13" t="n">
        <x:v>-0.019606833104546764</x:v>
      </x:c>
      <x:c r="AH71" s="13" t="n">
        <x:v>-0.2839385527458039</x:v>
      </x:c>
      <x:c r="AI71" s="13" t="n">
        <x:v>0.7569696929603585</x:v>
      </x:c>
      <x:c r="AJ71" s="13" t="n">
        <x:v>-0.3389589541614946</x:v>
      </x:c>
      <x:c r="AK71" s="13" t="n">
        <x:v>-0.14597194897654378</x:v>
      </x:c>
      <x:c r="AL71" s="13" t="n">
        <x:v>-0.16894227865682254</x:v>
      </x:c>
      <x:c r="AM71" s="13" t="n">
        <x:v>-0.26045578257876134</x:v>
      </x:c>
      <x:c r="AN71" s="13" t="n">
        <x:v>-0.7891368651100512</x:v>
      </x:c>
      <x:c r="AO71" s="13" t="n">
        <x:v>-0.363505901365853</x:v>
      </x:c>
      <x:c r="AP71" s="13" t="n">
        <x:v>-0.04500654849955975</x:v>
      </x:c>
    </x:row>
    <x:row r="72" ht="15" hidden="0" customHeight="1">
      <x:c r="A72" s="2" t="str">
        <x:v>E71</x:v>
      </x:c>
      <x:c r="B72" s="2" t="str">
        <x:v>***农业科技有限公司</x:v>
      </x:c>
      <x:c r="C72" s="2" t="str">
        <x:v>有信贷记录</x:v>
      </x:c>
      <x:c r="D72" s="2" t="str">
        <x:v>B</x:v>
      </x:c>
      <x:c r="E72" s="2" t="str">
        <x:v>否</x:v>
      </x:c>
      <x:c r="F72" s="13" t="n">
        <x:v>-0.029018095481108074</x:v>
      </x:c>
      <x:c r="G72" s="13" t="n">
        <x:v>-0.033703146396223564</x:v>
      </x:c>
      <x:c r="H72" s="13" t="n">
        <x:v>0.055357418562417646</x:v>
      </x:c>
      <x:c r="I72" s="13" t="n">
        <x:v>0.14006719359603836</x:v>
      </x:c>
      <x:c r="J72" s="13" t="n">
        <x:v>-0.3704542530072162</x:v>
      </x:c>
      <x:c r="K72" s="13" t="n">
        <x:v>-0.33487856134535116</x:v>
      </x:c>
      <x:c r="L72" s="13" t="n">
        <x:v>0.1460887387494473</x:v>
      </x:c>
      <x:c r="M72" s="13" t="n">
        <x:v>0.4959288012630832</x:v>
      </x:c>
      <x:c r="N72" s="13" t="n">
        <x:v>0.5331179223748683</x:v>
      </x:c>
      <x:c r="O72" s="13" t="n">
        <x:v>0.45296279896173086</x:v>
      </x:c>
      <x:c r="P72" s="13" t="n">
        <x:v>0.6768225379582737</x:v>
      </x:c>
      <x:c r="Q72" s="13" t="n">
        <x:v>-0.3781423001082561</x:v>
      </x:c>
      <x:c r="R72" s="13" t="n">
        <x:v>1.5459764784544374</x:v>
      </x:c>
      <x:c r="S72" s="13" t="n">
        <x:v>-1.4318727820012593</x:v>
      </x:c>
      <x:c r="T72" s="13" t="n">
        <x:v>0.6357932556410528</x:v>
      </x:c>
      <x:c r="U72" s="13" t="n">
        <x:v>-0.36208084278320524</x:v>
      </x:c>
      <x:c r="V72" s="13" t="n">
        <x:v>-0.3454957754109839</x:v>
      </x:c>
      <x:c r="W72" s="13" t="n">
        <x:v>-0.5152961921908288</x:v>
      </x:c>
      <x:c r="X72" s="13" t="n">
        <x:v>-0.3703823121910053</x:v>
      </x:c>
      <x:c r="Y72" s="13" t="n">
        <x:v>-0.4396650195011172</x:v>
      </x:c>
      <x:c r="Z72" s="13" t="n">
        <x:v>-0.3897160481706002</x:v>
      </x:c>
      <x:c r="AA72" s="13" t="n">
        <x:v>0.2798328879100964</x:v>
      </x:c>
      <x:c r="AB72" s="13" t="n">
        <x:v>-0.6673384701597671</x:v>
      </x:c>
      <x:c r="AC72" s="13" t="n">
        <x:v>-0.6048510813376732</x:v>
      </x:c>
      <x:c r="AD72" s="13" t="n">
        <x:v>-0.5843534439208671</x:v>
      </x:c>
      <x:c r="AE72" s="13" t="n">
        <x:v>-0.18471649069187168</x:v>
      </x:c>
      <x:c r="AF72" s="13" t="n">
        <x:v>-0.44761251347414255</x:v>
      </x:c>
      <x:c r="AG72" s="13" t="n">
        <x:v>1.4462556377866689</x:v>
      </x:c>
      <x:c r="AH72" s="13" t="n">
        <x:v>-0.557850934601904</x:v>
      </x:c>
      <x:c r="AI72" s="13" t="n">
        <x:v>-1.054359100016414</x:v>
      </x:c>
      <x:c r="AJ72" s="13" t="n">
        <x:v>-0.3753973859494017</x:v>
      </x:c>
      <x:c r="AK72" s="13" t="n">
        <x:v>0.009654860915668907</x:v>
      </x:c>
      <x:c r="AL72" s="13" t="n">
        <x:v>-0.5095674475569529</x:v>
      </x:c>
      <x:c r="AM72" s="13" t="n">
        <x:v>-0.21780531615028303</x:v>
      </x:c>
      <x:c r="AN72" s="13" t="n">
        <x:v>-0.032888277612204725</x:v>
      </x:c>
      <x:c r="AO72" s="13" t="n">
        <x:v>1.7283378668718552</x:v>
      </x:c>
      <x:c r="AP72" s="13" t="n">
        <x:v>-1.1620527695684968</x:v>
      </x:c>
    </x:row>
    <x:row r="73" ht="15" hidden="0" customHeight="1">
      <x:c r="A73" s="2" t="str">
        <x:v>E72</x:v>
      </x:c>
      <x:c r="B73" s="2" t="str">
        <x:v>***图书有限公司</x:v>
      </x:c>
      <x:c r="C73" s="2" t="str">
        <x:v>有信贷记录</x:v>
      </x:c>
      <x:c r="D73" s="2" t="str">
        <x:v>C</x:v>
      </x:c>
      <x:c r="E73" s="2" t="str">
        <x:v>否</x:v>
      </x:c>
      <x:c r="F73" s="13" t="n">
        <x:v>-0.5584175993736578</x:v>
      </x:c>
      <x:c r="G73" s="13" t="n">
        <x:v>-0.5568349261967424</x:v>
      </x:c>
      <x:c r="H73" s="13" t="n">
        <x:v>-0.4868351016998515</x:v>
      </x:c>
      <x:c r="I73" s="13" t="n">
        <x:v>-0.37451477394451427</x:v>
      </x:c>
      <x:c r="J73" s="13" t="n">
        <x:v>-0.5392315439047237</x:v>
      </x:c>
      <x:c r="K73" s="13" t="n">
        <x:v>-0.5239173367209253</x:v>
      </x:c>
      <x:c r="L73" s="13" t="n">
        <x:v>-0.5506303848338933</x:v>
      </x:c>
      <x:c r="M73" s="13" t="n">
        <x:v>-0.1664817872367533</x:v>
      </x:c>
      <x:c r="N73" s="13" t="n">
        <x:v>1.1730631523477564</x:v>
      </x:c>
      <x:c r="O73" s="13" t="n">
        <x:v>1.6384822373657022</x:v>
      </x:c>
      <x:c r="P73" s="13" t="n">
        <x:v>1.6542284532252796</x:v>
      </x:c>
      <x:c r="Q73" s="13" t="n">
        <x:v>-0.5527592880574598</x:v>
      </x:c>
      <x:c r="R73" s="13" t="n">
        <x:v>0.6913111195577413</x:v>
      </x:c>
      <x:c r="S73" s="13" t="n">
        <x:v>0.5707395388360773</x:v>
      </x:c>
      <x:c r="T73" s="13" t="n">
        <x:v>0.2590597127376754</x:v>
      </x:c>
      <x:c r="U73" s="13" t="n">
        <x:v>-0.42900394798610303</x:v>
      </x:c>
      <x:c r="V73" s="13" t="n">
        <x:v>-0.4481649824157427</x:v>
      </x:c>
      <x:c r="W73" s="13" t="n">
        <x:v>-0.09569398558815162</x:v>
      </x:c>
      <x:c r="X73" s="13" t="n">
        <x:v>-0.3910667203118402</x:v>
      </x:c>
      <x:c r="Y73" s="13" t="n">
        <x:v>-0.5120319743342154</x:v>
      </x:c>
      <x:c r="Z73" s="13" t="n">
        <x:v>-0.4463977491523147</x:v>
      </x:c>
      <x:c r="AA73" s="13" t="n">
        <x:v>-0.3311366345627778</x:v>
      </x:c>
      <x:c r="AB73" s="13" t="n">
        <x:v>1.3770596725465554</x:v>
      </x:c>
      <x:c r="AC73" s="13" t="n">
        <x:v>-0.6980651016988949</x:v>
      </x:c>
      <x:c r="AD73" s="13" t="n">
        <x:v>-0.4852365641409655</x:v>
      </x:c>
      <x:c r="AE73" s="13" t="n">
        <x:v>-0.3189657366957002</x:v>
      </x:c>
      <x:c r="AF73" s="13" t="n">
        <x:v>-0.5284285712827188</x:v>
      </x:c>
      <x:c r="AG73" s="13" t="n">
        <x:v>0.6790653417773466</x:v>
      </x:c>
      <x:c r="AH73" s="13" t="n">
        <x:v>0.9401489641508838</x:v>
      </x:c>
      <x:c r="AI73" s="13" t="n">
        <x:v>-0.9537297226288156</x:v>
      </x:c>
      <x:c r="AJ73" s="13" t="n">
        <x:v>-0.36507326116997196</x:v>
      </x:c>
      <x:c r="AK73" s="13" t="n">
        <x:v>-0.1432025518435537</x:v>
      </x:c>
      <x:c r="AL73" s="13" t="n">
        <x:v>2.2751468886163497</x:v>
      </x:c>
      <x:c r="AM73" s="13" t="n">
        <x:v>-0.37618377879165543</x:v>
      </x:c>
      <x:c r="AN73" s="13" t="n">
        <x:v>0.8825412210938647</x:v>
      </x:c>
      <x:c r="AO73" s="13" t="n">
        <x:v>0.7876066721162588</x:v>
      </x:c>
      <x:c r="AP73" s="13" t="n">
        <x:v>0.8191726439403474</x:v>
      </x:c>
    </x:row>
    <x:row r="74" ht="15" hidden="0" customHeight="1">
      <x:c r="A74" s="2" t="str">
        <x:v>E73</x:v>
      </x:c>
      <x:c r="B74" s="2" t="str">
        <x:v>***商贸有限责任公司</x:v>
      </x:c>
      <x:c r="C74" s="2" t="str">
        <x:v>有信贷记录</x:v>
      </x:c>
      <x:c r="D74" s="2" t="str">
        <x:v>C</x:v>
      </x:c>
      <x:c r="E74" s="2" t="str">
        <x:v>否</x:v>
      </x:c>
      <x:c r="F74" s="13" t="n">
        <x:v>-0.33173077152474634</x:v>
      </x:c>
      <x:c r="G74" s="13" t="n">
        <x:v>-0.3237991379446323</x:v>
      </x:c>
      <x:c r="H74" s="13" t="n">
        <x:v>-0.4549414240373651</x:v>
      </x:c>
      <x:c r="I74" s="13" t="n">
        <x:v>-0.37451477394451427</x:v>
      </x:c>
      <x:c r="J74" s="13" t="n">
        <x:v>-0.5530216792443515</x:v>
      </x:c>
      <x:c r="K74" s="13" t="n">
        <x:v>-0.5551870586482847</x:v>
      </x:c>
      <x:c r="L74" s="13" t="n">
        <x:v>-0.3559141232210819</x:v>
      </x:c>
      <x:c r="M74" s="13" t="n">
        <x:v>-0.7709032832228222</x:v>
      </x:c>
      <x:c r="N74" s="13" t="n">
        <x:v>-0.36162613933538235</x:v>
      </x:c>
      <x:c r="O74" s="13" t="n">
        <x:v>-0.7143395365222744</x:v>
      </x:c>
      <x:c r="P74" s="13" t="n">
        <x:v>-0.8768810617374413</x:v>
      </x:c>
      <x:c r="Q74" s="13" t="n">
        <x:v>-0.5694508670159467</x:v>
      </x:c>
      <x:c r="R74" s="13" t="n">
        <x:v>-0.8636056880777692</x:v>
      </x:c>
      <x:c r="S74" s="13" t="n">
        <x:v>-0.39861960884599634</x:v>
      </x:c>
      <x:c r="T74" s="13" t="n">
        <x:v>0.918343412818586</x:v>
      </x:c>
      <x:c r="U74" s="13" t="n">
        <x:v>-0.4353273909974005</x:v>
      </x:c>
      <x:c r="V74" s="13" t="n">
        <x:v>-0.4217963882669795</x:v>
      </x:c>
      <x:c r="W74" s="13" t="n">
        <x:v>-0.5377748818302579</x:v>
      </x:c>
      <x:c r="X74" s="13" t="n">
        <x:v>-0.2669602715868311</x:v>
      </x:c>
      <x:c r="Y74" s="13" t="n">
        <x:v>-0.4870400078998669</x:v>
      </x:c>
      <x:c r="Z74" s="13" t="n">
        <x:v>-0.4221548455077728</x:v>
      </x:c>
      <x:c r="AA74" s="13" t="n">
        <x:v>-0.25594038564303945</x:v>
      </x:c>
      <x:c r="AB74" s="13" t="n">
        <x:v>-0.564827298784552</x:v>
      </x:c>
      <x:c r="AC74" s="13" t="n">
        <x:v>0.2023070949740728</x:v>
      </x:c>
      <x:c r="AD74" s="13" t="n">
        <x:v>0.8530680303768405</x:v>
      </x:c>
      <x:c r="AE74" s="13" t="n">
        <x:v>1.2144053906787318</x:v>
      </x:c>
      <x:c r="AF74" s="13" t="n">
        <x:v>-0.5075142972381308</x:v>
      </x:c>
      <x:c r="AG74" s="13" t="n">
        <x:v>-0.9503584252209795</x:v>
      </x:c>
      <x:c r="AH74" s="13" t="n">
        <x:v>-0.9152212965562189</x:v>
      </x:c>
      <x:c r="AI74" s="13" t="n">
        <x:v>0.9582284477355555</x:v>
      </x:c>
      <x:c r="AJ74" s="13" t="n">
        <x:v>-0.3131111321477129</x:v>
      </x:c>
      <x:c r="AK74" s="13" t="n">
        <x:v>-0.3024699321442322</x:v>
      </x:c>
      <x:c r="AL74" s="13" t="n">
        <x:v>-0.8567041118322989</x:v>
      </x:c>
      <x:c r="AM74" s="13" t="n">
        <x:v>-0.21017856544409097</x:v>
      </x:c>
      <x:c r="AN74" s="13" t="n">
        <x:v>0.013700687886491418</x:v>
      </x:c>
      <x:c r="AO74" s="13" t="n">
        <x:v>-1.0339064853035127</x:v>
      </x:c>
      <x:c r="AP74" s="13" t="n">
        <x:v>-0.709055549327501</x:v>
      </x:c>
    </x:row>
    <x:row r="75" ht="15" hidden="0" customHeight="1">
      <x:c r="A75" s="2" t="str">
        <x:v>E74</x:v>
      </x:c>
      <x:c r="B75" s="2" t="str">
        <x:v>***蔬菜专业合作社</x:v>
      </x:c>
      <x:c r="C75" s="2" t="str">
        <x:v>有信贷记录</x:v>
      </x:c>
      <x:c r="D75" s="2" t="str">
        <x:v>B</x:v>
      </x:c>
      <x:c r="E75" s="2" t="str">
        <x:v>否</x:v>
      </x:c>
      <x:c r="F75" s="13" t="n">
        <x:v>-0.603847679392458</x:v>
      </x:c>
      <x:c r="G75" s="13" t="n">
        <x:v>-0.602387189332443</x:v>
      </x:c>
      <x:c r="H75" s="13" t="n">
        <x:v>-0.518728779362338</x:v>
      </x:c>
      <x:c r="I75" s="13" t="n">
        <x:v>-0.46027843520127304</x:v>
      </x:c>
      <x:c r="J75" s="13" t="n">
        <x:v>-0.5633711875480286</x:v>
      </x:c>
      <x:c r="K75" s="13" t="n">
        <x:v>-0.565913366380361</x:v>
      </x:c>
      <x:c r="L75" s="13" t="n">
        <x:v>-0.6905826978681014</x:v>
      </x:c>
      <x:c r="M75" s="13" t="n">
        <x:v>-1.151103901665672</x:v>
      </x:c>
      <x:c r="N75" s="13" t="n">
        <x:v>-0.7216149855326618</x:v>
      </x:c>
      <x:c r="O75" s="13" t="n">
        <x:v>0.43217228852309664</x:v>
      </x:c>
      <x:c r="P75" s="13" t="n">
        <x:v>0.5602176619648681</x:v>
      </x:c>
      <x:c r="Q75" s="13" t="n">
        <x:v>-0.5767391271764338</x:v>
      </x:c>
      <x:c r="R75" s="13" t="n">
        <x:v>1.656989294712558</x:v>
      </x:c>
      <x:c r="S75" s="13" t="n">
        <x:v>2.5682887221512614</x:v>
      </x:c>
      <x:c r="T75" s="13" t="n">
        <x:v>-1.907158158956745</x:v>
      </x:c>
      <x:c r="U75" s="13" t="n">
        <x:v>-0.2672291976137438</x:v>
      </x:c>
      <x:c r="V75" s="13" t="n">
        <x:v>-0.2596575859479889</x:v>
      </x:c>
      <x:c r="W75" s="13" t="n">
        <x:v>-0.31298798543596656</x:v>
      </x:c>
      <x:c r="X75" s="13" t="n">
        <x:v>-0.10148500662015238</x:v>
      </x:c>
      <x:c r="Y75" s="13" t="n">
        <x:v>-0.5162531328790637</x:v>
      </x:c>
      <x:c r="Z75" s="13" t="n">
        <x:v>-0.44850850364110423</x:v>
      </x:c>
      <x:c r="AA75" s="13" t="n">
        <x:v>-0.3475858140139706</x:v>
      </x:c>
      <x:c r="AB75" s="13" t="n">
        <x:v>-0.3799754275235123</x:v>
      </x:c>
      <x:c r="AC75" s="13" t="n">
        <x:v>0.21696159036263016</x:v>
      </x:c>
      <x:c r="AD75" s="13" t="n">
        <x:v>-0.40188199363052274</x:v>
      </x:c>
      <x:c r="AE75" s="13" t="n">
        <x:v>-0.3228197797412026</x:v>
      </x:c>
      <x:c r="AF75" s="13" t="n">
        <x:v>-0.5244639812537606</x:v>
      </x:c>
      <x:c r="AG75" s="13" t="n">
        <x:v>-1.0875329431409295</x:v>
      </x:c>
      <x:c r="AH75" s="13" t="n">
        <x:v>0.34993561910179377</x:v>
      </x:c>
      <x:c r="AI75" s="13" t="n">
        <x:v>0.05256405124716919</x:v>
      </x:c>
      <x:c r="AJ75" s="13" t="n">
        <x:v>-0.35345846146978505</x:v>
      </x:c>
      <x:c r="AK75" s="13" t="n">
        <x:v>-0.313935841259011</x:v>
      </x:c>
      <x:c r="AL75" s="13" t="n">
        <x:v>0.039589642876958694</x:v>
      </x:c>
      <x:c r="AM75" s="13" t="n">
        <x:v>0.768271359249124</x:v>
      </x:c>
      <x:c r="AN75" s="13" t="n">
        <x:v>0.06481682807020255</x:v>
      </x:c>
      <x:c r="AO75" s="13" t="n">
        <x:v>0.6105871192517492</x:v>
      </x:c>
      <x:c r="AP75" s="13" t="n">
        <x:v>1.745637706702768</x:v>
      </x:c>
    </x:row>
    <x:row r="76" ht="15" hidden="0" customHeight="1">
      <x:c r="A76" s="2" t="str">
        <x:v>E75</x:v>
      </x:c>
      <x:c r="B76" s="2" t="str">
        <x:v>***酒店管理有限公司</x:v>
      </x:c>
      <x:c r="C76" s="2" t="str">
        <x:v>有信贷记录</x:v>
      </x:c>
      <x:c r="D76" s="2" t="str">
        <x:v>C</x:v>
      </x:c>
      <x:c r="E76" s="2" t="str">
        <x:v>否</x:v>
      </x:c>
      <x:c r="F76" s="13" t="n">
        <x:v>-0.3567636727595955</x:v>
      </x:c>
      <x:c r="G76" s="13" t="n">
        <x:v>-0.3535279833595105</x:v>
      </x:c>
      <x:c r="H76" s="13" t="n">
        <x:v>-0.3698916169374013</x:v>
      </x:c>
      <x:c r="I76" s="13" t="n">
        <x:v>-0.37451477394451427</x:v>
      </x:c>
      <x:c r="J76" s="13" t="n">
        <x:v>-0.5157961204702637</x:v>
      </x:c>
      <x:c r="K76" s="13" t="n">
        <x:v>-0.5189402067241959</x:v>
      </x:c>
      <x:c r="L76" s="13" t="n">
        <x:v>-0.5445455016584929</x:v>
      </x:c>
      <x:c r="M76" s="13" t="n">
        <x:v>-0.17718420152402406</x:v>
      </x:c>
      <x:c r="N76" s="13" t="n">
        <x:v>-0.32014043587026836</x:v>
      </x:c>
      <x:c r="O76" s="13" t="n">
        <x:v>-0.34880053198850475</x:v>
      </x:c>
      <x:c r="P76" s="13" t="n">
        <x:v>-0.3767106333971204</x:v>
      </x:c>
      <x:c r="Q76" s="13" t="n">
        <x:v>-0.5276648730160999</x:v>
      </x:c>
      <x:c r="R76" s="13" t="n">
        <x:v>-0.516977536961393</x:v>
      </x:c>
      <x:c r="S76" s="13" t="n">
        <x:v>-0.20036919320525345</x:v>
      </x:c>
      <x:c r="T76" s="13" t="n">
        <x:v>0.44742648418936415</x:v>
      </x:c>
      <x:c r="U76" s="13" t="n">
        <x:v>3.8229845235271434</x:v>
      </x:c>
      <x:c r="V76" s="13" t="n">
        <x:v>3.8100824556504818</x:v>
      </x:c>
      <x:c r="W76" s="13" t="n">
        <x:v>3.493403460174034</x:v>
      </x:c>
      <x:c r="X76" s="13" t="n">
        <x:v>-0.18422263910349174</x:v>
      </x:c>
      <x:c r="Y76" s="13" t="n">
        <x:v>-0.49844551538528065</x:v>
      </x:c>
      <x:c r="Z76" s="13" t="n">
        <x:v>-0.4357797967303446</x:v>
      </x:c>
      <x:c r="AA76" s="13" t="n">
        <x:v>5.931958937962228</x:v>
      </x:c>
      <x:c r="AB76" s="13" t="n">
        <x:v>-0.47265943007949435</x:v>
      </x:c>
      <x:c r="AC76" s="13" t="n">
        <x:v>-0.6549749223148121</x:v>
      </x:c>
      <x:c r="AD76" s="13" t="n">
        <x:v>-0.9940326344087347</x:v>
      </x:c>
      <x:c r="AE76" s="13" t="n">
        <x:v>-1.2941328843959528</x:v>
      </x:c>
      <x:c r="AF76" s="13" t="n">
        <x:v>-0.5186870238690008</x:v>
      </x:c>
      <x:c r="AG76" s="13" t="n">
        <x:v>-1.1541293618573567</x:v>
      </x:c>
      <x:c r="AH76" s="13" t="n">
        <x:v>-0.7628085757870667</x:v>
      </x:c>
      <x:c r="AI76" s="13" t="n">
        <x:v>0.9582284477355555</x:v>
      </x:c>
      <x:c r="AJ76" s="13" t="n">
        <x:v>-0.3606547059296079</x:v>
      </x:c>
      <x:c r="AK76" s="13" t="n">
        <x:v>-0.17759864080542828</x:v>
      </x:c>
      <x:c r="AL76" s="13" t="n">
        <x:v>-0.15231090687277843</x:v>
      </x:c>
      <x:c r="AM76" s="13" t="n">
        <x:v>-0.6966430888807618</x:v>
      </x:c>
      <x:c r="AN76" s="13" t="n">
        <x:v>-0.8692075637161681</x:v>
      </x:c>
      <x:c r="AO76" s="13" t="n">
        <x:v>-0.8948209487199968</x:v>
      </x:c>
      <x:c r="AP76" s="13" t="n">
        <x:v>-0.5108490273960609</x:v>
      </x:c>
    </x:row>
    <x:row r="77" ht="15" hidden="0" customHeight="1">
      <x:c r="A77" s="2" t="str">
        <x:v>E76</x:v>
      </x:c>
      <x:c r="B77" s="2" t="str">
        <x:v>***信息科技有限公司</x:v>
      </x:c>
      <x:c r="C77" s="2" t="str">
        <x:v>有信贷记录</x:v>
      </x:c>
      <x:c r="D77" s="2" t="str">
        <x:v>B</x:v>
      </x:c>
      <x:c r="E77" s="2" t="str">
        <x:v>否</x:v>
      </x:c>
      <x:c r="F77" s="13" t="n">
        <x:v>-0.4504052662677347</x:v>
      </x:c>
      <x:c r="G77" s="13" t="n">
        <x:v>-0.44559150464429476</x:v>
      </x:c>
      <x:c r="H77" s="13" t="n">
        <x:v>-0.476203875812356</x:v>
      </x:c>
      <x:c r="I77" s="13" t="n">
        <x:v>-0.37451477394451427</x:v>
      </x:c>
      <x:c r="J77" s="13" t="n">
        <x:v>-0.5515577539539537</x:v>
      </x:c>
      <x:c r="K77" s="13" t="n">
        <x:v>-0.5539177498997011</x:v>
      </x:c>
      <x:c r="L77" s="13" t="n">
        <x:v>-0.4045931886242847</x:v>
      </x:c>
      <x:c r="M77" s="13" t="n">
        <x:v>-0.7122437592344967</x:v>
      </x:c>
      <x:c r="N77" s="13" t="n">
        <x:v>-0.09735687073969167</x:v>
      </x:c>
      <x:c r="O77" s="13" t="n">
        <x:v>-0.5080860472136699</x:v>
      </x:c>
      <x:c r="P77" s="13" t="n">
        <x:v>-0.5386275283527305</x:v>
      </x:c>
      <x:c r="Q77" s="13" t="n">
        <x:v>-0.567568124627301</x:v>
      </x:c>
      <x:c r="R77" s="13" t="n">
        <x:v>0.5973072505603672</x:v>
      </x:c>
      <x:c r="S77" s="13" t="n">
        <x:v>-0.9591608166097504</x:v>
      </x:c>
      <x:c r="T77" s="13" t="n">
        <x:v>0.5416098699152085</x:v>
      </x:c>
      <x:c r="U77" s="13" t="n">
        <x:v>-0.4305848087389274</x:v>
      </x:c>
      <x:c r="V77" s="13" t="n">
        <x:v>-0.4217963882669795</x:v>
      </x:c>
      <x:c r="W77" s="13" t="n">
        <x:v>-0.47033881291197055</x:v>
      </x:c>
      <x:c r="X77" s="13" t="n">
        <x:v>-0.3703823121910053</x:v>
      </x:c>
      <x:c r="Y77" s="13" t="n">
        <x:v>-0.5133704793079413</x:v>
      </x:c>
      <x:c r="Z77" s="13" t="n">
        <x:v>-0.4473236773123385</x:v>
      </x:c>
      <x:c r="AA77" s="13" t="n">
        <x:v>-0.22774179229813757</x:v>
      </x:c>
      <x:c r="AB77" s="13" t="n">
        <x:v>-0.27828676896608495</x:v>
      </x:c>
      <x:c r="AC77" s="13" t="n">
        <x:v>-0.548003068920067</x:v>
      </x:c>
      <x:c r="AD77" s="13" t="n">
        <x:v>-0.5938532440617736</x:v>
      </x:c>
      <x:c r="AE77" s="13" t="n">
        <x:v>-0.7370576683119965</x:v>
      </x:c>
      <x:c r="AF77" s="13" t="n">
        <x:v>-0.5333073765448235</x:v>
      </x:c>
      <x:c r="AG77" s="13" t="n">
        <x:v>-0.03182655808358226</x:v>
      </x:c>
      <x:c r="AH77" s="13" t="n">
        <x:v>0.01616142828322912</x:v>
      </x:c>
      <x:c r="AI77" s="13" t="n">
        <x:v>0.857599070347957</x:v>
      </x:c>
      <x:c r="AJ77" s="13" t="n">
        <x:v>-0.3577912805822127</x:v>
      </x:c>
      <x:c r="AK77" s="13" t="n">
        <x:v>-0.2642605639618183</x:v>
      </x:c>
      <x:c r="AL77" s="13" t="n">
        <x:v>-0.4948798465680503</x:v>
      </x:c>
      <x:c r="AM77" s="13" t="n">
        <x:v>-0.4716575754905134</x:v>
      </x:c>
      <x:c r="AN77" s="13" t="n">
        <x:v>-0.7312334934003819</x:v>
      </x:c>
      <x:c r="AO77" s="13" t="n">
        <x:v>0.3891474755469514</x:v>
      </x:c>
      <x:c r="AP77" s="13" t="n">
        <x:v>-0.583385518194311</x:v>
      </x:c>
    </x:row>
    <x:row r="78" ht="15" hidden="0" customHeight="1">
      <x:c r="A78" s="2" t="str">
        <x:v>E77</x:v>
      </x:c>
      <x:c r="B78" s="2" t="str">
        <x:v>***机电设备有限公司</x:v>
      </x:c>
      <x:c r="C78" s="2" t="str">
        <x:v>有信贷记录</x:v>
      </x:c>
      <x:c r="D78" s="2" t="str">
        <x:v>C</x:v>
      </x:c>
      <x:c r="E78" s="2" t="str">
        <x:v>否</x:v>
      </x:c>
      <x:c r="F78" s="13" t="n">
        <x:v>-0.587622650814315</x:v>
      </x:c>
      <x:c r="G78" s="13" t="n">
        <x:v>-0.586084274104929</x:v>
      </x:c>
      <x:c r="H78" s="13" t="n">
        <x:v>-0.5080975534748424</x:v>
      </x:c>
      <x:c r="I78" s="13" t="n">
        <x:v>-0.46027843520127304</x:v>
      </x:c>
      <x:c r="J78" s="13" t="n">
        <x:v>-0.5539810100574142</x:v>
      </x:c>
      <x:c r="K78" s="13" t="n">
        <x:v>-0.5566891930618451</x:v>
      </x:c>
      <x:c r="L78" s="13" t="n">
        <x:v>-0.6662431651665</x:v>
      </x:c>
      <x:c r="M78" s="13" t="n">
        <x:v>-0.43998793013367515</x:v>
      </x:c>
      <x:c r="N78" s="13" t="n">
        <x:v>-0.7216149855326618</x:v>
      </x:c>
      <x:c r="O78" s="13" t="n">
        <x:v>2.367980785872475</x:v>
      </x:c>
      <x:c r="P78" s="13" t="n">
        <x:v>2.101273908183841</x:v>
      </x:c>
      <x:c r="Q78" s="13" t="n">
        <x:v>-0.5695118981454015</x:v>
      </x:c>
      <x:c r="R78" s="13" t="n">
        <x:v>0.5619990591443094</x:v>
      </x:c>
      <x:c r="S78" s="13" t="n">
        <x:v>-0.515004712016041</x:v>
      </x:c>
      <x:c r="T78" s="13" t="n">
        <x:v>-1.0595076874241458</x:v>
      </x:c>
      <x:c r="U78" s="13" t="n">
        <x:v>-0.42373441214335517</x:v>
      </x:c>
      <x:c r="V78" s="13" t="n">
        <x:v>-0.4055264046432746</x:v>
      </x:c>
      <x:c r="W78" s="13" t="n">
        <x:v>-0.5902251576555926</x:v>
      </x:c>
      <x:c r="X78" s="13" t="n">
        <x:v>-0.2669602715868311</x:v>
      </x:c>
      <x:c r="Y78" s="13" t="n">
        <x:v>-0.5107697437047752</x:v>
      </x:c>
      <x:c r="Z78" s="13" t="n">
        <x:v>-0.44460406663350266</x:v>
      </x:c>
      <x:c r="AA78" s="13" t="n">
        <x:v>-0.3945834695888071</x:v>
      </x:c>
      <x:c r="AB78" s="13" t="n">
        <x:v>-0.8275749474466112</x:v>
      </x:c>
      <x:c r="AC78" s="13" t="n">
        <x:v>0.09869283424583436</x:v>
      </x:c>
      <x:c r="AD78" s="13" t="n">
        <x:v>3.170179953038927</x:v>
      </x:c>
      <x:c r="AE78" s="13" t="n">
        <x:v>2.576981748627009</x:v>
      </x:c>
      <x:c r="AF78" s="13" t="n">
        <x:v>-0.5210368422449038</x:v>
      </x:c>
      <x:c r="AG78" s="13" t="n">
        <x:v>0.8724494618516314</x:v>
      </x:c>
      <x:c r="AH78" s="13" t="n">
        <x:v>-0.16336956983214732</x:v>
      </x:c>
      <x:c r="AI78" s="13" t="n">
        <x:v>-1.255617854791611</x:v>
      </x:c>
      <x:c r="AJ78" s="13" t="n">
        <x:v>-0.35162264411129945</x:v>
      </x:c>
      <x:c r="AK78" s="13" t="n">
        <x:v>-0.28138570493132525</x:v>
      </x:c>
      <x:c r="AL78" s="13" t="n">
        <x:v>-0.8589200929963946</x:v>
      </x:c>
      <x:c r="AM78" s="13" t="n">
        <x:v>0.37481679697864934</x:v>
      </x:c>
      <x:c r="AN78" s="13" t="n">
        <x:v>3.1377122917985374</x:v>
      </x:c>
      <x:c r="AO78" s="13" t="n">
        <x:v>0.7909810506923151</x:v>
      </x:c>
      <x:c r="AP78" s="13" t="n">
        <x:v>-0.4017085690589787</x:v>
      </x:c>
    </x:row>
    <x:row r="79" ht="15" hidden="0" customHeight="1">
      <x:c r="A79" s="2" t="str">
        <x:v>E78</x:v>
      </x:c>
      <x:c r="B79" s="2" t="str">
        <x:v>个体经营E78</x:v>
      </x:c>
      <x:c r="C79" s="2" t="str">
        <x:v>有信贷记录</x:v>
      </x:c>
      <x:c r="D79" s="2" t="str">
        <x:v>C</x:v>
      </x:c>
      <x:c r="E79" s="2" t="str">
        <x:v>否</x:v>
      </x:c>
      <x:c r="F79" s="13" t="n">
        <x:v>-0.5885497953044946</x:v>
      </x:c>
      <x:c r="G79" s="13" t="n">
        <x:v>-0.5865637716116207</x:v>
      </x:c>
      <x:c r="H79" s="13" t="n">
        <x:v>-0.518728779362338</x:v>
      </x:c>
      <x:c r="I79" s="13" t="n">
        <x:v>-0.46027843520127304</x:v>
      </x:c>
      <x:c r="J79" s="13" t="n">
        <x:v>-0.49529140059296367</x:v>
      </x:c>
      <x:c r="K79" s="13" t="n">
        <x:v>-0.4990371273541194</x:v>
      </x:c>
      <x:c r="L79" s="13" t="n">
        <x:v>-0.6662431651665</x:v>
      </x:c>
      <x:c r="M79" s="13" t="n">
        <x:v>-1.151103901665672</x:v>
      </x:c>
      <x:c r="N79" s="13" t="n">
        <x:v>-0.7216149855326618</x:v>
      </x:c>
      <x:c r="O79" s="13" t="n">
        <x:v>0.4477436097671248</x:v>
      </x:c>
      <x:c r="P79" s="13" t="n">
        <x:v>0.7717773355160604</x:v>
      </x:c>
      <x:c r="Q79" s="13" t="n">
        <x:v>-0.4950277203444143</x:v>
      </x:c>
      <x:c r="R79" s="13" t="n">
        <x:v>-0.5902539009793051</x:v>
      </x:c>
      <x:c r="S79" s="13" t="n">
        <x:v>-1.241880199678335</x:v>
      </x:c>
      <x:c r="T79" s="13" t="n">
        <x:v>-0.588590758794924</x:v>
      </x:c>
      <x:c r="U79" s="13" t="n">
        <x:v>-0.4184648763006073</x:v>
      </x:c>
      <x:c r="V79" s="13" t="n">
        <x:v>-0.40777054031550974</x:v>
      </x:c>
      <x:c r="W79" s="13" t="n">
        <x:v>-0.4853246060049233</x:v>
      </x:c>
      <x:c r="X79" s="13" t="n">
        <x:v>-0.3910667203118402</x:v>
      </x:c>
      <x:c r="Y79" s="13" t="n">
        <x:v>-0.46000286053010253</x:v>
      </x:c>
      <x:c r="Z79" s="13" t="n">
        <x:v>-0.40603364143765563</x:v>
      </x:c>
      <x:c r="AA79" s="13" t="n">
        <x:v>-0.30763780677535957</x:v>
      </x:c>
      <x:c r="AB79" s="13" t="n">
        <x:v>-0.4035072115532418</x:v>
      </x:c>
      <x:c r="AC79" s="13" t="n">
        <x:v>-0.6980651016988949</x:v>
      </x:c>
      <x:c r="AD79" s="13" t="n">
        <x:v>-0.04892464748659723</x:v>
      </x:c>
      <x:c r="AE79" s="13" t="n">
        <x:v>0.17227983444420691</x:v>
      </x:c>
      <x:c r="AF79" s="13" t="n">
        <x:v>-0.46674767818622254</x:v>
      </x:c>
      <x:c r="AG79" s="13" t="n">
        <x:v>-0.7470360586842009</x:v>
      </x:c>
      <x:c r="AH79" s="13" t="n">
        <x:v>-1.323478935039944</x:v>
      </x:c>
      <x:c r="AI79" s="13" t="n">
        <x:v>0.4550815607975631</x:v>
      </x:c>
      <x:c r="AJ79" s="13" t="n">
        <x:v>-0.31286456489425796</x:v>
      </x:c>
      <x:c r="AK79" s="13" t="n">
        <x:v>-0.20938734802889336</x:v>
      </x:c>
      <x:c r="AL79" s="13" t="n">
        <x:v>-0.17294357087559117</x:v>
      </x:c>
      <x:c r="AM79" s="13" t="n">
        <x:v>-0.7815911692517314</x:v>
      </x:c>
      <x:c r="AN79" s="13" t="n">
        <x:v>0.2940061509797888</x:v>
      </x:c>
      <x:c r="AO79" s="13" t="n">
        <x:v>-0.7528277592671636</x:v>
      </x:c>
      <x:c r="AP79" s="13" t="n">
        <x:v>-1.431245486327808</x:v>
      </x:c>
    </x:row>
    <x:row r="80" ht="15" hidden="0" customHeight="1">
      <x:c r="A80" s="2" t="str">
        <x:v>E79</x:v>
      </x:c>
      <x:c r="B80" s="2" t="str">
        <x:v>***鞋业有限公司</x:v>
      </x:c>
      <x:c r="C80" s="2" t="str">
        <x:v>有信贷记录</x:v>
      </x:c>
      <x:c r="D80" s="2" t="str">
        <x:v>B</x:v>
      </x:c>
      <x:c r="E80" s="2" t="str">
        <x:v>否</x:v>
      </x:c>
      <x:c r="F80" s="13" t="n">
        <x:v>-0.5412654263053351</x:v>
      </x:c>
      <x:c r="G80" s="13" t="n">
        <x:v>-0.5386140209424621</x:v>
      </x:c>
      <x:c r="H80" s="13" t="n">
        <x:v>-0.497466327587347</x:v>
      </x:c>
      <x:c r="I80" s="13" t="n">
        <x:v>-0.46027843520127304</x:v>
      </x:c>
      <x:c r="J80" s="13" t="n">
        <x:v>-0.5038907594559128</x:v>
      </x:c>
      <x:c r="K80" s="13" t="n">
        <x:v>-0.5074844625252855</x:v>
      </x:c>
      <x:c r="L80" s="13" t="n">
        <x:v>-0.5749699175354946</x:v>
      </x:c>
      <x:c r="M80" s="13" t="n">
        <x:v>-0.6523991943575183</x:v>
      </x:c>
      <x:c r="N80" s="13" t="n">
        <x:v>-0.7216149855326618</x:v>
      </x:c>
      <x:c r="O80" s="13" t="n">
        <x:v>0.9830130656091358</x:v>
      </x:c>
      <x:c r="P80" s="13" t="n">
        <x:v>1.2319376798267878</x:v>
      </x:c>
      <x:c r="Q80" s="13" t="n">
        <x:v>-0.5223797518957813</x:v>
      </x:c>
      <x:c r="R80" s="13" t="n">
        <x:v>-0.9279987307253689</x:v>
      </x:c>
      <x:c r="S80" s="13" t="n">
        <x:v>-0.6089792212303028</x:v>
      </x:c>
      <x:c r="T80" s="13" t="n">
        <x:v>0.918343412818586</x:v>
      </x:c>
      <x:c r="U80" s="13" t="n">
        <x:v>-0.5143704286386184</x:v>
      </x:c>
      <x:c r="V80" s="13" t="n">
        <x:v>-0.5053904420577394</x:v>
      </x:c>
      <x:c r="W80" s="13" t="n">
        <x:v>-0.5452677783767343</x:v>
      </x:c>
      <x:c r="X80" s="13" t="n">
        <x:v>-0.3910667203118402</x:v>
      </x:c>
      <x:c r="Y80" s="13" t="n">
        <x:v>-0.5208018789565236</x:v>
      </x:c>
      <x:c r="Z80" s="13" t="n">
        <x:v>-0.4532014278802456</x:v>
      </x:c>
      <x:c r="AA80" s="13" t="n">
        <x:v>-0.3640349934651633</x:v>
      </x:c>
      <x:c r="AB80" s="13" t="n">
        <x:v>0.13230810339311014</x:v>
      </x:c>
      <x:c r="AC80" s="13" t="n">
        <x:v>-0.6980651016988949</x:v>
      </x:c>
      <x:c r="AD80" s="13" t="n">
        <x:v>0.009863059950677372</x:v>
      </x:c>
      <x:c r="AE80" s="13" t="n">
        <x:v>0.3257248625025831</x:v>
      </x:c>
      <x:c r="AF80" s="13" t="n">
        <x:v>-0.5387675566711134</x:v>
      </x:c>
      <x:c r="AG80" s="13" t="n">
        <x:v>-0.15805920645170002</x:v>
      </x:c>
      <x:c r="AH80" s="13" t="n">
        <x:v>0.22517790915777686</x:v>
      </x:c>
      <x:c r="AI80" s="13" t="n">
        <x:v>-0.3499534583032247</x:v>
      </x:c>
      <x:c r="AJ80" s="13" t="n">
        <x:v>-0.4068053652948646</x:v>
      </x:c>
      <x:c r="AK80" s="13" t="n">
        <x:v>-0.0035027714414280577</x:v>
      </x:c>
      <x:c r="AL80" s="13" t="n">
        <x:v>-0.24428512917615472</x:v>
      </x:c>
      <x:c r="AM80" s="13" t="n">
        <x:v>-0.7815911692517314</x:v>
      </x:c>
      <x:c r="AN80" s="13" t="n">
        <x:v>0.71599615115821</x:v>
      </x:c>
      <x:c r="AO80" s="13" t="n">
        <x:v>-0.7045175624105315</x:v>
      </x:c>
      <x:c r="AP80" s="13" t="n">
        <x:v>-0.2635987886292937</x:v>
      </x:c>
    </x:row>
    <x:row r="81" ht="15" hidden="0" customHeight="1">
      <x:c r="A81" s="2" t="str">
        <x:v>E80</x:v>
      </x:c>
      <x:c r="B81" s="2" t="str">
        <x:v>***实业有限责任公司</x:v>
      </x:c>
      <x:c r="C81" s="2" t="str">
        <x:v>有信贷记录</x:v>
      </x:c>
      <x:c r="D81" s="2" t="str">
        <x:v>C</x:v>
      </x:c>
      <x:c r="E81" s="2" t="str">
        <x:v>否</x:v>
      </x:c>
      <x:c r="F81" s="13" t="n">
        <x:v>-0.4295445152386938</x:v>
      </x:c>
      <x:c r="G81" s="13" t="n">
        <x:v>-0.42449361434986504</x:v>
      </x:c>
      <x:c r="H81" s="13" t="n">
        <x:v>-0.4655726499248605</x:v>
      </x:c>
      <x:c r="I81" s="13" t="n">
        <x:v>-0.46027843520127304</x:v>
      </x:c>
      <x:c r="J81" s="13" t="n">
        <x:v>-0.5182054842530606</x:v>
      </x:c>
      <x:c r="K81" s="13" t="n">
        <x:v>-0.5215461245830822</x:v>
      </x:c>
      <x:c r="L81" s="13" t="n">
        <x:v>-0.39242342227348403</x:v>
      </x:c>
      <x:c r="M81" s="13" t="n">
        <x:v>-0.6650246299855728</x:v>
      </x:c>
      <x:c r="N81" s="13" t="n">
        <x:v>-0.7216149855326618</x:v>
      </x:c>
      <x:c r="O81" s="13" t="n">
        <x:v>0.458782362146998</x:v>
      </x:c>
      <x:c r="P81" s="13" t="n">
        <x:v>0.2290286150374976</x:v>
      </x:c>
      <x:c r="Q81" s="13" t="n">
        <x:v>-0.5302447954536105</x:v>
      </x:c>
      <x:c r="R81" s="13" t="n">
        <x:v>1.6763536411375364</x:v>
      </x:c>
      <x:c r="S81" s="13" t="n">
        <x:v>-0.95461620905004</x:v>
      </x:c>
      <x:c r="T81" s="13" t="n">
        <x:v>0.44742648418936415</x:v>
      </x:c>
      <x:c r="U81" s="13" t="n">
        <x:v>-0.5343946648410602</x:v>
      </x:c>
      <x:c r="V81" s="13" t="n">
        <x:v>-0.5205383578453268</x:v>
      </x:c>
      <x:c r="W81" s="13" t="n">
        <x:v>-0.6276896403879745</x:v>
      </x:c>
      <x:c r="X81" s="13" t="n">
        <x:v>-0.3910667203118402</x:v>
      </x:c>
      <x:c r="Y81" s="13" t="n">
        <x:v>-0.5181825979114152</x:v>
      </x:c>
      <x:c r="Z81" s="13" t="n">
        <x:v>-0.4511693936111675</x:v>
      </x:c>
      <x:c r="AA81" s="13" t="n">
        <x:v>-0.30763780677535957</x:v>
      </x:c>
      <x:c r="AB81" s="13" t="n">
        <x:v>-0.8475725110057721</x:v>
      </x:c>
      <x:c r="AC81" s="13" t="n">
        <x:v>-0.6980651016988949</x:v>
      </x:c>
      <x:c r="AD81" s="13" t="n">
        <x:v>-0.7461225685378349</x:v>
      </x:c>
      <x:c r="AE81" s="13" t="n">
        <x:v>-0.5854515605847889</x:v>
      </x:c>
      <x:c r="AF81" s="13" t="n">
        <x:v>-0.5360551154314449</x:v>
      </x:c>
      <x:c r="AG81" s="13" t="n">
        <x:v>2.2279860816203927</x:v>
      </x:c>
      <x:c r="AH81" s="13" t="n">
        <x:v>1.7339448950189948</x:v>
      </x:c>
      <x:c r="AI81" s="13" t="n">
        <x:v>-1.9600234965048005</x:v>
      </x:c>
      <x:c r="AJ81" s="13" t="n">
        <x:v>-0.39144501546077715</x:v>
      </x:c>
      <x:c r="AK81" s="13" t="n">
        <x:v>-0.09675448301677278</x:v>
      </x:c>
      <x:c r="AL81" s="13" t="n">
        <x:v>-1.0111666204341314</x:v>
      </x:c>
      <x:c r="AM81" s="13" t="n">
        <x:v>-0.7815911692517314</x:v>
      </x:c>
      <x:c r="AN81" s="13" t="n">
        <x:v>-0.1285958579036216</x:v>
      </x:c>
      <x:c r="AO81" s="13" t="n">
        <x:v>2.184813863176874</x:v>
      </x:c>
      <x:c r="AP81" s="13" t="n">
        <x:v>0.28450262982584695</x:v>
      </x:c>
    </x:row>
    <x:row r="82" ht="15" hidden="0" customHeight="1">
      <x:c r="A82" s="2" t="str">
        <x:v>E81</x:v>
      </x:c>
      <x:c r="B82" s="2" t="str">
        <x:v>***机械设备有限公司</x:v>
      </x:c>
      <x:c r="C82" s="2" t="str">
        <x:v>有信贷记录</x:v>
      </x:c>
      <x:c r="D82" s="2" t="str">
        <x:v>A</x:v>
      </x:c>
      <x:c r="E82" s="2" t="str">
        <x:v>否</x:v>
      </x:c>
      <x:c r="F82" s="13" t="n">
        <x:v>-0.5148418083352166</x:v>
      </x:c>
      <x:c r="G82" s="13" t="n">
        <x:v>-0.5132006530878082</x:v>
      </x:c>
      <x:c r="H82" s="13" t="n">
        <x:v>-0.4549414240373651</x:v>
      </x:c>
      <x:c r="I82" s="13" t="n">
        <x:v>-0.33163294331613485</x:v>
      </x:c>
      <x:c r="J82" s="13" t="n">
        <x:v>-0.5250951775236347</x:v>
      </x:c>
      <x:c r="K82" s="13" t="n">
        <x:v>-0.5251943987650567</x:v>
      </x:c>
      <x:c r="L82" s="13" t="n">
        <x:v>-0.5080362026060907</x:v>
      </x:c>
      <x:c r="M82" s="13" t="n">
        <x:v>-0.05915331030848259</x:v>
      </x:c>
      <x:c r="N82" s="13" t="n">
        <x:v>0.8588238514310043</x:v>
      </x:c>
      <x:c r="O82" s="13" t="n">
        <x:v>0.7153200486787594</x:v>
      </x:c>
      <x:c r="P82" s="13" t="n">
        <x:v>1.0610138135407168</x:v>
      </x:c>
      <x:c r="Q82" s="13" t="n">
        <x:v>-0.541529766847238</x:v>
      </x:c>
      <x:c r="R82" s="13" t="n">
        <x:v>-0.7425791828802618</x:v>
      </x:c>
      <x:c r="S82" s="13" t="n">
        <x:v>-0.2459980490731094</x:v>
      </x:c>
      <x:c r="T82" s="13" t="n">
        <x:v>0.7299766413668972</x:v>
      </x:c>
      <x:c r="U82" s="13" t="n">
        <x:v>-0.21769556069191395</x:v>
      </x:c>
      <x:c r="V82" s="13" t="n">
        <x:v>-0.20523729589628617</x:v>
      </x:c>
      <x:c r="W82" s="13" t="n">
        <x:v>-0.33546667507539574</x:v>
      </x:c>
      <x:c r="X82" s="13" t="n">
        <x:v>-0.32901349594933565</x:v>
      </x:c>
      <x:c r="Y82" s="13" t="n">
        <x:v>-0.5169655623805803</x:v>
      </x:c>
      <x:c r="Z82" s="13" t="n">
        <x:v>-0.4500628054159176</x:v>
      </x:c>
      <x:c r="AA82" s="13" t="n">
        <x:v>-0.11494741891853001</x:v>
      </x:c>
      <x:c r="AB82" s="13" t="n">
        <x:v>-0.5107691701124535</x:v>
      </x:c>
      <x:c r="AC82" s="13" t="n">
        <x:v>-0.5332186321930888</x:v>
      </x:c>
      <x:c r="AD82" s="13" t="n">
        <x:v>-0.8128467497863257</x:v>
      </x:c>
      <x:c r="AE82" s="13" t="n">
        <x:v>-0.8743728049856402</x:v>
      </x:c>
      <x:c r="AF82" s="13" t="n">
        <x:v>-0.536829085722362</x:v>
      </x:c>
      <x:c r="AG82" s="13" t="n">
        <x:v>-1.0701203023299366</x:v>
      </x:c>
      <x:c r="AH82" s="13" t="n">
        <x:v>-0.19581593663673003</x:v>
      </x:c>
      <x:c r="AI82" s="13" t="n">
        <x:v>0.9582284477355555</x:v>
      </x:c>
      <x:c r="AJ82" s="13" t="n">
        <x:v>-0.38412422431745064</x:v>
      </x:c>
      <x:c r="AK82" s="13" t="n">
        <x:v>-0.12330265420965987</x:v>
      </x:c>
      <x:c r="AL82" s="13" t="n">
        <x:v>-0.32724042952564725</x:v>
      </x:c>
      <x:c r="AM82" s="13" t="n">
        <x:v>-0.3482933440671293</x:v>
      </x:c>
      <x:c r="AN82" s="13" t="n">
        <x:v>0.015045350339512254</x:v>
      </x:c>
      <x:c r="AO82" s="13" t="n">
        <x:v>-1.0082341660060414</x:v>
      </x:c>
      <x:c r="AP82" s="13" t="n">
        <x:v>-0.2532545877251755</x:v>
      </x:c>
    </x:row>
    <x:row r="83" ht="15" hidden="0" customHeight="1">
      <x:c r="A83" s="2" t="str">
        <x:v>E82</x:v>
      </x:c>
      <x:c r="B83" s="2" t="str">
        <x:v>***商贸有限公司</x:v>
      </x:c>
      <x:c r="C83" s="2" t="str">
        <x:v>有信贷记录</x:v>
      </x:c>
      <x:c r="D83" s="2" t="str">
        <x:v>D</x:v>
      </x:c>
      <x:c r="E83" s="2" t="str">
        <x:v>是</x:v>
      </x:c>
      <x:c r="F83" s="13" t="n">
        <x:v>-0.46663029484587765</x:v>
      </x:c>
      <x:c r="G83" s="13" t="n">
        <x:v>-0.46237391737850025</x:v>
      </x:c>
      <x:c r="H83" s="13" t="n">
        <x:v>-0.476203875812356</x:v>
      </x:c>
      <x:c r="I83" s="13" t="n">
        <x:v>-0.33163294331613485</x:v>
      </x:c>
      <x:c r="J83" s="13" t="n">
        <x:v>-0.5362989078985805</x:v>
      </x:c>
      <x:c r="K83" s="13" t="n">
        <x:v>-0.5393058077218844</x:v>
      </x:c>
      <x:c r="L83" s="13" t="n">
        <x:v>-0.5080362026060907</x:v>
      </x:c>
      <x:c r="M83" s="13" t="n">
        <x:v>-0.6634815211865883</x:v>
      </x:c>
      <x:c r="N83" s="13" t="n">
        <x:v>0.3201533796684686</x:v>
      </x:c>
      <x:c r="O83" s="13" t="n">
        <x:v>-0.7530992281334968</x:v>
      </x:c>
      <x:c r="P83" s="13" t="n">
        <x:v>-0.7597828639559682</x:v>
      </x:c>
      <x:c r="Q83" s="13" t="n">
        <x:v>-0.5525538914536372</x:v>
      </x:c>
      <x:c r="R83" s="13" t="n">
        <x:v>-0.5286863616779642</x:v>
      </x:c>
      <x:c r="S83" s="13" t="n">
        <x:v>-0.16597012157849111</x:v>
      </x:c>
      <x:c r="T83" s="13" t="n">
        <x:v>0.6357932556410528</x:v>
      </x:c>
      <x:c r="U83" s="13" t="n">
        <x:v>-0.3789433574799984</x:v>
      </x:c>
      <x:c r="V83" s="13" t="n">
        <x:v>-0.3589605894443949</x:v>
      </x:c>
      <x:c r="W83" s="13" t="n">
        <x:v>-0.5752393645626398</x:v>
      </x:c>
      <x:c r="X83" s="13" t="n">
        <x:v>-0.3496979040701705</x:v>
      </x:c>
      <x:c r="Y83" s="13" t="n">
        <x:v>-0.5216954450040585</x:v>
      </x:c>
      <x:c r="Z83" s="13" t="n">
        <x:v>-0.4536589097259379</x:v>
      </x:c>
      <x:c r="AA83" s="13" t="n">
        <x:v>-0.3804841729163561</x:v>
      </x:c>
      <x:c r="AB83" s="13" t="n">
        <x:v>-0.827015248874693</x:v>
      </x:c>
      <x:c r="AC83" s="13" t="n">
        <x:v>-0.498281022238127</x:v>
      </x:c>
      <x:c r="AD83" s="13" t="n">
        <x:v>3.05166330689999</x:v>
      </x:c>
      <x:c r="AE83" s="13" t="n">
        <x:v>2.519501864349295</x:v>
      </x:c>
      <x:c r="AF83" s="13" t="n">
        <x:v>-0.5406022458002375</x:v>
      </x:c>
      <x:c r="AG83" s="13" t="n">
        <x:v>0.1966771669578521</x:v>
      </x:c>
      <x:c r="AH83" s="13" t="n">
        <x:v>-0.15127716013848339</x:v>
      </x:c>
      <x:c r="AI83" s="13" t="n">
        <x:v>-0.14869470352802777</x:v>
      </x:c>
      <x:c r="AJ83" s="13" t="n">
        <x:v>-0.38331655316133306</x:v>
      </x:c>
      <x:c r="AK83" s="13" t="n">
        <x:v>-0.1664161083726739</x:v>
      </x:c>
      <x:c r="AL83" s="13" t="n">
        <x:v>-0.930812100542672</x:v>
      </x:c>
      <x:c r="AM83" s="13" t="n">
        <x:v>-0.3266060948189836</x:v>
      </x:c>
      <x:c r="AN83" s="13" t="n">
        <x:v>1.3435193593216064</x:v>
      </x:c>
      <x:c r="AO83" s="13" t="n">
        <x:v>-0.2667390700311292</x:v>
      </x:c>
      <x:c r="AP83" s="13" t="n">
        <x:v>-0.18179871137051487</x:v>
      </x:c>
    </x:row>
    <x:row r="84" ht="15" hidden="0" customHeight="1">
      <x:c r="A84" s="2" t="str">
        <x:v>E83</x:v>
      </x:c>
      <x:c r="B84" s="2" t="str">
        <x:v>***社会福利院（***社会福利社会化服务中心）</x:v>
      </x:c>
      <x:c r="C84" s="2" t="str">
        <x:v>有信贷记录</x:v>
      </x:c>
      <x:c r="D84" s="2" t="str">
        <x:v>B</x:v>
      </x:c>
      <x:c r="E84" s="2" t="str">
        <x:v>否</x:v>
      </x:c>
      <x:c r="F84" s="13" t="n">
        <x:v>0.7270682362603529</x:v>
      </x:c>
      <x:c r="G84" s="13" t="n">
        <x:v>0.6826661286010038</x:v>
      </x:c>
      <x:c r="H84" s="13" t="n">
        <x:v>1.5118353651492975</x:v>
      </x:c>
      <x:c r="I84" s="13" t="n">
        <x:v>1.8553404187312137</x:v>
      </x:c>
      <x:c r="J84" s="13" t="n">
        <x:v>0.1796253139069476</x:v>
      </x:c>
      <x:c r="K84" s="13" t="n">
        <x:v>0.17579727945694273</x:v>
      </x:c>
      <x:c r="L84" s="13" t="n">
        <x:v>0.08219746540774357</x:v>
      </x:c>
      <x:c r="M84" s="13" t="n">
        <x:v>1.386768115767205</x:v>
      </x:c>
      <x:c r="N84" s="13" t="n">
        <x:v>1.4391183632616795</x:v>
      </x:c>
      <x:c r="O84" s="13" t="n">
        <x:v>-0.8185413802271431</x:v>
      </x:c>
      <x:c r="P84" s="13" t="n">
        <x:v>-0.8452524986908049</x:v>
      </x:c>
      <x:c r="Q84" s="13" t="n">
        <x:v>0.172385340295581</x:v>
      </x:c>
      <x:c r="R84" s="13" t="n">
        <x:v>-0.9076392775555601</x:v>
      </x:c>
      <x:c r="S84" s="13" t="n">
        <x:v>0.21122443993151385</x:v>
      </x:c>
      <x:c r="T84" s="13" t="n">
        <x:v>0.6357932556410528</x:v>
      </x:c>
      <x:c r="U84" s="13" t="n">
        <x:v>-0.18765920638825118</x:v>
      </x:c>
      <x:c r="V84" s="13" t="n">
        <x:v>-0.18279593917393452</x:v>
      </x:c>
      <x:c r="W84" s="13" t="n">
        <x:v>-0.2080874337852973</x:v>
      </x:c>
      <x:c r="X84" s="13" t="n">
        <x:v>-0.32901349594933565</x:v>
      </x:c>
      <x:c r="Y84" s="13" t="n">
        <x:v>-0.5209533575173579</x:v>
      </x:c>
      <x:c r="Z84" s="13" t="n">
        <x:v>-0.4531917535654049</x:v>
      </x:c>
      <x:c r="AA84" s="13" t="n">
        <x:v>0.037794961699688545</x:v>
      </x:c>
      <x:c r="AB84" s="13" t="n">
        <x:v>-0.3530718529096951</x:v>
      </x:c>
      <x:c r="AC84" s="13" t="n">
        <x:v>-0.5433786611302726</x:v>
      </x:c>
      <x:c r="AD84" s="13" t="n">
        <x:v>-0.8660666623003677</x:v>
      </x:c>
      <x:c r="AE84" s="13" t="n">
        <x:v>-1.1385771705457077</x:v>
      </x:c>
      <x:c r="AF84" s="13" t="n">
        <x:v>-0.5407354919020176</x:v>
      </x:c>
      <x:c r="AG84" s="13" t="n">
        <x:v>1.1319556237051887</x:v>
      </x:c>
      <x:c r="AH84" s="13" t="n">
        <x:v>-0.697586558552571</x:v>
      </x:c>
      <x:c r="AI84" s="13" t="n">
        <x:v>-0.4505828356908232</x:v>
      </x:c>
      <x:c r="AJ84" s="13" t="n">
        <x:v>-0.9336281096252854</x:v>
      </x:c>
      <x:c r="AK84" s="13" t="n">
        <x:v>3.5619457466629485</x:v>
      </x:c>
      <x:c r="AL84" s="13" t="n">
        <x:v>-0.062241152822992585</x:v>
      </x:c>
      <x:c r="AM84" s="13" t="n">
        <x:v>0.21921291741270352</x:v>
      </x:c>
      <x:c r="AN84" s="13" t="n">
        <x:v>-1.123036342079134</x:v>
      </x:c>
      <x:c r="AO84" s="13" t="n">
        <x:v>-0.08331537793541437</x:v>
      </x:c>
      <x:c r="AP84" s="13" t="n">
        <x:v>-0.22585831447267002</x:v>
      </x:c>
    </x:row>
    <x:row r="85" ht="15" hidden="0" customHeight="1">
      <x:c r="A85" s="2" t="str">
        <x:v>E84</x:v>
      </x:c>
      <x:c r="B85" s="2" t="str">
        <x:v>***建材有限公司</x:v>
      </x:c>
      <x:c r="C85" s="2" t="str">
        <x:v>有信贷记录</x:v>
      </x:c>
      <x:c r="D85" s="2" t="str">
        <x:v>A</x:v>
      </x:c>
      <x:c r="E85" s="2" t="str">
        <x:v>否</x:v>
      </x:c>
      <x:c r="F85" s="13" t="n">
        <x:v>-0.587622650814315</x:v>
      </x:c>
      <x:c r="G85" s="13" t="n">
        <x:v>-0.586084274104929</x:v>
      </x:c>
      <x:c r="H85" s="13" t="n">
        <x:v>-0.5080975534748424</x:v>
      </x:c>
      <x:c r="I85" s="13" t="n">
        <x:v>-0.46027843520127304</x:v>
      </x:c>
      <x:c r="J85" s="13" t="n">
        <x:v>-0.537001858565869</x:v>
      </x:c>
      <x:c r="K85" s="13" t="n">
        <x:v>-0.5400102073540782</x:v>
      </x:c>
      <x:c r="L85" s="13" t="n">
        <x:v>-0.6571158404033994</x:v>
      </x:c>
      <x:c r="M85" s="13" t="n">
        <x:v>-0.43998793013367515</x:v>
      </x:c>
      <x:c r="N85" s="13" t="n">
        <x:v>-0.7216149855326618</x:v>
      </x:c>
      <x:c r="O85" s="13" t="n">
        <x:v>-0.5438851960124326</x:v>
      </x:c>
      <x:c r="P85" s="13" t="n">
        <x:v>-0.7682258129953891</x:v>
      </x:c>
      <x:c r="Q85" s="13" t="n">
        <x:v>-0.5532455731961459</x:v>
      </x:c>
      <x:c r="R85" s="13" t="n">
        <x:v>0.0470852887889598</x:v>
      </x:c>
      <x:c r="S85" s="13" t="n">
        <x:v>-0.6013168429939179</x:v>
      </x:c>
      <x:c r="T85" s="13" t="n">
        <x:v>-0.9653243016983014</x:v>
      </x:c>
      <x:c r="U85" s="13" t="n">
        <x:v>-0.2972655519174066</x:v>
      </x:c>
      <x:c r="V85" s="13" t="n">
        <x:v>-0.2972468584579279</x:v>
      </x:c>
      <x:c r="W85" s="13" t="n">
        <x:v>-0.2380590199712028</x:v>
      </x:c>
      <x:c r="X85" s="13" t="n">
        <x:v>-0.2669602715868311</x:v>
      </x:c>
      <x:c r="Y85" s="13" t="n">
        <x:v>-0.5014748342659565</x:v>
      </x:c>
      <x:c r="Z85" s="13" t="n">
        <x:v>-0.4368479744952604</x:v>
      </x:c>
      <x:c r="AA85" s="13" t="n">
        <x:v>-0.31703733789032684</x:v>
      </x:c>
      <x:c r="AB85" s="13" t="n">
        <x:v>-0.14100799421546908</x:v>
      </x:c>
      <x:c r="AC85" s="13" t="n">
        <x:v>-0.24686734920884595</x:v>
      </x:c>
      <x:c r="AD85" s="13" t="n">
        <x:v>-0.6573181598965777</x:v>
      </x:c>
      <x:c r="AE85" s="13" t="n">
        <x:v>-0.8381237043238426</x:v>
      </x:c>
      <x:c r="AF85" s="13" t="n">
        <x:v>-0.5216545158262689</x:v>
      </x:c>
      <x:c r="AG85" s="13" t="n">
        <x:v>-0.42546929757473095</x:v>
      </x:c>
      <x:c r="AH85" s="13" t="n">
        <x:v>-0.11113773077590954</x:v>
      </x:c>
      <x:c r="AI85" s="13" t="n">
        <x:v>0.4550815607975631</x:v>
      </x:c>
      <x:c r="AJ85" s="13" t="n">
        <x:v>-0.3493287677445782</x:v>
      </x:c>
      <x:c r="AK85" s="13" t="n">
        <x:v>-0.24007056666647222</x:v>
      </x:c>
      <x:c r="AL85" s="13" t="n">
        <x:v>0.4319087712378825</x:v>
      </x:c>
      <x:c r="AM85" s="13" t="n">
        <x:v>-0.07334934254436973</x:v>
      </x:c>
      <x:c r="AN85" s="13" t="n">
        <x:v>-0.7962212595737781</x:v>
      </x:c>
      <x:c r="AO85" s="13" t="n">
        <x:v>-0.16927367969781085</x:v>
      </x:c>
      <x:c r="AP85" s="13" t="n">
        <x:v>-0.42827889332919894</x:v>
      </x:c>
    </x:row>
    <x:row r="86" ht="15" hidden="0" customHeight="1">
      <x:c r="A86" s="2" t="str">
        <x:v>E85</x:v>
      </x:c>
      <x:c r="B86" s="2" t="str">
        <x:v>***安防科技有限公司</x:v>
      </x:c>
      <x:c r="C86" s="2" t="str">
        <x:v>有信贷记录</x:v>
      </x:c>
      <x:c r="D86" s="2" t="str">
        <x:v>B</x:v>
      </x:c>
      <x:c r="E86" s="2" t="str">
        <x:v>否</x:v>
      </x:c>
      <x:c r="F86" s="13" t="n">
        <x:v>-0.5064975079236003</x:v>
      </x:c>
      <x:c r="G86" s="13" t="n">
        <x:v>-0.5021722104339017</x:v>
      </x:c>
      <x:c r="H86" s="13" t="n">
        <x:v>-0.5080975534748424</x:v>
      </x:c>
      <x:c r="I86" s="13" t="n">
        <x:v>-0.4173966045728936</x:v>
      </x:c>
      <x:c r="J86" s="13" t="n">
        <x:v>-0.5614775228399453</x:v>
      </x:c>
      <x:c r="K86" s="13" t="n">
        <x:v>-0.5640375475458632</x:v>
      </x:c>
      <x:c r="L86" s="13" t="n">
        <x:v>-0.599309450237096</x:v>
      </x:c>
      <x:c r="M86" s="13" t="n">
        <x:v>-0.9834171660205722</x:v>
      </x:c>
      <x:c r="N86" s="13" t="n">
        <x:v>-0.24794545106255728</x:v>
      </x:c>
      <x:c r="O86" s="13" t="n">
        <x:v>-0.4669915320707347</x:v>
      </x:c>
      <x:c r="P86" s="13" t="n">
        <x:v>-0.6317493752388756</x:v>
      </x:c>
      <x:c r="Q86" s="13" t="n">
        <x:v>-0.5763001985726323</x:v>
      </x:c>
      <x:c r="R86" s="13" t="n">
        <x:v>0.8690222977469891</x:v>
      </x:c>
      <x:c r="S86" s="13" t="n">
        <x:v>-0.32510739700302316</x:v>
      </x:c>
      <x:c r="T86" s="13" t="n">
        <x:v>0.2590597127376754</x:v>
      </x:c>
      <x:c r="U86" s="13" t="n">
        <x:v>-0.40529103669373767</x:v>
      </x:c>
      <x:c r="V86" s="13" t="n">
        <x:v>-0.40833157423356853</x:v>
      </x:c>
      <x:c r="W86" s="13" t="n">
        <x:v>-0.29050929579653745</x:v>
      </x:c>
      <x:c r="X86" s="13" t="n">
        <x:v>-0.3910667203118402</x:v>
      </x:c>
      <x:c r="Y86" s="13" t="n">
        <x:v>-0.5278481606930666</x:v>
      </x:c>
      <x:c r="Z86" s="13" t="n">
        <x:v>-0.4586679225830474</x:v>
      </x:c>
      <x:c r="AA86" s="13" t="n">
        <x:v>-0.33818628289900327</x:v>
      </x:c>
      <x:c r="AB86" s="13" t="n">
        <x:v>0.2764543635874711</x:v>
      </x:c>
      <x:c r="AC86" s="13" t="n">
        <x:v>-0.6980651016988949</x:v>
      </x:c>
      <x:c r="AD86" s="13" t="n">
        <x:v>-0.4109397606074067</x:v>
      </x:c>
      <x:c r="AE86" s="13" t="n">
        <x:v>-0.47528958613352507</x:v>
      </x:c>
      <x:c r="AF86" s="13" t="n">
        <x:v>-0.5474895755019245</x:v>
      </x:c>
      <x:c r="AG86" s="13" t="n">
        <x:v>0.19148611958337963</x:v>
      </x:c>
      <x:c r="AH86" s="13" t="n">
        <x:v>0.32139518668455386</x:v>
      </x:c>
      <x:c r="AI86" s="13" t="n">
        <x:v>0.9582284477355555</x:v>
      </x:c>
      <x:c r="AJ86" s="13" t="n">
        <x:v>-0.37409626759680725</x:v>
      </x:c>
      <x:c r="AK86" s="13" t="n">
        <x:v>-0.28646422522500314</x:v>
      </x:c>
      <x:c r="AL86" s="13" t="n">
        <x:v>0.2985667282373288</x:v>
      </x:c>
      <x:c r="AM86" s="13" t="n">
        <x:v>-0.657835229006024</x:v>
      </x:c>
      <x:c r="AN86" s="13" t="n">
        <x:v>-0.5886644857420581</x:v>
      </x:c>
      <x:c r="AO86" s="13" t="n">
        <x:v>0.6785287607779436</x:v>
      </x:c>
      <x:c r="AP86" s="13" t="n">
        <x:v>-0.041241218080914056</x:v>
      </x:c>
    </x:row>
    <x:row r="87" ht="15" hidden="0" customHeight="1">
      <x:c r="A87" s="2" t="str">
        <x:v>E86</x:v>
      </x:c>
      <x:c r="B87" s="2" t="str">
        <x:v>***地质工程勘察院***分院</x:v>
      </x:c>
      <x:c r="C87" s="2" t="str">
        <x:v>有信贷记录</x:v>
      </x:c>
      <x:c r="D87" s="2" t="str">
        <x:v>C</x:v>
      </x:c>
      <x:c r="E87" s="2" t="str">
        <x:v>否</x:v>
      </x:c>
      <x:c r="F87" s="13" t="n">
        <x:v>-0.5486825822267719</x:v>
      </x:c>
      <x:c r="G87" s="13" t="n">
        <x:v>-0.545806483542836</x:v>
      </x:c>
      <x:c r="H87" s="13" t="n">
        <x:v>-0.5080975534748424</x:v>
      </x:c>
      <x:c r="I87" s="13" t="n">
        <x:v>-0.4173966045728936</x:v>
      </x:c>
      <x:c r="J87" s="13" t="n">
        <x:v>-0.5353452219757321</x:v>
      </x:c>
      <x:c r="K87" s="13" t="n">
        <x:v>-0.538300567167314</x:v>
      </x:c>
      <x:c r="L87" s="13" t="n">
        <x:v>-0.6053943334124965</x:v>
      </x:c>
      <x:c r="M87" s="13" t="n">
        <x:v>-0.8728411301966296</x:v>
      </x:c>
      <x:c r="N87" s="13" t="n">
        <x:v>0.06668175796503042</x:v>
      </x:c>
      <x:c r="O87" s="13" t="n">
        <x:v>0.5271915421495261</x:v>
      </x:c>
      <x:c r="P87" s="13" t="n">
        <x:v>0.668612145963017</x:v>
      </x:c>
      <x:c r="Q87" s="13" t="n">
        <x:v>-0.5462717560556358</x:v>
      </x:c>
      <x:c r="R87" s="13" t="n">
        <x:v>2.167813647106611</x:v>
      </x:c>
      <x:c r="S87" s="13" t="n">
        <x:v>-0.005709274247478822</x:v>
      </x:c>
      <x:c r="T87" s="13" t="n">
        <x:v>-0.49440737306907956</x:v>
      </x:c>
      <x:c r="U87" s="13" t="n">
        <x:v>-0.5480954580322046</x:v>
      </x:c>
      <x:c r="V87" s="13" t="n">
        <x:v>-0.5362473075509729</x:v>
      </x:c>
      <x:c r="W87" s="13" t="n">
        <x:v>-0.6127038472950217</x:v>
      </x:c>
      <x:c r="X87" s="13" t="n">
        <x:v>-0.2669602715868311</x:v>
      </x:c>
      <x:c r="Y87" s="13" t="n">
        <x:v>-0.5325902731088333</x:v>
      </x:c>
      <x:c r="Z87" s="13" t="n">
        <x:v>-0.43877457616728066</x:v>
      </x:c>
      <x:c r="AA87" s="13" t="n">
        <x:v>-0.38283405569509793</x:v>
      </x:c>
      <x:c r="AB87" s="13" t="n">
        <x:v>0.10612947473384496</x:v>
      </x:c>
      <x:c r="AC87" s="13" t="n">
        <x:v>5.267905931214426</x:v>
      </x:c>
      <x:c r="AD87" s="13" t="n">
        <x:v>-0.02819191979911446</x:v>
      </x:c>
      <x:c r="AE87" s="13" t="n">
        <x:v>0.09462786013520273</x:v>
      </x:c>
      <x:c r="AF87" s="13" t="n">
        <x:v>-0.5482069754496225</x:v>
      </x:c>
      <x:c r="AG87" s="13" t="n">
        <x:v>1.265425888311955</x:v>
      </x:c>
      <x:c r="AH87" s="13" t="n">
        <x:v>-1.2215543534848579</x:v>
      </x:c>
      <x:c r="AI87" s="13" t="n">
        <x:v>-1.456876609566808</x:v>
      </x:c>
      <x:c r="AJ87" s="13" t="n">
        <x:v>-0.40207203435304284</x:v>
      </x:c>
      <x:c r="AK87" s="13" t="n">
        <x:v>-0.22938963059476267</x:v>
      </x:c>
      <x:c r="AL87" s="13" t="n">
        <x:v>-0.8150175955806632</x:v>
      </x:c>
      <x:c r="AM87" s="13" t="n">
        <x:v>1.8561556340622245</x:v>
      </x:c>
      <x:c r="AN87" s="13" t="n">
        <x:v>0.36405546892524404</x:v>
      </x:c>
      <x:c r="AO87" s="13" t="n">
        <x:v>2.064829774199329</x:v>
      </x:c>
      <x:c r="AP87" s="13" t="n">
        <x:v>-0.6226315637924927</x:v>
      </x:c>
    </x:row>
    <x:row r="88" ht="15" hidden="0" customHeight="1">
      <x:c r="A88" s="2" t="str">
        <x:v>E87</x:v>
      </x:c>
      <x:c r="B88" s="2" t="str">
        <x:v>***实业有限责任公司</x:v>
      </x:c>
      <x:c r="C88" s="2" t="str">
        <x:v>有信贷记录</x:v>
      </x:c>
      <x:c r="D88" s="2" t="str">
        <x:v>C</x:v>
      </x:c>
      <x:c r="E88" s="2" t="str">
        <x:v>是</x:v>
      </x:c>
      <x:c r="F88" s="13" t="n">
        <x:v>-0.43696167116013057</x:v>
      </x:c>
      <x:c r="G88" s="13" t="n">
        <x:v>-0.43360406697700515</x:v>
      </x:c>
      <x:c r="H88" s="13" t="n">
        <x:v>-0.4336789722623741</x:v>
      </x:c>
      <x:c r="I88" s="13" t="n">
        <x:v>-0.46027843520127304</x:v>
      </x:c>
      <x:c r="J88" s="13" t="n">
        <x:v>-0.5360535164112278</x:v>
      </x:c>
      <x:c r="K88" s="13" t="n">
        <x:v>-0.5390786304580708</x:v>
      </x:c>
      <x:c r="L88" s="13" t="n">
        <x:v>-0.4654420203782883</x:v>
      </x:c>
      <x:c r="M88" s="13" t="n">
        <x:v>-0.34054427184555947</x:v>
      </x:c>
      <x:c r="N88" s="13" t="n">
        <x:v>-0.7216149855326618</x:v>
      </x:c>
      <x:c r="O88" s="13" t="n">
        <x:v>-0.7024254532811743</x:v>
      </x:c>
      <x:c r="P88" s="13" t="n">
        <x:v>-0.8697705992197</x:v>
      </x:c>
      <x:c r="Q88" s="13" t="n">
        <x:v>-0.5458279855314407</x:v>
      </x:c>
      <x:c r="R88" s="13" t="n">
        <x:v>-0.3480271992281199</x:v>
      </x:c>
      <x:c r="S88" s="13" t="n">
        <x:v>-1.0895378242399696</x:v>
      </x:c>
      <x:c r="T88" s="13" t="n">
        <x:v>0.2590597127376754</x:v>
      </x:c>
      <x:c r="U88" s="13" t="n">
        <x:v>-0.5206938716499158</x:v>
      </x:c>
      <x:c r="V88" s="13" t="n">
        <x:v>-0.5070735438119158</x:v>
      </x:c>
      <x:c r="W88" s="13" t="n">
        <x:v>-0.6127038472950217</x:v>
      </x:c>
      <x:c r="X88" s="13" t="n">
        <x:v>-0.3910667203118402</x:v>
      </x:c>
      <x:c r="Y88" s="13" t="n">
        <x:v>-0.5130818608198288</x:v>
      </x:c>
      <x:c r="Z88" s="13" t="n">
        <x:v>-0.4472122494982751</x:v>
      </x:c>
      <x:c r="AA88" s="13" t="n">
        <x:v>-0.368734759022647</x:v>
      </x:c>
      <x:c r="AB88" s="13" t="n">
        <x:v>-0.6848896290785444</x:v>
      </x:c>
      <x:c r="AC88" s="13" t="n">
        <x:v>-0.6980651016988949</x:v>
      </x:c>
      <x:c r="AD88" s="13" t="n">
        <x:v>0.43749295329588267</x:v>
      </x:c>
      <x:c r="AE88" s="13" t="n">
        <x:v>0.5836959008696635</x:v>
      </x:c>
      <x:c r="AF88" s="13" t="n">
        <x:v>-0.5253979613067856</x:v>
      </x:c>
      <x:c r="AG88" s="13" t="n">
        <x:v>0.6752759837692903</x:v>
      </x:c>
      <x:c r="AH88" s="13" t="n">
        <x:v>-0.6664945604953662</x:v>
      </x:c>
      <x:c r="AI88" s="13" t="n">
        <x:v>-0.5512122130784217</x:v>
      </x:c>
      <x:c r="AJ88" s="13" t="n">
        <x:v>-0.3692581559798796</x:v>
      </x:c>
      <x:c r="AK88" s="13" t="n">
        <x:v>-0.20194388819775927</x:v>
      </x:c>
      <x:c r="AL88" s="13" t="n">
        <x:v>-0.8273015725065881</x:v>
      </x:c>
      <x:c r="AM88" s="13" t="n">
        <x:v>-0.7815911692517314</x:v>
      </x:c>
      <x:c r="AN88" s="13" t="n">
        <x:v>-0.23435387479900813</x:v>
      </x:c>
      <x:c r="AO88" s="13" t="n">
        <x:v>0.08110235434502128</x:v>
      </x:c>
      <x:c r="AP88" s="13" t="n">
        <x:v>-1.0070517925422937</x:v>
      </x:c>
    </x:row>
    <x:row r="89" ht="15" hidden="0" customHeight="1">
      <x:c r="A89" s="2" t="str">
        <x:v>E88</x:v>
      </x:c>
      <x:c r="B89" s="2" t="str">
        <x:v>***贸易有限公司</x:v>
      </x:c>
      <x:c r="C89" s="2" t="str">
        <x:v>有信贷记录</x:v>
      </x:c>
      <x:c r="D89" s="2" t="str">
        <x:v>A</x:v>
      </x:c>
      <x:c r="E89" s="2" t="str">
        <x:v>否</x:v>
      </x:c>
      <x:c r="F89" s="13" t="n">
        <x:v>-0.5134510915999473</x:v>
      </x:c>
      <x:c r="G89" s="13" t="n">
        <x:v>-0.5088851755275839</x:v>
      </x:c>
      <x:c r="H89" s="13" t="n">
        <x:v>-0.518728779362338</x:v>
      </x:c>
      <x:c r="I89" s="13" t="n">
        <x:v>-0.46027843520127304</x:v>
      </x:c>
      <x:c r="J89" s="13" t="n">
        <x:v>-0.5564638705582431</x:v>
      </x:c>
      <x:c r="K89" s="13" t="n">
        <x:v>-0.55912816033464</x:v>
      </x:c>
      <x:c r="L89" s="13" t="n">
        <x:v>-0.6358187492894982</x:v>
      </x:c>
      <x:c r="M89" s="13" t="n">
        <x:v>-1.151103901665672</x:v>
      </x:c>
      <x:c r="N89" s="13" t="n">
        <x:v>-0.7216149855326618</x:v>
      </x:c>
      <x:c r="O89" s="13" t="n">
        <x:v>0.5032421841191375</x:v>
      </x:c>
      <x:c r="P89" s="13" t="n">
        <x:v>0.43455040247470533</x:v>
      </x:c>
      <x:c r="Q89" s="13" t="n">
        <x:v>-0.5702987441963462</x:v>
      </x:c>
      <x:c r="R89" s="13" t="n">
        <x:v>-0.32887168141751927</x:v>
      </x:c>
      <x:c r="S89" s="13" t="n">
        <x:v>0.25835882947655686</x:v>
      </x:c>
      <x:c r="T89" s="13" t="n">
        <x:v>0.35324309846351976</x:v>
      </x:c>
      <x:c r="U89" s="13" t="n">
        <x:v>-0.3489070031763356</x:v>
      </x:c>
      <x:c r="V89" s="13" t="n">
        <x:v>-0.34269060582069</x:v>
      </x:c>
      <x:c r="W89" s="13" t="n">
        <x:v>-0.36543826126130124</x:v>
      </x:c>
      <x:c r="X89" s="13" t="n">
        <x:v>-0.3083290878285008</x:v>
      </x:c>
      <x:c r="Y89" s="13" t="n">
        <x:v>-0.5280163600694986</x:v>
      </x:c>
      <x:c r="Z89" s="13" t="n">
        <x:v>-0.4582730986756679</x:v>
      </x:c>
      <x:c r="AA89" s="13" t="n">
        <x:v>-0.18544390228078472</x:v>
      </x:c>
      <x:c r="AB89" s="13" t="n">
        <x:v>-0.27660207626461114</x:v>
      </x:c>
      <x:c r="AC89" s="13" t="n">
        <x:v>-0.33033066972440445</x:v>
      </x:c>
      <x:c r="AD89" s="13" t="n">
        <x:v>-0.8296578931219548</x:v>
      </x:c>
      <x:c r="AE89" s="13" t="n">
        <x:v>-0.9518140741118865</x:v>
      </x:c>
      <x:c r="AF89" s="13" t="n">
        <x:v>-0.5476543420109782</x:v>
      </x:c>
      <x:c r="AG89" s="13" t="n">
        <x:v>-0.27147750399732556</x:v>
      </x:c>
      <x:c r="AH89" s="13" t="n">
        <x:v>0.5985190822055642</x:v>
      </x:c>
      <x:c r="AI89" s="13" t="n">
        <x:v>0.7569696929603585</x:v>
      </x:c>
      <x:c r="AJ89" s="13" t="n">
        <x:v>-0.37823693528074215</x:v>
      </x:c>
      <x:c r="AK89" s="13" t="n">
        <x:v>-0.25549254081257866</x:v>
      </x:c>
      <x:c r="AL89" s="13" t="n">
        <x:v>-0.2391727048028245</x:v>
      </x:c>
      <x:c r="AM89" s="13" t="n">
        <x:v>-0.37478098505303925</x:v>
      </x:c>
      <x:c r="AN89" s="13" t="n">
        <x:v>-0.1481479724831916</x:v>
      </x:c>
      <x:c r="AO89" s="13" t="n">
        <x:v>-0.3516838103293873</x:v>
      </x:c>
      <x:c r="AP89" s="13" t="n">
        <x:v>0.4557565838174403</x:v>
      </x:c>
    </x:row>
    <x:row r="90" ht="15" hidden="0" customHeight="1">
      <x:c r="A90" s="2" t="str">
        <x:v>E89</x:v>
      </x:c>
      <x:c r="B90" s="2" t="str">
        <x:v>***物资有限公司</x:v>
      </x:c>
      <x:c r="C90" s="2" t="str">
        <x:v>有信贷记录</x:v>
      </x:c>
      <x:c r="D90" s="2" t="str">
        <x:v>A</x:v>
      </x:c>
      <x:c r="E90" s="2" t="str">
        <x:v>否</x:v>
      </x:c>
      <x:c r="F90" s="13" t="n">
        <x:v>-0.5825233561183273</x:v>
      </x:c>
      <x:c r="G90" s="13" t="n">
        <x:v>-0.5812892990380132</x:v>
      </x:c>
      <x:c r="H90" s="13" t="n">
        <x:v>-0.497466327587347</x:v>
      </x:c>
      <x:c r="I90" s="13" t="n">
        <x:v>-0.46027843520127304</x:v>
      </x:c>
      <x:c r="J90" s="13" t="n">
        <x:v>-0.5158560567204469</x:v>
      </x:c>
      <x:c r="K90" s="13" t="n">
        <x:v>-0.5192382313849203</x:v>
      </x:c>
      <x:c r="L90" s="13" t="n">
        <x:v>-0.6784129315173006</x:v>
      </x:c>
      <x:c r="M90" s="13" t="n">
        <x:v>0.030442635649030495</x:v>
      </x:c>
      <x:c r="N90" s="13" t="n">
        <x:v>-0.7216149855326618</x:v>
      </x:c>
      <x:c r="O90" s="13" t="n">
        <x:v>2.563869729602341</x:v>
      </x:c>
      <x:c r="P90" s="13" t="n">
        <x:v>2.2042665570277653</x:v>
      </x:c>
      <x:c r="Q90" s="13" t="n">
        <x:v>-0.5293886625607175</x:v>
      </x:c>
      <x:c r="R90" s="13" t="n">
        <x:v>3.4906279575237282</x:v>
      </x:c>
      <x:c r="S90" s="13" t="n">
        <x:v>-3.0650066577363235</x:v>
      </x:c>
      <x:c r="T90" s="13" t="n">
        <x:v>-1.15369107314999</x:v>
      </x:c>
      <x:c r="U90" s="13" t="n">
        <x:v>-0.46905242039098677</x:v>
      </x:c>
      <x:c r="V90" s="13" t="n">
        <x:v>-0.4543363555143894</x:v>
      </x:c>
      <x:c r="W90" s="13" t="n">
        <x:v>-0.5827322611091162</x:v>
      </x:c>
      <x:c r="X90" s="13" t="n">
        <x:v>-0.3910667203118402</x:v>
      </x:c>
      <x:c r="Y90" s="13" t="n">
        <x:v>-0.5332469523383172</x:v>
      </x:c>
      <x:c r="Z90" s="13" t="n">
        <x:v>-0.46285629696740355</x:v>
      </x:c>
      <x:c r="AA90" s="13" t="n">
        <x:v>-0.3405361656777451</x:v>
      </x:c>
      <x:c r="AB90" s="13" t="n">
        <x:v>-0.683592489820653</x:v>
      </x:c>
      <x:c r="AC90" s="13" t="n">
        <x:v>-0.6980651016988949</x:v>
      </x:c>
      <x:c r="AD90" s="13" t="n">
        <x:v>-0.6117410356315754</x:v>
      </x:c>
      <x:c r="AE90" s="13" t="n">
        <x:v>-0.6489495817143796</x:v>
      </x:c>
      <x:c r="AF90" s="13" t="n">
        <x:v>-0.5527781804383161</x:v>
      </x:c>
      <x:c r="AG90" s="13" t="n">
        <x:v>0.606362149394575</x:v>
      </x:c>
      <x:c r="AH90" s="13" t="n">
        <x:v>-0.023474571497266537</x:v>
      </x:c>
      <x:c r="AI90" s="13" t="n">
        <x:v>-0.4505828356908232</x:v>
      </x:c>
      <x:c r="AJ90" s="13" t="n">
        <x:v>-0.4181724335340788</x:v>
      </x:c>
      <x:c r="AK90" s="13" t="n">
        <x:v>0.10771361233721162</x:v>
      </x:c>
      <x:c r="AL90" s="13" t="n">
        <x:v>-0.5928654013789083</x:v>
      </x:c>
      <x:c r="AM90" s="13" t="n">
        <x:v>-0.7815911692517314</x:v>
      </x:c>
      <x:c r="AN90" s="13" t="n">
        <x:v>1.4712011387775477</x:v>
      </x:c>
      <x:c r="AO90" s="13" t="n">
        <x:v>2.998421837947341</x:v>
      </x:c>
      <x:c r="AP90" s="13" t="n">
        <x:v>-1.893396051424867</x:v>
      </x:c>
    </x:row>
    <x:row r="91" ht="15" hidden="0" customHeight="1">
      <x:c r="A91" s="2" t="str">
        <x:v>E90</x:v>
      </x:c>
      <x:c r="B91" s="2" t="str">
        <x:v>***文化传媒有限责任公司</x:v>
      </x:c>
      <x:c r="C91" s="2" t="str">
        <x:v>有信贷记录</x:v>
      </x:c>
      <x:c r="D91" s="2" t="str">
        <x:v>C</x:v>
      </x:c>
      <x:c r="E91" s="2" t="str">
        <x:v>否</x:v>
      </x:c>
      <x:c r="F91" s="13" t="n">
        <x:v>-0.5482190099816822</x:v>
      </x:c>
      <x:c r="G91" s="13" t="n">
        <x:v>-0.5467654785562192</x:v>
      </x:c>
      <x:c r="H91" s="13" t="n">
        <x:v>-0.476203875812356</x:v>
      </x:c>
      <x:c r="I91" s="13" t="n">
        <x:v>-0.46027843520127304</x:v>
      </x:c>
      <x:c r="J91" s="13" t="n">
        <x:v>-0.5549806080067692</x:v>
      </x:c>
      <x:c r="K91" s="13" t="n">
        <x:v>-0.5576711196274398</x:v>
      </x:c>
      <x:c r="L91" s="13" t="n">
        <x:v>-0.6053943334124965</x:v>
      </x:c>
      <x:c r="M91" s="13" t="n">
        <x:v>-0.04606037755839627</x:v>
      </x:c>
      <x:c r="N91" s="13" t="n">
        <x:v>-0.7216149855326618</x:v>
      </x:c>
      <x:c r="O91" s="13" t="n">
        <x:v>-0.5623311338489742</x:v>
      </x:c>
      <x:c r="P91" s="13" t="n">
        <x:v>-0.6509778524018764</x:v>
      </x:c>
      <x:c r="Q91" s="13" t="n">
        <x:v>-0.5691325546410541</x:v>
      </x:c>
      <x:c r="R91" s="13" t="n">
        <x:v>0.7287697918028248</x:v>
      </x:c>
      <x:c r="S91" s="13" t="n">
        <x:v>1.5410716185857316</x:v>
      </x:c>
      <x:c r="T91" s="13" t="n">
        <x:v>-0.49440737306907956</x:v>
      </x:c>
      <x:c r="U91" s="13" t="n">
        <x:v>-0.42215355139053085</x:v>
      </x:c>
      <x:c r="V91" s="13" t="n">
        <x:v>-0.441993609317096</x:v>
      </x:c>
      <x:c r="W91" s="13" t="n">
        <x:v>-0.08070819249519887</x:v>
      </x:c>
      <x:c r="X91" s="13" t="n">
        <x:v>-0.2669602715868311</x:v>
      </x:c>
      <x:c r="Y91" s="13" t="n">
        <x:v>-0.5212986487212925</x:v>
      </x:c>
      <x:c r="Z91" s="13" t="n">
        <x:v>-0.4517942795637858</x:v>
      </x:c>
      <x:c r="AA91" s="13" t="n">
        <x:v>-0.27238956509423223</x:v>
      </x:c>
      <x:c r="AB91" s="13" t="n">
        <x:v>1.3209448927854395</x:v>
      </x:c>
      <x:c r="AC91" s="13" t="n">
        <x:v>0.375640779895072</x:v>
      </x:c>
      <x:c r="AD91" s="13" t="n">
        <x:v>0.36503603170598503</x:v>
      </x:c>
      <x:c r="AE91" s="13" t="n">
        <x:v>0.6053422655545582</x:v>
      </x:c>
      <x:c r="AF91" s="13" t="n">
        <x:v>-0.537273073595173</x:v>
      </x:c>
      <x:c r="AG91" s="13" t="n">
        <x:v>0.3214765898584807</x:v>
      </x:c>
      <x:c r="AH91" s="13" t="n">
        <x:v>0.6462989508927661</x:v>
      </x:c>
      <x:c r="AI91" s="13" t="n">
        <x:v>0.4550815607975631</x:v>
      </x:c>
      <x:c r="AJ91" s="13" t="n">
        <x:v>-0.36826807873304385</x:v>
      </x:c>
      <x:c r="AK91" s="13" t="n">
        <x:v>-0.26959128147111844</x:v>
      </x:c>
      <x:c r="AL91" s="13" t="n">
        <x:v>2.09571798308233</x:v>
      </x:c>
      <x:c r="AM91" s="13" t="n">
        <x:v>0.31376420248822545</x:v>
      </x:c>
      <x:c r="AN91" s="13" t="n">
        <x:v>-0.17815557557127193</x:v>
      </x:c>
      <x:c r="AO91" s="13" t="n">
        <x:v>0.6446363972593906</x:v>
      </x:c>
      <x:c r="AP91" s="13" t="n">
        <x:v>1.2656140584526292</x:v>
      </x:c>
    </x:row>
    <x:row r="92" ht="15" hidden="0" customHeight="1">
      <x:c r="A92" s="2" t="str">
        <x:v>E91</x:v>
      </x:c>
      <x:c r="B92" s="2" t="str">
        <x:v>***科技实业有限公司</x:v>
      </x:c>
      <x:c r="C92" s="2" t="str">
        <x:v>有信贷记录</x:v>
      </x:c>
      <x:c r="D92" s="2" t="str">
        <x:v>A</x:v>
      </x:c>
      <x:c r="E92" s="2" t="str">
        <x:v>否</x:v>
      </x:c>
      <x:c r="F92" s="13" t="n">
        <x:v>-0.5306032646682698</x:v>
      </x:c>
      <x:c r="G92" s="13" t="n">
        <x:v>-0.5309420608353969</x:v>
      </x:c>
      <x:c r="H92" s="13" t="n">
        <x:v>-0.42304774637487863</x:v>
      </x:c>
      <x:c r="I92" s="13" t="n">
        <x:v>-0.4173966045728936</x:v>
      </x:c>
      <x:c r="J92" s="13" t="n">
        <x:v>-0.5402905419115298</x:v>
      </x:c>
      <x:c r="K92" s="13" t="n">
        <x:v>-0.5425350691370958</x:v>
      </x:c>
      <x:c r="L92" s="13" t="n">
        <x:v>-0.6084367750001967</x:v>
      </x:c>
      <x:c r="M92" s="13" t="n">
        <x:v>0.8014518167781159</x:v>
      </x:c>
      <x:c r="N92" s="13" t="n">
        <x:v>-0.07877776018037709</x:v>
      </x:c>
      <x:c r="O92" s="13" t="n">
        <x:v>-0.34717250929942634</x:v>
      </x:c>
      <x:c r="P92" s="13" t="n">
        <x:v>-0.07969209579342264</x:v>
      </x:c>
      <x:c r="Q92" s="13" t="n">
        <x:v>-0.5564815360210483</x:v>
      </x:c>
      <x:c r="R92" s="13" t="n">
        <x:v>-0.7841596247798134</x:v>
      </x:c>
      <x:c r="S92" s="13" t="n">
        <x:v>-0.39589175871227483</x:v>
      </x:c>
      <x:c r="T92" s="13" t="n">
        <x:v>0.7299766413668972</x:v>
      </x:c>
      <x:c r="U92" s="13" t="n">
        <x:v>-0.49171142451480254</x:v>
      </x:c>
      <x:c r="V92" s="13" t="n">
        <x:v>-0.47789978007285866</x:v>
      </x:c>
      <x:c r="W92" s="13" t="n">
        <x:v>-0.5902251576555926</x:v>
      </x:c>
      <x:c r="X92" s="13" t="n">
        <x:v>-0.3703823121910053</x:v>
      </x:c>
      <x:c r="Y92" s="13" t="n">
        <x:v>-0.5282637158113208</x:v>
      </x:c>
      <x:c r="Z92" s="13" t="n">
        <x:v>-0.45886816572960437</x:v>
      </x:c>
      <x:c r="AA92" s="13" t="n">
        <x:v>-0.22774179229813757</x:v>
      </x:c>
      <x:c r="AB92" s="13" t="n">
        <x:v>-0.6355983372786669</x:v>
      </x:c>
      <x:c r="AC92" s="13" t="n">
        <x:v>-0.42600141625435317</x:v>
      </x:c>
      <x:c r="AD92" s="13" t="n">
        <x:v>-0.8594962192100828</x:v>
      </x:c>
      <x:c r="AE92" s="13" t="n">
        <x:v>-1.0063054184959048</x:v>
      </x:c>
      <x:c r="AF92" s="13" t="n">
        <x:v>-0.547896649342545</x:v>
      </x:c>
      <x:c r="AG92" s="13" t="n">
        <x:v>-1.3221308837014147</x:v>
      </x:c>
      <x:c r="AH92" s="13" t="n">
        <x:v>-0.13360754448599338</x:v>
      </x:c>
      <x:c r="AI92" s="13" t="n">
        <x:v>0.9582284477355555</x:v>
      </x:c>
      <x:c r="AJ92" s="13" t="n">
        <x:v>-0.3911058072357756</x:v>
      </x:c>
      <x:c r="AK92" s="13" t="n">
        <x:v>-0.1411001528589472</x:v>
      </x:c>
      <x:c r="AL92" s="13" t="n">
        <x:v>-0.4037544947891792</x:v>
      </x:c>
      <x:c r="AM92" s="13" t="n">
        <x:v>-0.3775769313361918</x:v>
      </x:c>
      <x:c r="AN92" s="13" t="n">
        <x:v>-0.7793364383712291</x:v>
      </x:c>
      <x:c r="AO92" s="13" t="n">
        <x:v>-1.1550856728627474</x:v>
      </x:c>
      <x:c r="AP92" s="13" t="n">
        <x:v>-0.3137508726599937</x:v>
      </x:c>
    </x:row>
    <x:row r="93" ht="15" hidden="0" customHeight="1">
      <x:c r="A93" s="2" t="str">
        <x:v>E92</x:v>
      </x:c>
      <x:c r="B93" s="2" t="str">
        <x:v>***地质灾害防治有限公司</x:v>
      </x:c>
      <x:c r="C93" s="2" t="str">
        <x:v>有信贷记录</x:v>
      </x:c>
      <x:c r="D93" s="2" t="str">
        <x:v>C</x:v>
      </x:c>
      <x:c r="E93" s="2" t="str">
        <x:v>否</x:v>
      </x:c>
      <x:c r="F93" s="13" t="n">
        <x:v>-0.513914663845037</x:v>
      </x:c>
      <x:c r="G93" s="13" t="n">
        <x:v>-0.5098441705409671</x:v>
      </x:c>
      <x:c r="H93" s="13" t="n">
        <x:v>-0.5080975534748424</x:v>
      </x:c>
      <x:c r="I93" s="13" t="n">
        <x:v>-0.46027843520127304</x:v>
      </x:c>
      <x:c r="J93" s="13" t="n">
        <x:v>-0.5669216452939979</x:v>
      </x:c>
      <x:c r="K93" s="13" t="n">
        <x:v>-0.5694010573895697</x:v>
      </x:c>
      <x:c r="L93" s="13" t="n">
        <x:v>-0.44414492926438703</x:v>
      </x:c>
      <x:c r="M93" s="13" t="n">
        <x:v>-0.9708209793054472</x:v>
      </x:c>
      <x:c r="N93" s="13" t="n">
        <x:v>-0.7216149855326618</x:v>
      </x:c>
      <x:c r="O93" s="13" t="n">
        <x:v>-0.7973780657651833</x:v>
      </x:c>
      <x:c r="P93" s="13" t="n">
        <x:v>-0.8165581594406893</x:v>
      </x:c>
      <x:c r="Q93" s="13" t="n">
        <x:v>-0.5820799712192815</x:v>
      </x:c>
      <x:c r="R93" s="13" t="n">
        <x:v>-0.30205876621956634</x:v>
      </x:c>
      <x:c r="S93" s="13" t="n">
        <x:v>-0.292609336397315</x:v>
      </x:c>
      <x:c r="T93" s="13" t="n">
        <x:v>0.16487632701183103</x:v>
      </x:c>
      <x:c r="U93" s="13" t="n">
        <x:v>-0.5391372470995333</x:v>
      </x:c>
      <x:c r="V93" s="13" t="n">
        <x:v>-0.5267097309439734</x:v>
      </x:c>
      <x:c r="W93" s="13" t="n">
        <x:v>-0.6127038472950217</x:v>
      </x:c>
      <x:c r="X93" s="13" t="n">
        <x:v>-0.3496979040701705</x:v>
      </x:c>
      <x:c r="Y93" s="13" t="n">
        <x:v>-0.5321554108935379</x:v>
      </x:c>
      <x:c r="Z93" s="13" t="n">
        <x:v>-0.4601924642959027</x:v>
      </x:c>
      <x:c r="AA93" s="13" t="n">
        <x:v>-0.368734759022647</x:v>
      </x:c>
      <x:c r="AB93" s="13" t="n">
        <x:v>-0.3845520009052013</x:v>
      </x:c>
      <x:c r="AC93" s="13" t="n">
        <x:v>1.1610367488388067</x:v>
      </x:c>
      <x:c r="AD93" s="13" t="n">
        <x:v>0.5534971909050361</x:v>
      </x:c>
      <x:c r="AE93" s="13" t="n">
        <x:v>0.9051976021938977</x:v>
      </x:c>
      <x:c r="AF93" s="13" t="n">
        <x:v>-0.5517089168229635</x:v>
      </x:c>
      <x:c r="AG93" s="13" t="n">
        <x:v>1.9612934157894288</x:v>
      </x:c>
      <x:c r="AH93" s="13" t="n">
        <x:v>1.2849705291671267</x:v>
      </x:c>
      <x:c r="AI93" s="13" t="n">
        <x:v>-1.5575059869544066</x:v>
      </x:c>
      <x:c r="AJ93" s="13" t="n">
        <x:v>-0.37702666370110194</x:v>
      </x:c>
      <x:c r="AK93" s="13" t="n">
        <x:v>-0.3204708417418424</x:v>
      </x:c>
      <x:c r="AL93" s="13" t="n">
        <x:v>-0.9712895804295167</x:v>
      </x:c>
      <x:c r="AM93" s="13" t="n">
        <x:v>-0.3075260755685781</x:v>
      </x:c>
      <x:c r="AN93" s="13" t="n">
        <x:v>-0.23113282988154543</x:v>
      </x:c>
      <x:c r="AO93" s="13" t="n">
        <x:v>0.7177864715519148</x:v>
      </x:c>
      <x:c r="AP93" s="13" t="n">
        <x:v>0.4639396630247821</x:v>
      </x:c>
    </x:row>
    <x:row r="94" ht="15" hidden="0" customHeight="1">
      <x:c r="A94" s="2" t="str">
        <x:v>E93</x:v>
      </x:c>
      <x:c r="B94" s="2" t="str">
        <x:v>***电脑设计事务所</x:v>
      </x:c>
      <x:c r="C94" s="2" t="str">
        <x:v>有信贷记录</x:v>
      </x:c>
      <x:c r="D94" s="2" t="str">
        <x:v>B</x:v>
      </x:c>
      <x:c r="E94" s="2" t="str">
        <x:v>否</x:v>
      </x:c>
      <x:c r="F94" s="13" t="n">
        <x:v>-0.513914663845037</x:v>
      </x:c>
      <x:c r="G94" s="13" t="n">
        <x:v>-0.5117621605677335</x:v>
      </x:c>
      <x:c r="H94" s="13" t="n">
        <x:v>-0.4655726499248605</x:v>
      </x:c>
      <x:c r="I94" s="13" t="n">
        <x:v>-0.4173966045728936</x:v>
      </x:c>
      <x:c r="J94" s="13" t="n">
        <x:v>-0.5640576453499253</x:v>
      </x:c>
      <x:c r="K94" s="13" t="n">
        <x:v>-0.5663465804214279</x:v>
      </x:c>
      <x:c r="L94" s="13" t="n">
        <x:v>-0.5141210857814911</x:v>
      </x:c>
      <x:c r="M94" s="13" t="n">
        <x:v>-0.24968928986454925</x:v>
      </x:c>
      <x:c r="N94" s="13" t="n">
        <x:v>-0.20240030351735486</x:v>
      </x:c>
      <x:c r="O94" s="13" t="n">
        <x:v>-0.41295596102037113</x:v>
      </x:c>
      <x:c r="P94" s="13" t="n">
        <x:v>-0.09365845208900749</x:v>
      </x:c>
      <x:c r="Q94" s="13" t="n">
        <x:v>-0.5787164474573843</x:v>
      </x:c>
      <x:c r="R94" s="13" t="n">
        <x:v>-0.09222159186597956</x:v>
      </x:c>
      <x:c r="S94" s="13" t="n">
        <x:v>0.41744802142479065</x:v>
      </x:c>
      <x:c r="T94" s="13" t="n">
        <x:v>0.07069294128598666</x:v>
      </x:c>
      <x:c r="U94" s="13" t="n">
        <x:v>-0.4816993064135816</x:v>
      </x:c>
      <x:c r="V94" s="13" t="n">
        <x:v>-0.4678011695478004</x:v>
      </x:c>
      <x:c r="W94" s="13" t="n">
        <x:v>-0.5827322611091162</x:v>
      </x:c>
      <x:c r="X94" s="13" t="n">
        <x:v>-0.28764467970766594</x:v>
      </x:c>
      <x:c r="Y94" s="13" t="n">
        <x:v>-0.5391771645476628</x:v>
      </x:c>
      <x:c r="Z94" s="13" t="n">
        <x:v>-0.46681686651686344</x:v>
      </x:c>
      <x:c r="AA94" s="13" t="n">
        <x:v>-0.3311366345627778</x:v>
      </x:c>
      <x:c r="AB94" s="13" t="n">
        <x:v>-0.6291126409892093</x:v>
      </x:c>
      <x:c r="AC94" s="13" t="n">
        <x:v>0.488595653963468</x:v>
      </x:c>
      <x:c r="AD94" s="13" t="n">
        <x:v>-0.5257150634751445</x:v>
      </x:c>
      <x:c r="AE94" s="13" t="n">
        <x:v>-0.557480284087556</x:v>
      </x:c>
      <x:c r="AF94" s="13" t="n">
        <x:v>-0.5585873599038331</x:v>
      </x:c>
      <x:c r="AG94" s="13" t="n">
        <x:v>0.08245524952102984</x:v>
      </x:c>
      <x:c r="AH94" s="13" t="n">
        <x:v>0.3932600972274337</x:v>
      </x:c>
      <x:c r="AI94" s="13" t="n">
        <x:v>0.6563403155727601</x:v>
      </x:c>
      <x:c r="AJ94" s="13" t="n">
        <x:v>-0.3908475029011684</x:v>
      </x:c>
      <x:c r="AK94" s="13" t="n">
        <x:v>-0.2729288099144018</x:v>
      </x:c>
      <x:c r="AL94" s="13" t="n">
        <x:v>-0.6739154553407674</x:v>
      </x:c>
      <x:c r="AM94" s="13" t="n">
        <x:v>0.22902324249688208</x:v>
      </x:c>
      <x:c r="AN94" s="13" t="n">
        <x:v>-0.6206091545674122</x:v>
      </x:c>
      <x:c r="AO94" s="13" t="n">
        <x:v>-0.024576351606315047</x:v>
      </x:c>
      <x:c r="AP94" s="13" t="n">
        <x:v>0.44984341681579465</x:v>
      </x:c>
    </x:row>
    <x:row r="95" ht="15" hidden="0" customHeight="1">
      <x:c r="A95" s="2" t="str">
        <x:v>E94</x:v>
      </x:c>
      <x:c r="B95" s="2" t="str">
        <x:v>***汽车美容有限公司</x:v>
      </x:c>
      <x:c r="C95" s="2" t="str">
        <x:v>有信贷记录</x:v>
      </x:c>
      <x:c r="D95" s="2" t="str">
        <x:v>C</x:v>
      </x:c>
      <x:c r="E95" s="2" t="str">
        <x:v>否</x:v>
      </x:c>
      <x:c r="F95" s="13" t="n">
        <x:v>-0.6108012630688049</x:v>
      </x:c>
      <x:c r="G95" s="13" t="n">
        <x:v>-0.6095796519328167</x:v>
      </x:c>
      <x:c r="H95" s="13" t="n">
        <x:v>-0.518728779362338</x:v>
      </x:c>
      <x:c r="I95" s="13" t="n">
        <x:v>-0.46027843520127304</x:v>
      </x:c>
      <x:c r="J95" s="13" t="n">
        <x:v>-0.5697761464251787</x:v>
      </x:c>
      <x:c r="K95" s="13" t="n">
        <x:v>-0.5722050952470253</x:v>
      </x:c>
      <x:c r="L95" s="13" t="n">
        <x:v>-0.7027524642189021</x:v>
      </x:c>
      <x:c r="M95" s="13" t="n">
        <x:v>-1.151103901665672</x:v>
      </x:c>
      <x:c r="N95" s="13" t="n">
        <x:v>-0.7216149855326618</x:v>
      </x:c>
      <x:c r="O95" s="13" t="n">
        <x:v>2.266257383114419</x:v>
      </x:c>
      <x:c r="P95" s="13" t="n">
        <x:v>2.0454762278924448</x:v>
      </x:c>
      <x:c r="Q95" s="13" t="n">
        <x:v>-0.5852990952096695</x:v>
      </x:c>
      <x:c r="R95" s="13" t="n">
        <x:v>3.14096749180411</x:v>
      </x:c>
      <x:c r="S95" s="13" t="n">
        <x:v>-1.064501499718397</x:v>
      </x:c>
      <x:c r="T95" s="13" t="n">
        <x:v>-2.378075087585967</x:v>
      </x:c>
      <x:c r="U95" s="13" t="n">
        <x:v>-0.45640553436839193</x:v>
      </x:c>
      <x:c r="V95" s="13" t="n">
        <x:v>-0.44704291457962514</x:v>
      </x:c>
      <x:c r="W95" s="13" t="n">
        <x:v>-0.500310399097876</x:v>
      </x:c>
      <x:c r="X95" s="13" t="n">
        <x:v>-0.2049070472243266</x:v>
      </x:c>
      <x:c r="Y95" s="13" t="n">
        <x:v>-0.5432251463302158</x:v>
      </x:c>
      <x:c r="Z95" s="13" t="n">
        <x:v>-0.4692994958507924</x:v>
      </x:c>
      <x:c r="AA95" s="13" t="n">
        <x:v>-0.25594038564303945</x:v>
      </x:c>
      <x:c r="AB95" s="13" t="n">
        <x:v>-0.2614398419513469</x:v>
      </x:c>
      <x:c r="AC95" s="13" t="n">
        <x:v>0.9939264701387887</x:v>
      </x:c>
      <x:c r="AD95" s="13" t="n">
        <x:v>-0.4193770183647965</x:v>
      </x:c>
      <x:c r="AE95" s="13" t="n">
        <x:v>-0.528924134993523</x:v>
      </x:c>
      <x:c r="AF95" s="13" t="n">
        <x:v>-0.5613555758174634</x:v>
      </x:c>
      <x:c r="AG95" s="13" t="n">
        <x:v>1.0843476682023308</x:v>
      </x:c>
      <x:c r="AH95" s="13" t="n">
        <x:v>0.987127851505605</x:v>
      </x:c>
      <x:c r="AI95" s="13" t="n">
        <x:v>-0.4505828356908232</x:v>
      </x:c>
      <x:c r="AJ95" s="13" t="n">
        <x:v>-0.39313767388114723</x:v>
      </x:c>
      <x:c r="AK95" s="13" t="n">
        <x:v>-0.3384122864513363</x:v>
      </x:c>
      <x:c r="AL95" s="13" t="n">
        <x:v>0.29791071390812823</x:v>
      </x:c>
      <x:c r="AM95" s="13" t="n">
        <x:v>2.125313471135077</x:v>
      </x:c>
      <x:c r="AN95" s="13" t="n">
        <x:v>1.3755529278228515</x:v>
      </x:c>
      <x:c r="AO95" s="13" t="n">
        <x:v>2.639413870332888</x:v>
      </x:c>
      <x:c r="AP95" s="13" t="n">
        <x:v>-0.15892290667547435</x:v>
      </x:c>
    </x:row>
    <x:row r="96" ht="15" hidden="0" customHeight="1">
      <x:c r="A96" s="2" t="str">
        <x:v>E95</x:v>
      </x:c>
      <x:c r="B96" s="2" t="str">
        <x:v>***兰花店</x:v>
      </x:c>
      <x:c r="C96" s="2" t="str">
        <x:v>有信贷记录</x:v>
      </x:c>
      <x:c r="D96" s="2" t="str">
        <x:v>B</x:v>
      </x:c>
      <x:c r="E96" s="2" t="str">
        <x:v>否</x:v>
      </x:c>
      <x:c r="F96" s="13" t="n">
        <x:v>-0.6108012630688049</x:v>
      </x:c>
      <x:c r="G96" s="13" t="n">
        <x:v>-0.6095796519328167</x:v>
      </x:c>
      <x:c r="H96" s="13" t="n">
        <x:v>-0.518728779362338</x:v>
      </x:c>
      <x:c r="I96" s="13" t="n">
        <x:v>-0.46027843520127304</x:v>
      </x:c>
      <x:c r="J96" s="13" t="n">
        <x:v>-0.5700796231304172</x:v>
      </x:c>
      <x:c r="K96" s="13" t="n">
        <x:v>-0.5725032069419375</x:v>
      </x:c>
      <x:c r="L96" s="13" t="n">
        <x:v>-0.7118797889820027</x:v>
      </x:c>
      <x:c r="M96" s="13" t="n">
        <x:v>-1.151103901665672</x:v>
      </x:c>
      <x:c r="N96" s="13" t="n">
        <x:v>-0.7216149855326618</x:v>
      </x:c>
      <x:c r="O96" s="13" t="n">
        <x:v>2.6494337955283003</x:v>
      </x:c>
      <x:c r="P96" s="13" t="n">
        <x:v>2.2482144815216887</x:v>
      </x:c>
      <x:c r="Q96" s="13" t="n">
        <x:v>-0.5857823462408993</x:v>
      </x:c>
      <x:c r="R96" s="13" t="n">
        <x:v>1.4592830503125296</x:v>
      </x:c>
      <x:c r="S96" s="13" t="n">
        <x:v>-1.4109897078047389</x:v>
      </x:c>
      <x:c r="T96" s="13" t="n">
        <x:v>-2.378075087585967</x:v>
      </x:c>
      <x:c r="U96" s="13" t="n">
        <x:v>-0.0785798144433705</x:v>
      </x:c>
      <x:c r="V96" s="13" t="n">
        <x:v>-0.06217364679129444</x:v>
      </x:c>
      <x:c r="W96" s="13" t="n">
        <x:v>-0.26803060615710833</x:v>
      </x:c>
      <x:c r="X96" s="13" t="n">
        <x:v>-0.3910667203118402</x:v>
      </x:c>
      <x:c r="Y96" s="13" t="n">
        <x:v>-0.531186585143415</x:v>
      </x:c>
      <x:c r="Z96" s="13" t="n">
        <x:v>-0.46125786721709305</x:v>
      </x:c>
      <x:c r="AA96" s="13" t="n">
        <x:v>0.7498094436584611</x:v>
      </x:c>
      <x:c r="AB96" s="13" t="n">
        <x:v>-0.5765124364493216</x:v>
      </x:c>
      <x:c r="AC96" s="13" t="n">
        <x:v>-0.6980651016988949</x:v>
      </x:c>
      <x:c r="AD96" s="13" t="n">
        <x:v>-0.8693962836442352</x:v>
      </x:c>
      <x:c r="AE96" s="13" t="n">
        <x:v>-0.799786506704226</x:v>
      </x:c>
      <x:c r="AF96" s="13" t="n">
        <x:v>-0.5507598643346886</x:v>
      </x:c>
      <x:c r="AG96" s="13" t="n">
        <x:v>-0.5304504598344816</x:v>
      </x:c>
      <x:c r="AH96" s="13" t="n">
        <x:v>-0.5604413029378554</x:v>
      </x:c>
      <x:c r="AI96" s="13" t="n">
        <x:v>0.7569696929603585</x:v>
      </x:c>
      <x:c r="AJ96" s="13" t="n">
        <x:v>-0.37299129476692433</x:v>
      </x:c>
      <x:c r="AK96" s="13" t="n">
        <x:v>-0.3428664927952255</x:v>
      </x:c>
      <x:c r="AL96" s="13" t="n">
        <x:v>-0.32815230458292416</x:v>
      </x:c>
      <x:c r="AM96" s="13" t="n">
        <x:v>-0.7815911692517314</x:v>
      </x:c>
      <x:c r="AN96" s="13" t="n">
        <x:v>1.3737383718830252</x:v>
      </x:c>
      <x:c r="AO96" s="13" t="n">
        <x:v>0.7388327273666664</x:v>
      </x:c>
      <x:c r="AP96" s="13" t="n">
        <x:v>-1.1505642709564674</x:v>
      </x:c>
    </x:row>
    <x:row r="97" ht="15" hidden="0" customHeight="1">
      <x:c r="A97" s="2" t="str">
        <x:v>E96</x:v>
      </x:c>
      <x:c r="B97" s="2" t="str">
        <x:v>***土地整理有限公司</x:v>
      </x:c>
      <x:c r="C97" s="2" t="str">
        <x:v>有信贷记录</x:v>
      </x:c>
      <x:c r="D97" s="2" t="str">
        <x:v>C</x:v>
      </x:c>
      <x:c r="E97" s="2" t="str">
        <x:v>否</x:v>
      </x:c>
      <x:c r="F97" s="13" t="n">
        <x:v>-0.6075562573531763</x:v>
      </x:c>
      <x:c r="G97" s="13" t="n">
        <x:v>-0.6062231693859756</x:v>
      </x:c>
      <x:c r="H97" s="13" t="n">
        <x:v>-0.518728779362338</x:v>
      </x:c>
      <x:c r="I97" s="13" t="n">
        <x:v>-0.46027843520127304</x:v>
      </x:c>
      <x:c r="J97" s="13" t="n">
        <x:v>-0.5215023583567718</x:v>
      </x:c>
      <x:c r="K97" s="13" t="n">
        <x:v>-0.524784714926274</x:v>
      </x:c>
      <x:c r="L97" s="13" t="n">
        <x:v>-0.6966675810435018</x:v>
      </x:c>
      <x:c r="M97" s="13" t="n">
        <x:v>-1.151103901665672</x:v>
      </x:c>
      <x:c r="N97" s="13" t="n">
        <x:v>-0.7216149855326618</x:v>
      </x:c>
      <x:c r="O97" s="13" t="n">
        <x:v>2.622390317691304</x:v>
      </x:c>
      <x:c r="P97" s="13" t="n">
        <x:v>2.2343873197219852</x:v>
      </x:c>
      <x:c r="Q97" s="13" t="n">
        <x:v>-0.5120915709943031</x:v>
      </x:c>
      <x:c r="R97" s="13" t="n">
        <x:v>3.4232944626150066</x:v>
      </x:c>
      <x:c r="S97" s="13" t="n">
        <x:v>-1.2010182693594975</x:v>
      </x:c>
      <x:c r="T97" s="13" t="n">
        <x:v>-2.0013415446825893</x:v>
      </x:c>
      <x:c r="U97" s="13" t="n">
        <x:v>-0.5491493652007542</x:v>
      </x:c>
      <x:c r="V97" s="13" t="n">
        <x:v>-0.5368083414690317</x:v>
      </x:c>
      <x:c r="W97" s="13" t="n">
        <x:v>-0.620196743841498</x:v>
      </x:c>
      <x:c r="X97" s="13" t="n">
        <x:v>-0.3910667203118402</x:v>
      </x:c>
      <x:c r="Y97" s="13" t="n">
        <x:v>-0.5395395153387429</x:v>
      </x:c>
      <x:c r="Z97" s="13" t="n">
        <x:v>-0.4677380578158919</x:v>
      </x:c>
      <x:c r="AA97" s="13" t="n">
        <x:v>-0.39223358681006526</x:v>
      </x:c>
      <x:c r="AB97" s="13" t="n">
        <x:v>-0.19405213389239506</x:v>
      </x:c>
      <x:c r="AC97" s="13" t="n">
        <x:v>-0.6980651016988949</x:v>
      </x:c>
      <x:c r="AD97" s="13" t="n">
        <x:v>2.1675464883770847</x:v>
      </x:c>
      <x:c r="AE97" s="13" t="n">
        <x:v>2.030214466776845</x:v>
      </x:c>
      <x:c r="AF97" s="13" t="n">
        <x:v>-0.5474784635145727</x:v>
      </x:c>
      <x:c r="AG97" s="13" t="n">
        <x:v>2.3814287457742602</x:v>
      </x:c>
      <x:c r="AH97" s="13" t="n">
        <x:v>2.48443817769158</x:v>
      </x:c>
      <x:c r="AI97" s="13" t="n">
        <x:v>-2.3625410060551943</x:v>
      </x:c>
      <x:c r="AJ97" s="13" t="n">
        <x:v>-0.4242309133445571</x:v>
      </x:c>
      <x:c r="AK97" s="13" t="n">
        <x:v>0.24536754610007305</x:v>
      </x:c>
      <x:c r="AL97" s="13" t="n">
        <x:v>-0.1384234620204798</x:v>
      </x:c>
      <x:c r="AM97" s="13" t="n">
        <x:v>-0.7815911692517314</x:v>
      </x:c>
      <x:c r="AN97" s="13" t="n">
        <x:v>3.1377122917985374</x:v>
      </x:c>
      <x:c r="AO97" s="13" t="n">
        <x:v>2.998421837947341</x:v>
      </x:c>
      <x:c r="AP97" s="13" t="n">
        <x:v>1.2211238019205244</x:v>
      </x:c>
    </x:row>
    <x:row r="98" ht="15" hidden="0" customHeight="1">
      <x:c r="A98" s="2" t="str">
        <x:v>E97</x:v>
      </x:c>
      <x:c r="B98" s="2" t="str">
        <x:v>***美工装饰部</x:v>
      </x:c>
      <x:c r="C98" s="2" t="str">
        <x:v>有信贷记录</x:v>
      </x:c>
      <x:c r="D98" s="2" t="str">
        <x:v>B</x:v>
      </x:c>
      <x:c r="E98" s="2" t="str">
        <x:v>否</x:v>
      </x:c>
      <x:c r="F98" s="13" t="n">
        <x:v>-0.6084834018433559</x:v>
      </x:c>
      <x:c r="G98" s="13" t="n">
        <x:v>-0.6071821643993588</x:v>
      </x:c>
      <x:c r="H98" s="13" t="n">
        <x:v>-0.518728779362338</x:v>
      </x:c>
      <x:c r="I98" s="13" t="n">
        <x:v>-0.46027843520127304</x:v>
      </x:c>
      <x:c r="J98" s="13" t="n">
        <x:v>-0.569705625207641</x:v>
      </x:c>
      <x:c r="K98" s="13" t="n">
        <x:v>-0.5721358207382261</x:v>
      </x:c>
      <x:c r="L98" s="13" t="n">
        <x:v>-0.7088373473943025</x:v>
      </x:c>
      <x:c r="M98" s="13" t="n">
        <x:v>-1.151103901665672</x:v>
      </x:c>
      <x:c r="N98" s="13" t="n">
        <x:v>-0.7216149855326618</x:v>
      </x:c>
      <x:c r="O98" s="13" t="n">
        <x:v>2.5480228519204458</x:v>
      </x:c>
      <x:c r="P98" s="13" t="n">
        <x:v>2.1957701154222486</x:v>
      </x:c>
      <x:c r="Q98" s="13" t="n">
        <x:v>-0.5849658373195193</x:v>
      </x:c>
      <x:c r="R98" s="13" t="n">
        <x:v>-0.25930597717896225</x:v>
      </x:c>
      <x:c r="S98" s="13" t="n">
        <x:v>-0.7076073084883185</x:v>
      </x:c>
      <x:c r="T98" s="13" t="n">
        <x:v>-1.8129747732309007</x:v>
      </x:c>
      <x:c r="U98" s="13" t="n">
        <x:v>-0.42057269063770647</x:v>
      </x:c>
      <x:c r="V98" s="13" t="n">
        <x:v>-0.4038433028890982</x:v>
      </x:c>
      <x:c r="W98" s="13" t="n">
        <x:v>-0.5677464680161635</x:v>
      </x:c>
      <x:c r="X98" s="13" t="n">
        <x:v>-0.3083290878285008</x:v>
      </x:c>
      <x:c r="Y98" s="13" t="n">
        <x:v>-0.5440082057494418</x:v>
      </x:c>
      <x:c r="Z98" s="13" t="n">
        <x:v>-0.47103455182843157</x:v>
      </x:c>
      <x:c r="AA98" s="13" t="n">
        <x:v>-0.2418410889705885</x:v>
      </x:c>
      <x:c r="AB98" s="13" t="n">
        <x:v>-0.7381312995274554</x:v>
      </x:c>
      <x:c r="AC98" s="13" t="n">
        <x:v>-0.1731422262529556</x:v>
      </x:c>
      <x:c r="AD98" s="13" t="n">
        <x:v>-0.5397251124756108</x:v>
      </x:c>
      <x:c r="AE98" s="13" t="n">
        <x:v>-0.6068805960622843</x:v>
      </x:c>
      <x:c r="AF98" s="13" t="n">
        <x:v>-0.5546898460693545</x:v>
      </x:c>
      <x:c r="AG98" s="13" t="n">
        <x:v>-0.6347229205052966</x:v>
      </x:c>
      <x:c r="AH98" s="13" t="n">
        <x:v>0.9623607550114717</x:v>
      </x:c>
      <x:c r="AI98" s="13" t="n">
        <x:v>-0.8531003452412171</x:v>
      </x:c>
      <x:c r="AJ98" s="13" t="n">
        <x:v>-0.3944872351345408</x:v>
      </x:c>
      <x:c r="AK98" s="13" t="n">
        <x:v>-0.3360905905915399</x:v>
      </x:c>
      <x:c r="AL98" s="13" t="n">
        <x:v>-0.6786062643246406</x:v>
      </x:c>
      <x:c r="AM98" s="13" t="n">
        <x:v>0.10907658251661735</x:v>
      </x:c>
      <x:c r="AN98" s="13" t="n">
        <x:v>1.5042563284278296</x:v>
      </x:c>
      <x:c r="AO98" s="13" t="n">
        <x:v>-0.47554742633166436</x:v>
      </x:c>
      <x:c r="AP98" s="13" t="n">
        <x:v>0.04723871677407646</x:v>
      </x:c>
    </x:row>
    <x:row r="99" ht="15" hidden="0" customHeight="1">
      <x:c r="A99" s="2" t="str">
        <x:v>E98</x:v>
      </x:c>
      <x:c r="B99" s="2" t="str">
        <x:v>***文化传播有限公司</x:v>
      </x:c>
      <x:c r="C99" s="2" t="str">
        <x:v>有信贷记录</x:v>
      </x:c>
      <x:c r="D99" s="2" t="str">
        <x:v>B</x:v>
      </x:c>
      <x:c r="E99" s="2" t="str">
        <x:v>否</x:v>
      </x:c>
      <x:c r="F99" s="13" t="n">
        <x:v>-0.5890133675495844</x:v>
      </x:c>
      <x:c r="G99" s="13" t="n">
        <x:v>-0.5875227666250038</x:v>
      </x:c>
      <x:c r="H99" s="13" t="n">
        <x:v>-0.5080975534748424</x:v>
      </x:c>
      <x:c r="I99" s="13" t="n">
        <x:v>-0.4173966045728936</x:v>
      </x:c>
      <x:c r="J99" s="13" t="n">
        <x:v>-0.5659260754750821</x:v>
      </x:c>
      <x:c r="K99" s="13" t="n">
        <x:v>-0.5683447961788708</x:v>
      </x:c>
      <x:c r="L99" s="13" t="n">
        <x:v>-0.632776307701798</x:v>
      </x:c>
      <x:c r="M99" s="13" t="n">
        <x:v>-0.3981575788670871</x:v>
      </x:c>
      <x:c r="N99" s="13" t="n">
        <x:v>1.438318091651015</x:v>
      </x:c>
      <x:c r="O99" s="13" t="n">
        <x:v>-0.04375586961808767</x:v>
      </x:c>
      <x:c r="P99" s="13" t="n">
        <x:v>0.27053973156561445</x:v>
      </x:c>
      <x:c r="Q99" s="13" t="n">
        <x:v>-0.5809107593450001</x:v>
      </x:c>
      <x:c r="R99" s="13" t="n">
        <x:v>1.2629951102582175</x:v>
      </x:c>
      <x:c r="S99" s="13" t="n">
        <x:v>1.0789608152828365</x:v>
      </x:c>
      <x:c r="T99" s="13" t="n">
        <x:v>-0.7769575302466126</x:v>
      </x:c>
      <x:c r="U99" s="13" t="n">
        <x:v>-0.4790645384922077</x:v>
      </x:c>
      <x:c r="V99" s="13" t="n">
        <x:v>-0.4722894408922707</x:v>
      </x:c>
      <x:c r="W99" s="13" t="n">
        <x:v>-0.4853246060049233</x:v>
      </x:c>
      <x:c r="X99" s="13" t="n">
        <x:v>-0.2669602715868311</x:v>
      </x:c>
      <x:c r="Y99" s="13" t="n">
        <x:v>-0.5398763276810137</x:v>
      </x:c>
      <x:c r="Z99" s="13" t="n">
        <x:v>-0.46666309933486594</x:v>
      </x:c>
      <x:c r="AA99" s="13" t="n">
        <x:v>-0.3405361656777451</x:v>
      </x:c>
      <x:c r="AB99" s="13" t="n">
        <x:v>0.059532656401340506</x:v>
      </x:c>
      <x:c r="AC99" s="13" t="n">
        <x:v>0.8115815137753289</x:v>
      </x:c>
      <x:c r="AD99" s="13" t="n">
        <x:v>-0.30259253712564477</x:v>
      </x:c>
      <x:c r="AE99" s="13" t="n">
        <x:v>-0.3357589755881704</x:v>
      </x:c>
      <x:c r="AF99" s="13" t="n">
        <x:v>-0.5592722534580481</x:v>
      </x:c>
      <x:c r="AG99" s="13" t="n">
        <x:v>0.4133368395813849</x:v>
      </x:c>
      <x:c r="AH99" s="13" t="n">
        <x:v>0.08047287964026185</x:v>
      </x:c>
      <x:c r="AI99" s="13" t="n">
        <x:v>0.3544521834099646</x:v>
      </x:c>
      <x:c r="AJ99" s="13" t="n">
        <x:v>-0.3905645503579325</x:v>
      </x:c>
      <x:c r="AK99" s="13" t="n">
        <x:v>-0.29622186999985106</x:v>
      </x:c>
      <x:c r="AL99" s="13" t="n">
        <x:v>0.5194892008651727</x:v>
      </x:c>
      <x:c r="AM99" s="13" t="n">
        <x:v>1.466979876196231</x:v>
      </x:c>
      <x:c r="AN99" s="13" t="n">
        <x:v>-0.21679426014718425</x:v>
      </x:c>
      <x:c r="AO99" s="13" t="n">
        <x:v>1.0501181877136807</x:v>
      </x:c>
      <x:c r="AP99" s="13" t="n">
        <x:v>0.6975638709572608</x:v>
      </x:c>
    </x:row>
    <x:row r="100" ht="15" hidden="0" customHeight="1">
      <x:c r="A100" s="2" t="str">
        <x:v>E99</x:v>
      </x:c>
      <x:c r="B100" s="2" t="str">
        <x:v>***建筑工程有限责任公司</x:v>
      </x:c>
      <x:c r="C100" s="2" t="str">
        <x:v>有信贷记录</x:v>
      </x:c>
      <x:c r="D100" s="2" t="str">
        <x:v>D</x:v>
      </x:c>
      <x:c r="E100" s="2" t="str">
        <x:v>是</x:v>
      </x:c>
      <x:c r="F100" s="13" t="n">
        <x:v>-0.20471197637014163</x:v>
      </x:c>
      <x:c r="G100" s="13" t="n">
        <x:v>-0.19385531363121283</x:v>
      </x:c>
      <x:c r="H100" s="13" t="n">
        <x:v>-0.42304774637487863</x:v>
      </x:c>
      <x:c r="I100" s="13" t="n">
        <x:v>0.011421701710900218</x:v>
      </x:c>
      <x:c r="J100" s="13" t="n">
        <x:v>-0.47958490504543877</x:v>
      </x:c>
      <x:c r="K100" s="13" t="n">
        <x:v>-0.47882791091373544</x:v>
      </x:c>
      <x:c r="L100" s="13" t="n">
        <x:v>-0.4684844619659885</x:v>
      </x:c>
      <x:c r="M100" s="13" t="n">
        <x:v>-0.7583739446605009</x:v>
      </x:c>
      <x:c r="N100" s="13" t="n">
        <x:v>0.6422922388657563</x:v>
      </x:c>
      <x:c r="O100" s="13" t="n">
        <x:v>-0.12013148471327711</x:v>
      </x:c>
      <x:c r="P100" s="13" t="n">
        <x:v>0.2697442062210979</x:v>
      </x:c>
      <x:c r="Q100" s="13" t="n">
        <x:v>-0.4590671463650852</x:v>
      </x:c>
      <x:c r="R100" s="13" t="n">
        <x:v>1.07058943182794</x:v>
      </x:c>
      <x:c r="S100" s="13" t="n">
        <x:v>0.12412174395349855</x:v>
      </x:c>
      <x:c r="T100" s="13" t="n">
        <x:v>-0.30604060161739083</x:v>
      </x:c>
      <x:c r="U100" s="13" t="n">
        <x:v>-0.554713995050696</x:v>
      </x:c>
      <x:c r="V100" s="13" t="n">
        <x:v>-0.5431368040647349</x:v>
      </x:c>
      <x:c r="W100" s="13" t="n">
        <x:v>-0.6127038472950217</x:v>
      </x:c>
      <x:c r="X100" s="13" t="n">
        <x:v>-0.3910667203118402</x:v>
      </x:c>
      <x:c r="Y100" s="13" t="n">
        <x:v>-0.5418290830946303</x:v>
      </x:c>
      <x:c r="Z100" s="13" t="n">
        <x:v>-0.46951430101439395</x:v>
      </x:c>
      <x:c r="AA100" s="13" t="n">
        <x:v>-0.39223358681006526</x:v>
      </x:c>
      <x:c r="AB100" s="13" t="n">
        <x:v>2.076071281343546</x:v>
      </x:c>
      <x:c r="AC100" s="13" t="n">
        <x:v>-0.6980651016988949</x:v>
      </x:c>
      <x:c r="AD100" s="13" t="n">
        <x:v>1.568360590632344</x:v>
      </x:c>
      <x:c r="AE100" s="13" t="n">
        <x:v>1.5180855885692417</x:v>
      </x:c>
      <x:c r="AF100" s="13" t="n">
        <x:v>-0.5493164392307108</x:v>
      </x:c>
      <x:c r="AG100" s="13" t="n">
        <x:v>1.197202560031186</x:v>
      </x:c>
      <x:c r="AH100" s="13" t="n">
        <x:v>-1.713732259514013</x:v>
      </x:c>
      <x:c r="AI100" s="13" t="n">
        <x:v>-2.3625410060551943</x:v>
      </x:c>
      <x:c r="AJ100" s="13" t="n">
        <x:v>-0.4603106903528114</x:v>
      </x:c>
      <x:c r="AK100" s="13" t="n">
        <x:v>1.0421363007032585</x:v>
      </x:c>
      <x:c r="AL100" s="13" t="n">
        <x:v>-1.0116889184632978</x:v>
      </x:c>
      <x:c r="AM100" s="13" t="n">
        <x:v>-0.04343501881357942</x:v>
      </x:c>
      <x:c r="AN100" s="13" t="n">
        <x:v>0.8835844174076244</x:v>
      </x:c>
      <x:c r="AO100" s="13" t="n">
        <x:v>1.2887376671609618</x:v>
      </x:c>
      <x:c r="AP100" s="13" t="n">
        <x:v>-0.790965503505828</x:v>
      </x:c>
    </x:row>
    <x:row r="101" ht="15" hidden="0" customHeight="1">
      <x:c r="A101" s="2" t="str">
        <x:v>E100</x:v>
      </x:c>
      <x:c r="B101" s="2" t="str">
        <x:v>***装饰工程有限公司</x:v>
      </x:c>
      <x:c r="C101" s="2" t="str">
        <x:v>有信贷记录</x:v>
      </x:c>
      <x:c r="D101" s="2" t="str">
        <x:v>D</x:v>
      </x:c>
      <x:c r="E101" s="2" t="str">
        <x:v>是</x:v>
      </x:c>
      <x:c r="F101" s="13" t="n">
        <x:v>-0.5857683618339559</x:v>
      </x:c>
      <x:c r="G101" s="13" t="n">
        <x:v>-0.5836867865714711</x:v>
      </x:c>
      <x:c r="H101" s="13" t="n">
        <x:v>-0.518728779362338</x:v>
      </x:c>
      <x:c r="I101" s="13" t="n">
        <x:v>-0.46027843520127304</x:v>
      </x:c>
      <x:c r="J101" s="13" t="n">
        <x:v>-0.569636919502376</x:v>
      </x:c>
      <x:c r="K101" s="13" t="n">
        <x:v>-0.5720683296461814</x:v>
      </x:c>
      <x:c r="L101" s="13" t="n">
        <x:v>-0.6510309572279991</x:v>
      </x:c>
      <x:c r="M101" s="13" t="n">
        <x:v>-1.151103901665672</x:v>
      </x:c>
      <x:c r="N101" s="13" t="n">
        <x:v>-0.7216149855326618</x:v>
      </x:c>
      <x:c r="O101" s="13" t="n">
        <x:v>-0.5589814240107916</x:v>
      </x:c>
      <x:c r="P101" s="13" t="n">
        <x:v>-0.5857585801921225</x:v>
      </x:c>
      <x:c r="Q101" s="13" t="n">
        <x:v>-0.5853019557873285</x:v>
      </x:c>
      <x:c r="R101" s="13" t="n">
        <x:v>0.03212645361825355</x:v>
      </x:c>
      <x:c r="S101" s="13" t="n">
        <x:v>0.5445204975273851</x:v>
      </x:c>
      <x:c r="T101" s="13" t="n">
        <x:v>-0.11767383016570207</x:v>
      </x:c>
      <x:c r="U101" s="13" t="n">
        <x:v>-0.5075200320430461</x:v>
      </x:c>
      <x:c r="V101" s="13" t="n">
        <x:v>-0.49192562802432843</x:v>
      </x:c>
      <x:c r="W101" s="13" t="n">
        <x:v>-0.6276896403879745</x:v>
      </x:c>
      <x:c r="X101" s="13" t="n">
        <x:v>-0.08080059849931753</x:v>
      </x:c>
      <x:c r="Y101" s="13" t="n">
        <x:v>-0.5468805952397261</x:v>
      </x:c>
      <x:c r="Z101" s="13" t="n">
        <x:v>-0.4715811672729152</x:v>
      </x:c>
      <x:c r="AA101" s="13" t="n">
        <x:v>-0.368734759022647</x:v>
      </x:c>
      <x:c r="AB101" s="13" t="n">
        <x:v>-0.9361677774405999</x:v>
      </x:c>
      <x:c r="AC101" s="13" t="n">
        <x:v>4.4239502008029365</x:v>
      </x:c>
      <x:c r="AD101" s="13" t="n">
        <x:v>-0.2887098420983656</x:v>
      </x:c>
      <x:c r="AE101" s="13" t="n">
        <x:v>-0.4237355353210109</x:v>
      </x:c>
      <x:c r="AF101" s="13" t="n">
        <x:v>-0.5661335673261988</x:v>
      </x:c>
      <x:c r="AG101" s="13" t="n">
        <x:v>1.2438319719890432</x:v>
      </x:c>
      <x:c r="AH101" s="13" t="n">
        <x:v>-0.5962030292829343</x:v>
      </x:c>
      <x:c r="AI101" s="13" t="n">
        <x:v>0.15319342863476768</x:v>
      </x:c>
      <x:c r="AJ101" s="13" t="n">
        <x:v>-0.3992912892617976</x:v>
      </x:c>
      <x:c r="AK101" s="13" t="n">
        <x:v>-0.33423592565277804</x:v>
      </x:c>
      <x:c r="AL101" s="13" t="n">
        <x:v>-1.1340097861984697</x:v>
      </x:c>
      <x:c r="AM101" s="13" t="n">
        <x:v>4.870723409278175</x:v>
      </x:c>
      <x:c r="AN101" s="13" t="n">
        <x:v>-0.5794639871494627</x:v>
      </x:c>
      <x:c r="AO101" s="13" t="n">
        <x:v>0.6065663161574857</x:v>
      </x:c>
      <x:c r="AP101" s="13" t="n">
        <x:v>0.0293785394799199</x:v>
      </x:c>
    </x:row>
    <x:row r="102" ht="15" hidden="0" customHeight="1">
      <x:c r="A102" s="2" t="str">
        <x:v>E101</x:v>
      </x:c>
      <x:c r="B102" s="2" t="str">
        <x:v>***灯饰工程有限公司</x:v>
      </x:c>
      <x:c r="C102" s="2" t="str">
        <x:v>有信贷记录</x:v>
      </x:c>
      <x:c r="D102" s="2" t="str">
        <x:v>D</x:v>
      </x:c>
      <x:c r="E102" s="2" t="str">
        <x:v>是</x:v>
      </x:c>
      <x:c r="F102" s="13" t="n">
        <x:v>-0.6052383961277273</x:v>
      </x:c>
      <x:c r="G102" s="13" t="n">
        <x:v>-0.6038256818525177</x:v>
      </x:c>
      <x:c r="H102" s="13" t="n">
        <x:v>-0.518728779362338</x:v>
      </x:c>
      <x:c r="I102" s="13" t="n">
        <x:v>-0.46027843520127304</x:v>
      </x:c>
      <x:c r="J102" s="13" t="n">
        <x:v>-0.5690415603866963</x:v>
      </x:c>
      <x:c r="K102" s="13" t="n">
        <x:v>-0.5714834955815136</x:v>
      </x:c>
      <x:c r="L102" s="13" t="n">
        <x:v>-0.6966675810435018</x:v>
      </x:c>
      <x:c r="M102" s="13" t="n">
        <x:v>-1.151103901665672</x:v>
      </x:c>
      <x:c r="N102" s="13" t="n">
        <x:v>-0.7216149855326618</x:v>
      </x:c>
      <x:c r="O102" s="13" t="n">
        <x:v>1.2287675434924359</x:v>
      </x:c>
      <x:c r="P102" s="13" t="n">
        <x:v>1.3591099241283744</x:v>
      </x:c>
      <x:c r="Q102" s="13" t="n">
        <x:v>-0.5832407925494183</x:v>
      </x:c>
      <x:c r="R102" s="13" t="n">
        <x:v>1.450913936213945</x:v>
      </x:c>
      <x:c r="S102" s="13" t="n">
        <x:v>-2.9721409549881423</x:v>
      </x:c>
      <x:c r="T102" s="13" t="n">
        <x:v>-1.5304246160533677</x:v>
      </x:c>
      <x:c r="U102" s="13" t="n">
        <x:v>-0.5264903610769384</x:v>
      </x:c>
      <x:c r="V102" s="13" t="n">
        <x:v>-0.5289538666162086</x:v>
      </x:c>
      <x:c r="W102" s="13" t="n">
        <x:v>-0.40290274399368314</x:v>
      </x:c>
      <x:c r="X102" s="13" t="n">
        <x:v>-0.3910667203118402</x:v>
      </x:c>
      <x:c r="Y102" s="13" t="n">
        <x:v>-0.5496605778894406</x:v>
      </x:c>
      <x:c r="Z102" s="13" t="n">
        <x:v>-0.4755899628189494</x:v>
      </x:c>
      <x:c r="AA102" s="13" t="n">
        <x:v>-0.3945834695888071</x:v>
      </x:c>
      <x:c r="AB102" s="13" t="n">
        <x:v>3.0424297337167094</x:v>
      </x:c>
      <x:c r="AC102" s="13" t="n">
        <x:v>-0.6980651016988949</x:v>
      </x:c>
      <x:c r="AD102" s="13" t="n">
        <x:v>1.6274730935152562</x:v>
      </x:c>
      <x:c r="AE102" s="13" t="n">
        <x:v>1.5773641050948197</x:v>
      </x:c>
      <x:c r="AF102" s="13" t="n">
        <x:v>-0.5622616343110578</x:v>
      </x:c>
      <x:c r="AG102" s="13" t="n">
        <x:v>0.9642285340957436</x:v>
      </x:c>
      <x:c r="AH102" s="13" t="n">
        <x:v>-2.9663549125372057</x:v>
      </x:c>
      <x:c r="AI102" s="13" t="n">
        <x:v>-2.3625410060551943</x:v>
      </x:c>
      <x:c r="AJ102" s="13" t="n">
        <x:v>-0.40434822346668864</x:v>
      </x:c>
      <x:c r="AK102" s="13" t="n">
        <x:v>-0.2945517245604833</x:v>
      </x:c>
      <x:c r="AL102" s="13" t="n">
        <x:v>4.836049153918829</x:v>
      </x:c>
      <x:c r="AM102" s="13" t="n">
        <x:v>-0.7815911692517314</x:v>
      </x:c>
      <x:c r="AN102" s="13" t="n">
        <x:v>1.8920314237765805</x:v>
      </x:c>
      <x:c r="AO102" s="13" t="n">
        <x:v>1.4369207717026384</x:v>
      </x:c>
      <x:c r="AP102" s="13" t="n">
        <x:v>-3.3185892768992313</x:v>
      </x:c>
    </x:row>
    <x:row r="103" ht="15" hidden="0" customHeight="1">
      <x:c r="A103" s="2" t="str">
        <x:v>E102</x:v>
      </x:c>
      <x:c r="B103" s="2" t="str">
        <x:v>***大药房有限责任公司</x:v>
      </x:c>
      <x:c r="C103" s="2" t="str">
        <x:v>有信贷记录</x:v>
      </x:c>
      <x:c r="D103" s="2" t="str">
        <x:v>D</x:v>
      </x:c>
      <x:c r="E103" s="2" t="str">
        <x:v>是</x:v>
      </x:c>
      <x:c r="F103" s="13" t="n">
        <x:v>-0.27424781313361135</x:v>
      </x:c>
      <x:c r="G103" s="13" t="n">
        <x:v>-0.27105441220855797</x:v>
      </x:c>
      <x:c r="H103" s="13" t="n">
        <x:v>-0.30610426161242843</x:v>
      </x:c>
      <x:c r="I103" s="13" t="n">
        <x:v>-0.16010562080261734</x:v>
      </x:c>
      <x:c r="J103" s="13" t="n">
        <x:v>-0.4971003584233159</x:v>
      </x:c>
      <x:c r="K103" s="13" t="n">
        <x:v>-0.49994833334964883</x:v>
      </x:c>
      <x:c r="L103" s="13" t="n">
        <x:v>-0.5019513194306904</x:v>
      </x:c>
      <x:c r="M103" s="13" t="n">
        <x:v>-0.09904191638545755</x:v>
      </x:c>
      <x:c r="N103" s="13" t="n">
        <x:v>0.34314075674098177</x:v>
      </x:c>
      <x:c r="O103" s="13" t="n">
        <x:v>-0.4246200657890519</x:v>
      </x:c>
      <x:c r="P103" s="13" t="n">
        <x:v>-0.33163168208068233</x:v>
      </x:c>
      <x:c r="Q103" s="13" t="n">
        <x:v>-0.5158740371627006</x:v>
      </x:c>
      <x:c r="R103" s="13" t="n">
        <x:v>-1.1756255008493288</x:v>
      </x:c>
      <x:c r="S103" s="13" t="n">
        <x:v>-0.36397776094607315</x:v>
      </x:c>
      <x:c r="T103" s="13" t="n">
        <x:v>0.918343412818586</x:v>
      </x:c>
      <x:c r="U103" s="13" t="n">
        <x:v>-0.4664176524696128</x:v>
      </x:c>
      <x:c r="V103" s="13" t="n">
        <x:v>-0.4621908303672125</x:v>
      </x:c>
      <x:c r="W103" s="13" t="n">
        <x:v>-0.44036722672606504</x:v>
      </x:c>
      <x:c r="X103" s="13" t="n">
        <x:v>-0.32901349594933565</x:v>
      </x:c>
      <x:c r="Y103" s="13" t="n">
        <x:v>-0.5492283342062683</x:v>
      </x:c>
      <x:c r="Z103" s="13" t="n">
        <x:v>-0.4748011159335143</x:v>
      </x:c>
      <x:c r="AA103" s="13" t="n">
        <x:v>-0.15254554337839918</x:v>
      </x:c>
      <x:c r="AB103" s="13" t="n">
        <x:v>0.19304646593212083</x:v>
      </x:c>
      <x:c r="AC103" s="13" t="n">
        <x:v>-0.0332207313079287</x:v>
      </x:c>
      <x:c r="AD103" s="13" t="n">
        <x:v>0.3317298410968282</x:v>
      </x:c>
      <x:c r="AE103" s="13" t="n">
        <x:v>0.7646002765464109</x:v>
      </x:c>
      <x:c r="AF103" s="13" t="n">
        <x:v>-0.5685385429691003</x:v>
      </x:c>
      <x:c r="AG103" s="13" t="n">
        <x:v>0.47108286633418195</x:v>
      </x:c>
      <x:c r="AH103" s="13" t="n">
        <x:v>-0.019029337354487</x:v>
      </x:c>
      <x:c r="AI103" s="13" t="n">
        <x:v>-0.5512122130784217</x:v>
      </x:c>
      <x:c r="AJ103" s="13" t="n">
        <x:v>-0.4590558609710634</x:v>
      </x:c>
      <x:c r="AK103" s="13" t="n">
        <x:v>2.2977241600379674</x:v>
      </x:c>
      <x:c r="AL103" s="13" t="n">
        <x:v>-0.37469781237608246</x:v>
      </x:c>
      <x:c r="AM103" s="13" t="n">
        <x:v>-0.09884933862791008</x:v>
      </x:c>
      <x:c r="AN103" s="13" t="n">
        <x:v>-0.09949690581283888</x:v>
      </x:c>
      <x:c r="AO103" s="13" t="n">
        <x:v>-0.5761914869161245</x:v>
      </x:c>
      <x:c r="AP103" s="13" t="n">
        <x:v>-0.23649675986740198</x:v>
      </x:c>
    </x:row>
    <x:row r="104" ht="15" hidden="0" customHeight="1">
      <x:c r="A104" s="2" t="str">
        <x:v>E103</x:v>
      </x:c>
      <x:c r="B104" s="2" t="str">
        <x:v>***科技有限公司</x:v>
      </x:c>
      <x:c r="C104" s="2" t="str">
        <x:v>有信贷记录</x:v>
      </x:c>
      <x:c r="D104" s="2" t="str">
        <x:v>D</x:v>
      </x:c>
      <x:c r="E104" s="2" t="str">
        <x:v>是</x:v>
      </x:c>
      <x:c r="F104" s="13" t="n">
        <x:v>-0.5329211258937188</x:v>
      </x:c>
      <x:c r="G104" s="13" t="n">
        <x:v>-0.5304625633287052</x:v>
      </x:c>
      <x:c r="H104" s="13" t="n">
        <x:v>-0.4868351016998515</x:v>
      </x:c>
      <x:c r="I104" s="13" t="n">
        <x:v>-0.46027843520127304</x:v>
      </x:c>
      <x:c r="J104" s="13" t="n">
        <x:v>-0.5553701900410474</x:v>
      </x:c>
      <x:c r="K104" s="13" t="n">
        <x:v>-0.5580538144390719</x:v>
      </x:c>
      <x:c r="L104" s="13" t="n">
        <x:v>-0.5141210857814911</x:v>
      </x:c>
      <x:c r="M104" s="13" t="n">
        <x:v>-0.4813318819669307</x:v>
      </x:c>
      <x:c r="N104" s="13" t="n">
        <x:v>-0.7216149855326618</x:v>
      </x:c>
      <x:c r="O104" s="13" t="n">
        <x:v>-0.5673096705636831</x:v>
      </x:c>
      <x:c r="P104" s="13" t="n">
        <x:v>-0.4472816917074334</x:v>
      </x:c>
      <x:c r="Q104" s="13" t="n">
        <x:v>-0.5690544482503381</x:v>
      </x:c>
      <x:c r="R104" s="13" t="n">
        <x:v>0.8532894570219653</x:v>
      </x:c>
      <x:c r="S104" s="13" t="n">
        <x:v>1.3198587202727354</x:v>
      </x:c>
      <x:c r="T104" s="13" t="n">
        <x:v>-0.023490444439857705</x:v>
      </x:c>
      <x:c r="U104" s="13" t="n">
        <x:v>-0.5259634074926636</x:v>
      </x:c>
      <x:c r="V104" s="13" t="n">
        <x:v>-0.5166111204189152</x:v>
      </x:c>
      <x:c r="W104" s="13" t="n">
        <x:v>-0.560253571469687</x:v>
      </x:c>
      <x:c r="X104" s="13" t="n">
        <x:v>-0.3496979040701705</x:v>
      </x:c>
      <x:c r="Y104" s="13" t="n">
        <x:v>-0.5363692663788765</x:v>
      </x:c>
      <x:c r="Z104" s="13" t="n">
        <x:v>-0.46507128280347265</x:v>
      </x:c>
      <x:c r="AA104" s="13" t="n">
        <x:v>-0.35228557957145423</x:v>
      </x:c>
      <x:c r="AB104" s="13" t="n">
        <x:v>0.2702912919513201</x:v>
      </x:c>
      <x:c r="AC104" s="13" t="n">
        <x:v>0.5413361319929062</x:v>
      </x:c>
      <x:c r="AD104" s="13" t="n">
        <x:v>0.12379718545882175</x:v>
      </x:c>
      <x:c r="AE104" s="13" t="n">
        <x:v>0.3686550227518595</x:v>
      </x:c>
      <x:c r="AF104" s="13" t="n">
        <x:v>-0.5457370294685927</x:v>
      </x:c>
      <x:c r="AG104" s="13" t="n">
        <x:v>2.0327380121415852</x:v>
      </x:c>
      <x:c r="AH104" s="13" t="n">
        <x:v>1.4074992387009913</x:v>
      </x:c>
      <x:c r="AI104" s="13" t="n">
        <x:v>-1.255617854791611</x:v>
      </x:c>
      <x:c r="AJ104" s="13" t="n">
        <x:v>-0.39289575807716604</x:v>
      </x:c>
      <x:c r="AK104" s="13" t="n">
        <x:v>-0.2003092820535883</x:v>
      </x:c>
      <x:c r="AL104" s="13" t="n">
        <x:v>-0.2999073610715094</x:v>
      </x:c>
      <x:c r="AM104" s="13" t="n">
        <x:v>-0.2543797646175519</x:v>
      </x:c>
      <x:c r="AN104" s="13" t="n">
        <x:v>-0.33072034896394475</x:v>
      </x:c>
      <x:c r="AO104" s="13" t="n">
        <x:v>1.534806100682933</x:v>
      </x:c>
      <x:c r="AP104" s="13" t="n">
        <x:v>1.5134512214718445</x:v>
      </x:c>
    </x:row>
    <x:row r="105" ht="15" hidden="0" customHeight="1">
      <x:c r="A105" s="2" t="str">
        <x:v>E104</x:v>
      </x:c>
      <x:c r="B105" s="2" t="str">
        <x:v>***管理咨询有限责任公司</x:v>
      </x:c>
      <x:c r="C105" s="2" t="str">
        <x:v>有信贷记录</x:v>
      </x:c>
      <x:c r="D105" s="2" t="str">
        <x:v>C</x:v>
      </x:c>
      <x:c r="E105" s="2" t="str">
        <x:v>否</x:v>
      </x:c>
      <x:c r="F105" s="13" t="n">
        <x:v>-0.6117284075589845</x:v>
      </x:c>
      <x:c r="G105" s="13" t="n">
        <x:v>-0.6105386469461999</x:v>
      </x:c>
      <x:c r="H105" s="13" t="n">
        <x:v>-0.518728779362338</x:v>
      </x:c>
      <x:c r="I105" s="13" t="n">
        <x:v>-0.46027843520127304</x:v>
      </x:c>
      <x:c r="J105" s="13" t="n">
        <x:v>-0.570091157160903</x:v>
      </x:c>
      <x:c r="K105" s="13" t="n">
        <x:v>-0.5725145370681644</x:v>
      </x:c>
      <x:c r="L105" s="13" t="n">
        <x:v>-0.7118797889820027</x:v>
      </x:c>
      <x:c r="M105" s="13" t="n">
        <x:v>-1.151103901665672</x:v>
      </x:c>
      <x:c r="N105" s="13" t="n">
        <x:v>-0.7216149855326618</x:v>
      </x:c>
      <x:c r="O105" s="13" t="n">
        <x:v>2.6494337955283003</x:v>
      </x:c>
      <x:c r="P105" s="13" t="n">
        <x:v>2.2482144815216887</x:v>
      </x:c>
      <x:c r="Q105" s="13" t="n">
        <x:v>-0.5856119961966179</x:v>
      </x:c>
      <x:c r="R105" s="13" t="n">
        <x:v>-1.2639507400639614</x:v>
      </x:c>
      <x:c r="S105" s="13" t="n">
        <x:v>-0.31703243974069</x:v>
      </x:c>
      <x:c r="T105" s="13" t="n">
        <x:v>-2.472258473311811</x:v>
      </x:c>
      <x:c r="U105" s="13" t="n">
        <x:v>-0.5486224116164794</x:v>
      </x:c>
      <x:c r="V105" s="13" t="n">
        <x:v>-0.5362473075509729</x:v>
      </x:c>
      <x:c r="W105" s="13" t="n">
        <x:v>-0.620196743841498</x:v>
      </x:c>
      <x:c r="X105" s="13" t="n">
        <x:v>-0.3703823121910053</x:v>
      </x:c>
      <x:c r="Y105" s="13" t="n">
        <x:v>-0.5507930507442774</x:v>
      </x:c>
      <x:c r="Z105" s="13" t="n">
        <x:v>-0.4756004034532765</x:v>
      </x:c>
      <x:c r="AA105" s="13" t="n">
        <x:v>-0.3757844073588725</x:v>
      </x:c>
      <x:c r="AB105" s="13" t="n">
        <x:v>-0.23336163026011705</x:v>
      </x:c>
      <x:c r="AC105" s="13" t="n">
        <x:v>1.0631892830210328</x:v>
      </x:c>
      <x:c r="AD105" s="13" t="n">
        <x:v>0.14367808863261602</x:v>
      </x:c>
      <x:c r="AE105" s="13" t="n">
        <x:v>0.4263232326997394</x:v>
      </x:c>
      <x:c r="AF105" s="13" t="n">
        <x:v>-0.5663537301346063</x:v>
      </x:c>
      <x:c r="AG105" s="13" t="n">
        <x:v>-0.017825706875021288</x:v>
      </x:c>
      <x:c r="AH105" s="13" t="n">
        <x:v>-0.26285453400464154</x:v>
      </x:c>
      <x:c r="AI105" s="13" t="n">
        <x:v>-1.8593941191172019</x:v>
      </x:c>
      <x:c r="AJ105" s="13" t="n">
        <x:v>-0.40540850859147254</x:v>
      </x:c>
      <x:c r="AK105" s="13" t="n">
        <x:v>-0.3427812768044959</x:v>
      </x:c>
      <x:c r="AL105" s="13" t="n">
        <x:v>0.31347614481006947</x:v>
      </x:c>
      <x:c r="AM105" s="13" t="n">
        <x:v>2.15761241158382</x:v>
      </x:c>
      <x:c r="AN105" s="13" t="n">
        <x:v>1.9993644071939156</x:v>
      </x:c>
      <x:c r="AO105" s="13" t="n">
        <x:v>-1.0976841644949067</x:v>
      </x:c>
      <x:c r="AP105" s="13" t="n">
        <x:v>-0.3305322702634211</x:v>
      </x:c>
    </x:row>
    <x:row r="106" ht="15" hidden="0" customHeight="1">
      <x:c r="A106" s="2" t="str">
        <x:v>E105</x:v>
      </x:c>
      <x:c r="B106" s="2" t="str">
        <x:v>***建材经营部</x:v>
      </x:c>
      <x:c r="C106" s="2" t="str">
        <x:v>有信贷记录</x:v>
      </x:c>
      <x:c r="D106" s="2" t="str">
        <x:v>C</x:v>
      </x:c>
      <x:c r="E106" s="2" t="str">
        <x:v>否</x:v>
      </x:c>
      <x:c r="F106" s="13" t="n">
        <x:v>-0.6098741185786253</x:v>
      </x:c>
      <x:c r="G106" s="13" t="n">
        <x:v>-0.6086206569194336</x:v>
      </x:c>
      <x:c r="H106" s="13" t="n">
        <x:v>-0.518728779362338</x:v>
      </x:c>
      <x:c r="I106" s="13" t="n">
        <x:v>-0.46027843520127304</x:v>
      </x:c>
      <x:c r="J106" s="13" t="n">
        <x:v>-0.5699331130061496</x:v>
      </x:c>
      <x:c r="K106" s="13" t="n">
        <x:v>-0.5723592868956431</x:v>
      </x:c>
      <x:c r="L106" s="13" t="n">
        <x:v>-0.7027524642189021</x:v>
      </x:c>
      <x:c r="M106" s="13" t="n">
        <x:v>-1.151103901665672</x:v>
      </x:c>
      <x:c r="N106" s="13" t="n">
        <x:v>-0.7216149855326618</x:v>
      </x:c>
      <x:c r="O106" s="13" t="n">
        <x:v>1.3434862675612858</x:v>
      </x:c>
      <x:c r="P106" s="13" t="n">
        <x:v>1.47540221881107</x:v>
      </x:c>
      <x:c r="Q106" s="13" t="n">
        <x:v>-0.5854911675455536</x:v>
      </x:c>
      <x:c r="R106" s="13" t="n">
        <x:v>1.0289509830988839</x:v>
      </x:c>
      <x:c r="S106" s="13" t="n">
        <x:v>-3.9476126894836887</x:v>
      </x:c>
      <x:c r="T106" s="13" t="n">
        <x:v>-2.1897083161342783</x:v>
      </x:c>
      <x:c r="U106" s="13" t="n">
        <x:v>-0.49540009960472603</x:v>
      </x:c>
      <x:c r="V106" s="13" t="n">
        <x:v>-0.47902184790897623</x:v>
      </x:c>
      <x:c r="W106" s="13" t="n">
        <x:v>-0.6276896403879745</x:v>
      </x:c>
      <x:c r="X106" s="13" t="n">
        <x:v>-0.3083290878285008</x:v>
      </x:c>
      <x:c r="Y106" s="13" t="n">
        <x:v>-0.5444541295760695</x:v>
      </x:c>
      <x:c r="Z106" s="13" t="n">
        <x:v>-0.4711611404097292</x:v>
      </x:c>
      <x:c r="AA106" s="13" t="n">
        <x:v>-0.16194507449336648</x:v>
      </x:c>
      <x:c r="AB106" s="13" t="n">
        <x:v>-0.9518876704242145</x:v>
      </x:c>
      <x:c r="AC106" s="13" t="n">
        <x:v>0.40817732176155574</x:v>
      </x:c>
      <x:c r="AD106" s="13" t="n">
        <x:v>-0.9022580981087164</x:v>
      </x:c>
      <x:c r="AE106" s="13" t="n">
        <x:v>-0.9413244587520309</x:v>
      </x:c>
      <x:c r="AF106" s="13" t="n">
        <x:v>-0.5617330237909698</x:v>
      </x:c>
      <x:c r="AG106" s="13" t="n">
        <x:v>-0.2804359568306737</x:v>
      </x:c>
      <x:c r="AH106" s="13" t="n">
        <x:v>-1.6034409532628762</x:v>
      </x:c>
      <x:c r="AI106" s="13" t="n">
        <x:v>-0.5512122130784217</x:v>
      </x:c>
      <x:c r="AJ106" s="13" t="n">
        <x:v>-0.39504956919547046</x:v>
      </x:c>
      <x:c r="AK106" s="13" t="n">
        <x:v>-0.3400226119258865</x:v>
      </x:c>
      <x:c r="AL106" s="13" t="n">
        <x:v>-1.109301523570488</x:v>
      </x:c>
      <x:c r="AM106" s="13" t="n">
        <x:v>1.0698756533218439</x:v>
      </x:c>
      <x:c r="AN106" s="13" t="n">
        <x:v>0.41245100216942304</x:v>
      </x:c>
      <x:c r="AO106" s="13" t="n">
        <x:v>0.5647655801773479</x:v>
      </x:c>
      <x:c r="AP106" s="13" t="n">
        <x:v>-3.3563144485995466</x:v>
      </x:c>
    </x:row>
    <x:row r="107" ht="15" hidden="0" customHeight="1">
      <x:c r="A107" s="2" t="str">
        <x:v>E106</x:v>
      </x:c>
      <x:c r="B107" s="2" t="str">
        <x:v>***财务管理有限公司</x:v>
      </x:c>
      <x:c r="C107" s="2" t="str">
        <x:v>有信贷记录</x:v>
      </x:c>
      <x:c r="D107" s="2" t="str">
        <x:v>B</x:v>
      </x:c>
      <x:c r="E107" s="2" t="str">
        <x:v>否</x:v>
      </x:c>
      <x:c r="F107" s="13" t="n">
        <x:v>-0.5959669512259314</x:v>
      </x:c>
      <x:c r="G107" s="13" t="n">
        <x:v>-0.5947152292253776</x:v>
      </x:c>
      <x:c r="H107" s="13" t="n">
        <x:v>-0.5080975534748424</x:v>
      </x:c>
      <x:c r="I107" s="13" t="n">
        <x:v>-0.46027843520127304</x:v>
      </x:c>
      <x:c r="J107" s="13" t="n">
        <x:v>-0.5690554670750104</x:v>
      </x:c>
      <x:c r="K107" s="13" t="n">
        <x:v>-0.5714971564205578</x:v>
      </x:c>
      <x:c r="L107" s="13" t="n">
        <x:v>-0.6571158404033994</x:v>
      </x:c>
      <x:c r="M107" s="13" t="n">
        <x:v>-0.08442994436767678</x:v>
      </x:c>
      <x:c r="N107" s="13" t="n">
        <x:v>-0.7216149855326618</x:v>
      </x:c>
      <x:c r="O107" s="13" t="n">
        <x:v>0.1812425929249365</x:v>
      </x:c>
      <x:c r="P107" s="13" t="n">
        <x:v>0.42898685901421746</x:v>
      </x:c>
      <x:c r="Q107" s="13" t="n">
        <x:v>-0.5845449811937621</x:v>
      </x:c>
      <x:c r="R107" s="13" t="n">
        <x:v>0.8162083363414288</x:v>
      </x:c>
      <x:c r="S107" s="13" t="n">
        <x:v>-0.9766736157010454</x:v>
      </x:c>
      <x:c r="T107" s="13" t="n">
        <x:v>-0.9653243016983014</x:v>
      </x:c>
      <x:c r="U107" s="13" t="n">
        <x:v>-0.4790645384922077</x:v>
      </x:c>
      <x:c r="V107" s="13" t="n">
        <x:v>-0.4694842713019768</x:v>
      </x:c>
      <x:c r="W107" s="13" t="n">
        <x:v>-0.5227890887373051</x:v>
      </x:c>
      <x:c r="X107" s="13" t="n">
        <x:v>-0.3083290878285008</x:v>
      </x:c>
      <x:c r="Y107" s="13" t="n">
        <x:v>-0.5476967265691003</x:v>
      </x:c>
      <x:c r="Z107" s="13" t="n">
        <x:v>-0.4737405006344143</x:v>
      </x:c>
      <x:c r="AA107" s="13" t="n">
        <x:v>-0.15254554337839918</x:v>
      </x:c>
      <x:c r="AB107" s="13" t="n">
        <x:v>-0.21023839710263353</x:v>
      </x:c>
      <x:c r="AC107" s="13" t="n">
        <x:v>0.2719010811903408</x:v>
      </x:c>
      <x:c r="AD107" s="13" t="n">
        <x:v>-0.7735994382211508</x:v>
      </x:c>
      <x:c r="AE107" s="13" t="n">
        <x:v>-0.6246356327831005</x:v>
      </x:c>
      <x:c r="AF107" s="13" t="n">
        <x:v>-0.5662668408521608</x:v>
      </x:c>
      <x:c r="AG107" s="13" t="n">
        <x:v>-0.3902850764024277</x:v>
      </x:c>
      <x:c r="AH107" s="13" t="n">
        <x:v>0.21457140230016628</x:v>
      </x:c>
      <x:c r="AI107" s="13" t="n">
        <x:v>0.3544521834099646</x:v>
      </x:c>
      <x:c r="AJ107" s="13" t="n">
        <x:v>-0.40108916864386157</x:v>
      </x:c>
      <x:c r="AK107" s="13" t="n">
        <x:v>-0.3141024582698537</x:v>
      </x:c>
      <x:c r="AL107" s="13" t="n">
        <x:v>0.20641233437343717</x:v>
      </x:c>
      <x:c r="AM107" s="13" t="n">
        <x:v>0.5775781166837833</x:v>
      </x:c>
      <x:c r="AN107" s="13" t="n">
        <x:v>-0.345544045227725</x:v>
      </x:c>
      <x:c r="AO107" s="13" t="n">
        <x:v>0.368794139649517</x:v>
      </x:c>
      <x:c r="AP107" s="13" t="n">
        <x:v>-0.4941913882066256</x:v>
      </x:c>
    </x:row>
    <x:row r="108" ht="15" hidden="0" customHeight="1">
      <x:c r="A108" s="2" t="str">
        <x:v>E107</x:v>
      </x:c>
      <x:c r="B108" s="2" t="str">
        <x:v>***科技有限公司</x:v>
      </x:c>
      <x:c r="C108" s="2" t="str">
        <x:v>有信贷记录</x:v>
      </x:c>
      <x:c r="D108" s="2" t="str">
        <x:v>D</x:v>
      </x:c>
      <x:c r="E108" s="2" t="str">
        <x:v>是</x:v>
      </x:c>
      <x:c r="F108" s="13" t="n">
        <x:v>-0.6084834018433559</x:v>
      </x:c>
      <x:c r="G108" s="13" t="n">
        <x:v>-0.6071821643993588</x:v>
      </x:c>
      <x:c r="H108" s="13" t="n">
        <x:v>-0.518728779362338</x:v>
      </x:c>
      <x:c r="I108" s="13" t="n">
        <x:v>-0.46027843520127304</x:v>
      </x:c>
      <x:c r="J108" s="13" t="n">
        <x:v>-0.5678891151814797</x:v>
      </x:c>
      <x:c r="K108" s="13" t="n">
        <x:v>-0.570351423868957</x:v>
      </x:c>
      <x:c r="L108" s="13" t="n">
        <x:v>-0.6936251394558016</x:v>
      </x:c>
      <x:c r="M108" s="13" t="n">
        <x:v>-1.151103901665672</x:v>
      </x:c>
      <x:c r="N108" s="13" t="n">
        <x:v>-0.7216149855326618</x:v>
      </x:c>
      <x:c r="O108" s="13" t="n">
        <x:v>1.4892163965511112</x:v>
      </x:c>
      <x:c r="P108" s="13" t="n">
        <x:v>1.525998203001157</x:v>
      </x:c>
      <x:c r="Q108" s="13" t="n">
        <x:v>-0.5830369245705269</x:v>
      </x:c>
      <x:c r="R108" s="13" t="n">
        <x:v>2.1501473565826443</x:v>
      </x:c>
      <x:c r="S108" s="13" t="n">
        <x:v>-1.2673709334081311</x:v>
      </x:c>
      <x:c r="T108" s="13" t="n">
        <x:v>-2.0013415446825893</x:v>
      </x:c>
      <x:c r="U108" s="13" t="n">
        <x:v>-0.5312329433354115</x:v>
      </x:c>
      <x:c r="V108" s="13" t="n">
        <x:v>-0.527831798780091</x:v>
      </x:c>
      <x:c r="W108" s="13" t="n">
        <x:v>-0.4853246060049233</x:v>
      </x:c>
      <x:c r="X108" s="13" t="n">
        <x:v>-0.3910667203118402</x:v>
      </x:c>
      <x:c r="Y108" s="13" t="n">
        <x:v>-0.5455560794397429</x:v>
      </x:c>
      <x:c r="Z108" s="13" t="n">
        <x:v>-0.47240569913608127</x:v>
      </x:c>
      <x:c r="AA108" s="13" t="n">
        <x:v>-0.3898837040313234</x:v>
      </x:c>
      <x:c r="AB108" s="13" t="n">
        <x:v>2.0378537154304825</x:v>
      </x:c>
      <x:c r="AC108" s="13" t="n">
        <x:v>-0.6980651016988949</x:v>
      </x:c>
      <x:c r="AD108" s="13" t="n">
        <x:v>1.3977644731458443</x:v>
      </x:c>
      <x:c r="AE108" s="13" t="n">
        <x:v>1.4728188629052499</x:v>
      </x:c>
      <x:c r="AF108" s="13" t="n">
        <x:v>-0.5602141878656735</x:v>
      </x:c>
      <x:c r="AG108" s="13" t="n">
        <x:v>3.29022710530311</x:v>
      </x:c>
      <x:c r="AH108" s="13" t="n">
        <x:v>2.389312976531447</x:v>
      </x:c>
      <x:c r="AI108" s="13" t="n">
        <x:v>-1.7587647417296035</x:v>
      </x:c>
      <x:c r="AJ108" s="13" t="n">
        <x:v>-0.39844693811290016</x:v>
      </x:c>
      <x:c r="AK108" s="13" t="n">
        <x:v>-0.2954431940810519</x:v>
      </x:c>
      <x:c r="AL108" s="13" t="n">
        <x:v>4.192480353706512</x:v>
      </x:c>
      <x:c r="AM108" s="13" t="n">
        <x:v>-0.7815911692517314</x:v>
      </x:c>
      <x:c r="AN108" s="13" t="n">
        <x:v>1.9378394469239488</x:v>
      </x:c>
      <x:c r="AO108" s="13" t="n">
        <x:v>2.998421837947341</x:v>
      </x:c>
      <x:c r="AP108" s="13" t="n">
        <x:v>0.4229620755169881</x:v>
      </x:c>
    </x:row>
    <x:row r="109" ht="15" hidden="0" customHeight="1">
      <x:c r="A109" s="2" t="str">
        <x:v>E108</x:v>
      </x:c>
      <x:c r="B109" s="2" t="str">
        <x:v>***商贸有限公司</x:v>
      </x:c>
      <x:c r="C109" s="2" t="str">
        <x:v>有信贷记录</x:v>
      </x:c>
      <x:c r="D109" s="2" t="str">
        <x:v>D</x:v>
      </x:c>
      <x:c r="E109" s="2" t="str">
        <x:v>是</x:v>
      </x:c>
      <x:c r="F109" s="13" t="n">
        <x:v>-0.5115968026195881</x:v>
      </x:c>
      <x:c r="G109" s="13" t="n">
        <x:v>-0.5069671855008177</x:v>
      </x:c>
      <x:c r="H109" s="13" t="n">
        <x:v>-0.518728779362338</x:v>
      </x:c>
      <x:c r="I109" s="13" t="n">
        <x:v>-0.2887511126877555</x:v>
      </x:c>
      <x:c r="J109" s="13" t="n">
        <x:v>-0.5679826455925323</x:v>
      </x:c>
      <x:c r="K109" s="13" t="n">
        <x:v>-0.5704235993213208</x:v>
      </x:c>
      <x:c r="L109" s="13" t="n">
        <x:v>-0.5019513194306904</x:v>
      </x:c>
      <x:c r="M109" s="13" t="n">
        <x:v>-1.151103901665672</x:v>
      </x:c>
      <x:c r="N109" s="13" t="n">
        <x:v>1.2599749935349316</x:v>
      </x:c>
      <x:c r="O109" s="13" t="n">
        <x:v>-0.730493793281078</x:v>
      </x:c>
      <x:c r="P109" s="13" t="n">
        <x:v>-0.7744005915496452</x:v>
      </x:c>
      <x:c r="Q109" s="13" t="n">
        <x:v>-0.5829572269512844</x:v>
      </x:c>
      <x:c r="R109" s="13" t="n">
        <x:v>0.017141154300707628</x:v>
      </x:c>
      <x:c r="S109" s="13" t="n">
        <x:v>-0.293465339341984</x:v>
      </x:c>
      <x:c r="T109" s="13" t="n">
        <x:v>-0.30604060161739083</x:v>
      </x:c>
      <x:c r="U109" s="13" t="n">
        <x:v>-0.542298968605182</x:v>
      </x:c>
      <x:c r="V109" s="13" t="n">
        <x:v>-0.5283928326981499</x:v>
      </x:c>
      <x:c r="W109" s="13" t="n">
        <x:v>-0.6351825369344508</x:v>
      </x:c>
      <x:c r="X109" s="13" t="n">
        <x:v>-0.3703823121910053</x:v>
      </x:c>
      <x:c r="Y109" s="13" t="n">
        <x:v>-0.5514744484931894</x:v>
      </x:c>
      <x:c r="Z109" s="13" t="n">
        <x:v>-0.47699714646628505</x:v>
      </x:c>
      <x:c r="AA109" s="13" t="n">
        <x:v>-0.35463546235019605</x:v>
      </x:c>
      <x:c r="AB109" s="13" t="n">
        <x:v>-1.0195515576145555</x:v>
      </x:c>
      <x:c r="AC109" s="13" t="n">
        <x:v>0.3159904531398515</x:v>
      </x:c>
      <x:c r="AD109" s="13" t="n">
        <x:v>-0.07736603801677447</x:v>
      </x:c>
      <x:c r="AE109" s="13" t="n">
        <x:v>0.2790107947920276</x:v>
      </x:c>
      <x:c r="AF109" s="13" t="n">
        <x:v>-0.5682770193500937</x:v>
      </x:c>
      <x:c r="AG109" s="13" t="n">
        <x:v>1.2276657827677524</x:v>
      </x:c>
      <x:c r="AH109" s="13" t="n">
        <x:v>-2.800598168433994</x:v>
      </x:c>
      <x:c r="AI109" s="13" t="n">
        <x:v>-2.3625410060551943</x:v>
      </x:c>
      <x:c r="AJ109" s="13" t="n">
        <x:v>-0.4081642612695952</x:v>
      </x:c>
      <x:c r="AK109" s="13" t="n">
        <x:v>-0.14845021910623002</x:v>
      </x:c>
      <x:c r="AL109" s="13" t="n">
        <x:v>-1.2190361046933285</x:v>
      </x:c>
      <x:c r="AM109" s="13" t="n">
        <x:v>0.38940627331223304</x:v>
      </x:c>
      <x:c r="AN109" s="13" t="n">
        <x:v>-0.5725305312820633</x:v>
      </x:c>
      <x:c r="AO109" s="13" t="n">
        <x:v>0.5887938050625507</x:v>
      </x:c>
      <x:c r="AP109" s="13" t="n">
        <x:v>-1.5941445518821733</x:v>
      </x:c>
    </x:row>
    <x:row r="110" ht="15" hidden="0" customHeight="1">
      <x:c r="A110" s="2" t="str">
        <x:v>E109</x:v>
      </x:c>
      <x:c r="B110" s="2" t="str">
        <x:v>***服饰有限公司</x:v>
      </x:c>
      <x:c r="C110" s="2" t="str">
        <x:v>有信贷记录</x:v>
      </x:c>
      <x:c r="D110" s="2" t="str">
        <x:v>D</x:v>
      </x:c>
      <x:c r="E110" s="2" t="str">
        <x:v>是</x:v>
      </x:c>
      <x:c r="F110" s="13" t="n">
        <x:v>-0.6080198295982662</x:v>
      </x:c>
      <x:c r="G110" s="13" t="n">
        <x:v>-0.6067026668926672</x:v>
      </x:c>
      <x:c r="H110" s="13" t="n">
        <x:v>-0.518728779362338</x:v>
      </x:c>
      <x:c r="I110" s="13" t="n">
        <x:v>-0.46027843520127304</x:v>
      </x:c>
      <x:c r="J110" s="13" t="n">
        <x:v>-0.5700350634590076</x:v>
      </x:c>
      <x:c r="K110" s="13" t="n">
        <x:v>-0.572459435018296</x:v>
      </x:c>
      <x:c r="L110" s="13" t="n">
        <x:v>-0.6936251394558016</x:v>
      </x:c>
      <x:c r="M110" s="13" t="n">
        <x:v>-1.151103901665672</x:v>
      </x:c>
      <x:c r="N110" s="13" t="n">
        <x:v>-0.7216149855326618</x:v>
      </x:c>
      <x:c r="O110" s="13" t="n">
        <x:v>-0.3474957801771402</x:v>
      </x:c>
      <x:c r="P110" s="13" t="n">
        <x:v>-0.5331260353948709</x:v>
      </x:c>
      <x:c r="Q110" s="13" t="n">
        <x:v>-0.5856987958142322</x:v>
      </x:c>
      <x:c r="R110" s="13" t="n">
        <x:v>0.4013575079171648</x:v>
      </x:c>
      <x:c r="S110" s="13" t="n">
        <x:v>2.5808657046323797</x:v>
      </x:c>
      <x:c r="T110" s="13" t="n">
        <x:v>-2.0013415446825893</x:v>
      </x:c>
      <x:c r="U110" s="13" t="n">
        <x:v>-0.542298968605182</x:v>
      </x:c>
      <x:c r="V110" s="13" t="n">
        <x:v>-0.5340031718787378</x:v>
      </x:c>
      <x:c r="W110" s="13" t="n">
        <x:v>-0.560253571469687</x:v>
      </x:c>
      <x:c r="X110" s="13" t="n">
        <x:v>-0.3910667203118402</x:v>
      </x:c>
      <x:c r="Y110" s="13" t="n">
        <x:v>-0.5490617654873964</x:v>
      </x:c>
      <x:c r="Z110" s="13" t="n">
        <x:v>-0.47512540506407414</x:v>
      </x:c>
      <x:c r="AA110" s="13" t="n">
        <x:v>-0.3593352279076797</x:v>
      </x:c>
      <x:c r="AB110" s="13" t="n">
        <x:v>1.4819618476041123</x:v>
      </x:c>
      <x:c r="AC110" s="13" t="n">
        <x:v>-0.6980651016988949</x:v>
      </x:c>
      <x:c r="AD110" s="13" t="n">
        <x:v>-0.36087985071377376</x:v>
      </x:c>
      <x:c r="AE110" s="13" t="n">
        <x:v>-0.2668066893120346</x:v>
      </x:c>
      <x:c r="AF110" s="13" t="n">
        <x:v>-0.5662739111346617</x:v>
      </x:c>
      <x:c r="AG110" s="13" t="n">
        <x:v>1.3337497938224923</x:v>
      </x:c>
      <x:c r="AH110" s="13" t="n">
        <x:v>2.48443817769158</x:v>
      </x:c>
      <x:c r="AI110" s="13" t="n">
        <x:v>-1.5575059869544066</x:v>
      </x:c>
      <x:c r="AJ110" s="13" t="n">
        <x:v>-0.4025923654731796</x:v>
      </x:c>
      <x:c r="AK110" s="13" t="n">
        <x:v>-0.3403965586843614</x:v>
      </x:c>
      <x:c r="AL110" s="13" t="n">
        <x:v>2.738787471391596</x:v>
      </x:c>
      <x:c r="AM110" s="13" t="n">
        <x:v>-0.7815911692517314</x:v>
      </x:c>
      <x:c r="AN110" s="13" t="n">
        <x:v>-0.47164786804793746</x:v>
      </x:c>
      <x:c r="AO110" s="13" t="n">
        <x:v>0.8992596755231452</x:v>
      </x:c>
      <x:c r="AP110" s="13" t="n">
        <x:v>2.672337855261514</x:v>
      </x:c>
    </x:row>
    <x:row r="111" ht="15" hidden="0" customHeight="1">
      <x:c r="A111" s="2" t="str">
        <x:v>E110</x:v>
      </x:c>
      <x:c r="B111" s="2" t="str">
        <x:v>***通讯器材经营部</x:v>
      </x:c>
      <x:c r="C111" s="2" t="str">
        <x:v>有信贷记录</x:v>
      </x:c>
      <x:c r="D111" s="2" t="str">
        <x:v>C</x:v>
      </x:c>
      <x:c r="E111" s="2" t="str">
        <x:v>否</x:v>
      </x:c>
      <x:c r="F111" s="13" t="n">
        <x:v>-0.6112648353138947</x:v>
      </x:c>
      <x:c r="G111" s="13" t="n">
        <x:v>-0.6100591494395083</x:v>
      </x:c>
      <x:c r="H111" s="13" t="n">
        <x:v>-0.518728779362338</x:v>
      </x:c>
      <x:c r="I111" s="13" t="n">
        <x:v>-0.46027843520127304</x:v>
      </x:c>
      <x:c r="J111" s="13" t="n">
        <x:v>-0.5700815787272816</x:v>
      </x:c>
      <x:c r="K111" s="13" t="n">
        <x:v>-0.5725051279667994</x:v>
      </x:c>
      <x:c r="L111" s="13" t="n">
        <x:v>-0.7118797889820027</x:v>
      </x:c>
      <x:c r="M111" s="13" t="n">
        <x:v>-1.151103901665672</x:v>
      </x:c>
      <x:c r="N111" s="13" t="n">
        <x:v>-0.7216149855326618</x:v>
      </x:c>
      <x:c r="O111" s="13" t="n">
        <x:v>2.6494337955283003</x:v>
      </x:c>
      <x:c r="P111" s="13" t="n">
        <x:v>2.2482144815216887</x:v>
      </x:c>
      <x:c r="Q111" s="13" t="n">
        <x:v>-0.5857851941263207</x:v>
      </x:c>
      <x:c r="R111" s="13" t="n">
        <x:v>1.3625812589242536</x:v>
      </x:c>
      <x:c r="S111" s="13" t="n">
        <x:v>-0.9751570274549259</x:v>
      </x:c>
      <x:c r="T111" s="13" t="n">
        <x:v>-2.378075087585967</x:v>
      </x:c>
      <x:c r="U111" s="13" t="n">
        <x:v>-0.5159512893914427</x:v>
      </x:c>
      <x:c r="V111" s="13" t="n">
        <x:v>-0.5121228490744449</x:v>
      </x:c>
      <x:c r="W111" s="13" t="n">
        <x:v>-0.4778317094584469</x:v>
      </x:c>
      <x:c r="X111" s="13" t="n">
        <x:v>-0.3910667203118402</x:v>
      </x:c>
      <x:c r="Y111" s="13" t="n">
        <x:v>-0.5514222874336763</x:v>
      </x:c>
      <x:c r="Z111" s="13" t="n">
        <x:v>-0.47695669441605476</x:v>
      </x:c>
      <x:c r="AA111" s="13" t="n">
        <x:v>-0.3123375723328432</x:v>
      </x:c>
      <x:c r="AB111" s="13" t="n">
        <x:v>1.0690614421644042</x:v>
      </x:c>
      <x:c r="AC111" s="13" t="n">
        <x:v>-0.6980651016988949</x:v>
      </x:c>
      <x:c r="AD111" s="13" t="n">
        <x:v>-0.3569805345566018</x:v>
      </x:c>
      <x:c r="AE111" s="13" t="n">
        <x:v>-0.31320489966101606</x:v>
      </x:c>
      <x:c r="AF111" s="13" t="n">
        <x:v>-0.5698986272968939</x:v>
      </x:c>
      <x:c r="AG111" s="13" t="n">
        <x:v>0.1630825005529573</x:v>
      </x:c>
      <x:c r="AH111" s="13" t="n">
        <x:v>-1.3058300911511584</x:v>
      </x:c>
      <x:c r="AI111" s="13" t="n">
        <x:v>-0.6518415904660202</x:v>
      </x:c>
      <x:c r="AJ111" s="13" t="n">
        <x:v>-0.4064609916964843</x:v>
      </x:c>
      <x:c r="AK111" s="13" t="n">
        <x:v>-0.3412025212163794</x:v>
      </x:c>
      <x:c r="AL111" s="13" t="n">
        <x:v>2.9378801922303777</x:v>
      </x:c>
      <x:c r="AM111" s="13" t="n">
        <x:v>-0.7815911692517314</x:v>
      </x:c>
      <x:c r="AN111" s="13" t="n">
        <x:v>1.6901817074419552</x:v>
      </x:c>
      <x:c r="AO111" s="13" t="n">
        <x:v>0.999811167336263</x:v>
      </x:c>
      <x:c r="AP111" s="13" t="n">
        <x:v>-1.2589616052379273</x:v>
      </x:c>
    </x:row>
    <x:row r="112" ht="15" hidden="0" customHeight="1">
      <x:c r="A112" s="2" t="str">
        <x:v>E111</x:v>
      </x:c>
      <x:c r="B112" s="2" t="str">
        <x:v>***科技有限公司</x:v>
      </x:c>
      <x:c r="C112" s="2" t="str">
        <x:v>有信贷记录</x:v>
      </x:c>
      <x:c r="D112" s="2" t="str">
        <x:v>D</x:v>
      </x:c>
      <x:c r="E112" s="2" t="str">
        <x:v>是</x:v>
      </x:c>
      <x:c r="F112" s="13" t="n">
        <x:v>-0.4837824679142002</x:v>
      </x:c>
      <x:c r="G112" s="13" t="n">
        <x:v>-0.4849103001930047</x:v>
      </x:c>
      <x:c r="H112" s="13" t="n">
        <x:v>-0.3698916169374013</x:v>
      </x:c>
      <x:c r="I112" s="13" t="n">
        <x:v>-0.2887511126877555</x:v>
      </x:c>
      <x:c r="J112" s="13" t="n">
        <x:v>-0.5595406320577836</x:v>
      </x:c>
      <x:c r="K112" s="13" t="n">
        <x:v>-0.5503891526262855</x:v>
      </x:c>
      <x:c r="L112" s="13" t="n">
        <x:v>-0.4228478381504858</x:v>
      </x:c>
      <x:c r="M112" s="13" t="n">
        <x:v>0.7827222655220603</x:v>
      </x:c>
      <x:c r="N112" s="13" t="n">
        <x:v>0.9146979517276994</x:v>
      </x:c>
      <x:c r="O112" s="13" t="n">
        <x:v>-0.40838593591677136</x:v>
      </x:c>
      <x:c r="P112" s="13" t="n">
        <x:v>-0.39527343189607367</x:v>
      </x:c>
      <x:c r="Q112" s="13" t="n">
        <x:v>-0.5734116004470459</x:v>
      </x:c>
      <x:c r="R112" s="13" t="n">
        <x:v>0.17008054311382917</x:v>
      </x:c>
      <x:c r="S112" s="13" t="n">
        <x:v>-0.03469294450768075</x:v>
      </x:c>
      <x:c r="T112" s="13" t="n">
        <x:v>0.16487632701183103</x:v>
      </x:c>
      <x:c r="U112" s="13" t="n">
        <x:v>-0.42795004081755345</x:v>
      </x:c>
      <x:c r="V112" s="13" t="n">
        <x:v>-0.4324560327100966</x:v>
      </x:c>
      <x:c r="W112" s="13" t="n">
        <x:v>-0.29050929579653745</x:v>
      </x:c>
      <x:c r="X112" s="13" t="n">
        <x:v>0.18809670707153542</x:v>
      </x:c>
      <x:c r="Y112" s="13" t="n">
        <x:v>-0.545136525051337</x:v>
      </x:c>
      <x:c r="Z112" s="13" t="n">
        <x:v>-0.4419754450733738</x:v>
      </x:c>
      <x:c r="AA112" s="13" t="n">
        <x:v>-0.37343452458013066</x:v>
      </x:c>
      <x:c r="AB112" s="13" t="n">
        <x:v>0.4993673820342196</x:v>
      </x:c>
      <x:c r="AC112" s="13" t="n">
        <x:v>3.8950100584530745</x:v>
      </x:c>
      <x:c r="AD112" s="13" t="n">
        <x:v>0.5387587409952665</x:v>
      </x:c>
      <x:c r="AE112" s="13" t="n">
        <x:v>0.8003079527392377</x:v>
      </x:c>
      <x:c r="AF112" s="13" t="n">
        <x:v>-0.5625574678005417</x:v>
      </x:c>
      <x:c r="AG112" s="13" t="n">
        <x:v>0.25840453246688433</x:v>
      </x:c>
      <x:c r="AH112" s="13" t="n">
        <x:v>-0.32838450751367104</x:v>
      </x:c>
      <x:c r="AI112" s="13" t="n">
        <x:v>0.2538228060223661</x:v>
      </x:c>
      <x:c r="AJ112" s="13" t="n">
        <x:v>-0.4041845335529751</x:v>
      </x:c>
      <x:c r="AK112" s="13" t="n">
        <x:v>-0.2630751044988908</x:v>
      </x:c>
      <x:c r="AL112" s="13" t="n">
        <x:v>0.7026119173585978</x:v>
      </x:c>
      <x:c r="AM112" s="13" t="n">
        <x:v>3.2378325310362017</x:v>
      </x:c>
      <x:c r="AN112" s="13" t="n">
        <x:v>0.040051606468182455</x:v>
      </x:c>
      <x:c r="AO112" s="13" t="n">
        <x:v>0.2361217022660465</x:v>
      </x:c>
      <x:c r="AP112" s="13" t="n">
        <x:v>-0.19057199539244307</x:v>
      </x:c>
    </x:row>
    <x:row r="113" ht="15" hidden="0" customHeight="1">
      <x:c r="A113" s="2" t="str">
        <x:v>E112</x:v>
      </x:c>
      <x:c r="B113" s="2" t="str">
        <x:v>***机械设备有限公司</x:v>
      </x:c>
      <x:c r="C113" s="2" t="str">
        <x:v>有信贷记录</x:v>
      </x:c>
      <x:c r="D113" s="2" t="str">
        <x:v>D</x:v>
      </x:c>
      <x:c r="E113" s="2" t="str">
        <x:v>是</x:v>
      </x:c>
      <x:c r="F113" s="13" t="n">
        <x:v>-0.5635168940696454</x:v>
      </x:c>
      <x:c r="G113" s="13" t="n">
        <x:v>-0.5625888962770415</x:v>
      </x:c>
      <x:c r="H113" s="13" t="n">
        <x:v>-0.476203875812356</x:v>
      </x:c>
      <x:c r="I113" s="13" t="n">
        <x:v>-0.37451477394451427</x:v>
      </x:c>
      <x:c r="J113" s="13" t="n">
        <x:v>-0.5517387608069088</x:v>
      </x:c>
      <x:c r="K113" s="13" t="n">
        <x:v>-0.5542062705839551</x:v>
      </x:c>
      <x:c r="L113" s="13" t="n">
        <x:v>-0.6388611908771984</x:v>
      </x:c>
      <x:c r="M113" s="13" t="n">
        <x:v>0.29796260636179317</x:v>
      </x:c>
      <x:c r="N113" s="13" t="n">
        <x:v>1.395966462686629</x:v>
      </x:c>
      <x:c r="O113" s="13" t="n">
        <x:v>0.13128101061894434</x:v>
      </x:c>
      <x:c r="P113" s="13" t="n">
        <x:v>0.5230010176011513</x:v>
      </x:c>
      <x:c r="Q113" s="13" t="n">
        <x:v>-0.562761626522895</x:v>
      </x:c>
      <x:c r="R113" s="13" t="n">
        <x:v>-0.48104402127635304</x:v>
      </x:c>
      <x:c r="S113" s="13" t="n">
        <x:v>-1.1309364249863396</x:v>
      </x:c>
      <x:c r="T113" s="13" t="n">
        <x:v>-0.21185721589154644</x:v>
      </x:c>
      <x:c r="U113" s="13" t="n">
        <x:v>-0.5480954580322046</x:v>
      </x:c>
      <x:c r="V113" s="13" t="n">
        <x:v>-0.5379304093051492</x:v>
      </x:c>
      <x:c r="W113" s="13" t="n">
        <x:v>-0.5902251576555926</x:v>
      </x:c>
      <x:c r="X113" s="13" t="n">
        <x:v>-0.3703823121910053</x:v>
      </x:c>
      <x:c r="Y113" s="13" t="n">
        <x:v>-0.543132138809121</x:v>
      </x:c>
      <x:c r="Z113" s="13" t="n">
        <x:v>-0.46909314788941103</x:v>
      </x:c>
      <x:c r="AA113" s="13" t="n">
        <x:v>-0.3945834695888071</x:v>
      </x:c>
      <x:c r="AB113" s="13" t="n">
        <x:v>1.2318105070822454</x:v>
      </x:c>
      <x:c r="AC113" s="13" t="n">
        <x:v>1.3934244801560194</x:v>
      </x:c>
      <x:c r="AD113" s="13" t="n">
        <x:v>3.170179953038927</x:v>
      </x:c>
      <x:c r="AE113" s="13" t="n">
        <x:v>2.576981748627009</x:v>
      </x:c>
      <x:c r="AF113" s="13" t="n">
        <x:v>-0.554867264842172</x:v>
      </x:c>
      <x:c r="AG113" s="13" t="n">
        <x:v>0.2789200466996482</x:v>
      </x:c>
      <x:c r="AH113" s="13" t="n">
        <x:v>-0.9957808638634887</x:v>
      </x:c>
      <x:c r="AI113" s="13" t="n">
        <x:v>-1.7587647417296035</x:v>
      </x:c>
      <x:c r="AJ113" s="13" t="n">
        <x:v>-0.40687960831330205</x:v>
      </x:c>
      <x:c r="AK113" s="13" t="n">
        <x:v>-0.0844460027266562</x:v>
      </x:c>
      <x:c r="AL113" s="13" t="n">
        <x:v>0.09458727275152215</x:v>
      </x:c>
      <x:c r="AM113" s="13" t="n">
        <x:v>0.7129191260883793</x:v>
      </x:c>
      <x:c r="AN113" s="13" t="n">
        <x:v>2.0806804151156815</x:v>
      </x:c>
      <x:c r="AO113" s="13" t="n">
        <x:v>-0.19571164941385472</x:v>
      </x:c>
      <x:c r="AP113" s="13" t="n">
        <x:v>-1.1982467500771292</x:v>
      </x:c>
    </x:row>
    <x:row r="114" ht="15" hidden="0" customHeight="1">
      <x:c r="A114" s="2" t="str">
        <x:v>E113</x:v>
      </x:c>
      <x:c r="B114" s="2" t="str">
        <x:v>***美居科技有限公司</x:v>
      </x:c>
      <x:c r="C114" s="2" t="str">
        <x:v>有信贷记录</x:v>
      </x:c>
      <x:c r="D114" s="2" t="str">
        <x:v>D</x:v>
      </x:c>
      <x:c r="E114" s="2" t="str">
        <x:v>是</x:v>
      </x:c>
      <x:c r="F114" s="13" t="n">
        <x:v>-0.5644440385598251</x:v>
      </x:c>
      <x:c r="G114" s="13" t="n">
        <x:v>-0.5625888962770415</x:v>
      </x:c>
      <x:c r="H114" s="13" t="n">
        <x:v>-0.497466327587347</x:v>
      </x:c>
      <x:c r="I114" s="13" t="n">
        <x:v>-0.46027843520127304</x:v>
      </x:c>
      <x:c r="J114" s="13" t="n">
        <x:v>-0.5430117134417581</x:v>
      </x:c>
      <x:c r="K114" s="13" t="n">
        <x:v>-0.5459138170621736</x:v>
      </x:c>
      <x:c r="L114" s="13" t="n">
        <x:v>-0.6084367750001967</x:v>
      </x:c>
      <x:c r="M114" s="13" t="n">
        <x:v>-0.4126373158439829</x:v>
      </x:c>
      <x:c r="N114" s="13" t="n">
        <x:v>-0.7216149855326618</x:v>
      </x:c>
      <x:c r="O114" s="13" t="n">
        <x:v>0.780874495188342</x:v>
      </x:c>
      <x:c r="P114" s="13" t="n">
        <x:v>1.0123883003305096</x:v>
      </x:c>
      <x:c r="Q114" s="13" t="n">
        <x:v>-0.5529392739887313</x:v>
      </x:c>
      <x:c r="R114" s="13" t="n">
        <x:v>2.234484105596981</x:v>
      </x:c>
      <x:c r="S114" s="13" t="n">
        <x:v>-1.3992647559430182</x:v>
      </x:c>
      <x:c r="T114" s="13" t="n">
        <x:v>-0.588590758794924</x:v>
      </x:c>
      <x:c r="U114" s="13" t="n">
        <x:v>-0.534921618425335</x:v>
      </x:c>
      <x:c r="V114" s="13" t="n">
        <x:v>-0.5295149005342674</x:v>
      </x:c>
      <x:c r="W114" s="13" t="n">
        <x:v>-0.5152961921908288</x:v>
      </x:c>
      <x:c r="X114" s="13" t="n">
        <x:v>-0.3910667203118402</x:v>
      </x:c>
      <x:c r="Y114" s="13" t="n">
        <x:v>-0.5502449750741825</x:v>
      </x:c>
      <x:c r="Z114" s="13" t="n">
        <x:v>-0.4760433372700668</x:v>
      </x:c>
      <x:c r="AA114" s="13" t="n">
        <x:v>-0.3898837040313234</x:v>
      </x:c>
      <x:c r="AB114" s="13" t="n">
        <x:v>1.7906592465459903</x:v>
      </x:c>
      <x:c r="AC114" s="13" t="n">
        <x:v>-0.6980651016988949</x:v>
      </x:c>
      <x:c r="AD114" s="13" t="n">
        <x:v>0.9291230585806317</x:v>
      </x:c>
      <x:c r="AE114" s="13" t="n">
        <x:v>0.966402802845098</x:v>
      </x:c>
      <x:c r="AF114" s="13" t="n">
        <x:v>-0.5668793515666313</x:v>
      </x:c>
      <x:c r="AG114" s="13" t="n">
        <x:v>2.0615593192458497</x:v>
      </x:c>
      <x:c r="AH114" s="13" t="n">
        <x:v>-2.8252587928342536</x:v>
      </x:c>
      <x:c r="AI114" s="13" t="n">
        <x:v>-2.3625410060551943</x:v>
      </x:c>
      <x:c r="AJ114" s="13" t="n">
        <x:v>-0.42536792225058234</x:v>
      </x:c>
      <x:c r="AK114" s="13" t="n">
        <x:v>1.1315195819747257</x:v>
      </x:c>
      <x:c r="AL114" s="13" t="n">
        <x:v>0.7979630669234691</x:v>
      </x:c>
      <x:c r="AM114" s="13" t="n">
        <x:v>-0.7815911692517314</x:v>
      </x:c>
      <x:c r="AN114" s="13" t="n">
        <x:v>1.1380370751662903</x:v>
      </x:c>
      <x:c r="AO114" s="13" t="n">
        <x:v>2.4848912176790776</x:v>
      </x:c>
      <x:c r="AP114" s="13" t="n">
        <x:v>-2.283980987156937</x:v>
      </x:c>
    </x:row>
    <x:row r="115" ht="15" hidden="0" customHeight="1">
      <x:c r="A115" s="2" t="str">
        <x:v>E114</x:v>
      </x:c>
      <x:c r="B115" s="2" t="str">
        <x:v>***食品有限责任公司</x:v>
      </x:c>
      <x:c r="C115" s="2" t="str">
        <x:v>有信贷记录</x:v>
      </x:c>
      <x:c r="D115" s="2" t="str">
        <x:v>D</x:v>
      </x:c>
      <x:c r="E115" s="2" t="str">
        <x:v>是</x:v>
      </x:c>
      <x:c r="F115" s="13" t="n">
        <x:v>-0.5774240614223395</x:v>
      </x:c>
      <x:c r="G115" s="13" t="n">
        <x:v>-0.5784123139978637</x:v>
      </x:c>
      <x:c r="H115" s="13" t="n">
        <x:v>-0.4443101981498696</x:v>
      </x:c>
      <x:c r="I115" s="13" t="n">
        <x:v>-0.46027843520127304</x:v>
      </x:c>
      <x:c r="J115" s="13" t="n">
        <x:v>-0.5572449411341917</x:v>
      </x:c>
      <x:c r="K115" s="13" t="n">
        <x:v>-0.5598954227611216</x:v>
      </x:c>
      <x:c r="L115" s="13" t="n">
        <x:v>-0.6540733988156993</x:v>
      </x:c>
      <x:c r="M115" s="13" t="n">
        <x:v>2.3857623777961012</x:v>
      </x:c>
      <x:c r="N115" s="13" t="n">
        <x:v>-0.7216149855326618</x:v>
      </x:c>
      <x:c r="O115" s="13" t="n">
        <x:v>-0.3307238617148248</x:v>
      </x:c>
      <x:c r="P115" s="13" t="n">
        <x:v>-0.38657117411992625</x:v>
      </x:c>
      <x:c r="Q115" s="13" t="n">
        <x:v>-0.5711873793470307</x:v>
      </x:c>
      <x:c r="R115" s="13" t="n">
        <x:v>0.2612074169369569</x:v>
      </x:c>
      <x:c r="S115" s="13" t="n">
        <x:v>0.1876625284345213</x:v>
      </x:c>
      <x:c r="T115" s="13" t="n">
        <x:v>-0.11767383016570207</x:v>
      </x:c>
      <x:c r="U115" s="13" t="n">
        <x:v>-0.520166918065641</x:v>
      </x:c>
      <x:c r="V115" s="13" t="n">
        <x:v>-0.5098787134022097</x:v>
      </x:c>
      <x:c r="W115" s="13" t="n">
        <x:v>-0.5677464680161635</x:v>
      </x:c>
      <x:c r="X115" s="13" t="n">
        <x:v>-0.3703823121910053</x:v>
      </x:c>
      <x:c r="Y115" s="13" t="n">
        <x:v>-0.5512048961979062</x:v>
      </x:c>
      <x:c r="Z115" s="13" t="n">
        <x:v>-0.4767199189275775</x:v>
      </x:c>
      <x:c r="AA115" s="13" t="n">
        <x:v>-0.3452359312352288</x:v>
      </x:c>
      <x:c r="AB115" s="13" t="n">
        <x:v>-0.028952249147963058</x:v>
      </x:c>
      <x:c r="AC115" s="13" t="n">
        <x:v>-0.1910373242795217</x:v>
      </x:c>
      <x:c r="AD115" s="13" t="n">
        <x:v>-0.6719971784921707</x:v>
      </x:c>
      <x:c r="AE115" s="13" t="n">
        <x:v>-0.7863744845344178</x:v>
      </x:c>
      <x:c r="AF115" s="13" t="n">
        <x:v>-0.5703696114072836</x:v>
      </x:c>
      <x:c r="AG115" s="13" t="n">
        <x:v>0.27172026855250087</x:v>
      </x:c>
      <x:c r="AH115" s="13" t="n">
        <x:v>-0.916899713331481</x:v>
      </x:c>
      <x:c r="AI115" s="13" t="n">
        <x:v>-0.3499534583032247</x:v>
      </x:c>
      <x:c r="AJ115" s="13" t="n">
        <x:v>-0.4159905962681799</x:v>
      </x:c>
      <x:c r="AK115" s="13" t="n">
        <x:v>0.6354485750812927</x:v>
      </x:c>
      <x:c r="AL115" s="13" t="n">
        <x:v>0.5711819544448565</x:v>
      </x:c>
      <x:c r="AM115" s="13" t="n">
        <x:v>-0.34615360172053866</x:v>
      </x:c>
      <x:c r="AN115" s="13" t="n">
        <x:v>-0.6516940587602434</x:v>
      </x:c>
      <x:c r="AO115" s="13" t="n">
        <x:v>0.3041796485689499</x:v>
      </x:c>
      <x:c r="AP115" s="13" t="n">
        <x:v>-0.3507421555575661</x:v>
      </x:c>
    </x:row>
    <x:row r="116" ht="15" hidden="0" customHeight="1">
      <x:c r="A116" s="2" t="str">
        <x:v>E115</x:v>
      </x:c>
      <x:c r="B116" s="2" t="str">
        <x:v>***装饰工程有限公司</x:v>
      </x:c>
      <x:c r="C116" s="2" t="str">
        <x:v>有信贷记录</x:v>
      </x:c>
      <x:c r="D116" s="2" t="str">
        <x:v>D</x:v>
      </x:c>
      <x:c r="E116" s="2" t="str">
        <x:v>是</x:v>
      </x:c>
      <x:c r="F116" s="13" t="n">
        <x:v>-0.6117284075589845</x:v>
      </x:c>
      <x:c r="G116" s="13" t="n">
        <x:v>-0.6105386469461999</x:v>
      </x:c>
      <x:c r="H116" s="13" t="n">
        <x:v>-0.518728779362338</x:v>
      </x:c>
      <x:c r="I116" s="13" t="n">
        <x:v>-0.46027843520127304</x:v>
      </x:c>
      <x:c r="J116" s="13" t="n">
        <x:v>-0.570091157160903</x:v>
      </x:c>
      <x:c r="K116" s="13" t="n">
        <x:v>-0.5725145370681644</x:v>
      </x:c>
      <x:c r="L116" s="13" t="n">
        <x:v>-0.7088373473943025</x:v>
      </x:c>
      <x:c r="M116" s="13" t="n">
        <x:v>-1.151103901665672</x:v>
      </x:c>
      <x:c r="N116" s="13" t="n">
        <x:v>-0.7216149855326618</x:v>
      </x:c>
      <x:c r="O116" s="13" t="n">
        <x:v>0.8236746286454613</x:v>
      </x:c>
      <x:c r="P116" s="13" t="n">
        <x:v>0.3864394849915612</x:v>
      </x:c>
      <x:c r="Q116" s="13" t="n">
        <x:v>-0.5857875499281385</x:v>
      </x:c>
      <x:c r="R116" s="13" t="n">
        <x:v>1.0783680370455644</x:v>
      </x:c>
      <x:c r="S116" s="13" t="n">
        <x:v>-0.3170324397406902</x:v>
      </x:c>
      <x:c r="T116" s="13" t="n">
        <x:v>-2.472258473311811</x:v>
      </x:c>
      <x:c r="U116" s="13" t="n">
        <x:v>-0.554713995050696</x:v>
      </x:c>
      <x:c r="V116" s="13" t="n">
        <x:v>-0.5431368040647349</x:v>
      </x:c>
      <x:c r="W116" s="13" t="n">
        <x:v>-0.620196743841498</x:v>
      </x:c>
      <x:c r="X116" s="13" t="n">
        <x:v>-0.3910667203118402</x:v>
      </x:c>
      <x:c r="Y116" s="13" t="n">
        <x:v>-0.5527111236097718</x:v>
      </x:c>
      <x:c r="Z116" s="13" t="n">
        <x:v>-0.47793410401723485</x:v>
      </x:c>
      <x:c r="AA116" s="13" t="n">
        <x:v>-0.3898837040313234</x:v>
      </x:c>
      <x:c r="AB116" s="13" t="n">
        <x:v>1.732113188125979</x:v>
      </x:c>
      <x:c r="AC116" s="13" t="n">
        <x:v>-0.6980651016988949</x:v>
      </x:c>
      <x:c r="AD116" s="13" t="n">
        <x:v>0.9033014536750136</x:v>
      </x:c>
      <x:c r="AE116" s="13" t="n">
        <x:v>1.0356983294945348</x:v>
      </x:c>
      <x:c r="AF116" s="13" t="n">
        <x:v>-0.571052866263646</x:v>
      </x:c>
      <x:c r="AG116" s="13" t="n">
        <x:v>1.7197402660889036</x:v>
      </x:c>
      <x:c r="AH116" s="13" t="n">
        <x:v>2.48443817769158</x:v>
      </x:c>
      <x:c r="AI116" s="13" t="n">
        <x:v>-2.3625410060551943</x:v>
      </x:c>
      <x:c r="AJ116" s="13" t="n">
        <x:v>-0.40869236397069664</x:v>
      </x:c>
      <x:c r="AK116" s="13" t="n">
        <x:v>-0.33953378047047356</x:v>
      </x:c>
      <x:c r="AL116" s="13" t="n">
        <x:v>3.037426552649769</x:v>
      </x:c>
      <x:c r="AM116" s="13" t="n">
        <x:v>-0.7815911692517314</x:v>
      </x:c>
      <x:c r="AN116" s="13" t="n">
        <x:v>1.1529302999805984</x:v>
      </x:c>
      <x:c r="AO116" s="13" t="n">
        <x:v>1.5400463900620756</x:v>
      </x:c>
      <x:c r="AP116" s="13" t="n">
        <x:v>1.912971496458117</x:v>
      </x:c>
    </x:row>
    <x:row r="117" ht="15" hidden="0" customHeight="1">
      <x:c r="A117" s="2" t="str">
        <x:v>E116</x:v>
      </x:c>
      <x:c r="B117" s="2" t="str">
        <x:v>***门窗有限公司</x:v>
      </x:c>
      <x:c r="C117" s="2" t="str">
        <x:v>有信贷记录</x:v>
      </x:c>
      <x:c r="D117" s="2" t="str">
        <x:v>D</x:v>
      </x:c>
      <x:c r="E117" s="2" t="str">
        <x:v>是</x:v>
      </x:c>
      <x:c r="F117" s="13" t="n">
        <x:v>-0.6080198295982662</x:v>
      </x:c>
      <x:c r="G117" s="13" t="n">
        <x:v>-0.6067026668926672</x:v>
      </x:c>
      <x:c r="H117" s="13" t="n">
        <x:v>-0.518728779362338</x:v>
      </x:c>
      <x:c r="I117" s="13" t="n">
        <x:v>-0.46027843520127304</x:v>
      </x:c>
      <x:c r="J117" s="13" t="n">
        <x:v>-0.5700463330848152</x:v>
      </x:c>
      <x:c r="K117" s="13" t="n">
        <x:v>-0.5724705054141207</x:v>
      </x:c>
      <x:c r="L117" s="13" t="n">
        <x:v>-0.6905826978681014</x:v>
      </x:c>
      <x:c r="M117" s="13" t="n">
        <x:v>-1.151103901665672</x:v>
      </x:c>
      <x:c r="N117" s="13" t="n">
        <x:v>-0.7216149855326618</x:v>
      </x:c>
      <x:c r="O117" s="13" t="n">
        <x:v>-0.4431416037204234</x:v>
      </x:c>
      <x:c r="P117" s="13" t="n">
        <x:v>-0.5876544619680326</x:v>
      </x:c>
      <x:c r="Q117" s="13" t="n">
        <x:v>-0.5857134793585531</x:v>
      </x:c>
      <x:c r="R117" s="13" t="n">
        <x:v>-0.006607634255206647</x:v>
      </x:c>
      <x:c r="S117" s="13" t="n">
        <x:v>0.9874895373304106</x:v>
      </x:c>
      <x:c r="T117" s="13" t="n">
        <x:v>-2.0013415446825893</x:v>
      </x:c>
      <x:c r="U117" s="13" t="n">
        <x:v>-0.534921618425335</x:v>
      </x:c>
      <x:c r="V117" s="13" t="n">
        <x:v>-0.5227824935175619</x:v>
      </x:c>
      <x:c r="W117" s="13" t="n">
        <x:v>-0.6052109507485454</x:v>
      </x:c>
      <x:c r="X117" s="13" t="n">
        <x:v>-0.3910667203118402</x:v>
      </x:c>
      <x:c r="Y117" s="13" t="n">
        <x:v>-0.551091947440327</x:v>
      </x:c>
      <x:c r="Z117" s="13" t="n">
        <x:v>-0.4767004171493649</x:v>
      </x:c>
      <x:c r="AA117" s="13" t="n">
        <x:v>-0.3405361656777451</x:v>
      </x:c>
      <x:c r="AB117" s="13" t="n">
        <x:v>-0.316998856574419</x:v>
      </x:c>
      <x:c r="AC117" s="13" t="n">
        <x:v>-0.6980651016988949</x:v>
      </x:c>
      <x:c r="AD117" s="13" t="n">
        <x:v>-0.6329445870700681</x:v>
      </x:c>
      <x:c r="AE117" s="13" t="n">
        <x:v>-0.8009966848205586</x:v>
      </x:c>
      <x:c r="AF117" s="13" t="n">
        <x:v>-0.5694551783023678</x:v>
      </x:c>
      <x:c r="AG117" s="13" t="n">
        <x:v>0.5017305929293531</x:v>
      </x:c>
      <x:c r="AH117" s="13" t="n">
        <x:v>-0.7154991095190717</x:v>
      </x:c>
      <x:c r="AI117" s="13" t="n">
        <x:v>-1.255617854791611</x:v>
      </x:c>
      <x:c r="AJ117" s="13" t="n">
        <x:v>-0.4059417400778912</x:v>
      </x:c>
      <x:c r="AK117" s="13" t="n">
        <x:v>-0.33882428250391755</x:v>
      </x:c>
      <x:c r="AL117" s="13" t="n">
        <x:v>-0.04152491084823733</x:v>
      </x:c>
      <x:c r="AM117" s="13" t="n">
        <x:v>-0.7815911692517314</x:v>
      </x:c>
      <x:c r="AN117" s="13" t="n">
        <x:v>-0.7085790570558876</x:v>
      </x:c>
      <x:c r="AO117" s="13" t="n">
        <x:v>0.23088778382665912</x:v>
      </x:c>
      <x:c r="AP117" s="13" t="n">
        <x:v>0.24066358695911277</x:v>
      </x:c>
    </x:row>
    <x:row r="118" ht="15" hidden="0" customHeight="1">
      <x:c r="A118" s="2" t="str">
        <x:v>E117</x:v>
      </x:c>
      <x:c r="B118" s="2" t="str">
        <x:v>***人力资源管理咨询有限公司</x:v>
      </x:c>
      <x:c r="C118" s="2" t="str">
        <x:v>有信贷记录</x:v>
      </x:c>
      <x:c r="D118" s="2" t="str">
        <x:v>D</x:v>
      </x:c>
      <x:c r="E118" s="2" t="str">
        <x:v>是</x:v>
      </x:c>
      <x:c r="F118" s="13" t="n">
        <x:v>-0.6108012630688049</x:v>
      </x:c>
      <x:c r="G118" s="13" t="n">
        <x:v>-0.6095796519328167</x:v>
      </x:c>
      <x:c r="H118" s="13" t="n">
        <x:v>-0.518728779362338</x:v>
      </x:c>
      <x:c r="I118" s="13" t="n">
        <x:v>-0.46027843520127304</x:v>
      </x:c>
      <x:c r="J118" s="13" t="n">
        <x:v>-0.5699602519014103</x:v>
      </x:c>
      <x:c r="K118" s="13" t="n">
        <x:v>-0.5723859460161771</x:v>
      </x:c>
      <x:c r="L118" s="13" t="n">
        <x:v>-0.7057949058066023</x:v>
      </x:c>
      <x:c r="M118" s="13" t="n">
        <x:v>-1.151103901665672</x:v>
      </x:c>
      <x:c r="N118" s="13" t="n">
        <x:v>-0.7216149855326618</x:v>
      </x:c>
      <x:c r="O118" s="13" t="n">
        <x:v>1.0373012437012121</x:v>
      </x:c>
      <x:c r="P118" s="13" t="n">
        <x:v>1.1395170116779052</x:v>
      </x:c>
      <x:c r="Q118" s="13" t="n">
        <x:v>-0.5855111407105099</x:v>
      </x:c>
      <x:c r="R118" s="13" t="n">
        <x:v>0.8489693367041141</x:v>
      </x:c>
      <x:c r="S118" s="13" t="n">
        <x:v>0.8108389784839839</x:v>
      </x:c>
      <x:c r="T118" s="13" t="n">
        <x:v>-2.2838917018601226</x:v>
      </x:c>
      <x:c r="U118" s="13" t="n">
        <x:v>-0.5365024791781593</x:v>
      </x:c>
      <x:c r="V118" s="13" t="n">
        <x:v>-0.5323200701245614</x:v>
      </x:c>
      <x:c r="W118" s="13" t="n">
        <x:v>-0.500310399097876</x:v>
      </x:c>
      <x:c r="X118" s="13" t="n">
        <x:v>-0.3910667203118402</x:v>
      </x:c>
      <x:c r="Y118" s="13" t="n">
        <x:v>-0.5484264085112498</x:v>
      </x:c>
      <x:c r="Z118" s="13" t="n">
        <x:v>-0.4746324960839406</x:v>
      </x:c>
      <x:c r="AA118" s="13" t="n">
        <x:v>-0.3945834695888071</x:v>
      </x:c>
      <x:c r="AB118" s="13" t="n">
        <x:v>2.3574915394306464</x:v>
      </x:c>
      <x:c r="AC118" s="13" t="n">
        <x:v>-0.6980651016988949</x:v>
      </x:c>
      <x:c r="AD118" s="13" t="n">
        <x:v>3.170179953038927</x:v>
      </x:c>
      <x:c r="AE118" s="13" t="n">
        <x:v>2.576981748627009</x:v>
      </x:c>
      <x:c r="AF118" s="13" t="n">
        <x:v>-0.5588206895774248</x:v>
      </x:c>
      <x:c r="AG118" s="13" t="n">
        <x:v>-0.09039318040229596</x:v>
      </x:c>
      <x:c r="AH118" s="13" t="n">
        <x:v>-3.3010844219728446</x:v>
      </x:c>
      <x:c r="AI118" s="13" t="n">
        <x:v>-1.7587647417296035</x:v>
      </x:c>
      <x:c r="AJ118" s="13" t="n">
        <x:v>-0.401599076470968</x:v>
      </x:c>
      <x:c r="AK118" s="13" t="n">
        <x:v>-0.33818547560577716</x:v>
      </x:c>
      <x:c r="AL118" s="13" t="n">
        <x:v>4.836049153918829</x:v>
      </x:c>
      <x:c r="AM118" s="13" t="n">
        <x:v>-0.7815911692517314</x:v>
      </x:c>
      <x:c r="AN118" s="13" t="n">
        <x:v>2.7533803327337836</x:v>
      </x:c>
      <x:c r="AO118" s="13" t="n">
        <x:v>0.5322103472825068</x:v>
      </x:c>
      <x:c r="AP118" s="13" t="n">
        <x:v>-2.060622548399908</x:v>
      </x:c>
    </x:row>
    <x:row r="119" ht="15" hidden="0" customHeight="1">
      <x:c r="A119" s="2" t="str">
        <x:v>E118</x:v>
      </x:c>
      <x:c r="B119" s="2" t="str">
        <x:v>***体育用品有限公司</x:v>
      </x:c>
      <x:c r="C119" s="2" t="str">
        <x:v>有信贷记录</x:v>
      </x:c>
      <x:c r="D119" s="2" t="str">
        <x:v>D</x:v>
      </x:c>
      <x:c r="E119" s="2" t="str">
        <x:v>是</x:v>
      </x:c>
      <x:c r="F119" s="13" t="n">
        <x:v>-0.5992119569415599</x:v>
      </x:c>
      <x:c r="G119" s="13" t="n">
        <x:v>-0.5985512092789103</x:v>
      </x:c>
      <x:c r="H119" s="13" t="n">
        <x:v>-0.497466327587347</x:v>
      </x:c>
      <x:c r="I119" s="13" t="n">
        <x:v>-0.46027843520127304</x:v>
      </x:c>
      <x:c r="J119" s="13" t="n">
        <x:v>-0.5687511185327616</x:v>
      </x:c>
      <x:c r="K119" s="13" t="n">
        <x:v>-0.5711981883013986</x:v>
      </x:c>
      <x:c r="L119" s="13" t="n">
        <x:v>-0.6875402562804012</x:v>
      </x:c>
      <x:c r="M119" s="13" t="n">
        <x:v>1.4971900612810745</x:v>
      </x:c>
      <x:c r="N119" s="13" t="n">
        <x:v>-0.7216149855326618</x:v>
      </x:c>
      <x:c r="O119" s="13" t="n">
        <x:v>0.28145394142982455</x:v>
      </x:c>
      <x:c r="P119" s="13" t="n">
        <x:v>0.37481480004233686</x:v>
      </x:c>
      <x:c r="Q119" s="13" t="n">
        <x:v>-0.5842781217219616</x:v>
      </x:c>
      <x:c r="R119" s="13" t="n">
        <x:v>1.5700026549877197</x:v>
      </x:c>
      <x:c r="S119" s="13" t="n">
        <x:v>1.0107675767959148</x:v>
      </x:c>
      <x:c r="T119" s="13" t="n">
        <x:v>-1.3420578446016789</x:v>
      </x:c>
      <x:c r="U119" s="13" t="n">
        <x:v>-0.4838071207506808</x:v>
      </x:c>
      <x:c r="V119" s="13" t="n">
        <x:v>-0.47060633913809435</x:v>
      </x:c>
      <x:c r="W119" s="13" t="n">
        <x:v>-0.5752393645626398</x:v>
      </x:c>
      <x:c r="X119" s="13" t="n">
        <x:v>-0.3703823121910053</x:v>
      </x:c>
      <x:c r="Y119" s="13" t="n">
        <x:v>-0.5506962875525444</x:v>
      </x:c>
      <x:c r="Z119" s="13" t="n">
        <x:v>-0.47638600927163277</x:v>
      </x:c>
      <x:c r="AA119" s="13" t="n">
        <x:v>-0.12199706725475548</x:v>
      </x:c>
      <x:c r="AB119" s="13" t="n">
        <x:v>-0.5609407666577997</x:v>
      </x:c>
      <x:c r="AC119" s="13" t="n">
        <x:v>-0.4520075038336109</x:v>
      </x:c>
      <x:c r="AD119" s="13" t="n">
        <x:v>-0.5710085055077391</x:v>
      </x:c>
      <x:c r="AE119" s="13" t="n">
        <x:v>-0.44857242013364096</x:v>
      </x:c>
      <x:c r="AF119" s="13" t="n">
        <x:v>-0.5697252222728155</x:v>
      </x:c>
      <x:c r="AG119" s="13" t="n">
        <x:v>0.6933559807358789</x:v>
      </x:c>
      <x:c r="AH119" s="13" t="n">
        <x:v>-1.1317842540760024</x:v>
      </x:c>
      <x:c r="AI119" s="13" t="n">
        <x:v>0.2538228060223661</x:v>
      </x:c>
      <x:c r="AJ119" s="13" t="n">
        <x:v>-0.4062851091956269</x:v>
      </x:c>
      <x:c r="AK119" s="13" t="n">
        <x:v>-0.2570944821693285</x:v>
      </x:c>
      <x:c r="AL119" s="13" t="n">
        <x:v>-0.25335746606986803</x:v>
      </x:c>
      <x:c r="AM119" s="13" t="n">
        <x:v>-0.4209526930755902</x:v>
      </x:c>
      <x:c r="AN119" s="13" t="n">
        <x:v>-0.14822687330072812</x:v>
      </x:c>
      <x:c r="AO119" s="13" t="n">
        <x:v>1.3901294174352425</x:v>
      </x:c>
      <x:c r="AP119" s="13" t="n">
        <x:v>0.04527573351075523</x:v>
      </x:c>
    </x:row>
    <x:row r="120" ht="15" hidden="0" customHeight="1">
      <x:c r="A120" s="2" t="str">
        <x:v>E119</x:v>
      </x:c>
      <x:c r="B120" s="2" t="str">
        <x:v>***药房</x:v>
      </x:c>
      <x:c r="C120" s="2" t="str">
        <x:v>有信贷记录</x:v>
      </x:c>
      <x:c r="D120" s="2" t="str">
        <x:v>D</x:v>
      </x:c>
      <x:c r="E120" s="2" t="str">
        <x:v>是</x:v>
      </x:c>
      <x:c r="F120" s="13" t="n">
        <x:v>-0.46663029484587765</x:v>
      </x:c>
      <x:c r="G120" s="13" t="n">
        <x:v>-0.4609354248584255</x:v>
      </x:c>
      <x:c r="H120" s="13" t="n">
        <x:v>-0.5080975534748424</x:v>
      </x:c>
      <x:c r="I120" s="13" t="n">
        <x:v>-0.4173966045728936</x:v>
      </x:c>
      <x:c r="J120" s="13" t="n">
        <x:v>-0.565118855974898</x:v>
      </x:c>
      <x:c r="K120" s="13" t="n">
        <x:v>-0.5676286096869881</x:v>
      </x:c>
      <x:c r="L120" s="13" t="n">
        <x:v>-0.6632007235787998</x:v>
      </x:c>
      <x:c r="M120" s="13" t="n">
        <x:v>-1.029198306545901</x:v>
      </x:c>
      <x:c r="N120" s="13" t="n">
        <x:v>-0.37767659744608906</x:v>
      </x:c>
      <x:c r="O120" s="13" t="n">
        <x:v>-0.4029451083630392</x:v>
      </x:c>
      <x:c r="P120" s="13" t="n">
        <x:v>-0.5660699883420293</x:v>
      </x:c>
      <x:c r="Q120" s="13" t="n">
        <x:v>-0.5801456447284284</x:v>
      </x:c>
      <x:c r="R120" s="13" t="n">
        <x:v>-0.7542305687794364</x:v>
      </x:c>
      <x:c r="S120" s="13" t="n">
        <x:v>0.25033838780686846</x:v>
      </x:c>
      <x:c r="T120" s="13" t="n">
        <x:v>0.2590597127376754</x:v>
      </x:c>
      <x:c r="U120" s="13" t="n">
        <x:v>-0.5486224116164794</x:v>
      </x:c>
      <x:c r="V120" s="13" t="n">
        <x:v>-0.5368083414690317</x:v>
      </x:c>
      <x:c r="W120" s="13" t="n">
        <x:v>-0.6127038472950217</x:v>
      </x:c>
      <x:c r="X120" s="13" t="n">
        <x:v>-0.3910667203118402</x:v>
      </x:c>
      <x:c r="Y120" s="13" t="n">
        <x:v>-0.5527111236097718</x:v>
      </x:c>
      <x:c r="Z120" s="13" t="n">
        <x:v>-0.47793410401723485</x:v>
      </x:c>
      <x:c r="AA120" s="13" t="n">
        <x:v>-0.3593352279076797</x:v>
      </x:c>
      <x:c r="AB120" s="13" t="n">
        <x:v>0.15973333341710214</x:v>
      </x:c>
      <x:c r="AC120" s="13" t="n">
        <x:v>-0.6980651016988949</x:v>
      </x:c>
      <x:c r="AD120" s="13" t="n">
        <x:v>-0.6029734928433657</x:v>
      </x:c>
      <x:c r="AE120" s="13" t="n">
        <x:v>-0.6549883295887614</x:v>
      </x:c>
      <x:c r="AF120" s="13" t="n">
        <x:v>-0.5715556561446711</x:v>
      </x:c>
      <x:c r="AG120" s="13" t="n">
        <x:v>0.8304558794525579</x:v>
      </x:c>
      <x:c r="AH120" s="13" t="n">
        <x:v>1.2518387353424558</x:v>
      </x:c>
      <x:c r="AI120" s="13" t="n">
        <x:v>-1.8593941191172019</x:v>
      </x:c>
      <x:c r="AJ120" s="13" t="n">
        <x:v>-0.41283746588170694</x:v>
      </x:c>
      <x:c r="AK120" s="13" t="n">
        <x:v>2.090305345102046</x:v>
      </x:c>
      <x:c r="AL120" s="13" t="n">
        <x:v>-1.0392339216681488</x:v>
      </x:c>
      <x:c r="AM120" s="13" t="n">
        <x:v>-0.604530712574891</x:v>
      </x:c>
      <x:c r="AN120" s="13" t="n">
        <x:v>-0.6611069806110196</x:v>
      </x:c>
      <x:c r="AO120" s="13" t="n">
        <x:v>-0.12125684095015773</x:v>
      </x:c>
      <x:c r="AP120" s="13" t="n">
        <x:v>0.7798657903689842</x:v>
      </x:c>
    </x:row>
    <x:row r="121" ht="15" hidden="0" customHeight="1">
      <x:c r="A121" s="2" t="str">
        <x:v>E120</x:v>
      </x:c>
      <x:c r="B121" s="2" t="str">
        <x:v>***陈列广告有限公司</x:v>
      </x:c>
      <x:c r="C121" s="2" t="str">
        <x:v>有信贷记录</x:v>
      </x:c>
      <x:c r="D121" s="2" t="str">
        <x:v>D</x:v>
      </x:c>
      <x:c r="E121" s="2" t="str">
        <x:v>是</x:v>
      </x:c>
      <x:c r="F121" s="13" t="n">
        <x:v>-0.5959669512259314</x:v>
      </x:c>
      <x:c r="G121" s="13" t="n">
        <x:v>-0.5947152292253776</x:v>
      </x:c>
      <x:c r="H121" s="13" t="n">
        <x:v>-0.5080975534748424</x:v>
      </x:c>
      <x:c r="I121" s="13" t="n">
        <x:v>-0.46027843520127304</x:v>
      </x:c>
      <x:c r="J121" s="13" t="n">
        <x:v>-0.5697142789233166</x:v>
      </x:c>
      <x:c r="K121" s="13" t="n">
        <x:v>-0.5721443214692634</x:v>
      </x:c>
      <x:c r="L121" s="13" t="n">
        <x:v>-0.6662431651665</x:v>
      </x:c>
      <x:c r="M121" s="13" t="n">
        <x:v>-0.08442994436767678</x:v>
      </x:c>
      <x:c r="N121" s="13" t="n">
        <x:v>-0.7216149855326618</x:v>
      </x:c>
      <x:c r="O121" s="13" t="n">
        <x:v>0.24927404856362062</x:v>
      </x:c>
      <x:c r="P121" s="13" t="n">
        <x:v>0.5830550352377288</x:v>
      </x:c>
      <x:c r="Q121" s="13" t="n">
        <x:v>-0.5851426645408088</x:v>
      </x:c>
      <x:c r="R121" s="13" t="n">
        <x:v>1.0099052399537236</x:v>
      </x:c>
      <x:c r="S121" s="13" t="n">
        <x:v>-3.231955416580928</x:v>
      </x:c>
      <x:c r="T121" s="13" t="n">
        <x:v>-1.5304246160533677</x:v>
      </x:c>
      <x:c r="U121" s="13" t="n">
        <x:v>-0.5444067829422812</x:v>
      </x:c>
      <x:c r="V121" s="13" t="n">
        <x:v>-0.5418576467315608</x:v>
      </x:c>
      <x:c r="W121" s="13" t="n">
        <x:v>-0.4853246060049233</x:v>
      </x:c>
      <x:c r="X121" s="13" t="n">
        <x:v>-0.3910667203118402</x:v>
      </x:c>
      <x:c r="Y121" s="13" t="n">
        <x:v>-0.5514820867924722</x:v>
      </x:c>
      <x:c r="Z121" s="13" t="n">
        <x:v>-0.47700308666806956</x:v>
      </x:c>
      <x:c r="AA121" s="13" t="n">
        <x:v>-0.33818628289900327</x:v>
      </x:c>
      <x:c r="AB121" s="13" t="n">
        <x:v>4.673547916331379</x:v>
      </x:c>
      <x:c r="AC121" s="13" t="n">
        <x:v>-0.6980651016988949</x:v>
      </x:c>
      <x:c r="AD121" s="13" t="n">
        <x:v>0.2863946701584852</x:v>
      </x:c>
      <x:c r="AE121" s="13" t="n">
        <x:v>0.1628660121498385</x:v>
      </x:c>
      <x:c r="AF121" s="13" t="n">
        <x:v>-0.5698846598442971</x:v>
      </x:c>
      <x:c r="AG121" s="13" t="n">
        <x:v>2.2231939082759578</x:v>
      </x:c>
      <x:c r="AH121" s="13" t="n">
        <x:v>-0.8481607087114089</x:v>
      </x:c>
      <x:c r="AI121" s="13" t="n">
        <x:v>-2.161282251279997</x:v>
      </x:c>
      <x:c r="AJ121" s="13" t="n">
        <x:v>-0.40684286698171324</x:v>
      </x:c>
      <x:c r="AK121" s="13" t="n">
        <x:v>-0.3076001751132563</x:v>
      </x:c>
      <x:c r="AL121" s="13" t="n">
        <x:v>4.288647728998114</x:v>
      </x:c>
      <x:c r="AM121" s="13" t="n">
        <x:v>-0.7815911692517314</x:v>
      </x:c>
      <x:c r="AN121" s="13" t="n">
        <x:v>0.3580770645176893</x:v>
      </x:c>
      <x:c r="AO121" s="13" t="n">
        <x:v>1.7306742238683999</x:v>
      </x:c>
      <x:c r="AP121" s="13" t="n">
        <x:v>-2.410995046789679</x:v>
      </x:c>
    </x:row>
    <x:row r="122" ht="15" hidden="0" customHeight="1">
      <x:c r="A122" s="2" t="str">
        <x:v>E121</x:v>
      </x:c>
      <x:c r="B122" s="2" t="str">
        <x:v>***药业连锁有限公司***药店</x:v>
      </x:c>
      <x:c r="C122" s="2" t="str">
        <x:v>有信贷记录</x:v>
      </x:c>
      <x:c r="D122" s="2" t="str">
        <x:v>D</x:v>
      </x:c>
      <x:c r="E122" s="2" t="str">
        <x:v>是</x:v>
      </x:c>
      <x:c r="F122" s="13" t="n">
        <x:v>-0.5894769397946742</x:v>
      </x:c>
      <x:c r="G122" s="13" t="n">
        <x:v>-0.5875227666250038</x:v>
      </x:c>
      <x:c r="H122" s="13" t="n">
        <x:v>-0.518728779362338</x:v>
      </x:c>
      <x:c r="I122" s="13" t="n">
        <x:v>-0.4173966045728936</x:v>
      </x:c>
      <x:c r="J122" s="13" t="n">
        <x:v>-0.5451361471605175</x:v>
      </x:c>
      <x:c r="K122" s="13" t="n">
        <x:v>-0.5479066029840371</x:v>
      </x:c>
      <x:c r="L122" s="13" t="n">
        <x:v>-0.6814553731050008</x:v>
      </x:c>
      <x:c r="M122" s="13" t="n">
        <x:v>-1.151103901665672</x:v>
      </x:c>
      <x:c r="N122" s="13" t="n">
        <x:v>1.438318091651015</x:v>
      </x:c>
      <x:c r="O122" s="13" t="n">
        <x:v>2.5228437211635892</x:v>
      </x:c>
      <x:c r="P122" s="13" t="n">
        <x:v>2.1828607058102754</x:v>
      </x:c>
      <x:c r="Q122" s="13" t="n">
        <x:v>-0.5574110314871251</x:v>
      </x:c>
      <x:c r="R122" s="13" t="n">
        <x:v>-0.7842584523435446</x:v>
      </x:c>
      <x:c r="S122" s="13" t="n">
        <x:v>-1.6017018012984705</x:v>
      </x:c>
      <x:c r="T122" s="13" t="n">
        <x:v>-0.40022398734323517</x:v>
      </x:c>
      <x:c r="U122" s="13" t="n">
        <x:v>-0.46167507021113974</x:v>
      </x:c>
      <x:c r="V122" s="13" t="n">
        <x:v>-0.455458423350507</x:v>
      </x:c>
      <x:c r="W122" s="13" t="n">
        <x:v>-0.46284591636549416</x:v>
      </x:c>
      <x:c r="X122" s="13" t="n">
        <x:v>-0.3910667203118402</x:v>
      </x:c>
      <x:c r="Y122" s="13" t="n">
        <x:v>-0.5522451905692907</x:v>
      </x:c>
      <x:c r="Z122" s="13" t="n">
        <x:v>-0.4775951014227496</x:v>
      </x:c>
      <x:c r="AA122" s="13" t="n">
        <x:v>-0.11024765336104636</x:v>
      </x:c>
      <x:c r="AB122" s="13" t="n">
        <x:v>0.0012272996762880113</x:v>
      </x:c>
      <x:c r="AC122" s="13" t="n">
        <x:v>-0.6980651016988949</x:v>
      </x:c>
      <x:c r="AD122" s="13" t="n">
        <x:v>-0.8293574670977615</x:v>
      </x:c>
      <x:c r="AE122" s="13" t="n">
        <x:v>-0.7269177643959245</x:v>
      </x:c>
      <x:c r="AF122" s="13" t="n">
        <x:v>-0.570825055703809</x:v>
      </x:c>
      <x:c r="AG122" s="13" t="n">
        <x:v>-0.5642157883866741</x:v>
      </x:c>
      <x:c r="AH122" s="13" t="n">
        <x:v>-0.07311912072509347</x:v>
      </x:c>
      <x:c r="AI122" s="13" t="n">
        <x:v>-0.3499534583032247</x:v>
      </x:c>
      <x:c r="AJ122" s="13" t="n">
        <x:v>-0.42703977528489356</x:v>
      </x:c>
      <x:c r="AK122" s="13" t="n">
        <x:v>3.589875834749068</x:v>
      </x:c>
      <x:c r="AL122" s="13" t="n">
        <x:v>0.42560001147659465</x:v>
      </x:c>
      <x:c r="AM122" s="13" t="n">
        <x:v>-0.5056096123657642</x:v>
      </x:c>
      <x:c r="AN122" s="13" t="n">
        <x:v>1.307250620685787</x:v>
      </x:c>
      <x:c r="AO122" s="13" t="n">
        <x:v>-0.7982918629141041</x:v>
      </x:c>
      <x:c r="AP122" s="13" t="n">
        <x:v>-1.0219717326939328</x:v>
      </x:c>
    </x:row>
    <x:row r="123" ht="15" hidden="0" customHeight="1">
      <x:c r="A123" s="2" t="str">
        <x:v>E122</x:v>
      </x:c>
      <x:c r="B123" s="2" t="str">
        <x:v>***商贸有限责任公司</x:v>
      </x:c>
      <x:c r="C123" s="2" t="str">
        <x:v>有信贷记录</x:v>
      </x:c>
      <x:c r="D123" s="2" t="str">
        <x:v>D</x:v>
      </x:c>
      <x:c r="E123" s="2" t="str">
        <x:v>是</x:v>
      </x:c>
      <x:c r="F123" s="13" t="n">
        <x:v>-0.5904040842848538</x:v>
      </x:c>
      <x:c r="G123" s="13" t="n">
        <x:v>-0.5889612591450786</x:v>
      </x:c>
      <x:c r="H123" s="13" t="n">
        <x:v>-0.5080975534748424</x:v>
      </x:c>
      <x:c r="I123" s="13" t="n">
        <x:v>-0.4173966045728936</x:v>
      </x:c>
      <x:c r="J123" s="13" t="n">
        <x:v>-0.5690298216171918</x:v>
      </x:c>
      <x:c r="K123" s="13" t="n">
        <x:v>-0.5712528890922983</x:v>
      </x:c>
      <x:c r="L123" s="13" t="n">
        <x:v>-0.6479885156402989</x:v>
      </x:c>
      <x:c r="M123" s="13" t="n">
        <x:v>-0.3510984336921755</x:v>
      </x:c>
      <x:c r="N123" s="13" t="n">
        <x:v>1.5761861604074199</x:v>
      </x:c>
      <x:c r="O123" s="13" t="n">
        <x:v>-0.004324143497886926</x:v>
      </x:c>
      <x:c r="P123" s="13" t="n">
        <x:v>0.010189921036542322</x:v>
      </x:c>
      <x:c r="Q123" s="13" t="n">
        <x:v>-0.5845952062019755</x:v>
      </x:c>
      <x:c r="R123" s="13" t="n">
        <x:v>0.5856318837400977</x:v>
      </x:c>
      <x:c r="S123" s="13" t="n">
        <x:v>-1.0502155593601934</x:v>
      </x:c>
      <x:c r="T123" s="13" t="n">
        <x:v>-0.871140915972457</x:v>
      </x:c>
      <x:c r="U123" s="13" t="n">
        <x:v>-0.4975079139418252</x:v>
      </x:c>
      <x:c r="V123" s="13" t="n">
        <x:v>-0.48968149235209324</x:v>
      </x:c>
      <x:c r="W123" s="13" t="n">
        <x:v>-0.5152961921908288</x:v>
      </x:c>
      <x:c r="X123" s="13" t="n">
        <x:v>-0.22559145534516142</x:v>
      </x:c>
      <x:c r="Y123" s="13" t="n">
        <x:v>-0.5527111236097718</x:v>
      </x:c>
      <x:c r="Z123" s="13" t="n">
        <x:v>-0.47793410401723485</x:v>
      </x:c>
      <x:c r="AA123" s="13" t="n">
        <x:v>-0.23479144063436302</x:v>
      </x:c>
      <x:c r="AB123" s="13" t="n">
        <x:v>0.09976969489006876</x:v>
      </x:c>
      <x:c r="AC123" s="13" t="n">
        <x:v>1.9265492755308016</x:v>
      </x:c>
      <x:c r="AD123" s="13" t="n">
        <x:v>-0.7186079041363008</x:v>
      </x:c>
      <x:c r="AE123" s="13" t="n">
        <x:v>-0.8497181990931904</x:v>
      </x:c>
      <x:c r="AF123" s="13" t="n">
        <x:v>-0.5715556561446711</x:v>
      </x:c>
      <x:c r="AG123" s="13" t="n">
        <x:v>0.4371335787155089</x:v>
      </x:c>
      <x:c r="AH123" s="13" t="n">
        <x:v>-1.7528936537479725</x:v>
      </x:c>
      <x:c r="AI123" s="13" t="n">
        <x:v>-0.14869470352802777</x:v>
      </x:c>
      <x:c r="AJ123" s="13" t="n">
        <x:v>-0.40945557340680044</x:v>
      </x:c>
      <x:c r="AK123" s="13" t="n">
        <x:v>0.01530460799008852</x:v>
      </x:c>
      <x:c r="AL123" s="13" t="n">
        <x:v>0.5103882224852284</x:v>
      </x:c>
      <x:c r="AM123" s="13" t="n">
        <x:v>2.7691245659858468</x:v>
      </x:c>
      <x:c r="AN123" s="13" t="n">
        <x:v>-0.44529303461934605</x:v>
      </x:c>
      <x:c r="AO123" s="13" t="n">
        <x:v>0.6020387423254565</x:v>
      </x:c>
      <x:c r="AP123" s="13" t="n">
        <x:v>-1.5300913364502995</x:v>
      </x:c>
    </x:row>
    <x:row r="124" ht="15" hidden="0" customHeight="1">
      <x:c r="A124" s="2" t="str">
        <x:v>E123</x:v>
      </x:c>
      <x:c r="B124" s="2" t="str">
        <x:v>***创科技有限责任公司</x:v>
      </x:c>
      <x:c r="C124" s="2" t="str">
        <x:v>有信贷记录</x:v>
      </x:c>
      <x:c r="D124" s="2" t="str">
        <x:v>D</x:v>
      </x:c>
      <x:c r="E124" s="2" t="str">
        <x:v>是</x:v>
      </x:c>
      <x:c r="F124" s="13" t="n">
        <x:v>-0.6112648353138947</x:v>
      </x:c>
      <x:c r="G124" s="13" t="n">
        <x:v>-0.6100591494395083</x:v>
      </x:c>
      <x:c r="H124" s="13" t="n">
        <x:v>-0.518728779362338</x:v>
      </x:c>
      <x:c r="I124" s="13" t="n">
        <x:v>-0.46027843520127304</x:v>
      </x:c>
      <x:c r="J124" s="13" t="n">
        <x:v>-0.5700855697412904</x:v>
      </x:c>
      <x:c r="K124" s="13" t="n">
        <x:v>-0.5725090484257015</x:v>
      </x:c>
      <x:c r="L124" s="13" t="n">
        <x:v>-0.7088373473943025</x:v>
      </x:c>
      <x:c r="M124" s="13" t="n">
        <x:v>-1.151103901665672</x:v>
      </x:c>
      <x:c r="N124" s="13" t="n">
        <x:v>-0.7216149855326618</x:v>
      </x:c>
      <x:c r="O124" s="13" t="n">
        <x:v>1.02653675829911</x:v>
      </x:c>
      <x:c r="P124" s="13" t="n">
        <x:v>1.0070311505016036</x:v>
      </x:c>
      <x:c r="Q124" s="13" t="n">
        <x:v>-0.5857875499281385</x:v>
      </x:c>
      <x:c r="R124" s="13" t="n">
        <x:v>1.2452073825986625</x:v>
      </x:c>
      <x:c r="S124" s="13" t="n">
        <x:v>-0.3170324397406896</x:v>
      </x:c>
      <x:c r="T124" s="13" t="n">
        <x:v>-2.378075087585967</x:v>
      </x:c>
      <x:c r="U124" s="13" t="n">
        <x:v>-0.5254364539083889</x:v>
      </x:c>
      <x:c r="V124" s="13" t="n">
        <x:v>-0.5283928326981499</x:v>
      </x:c>
      <x:c r="W124" s="13" t="n">
        <x:v>-0.39540984744720675</x:v>
      </x:c>
      <x:c r="X124" s="13" t="n">
        <x:v>-0.3910667203118402</x:v>
      </x:c>
      <x:c r="Y124" s="13" t="n">
        <x:v>-0.5511924228990456</x:v>
      </x:c>
      <x:c r="Z124" s="13" t="n">
        <x:v>-0.47677836585811423</x:v>
      </x:c>
      <x:c r="AA124" s="13" t="n">
        <x:v>-0.38283405569509793</x:v>
      </x:c>
      <x:c r="AB124" s="13" t="n">
        <x:v>3.0444456053253113</x:v>
      </x:c>
      <x:c r="AC124" s="13" t="n">
        <x:v>-0.6980651016988949</x:v>
      </x:c>
      <x:c r="AD124" s="13" t="n">
        <x:v>0.789113745877541</x:v>
      </x:c>
      <x:c r="AE124" s="13" t="n">
        <x:v>0.9421921512202768</x:v>
      </x:c>
      <x:c r="AF124" s="13" t="n">
        <x:v>-0.5701745861777047</x:v>
      </x:c>
      <x:c r="AG124" s="13" t="n">
        <x:v>3.3934958042987535</x:v>
      </x:c>
      <x:c r="AH124" s="13" t="n">
        <x:v>-0.4329470106061037</x:v>
      </x:c>
      <x:c r="AI124" s="13" t="n">
        <x:v>-1.3562472321792094</x:v>
      </x:c>
      <x:c r="AJ124" s="13" t="n">
        <x:v>-0.4060777057723828</x:v>
      </x:c>
      <x:c r="AK124" s="13" t="n">
        <x:v>-0.3417165144427991</x:v>
      </x:c>
      <x:c r="AL124" s="13" t="n">
        <x:v>4.836049153918829</x:v>
      </x:c>
      <x:c r="AM124" s="13" t="n">
        <x:v>-0.7815911692517314</x:v>
      </x:c>
      <x:c r="AN124" s="13" t="n">
        <x:v>1.2285846808676948</x:v>
      </x:c>
      <x:c r="AO124" s="13" t="n">
        <x:v>2.45660616678547</x:v>
      </x:c>
      <x:c r="AP124" s="13" t="n">
        <x:v>-0.4161936486820847</x:v>
      </x:c>
    </x:row>
    <x:row r="125" ht="15" hidden="0" customHeight="1">
      <x:c r="A125" s="2" t="str">
        <x:v>E124</x:v>
      </x:c>
      <x:c r="B125" s="2" t="str">
        <x:v>个体经营E124 </x:v>
      </x:c>
      <x:c r="C125" s="2" t="str">
        <x:v>无信贷记录</x:v>
      </x:c>
      <x:c r="D125" s="2" t="str"/>
      <x:c r="E125" s="2" t="str"/>
      <x:c r="F125" s="13" t="n">
        <x:v>5.589811287023711</x:v>
      </x:c>
      <x:c r="G125" s="13" t="n">
        <x:v>5.673813215454509</x:v>
      </x:c>
      <x:c r="H125" s="13" t="n">
        <x:v>5.328445458760172</x:v>
      </x:c>
      <x:c r="I125" s="13" t="n">
        <x:v>5.9617045197048135</x:v>
      </x:c>
      <x:c r="J125" s="13" t="n">
        <x:v>5.2611480254075715</x:v>
      </x:c>
      <x:c r="K125" s="13" t="n">
        <x:v>5.198229868776137</x:v>
      </x:c>
      <x:c r="L125" s="13" t="n">
        <x:v>3.611429707139949</x:v>
      </x:c>
      <x:c r="M125" s="13" t="n">
        <x:v>3.584141834218346</x:v>
      </x:c>
      <x:c r="N125" s="13" t="n">
        <x:v>1.6981213627273535</x:v>
      </x:c>
      <x:c r="O125" s="13" t="n">
        <x:v>-0.8947481090946814</x:v>
      </x:c>
      <x:c r="P125" s="13" t="n">
        <x:v>-0.936856586571657</x:v>
      </x:c>
      <x:c r="Q125" s="13" t="n">
        <x:v>5.1203834083072675</x:v>
      </x:c>
      <x:c r="R125" s="13" t="n">
        <x:v>-0.9908036169542614</x:v>
      </x:c>
      <x:c r="S125" s="13" t="n">
        <x:v>0.46373426461651845</x:v>
      </x:c>
      <x:c r="T125" s="13" t="n">
        <x:v>-0.30604060161739083</x:v>
      </x:c>
      <x:c r="U125" s="13" t="n">
        <x:v>0.12166254758104808</x:v>
      </x:c>
      <x:c r="V125" s="13" t="n">
        <x:v>0.06966932395252147</x:v>
      </x:c>
      <x:c r="W125" s="13" t="n">
        <x:v>0.8184393930819664</x:v>
      </x:c>
      <x:c r="X125" s="13" t="n">
        <x:v>0.45699401264238837</x:v>
      </x:c>
      <x:c r="Y125" s="13" t="n">
        <x:v>5.664503551170864</x:v>
      </x:c>
      <x:c r="Z125" s="13" t="n">
        <x:v>5.872519243956818</x:v>
      </x:c>
      <x:c r="AA125" s="13" t="n">
        <x:v>-0.27238956509423223</x:v>
      </x:c>
      <x:c r="AB125" s="13" t="n">
        <x:v>0.21901679661668286</x:v>
      </x:c>
      <x:c r="AC125" s="13" t="n">
        <x:v>0.5503581609915726</x:v>
      </x:c>
      <x:c r="AD125" s="13" t="n">
        <x:v>-0.7016005917716912</x:v>
      </x:c>
      <x:c r="AE125" s="13" t="n">
        <x:v>-0.7434001151676579</x:v>
      </x:c>
      <x:c r="AF125" s="13" t="n">
        <x:v>5.60953384531505</x:v>
      </x:c>
      <x:c r="AG125" s="13" t="n">
        <x:v>-0.8016223629852847</x:v>
      </x:c>
      <x:c r="AH125" s="13" t="n">
        <x:v>0.5428664891433932</x:v>
      </x:c>
      <x:c r="AI125" s="13" t="n">
        <x:v>-0.24932408091562624</x:v>
      </x:c>
      <x:c r="AJ125" s="13" t="n">
        <x:v>-0.9593840278093475</x:v>
      </x:c>
      <x:c r="AK125" s="13" t="n">
        <x:v>0.017479096633492553</x:v>
      </x:c>
      <x:c r="AL125" s="13" t="n">
        <x:v>0.8999260569463997</x:v>
      </x:c>
      <x:c r="AM125" s="13" t="n">
        <x:v>0.5943361930412661</x:v>
      </x:c>
      <x:c r="AN125" s="13" t="n">
        <x:v>-1.0763803526593034</x:v>
      </x:c>
      <x:c r="AO125" s="13" t="n">
        <x:v>-1.0501209580884026</x:v>
      </x:c>
      <x:c r="AP125" s="13" t="n">
        <x:v>0.5535427939036847</x:v>
      </x:c>
    </x:row>
    <x:row r="126" ht="15" hidden="0" customHeight="1">
      <x:c r="A126" s="2" t="str">
        <x:v>E125</x:v>
      </x:c>
      <x:c r="B126" s="2" t="str">
        <x:v>个体经营E125 </x:v>
      </x:c>
      <x:c r="C126" s="2" t="str">
        <x:v>无信贷记录</x:v>
      </x:c>
      <x:c r="D126" s="2" t="str"/>
      <x:c r="E126" s="2" t="str"/>
      <x:c r="F126" s="13" t="n">
        <x:v>5.589811287023711</x:v>
      </x:c>
      <x:c r="G126" s="13" t="n">
        <x:v>5.673813215454509</x:v>
      </x:c>
      <x:c r="H126" s="13" t="n">
        <x:v>5.328445458760172</x:v>
      </x:c>
      <x:c r="I126" s="13" t="n">
        <x:v>5.9617045197048135</x:v>
      </x:c>
      <x:c r="J126" s="13" t="n">
        <x:v>5.2611480254075715</x:v>
      </x:c>
      <x:c r="K126" s="13" t="n">
        <x:v>5.198229868776137</x:v>
      </x:c>
      <x:c r="L126" s="13" t="n">
        <x:v>4.179027609741294</x:v>
      </x:c>
      <x:c r="M126" s="13" t="n">
        <x:v>3.60350272818312</x:v>
      </x:c>
      <x:c r="N126" s="13" t="n">
        <x:v>1.6842510657857899</x:v>
      </x:c>
      <x:c r="O126" s="13" t="n">
        <x:v>-0.9441754599806004</x:v>
      </x:c>
      <x:c r="P126" s="13" t="n">
        <x:v>-1.0942824318352038</x:v>
      </x:c>
      <x:c r="Q126" s="13" t="n">
        <x:v>5.1203834083072675</x:v>
      </x:c>
      <x:c r="R126" s="13" t="n">
        <x:v>-0.8308507592545314</x:v>
      </x:c>
      <x:c r="S126" s="13" t="n">
        <x:v>0.5662991280342222</x:v>
      </x:c>
      <x:c r="T126" s="13" t="n">
        <x:v>0.7299766413668972</x:v>
      </x:c>
      <x:c r="U126" s="13" t="n">
        <x:v>0.28080253003203337</x:v>
      </x:c>
      <x:c r="V126" s="13" t="n">
        <x:v>0.22731985492704176</x:v>
      </x:c>
      <x:c r="W126" s="13" t="n">
        <x:v>0.9757902205579704</x:v>
      </x:c>
      <x:c r="X126" s="13" t="n">
        <x:v>0.4776784207632232</x:v>
      </x:c>
      <x:c r="Y126" s="13" t="n">
        <x:v>5.664503551170864</x:v>
      </x:c>
      <x:c r="Z126" s="13" t="n">
        <x:v>6.823437955894381</x:v>
      </x:c>
      <x:c r="AA126" s="13" t="n">
        <x:v>-0.24889073730681396</x:v>
      </x:c>
      <x:c r="AB126" s="13" t="n">
        <x:v>0.0931906122930589</x:v>
      </x:c>
      <x:c r="AC126" s="13" t="n">
        <x:v>0.32039939033480264</x:v>
      </x:c>
      <x:c r="AD126" s="13" t="n">
        <x:v>-0.7609743074893677</x:v>
      </x:c>
      <x:c r="AE126" s="13" t="n">
        <x:v>-0.7907901370446518</x:v>
      </x:c>
      <x:c r="AF126" s="13" t="n">
        <x:v>5.60953384531505</x:v>
      </x:c>
      <x:c r="AG126" s="13" t="n">
        <x:v>-0.6740507261469455</x:v>
      </x:c>
      <x:c r="AH126" s="13" t="n">
        <x:v>0.5716635106616329</x:v>
      </x:c>
      <x:c r="AI126" s="13" t="n">
        <x:v>0.7569696929603585</x:v>
      </x:c>
      <x:c r="AJ126" s="13" t="n">
        <x:v>-0.04615292606695896</x:v>
      </x:c>
      <x:c r="AK126" s="13" t="n">
        <x:v>0.0003381517384099728</x:v>
      </x:c>
      <x:c r="AL126" s="13" t="n">
        <x:v>0.8906269300696336</x:v>
      </x:c>
      <x:c r="AM126" s="13" t="n">
        <x:v>0.562500674980855</x:v>
      </x:c>
      <x:c r="AN126" s="13" t="n">
        <x:v>-1.148661318278916</x:v>
      </x:c>
      <x:c r="AO126" s="13" t="n">
        <x:v>-0.8815989045793752</x:v>
      </x:c>
      <x:c r="AP126" s="13" t="n">
        <x:v>0.6308770755043395</x:v>
      </x:c>
    </x:row>
    <x:row r="127" ht="15" hidden="0" customHeight="1">
      <x:c r="A127" s="2" t="str">
        <x:v>E126</x:v>
      </x:c>
      <x:c r="B127" s="2" t="str">
        <x:v>个体经营E126 </x:v>
      </x:c>
      <x:c r="C127" s="2" t="str">
        <x:v>无信贷记录</x:v>
      </x:c>
      <x:c r="D127" s="2" t="str"/>
      <x:c r="E127" s="2" t="str"/>
      <x:c r="F127" s="13" t="n">
        <x:v>-0.36557154541630166</x:v>
      </x:c>
      <x:c r="G127" s="13" t="n">
        <x:v>-0.364556426013417</x:v>
      </x:c>
      <x:c r="H127" s="13" t="n">
        <x:v>-0.3273667133874194</x:v>
      </x:c>
      <x:c r="I127" s="13" t="n">
        <x:v>-0.33163294331613485</x:v>
      </x:c>
      <x:c r="J127" s="13" t="n">
        <x:v>2.0004843210944454</x:v>
      </x:c>
      <x:c r="K127" s="13" t="n">
        <x:v>1.9568326427832465</x:v>
      </x:c>
      <x:c r="L127" s="13" t="n">
        <x:v>-0.4958664362552901</x:v>
      </x:c>
      <x:c r="M127" s="13" t="n">
        <x:v>0.14571546855778195</x:v>
      </x:c>
      <x:c r="N127" s="13" t="n">
        <x:v>-0.09250826402285302</x:v>
      </x:c>
      <x:c r="O127" s="13" t="n">
        <x:v>0.0786953811646993</x:v>
      </x:c>
      <x:c r="P127" s="13" t="n">
        <x:v>0.100287259319042</x:v>
      </x:c>
      <x:c r="Q127" s="13" t="n">
        <x:v>2.013822940945843</x:v>
      </x:c>
      <x:c r="R127" s="13" t="n">
        <x:v>-0.7718682979063094</x:v>
      </x:c>
      <x:c r="S127" s="13" t="n">
        <x:v>0.32451776893539147</x:v>
      </x:c>
      <x:c r="T127" s="13" t="n">
        <x:v>0.7299766413668972</x:v>
      </x:c>
      <x:c r="U127" s="13" t="n">
        <x:v>0.2391731968743253</x:v>
      </x:c>
      <x:c r="V127" s="13" t="n">
        <x:v>0.16223992043222202</x:v>
      </x:c>
      <x:c r="W127" s="13" t="n">
        <x:v>1.2530273927775963</x:v>
      </x:c>
      <x:c r="X127" s="13" t="n">
        <x:v>0.2708343395548748</x:v>
      </x:c>
      <x:c r="Y127" s="13" t="n">
        <x:v>4.447010619163547</x:v>
      </x:c>
      <x:c r="Z127" s="13" t="n">
        <x:v>3.6572393940730232</x:v>
      </x:c>
      <x:c r="AA127" s="13" t="n">
        <x:v>-0.04915070111375894</x:v>
      </x:c>
      <x:c r="AB127" s="13" t="n">
        <x:v>0.3526506506834948</x:v>
      </x:c>
      <x:c r="AC127" s="13" t="n">
        <x:v>0.1491205517106907</x:v>
      </x:c>
      <x:c r="AD127" s="13" t="n">
        <x:v>-0.7489225596739737</x:v>
      </x:c>
      <x:c r="AE127" s="13" t="n">
        <x:v>-0.7269865823541313</x:v>
      </x:c>
      <x:c r="AF127" s="13" t="n">
        <x:v>4.461897646608469</x:v>
      </x:c>
      <x:c r="AG127" s="13" t="n">
        <x:v>-0.7504973301080378</x:v>
      </x:c>
      <x:c r="AH127" s="13" t="n">
        <x:v>0.5080664538919547</x:v>
      </x:c>
      <x:c r="AI127" s="13" t="n">
        <x:v>0.857599070347957</x:v>
      </x:c>
      <x:c r="AJ127" s="13" t="n">
        <x:v>5.720012480425505</x:v>
      </x:c>
      <x:c r="AK127" s="13" t="n">
        <x:v>-0.2625241617651621</x:v>
      </x:c>
      <x:c r="AL127" s="13" t="n">
        <x:v>1.0131228925254325</x:v>
      </x:c>
      <x:c r="AM127" s="13" t="n">
        <x:v>0.374925135742583</x:v>
      </x:c>
      <x:c r="AN127" s="13" t="n">
        <x:v>-0.4041946351031307</x:v>
      </x:c>
      <x:c r="AO127" s="13" t="n">
        <x:v>-0.877600560172244</x:v>
      </x:c>
      <x:c r="AP127" s="13" t="n">
        <x:v>0.4507323658757417</x:v>
      </x:c>
    </x:row>
    <x:row r="128" ht="15" hidden="0" customHeight="1">
      <x:c r="A128" s="2" t="str">
        <x:v>E127</x:v>
      </x:c>
      <x:c r="B128" s="2" t="str">
        <x:v>个体经营E127 </x:v>
      </x:c>
      <x:c r="C128" s="2" t="str">
        <x:v>无信贷记录</x:v>
      </x:c>
      <x:c r="D128" s="2" t="str"/>
      <x:c r="E128" s="2" t="str"/>
      <x:c r="F128" s="13" t="n">
        <x:v>0.0595242033310434</x:v>
      </x:c>
      <x:c r="G128" s="13" t="n">
        <x:v>0.07130680756923347</x:v>
      </x:c>
      <x:c r="H128" s="13" t="n">
        <x:v>-0.2423169062874556</x:v>
      </x:c>
      <x:c r="I128" s="13" t="n">
        <x:v>-0.37451477394451427</x:v>
      </x:c>
      <x:c r="J128" s="13" t="n">
        <x:v>-0.5348704796845314</x:v>
      </x:c>
      <x:c r="K128" s="13" t="n">
        <x:v>-0.5378757352634027</x:v>
      </x:c>
      <x:c r="L128" s="13" t="n">
        <x:v>0.18868292097724976</x:v>
      </x:c>
      <x:c r="M128" s="13" t="n">
        <x:v>-0.4625474712995178</x:v>
      </x:c>
      <x:c r="N128" s="13" t="n">
        <x:v>-0.5699342919102126</x:v>
      </x:c>
      <x:c r="O128" s="13" t="n">
        <x:v>-0.7704463468732528</x:v>
      </x:c>
      <x:c r="P128" s="13" t="n">
        <x:v>-0.8433823605641505</x:v>
      </x:c>
      <x:c r="Q128" s="13" t="n">
        <x:v>-0.5491673876797144</x:v>
      </x:c>
      <x:c r="R128" s="13" t="n">
        <x:v>0.10763304445645877</x:v>
      </x:c>
      <x:c r="S128" s="13" t="n">
        <x:v>0.5821954713401294</x:v>
      </x:c>
      <x:c r="T128" s="13" t="n">
        <x:v>0.35324309846351976</x:v>
      </x:c>
      <x:c r="U128" s="13" t="n">
        <x:v>1.5618266934040377</x:v>
      </x:c>
      <x:c r="V128" s="13" t="n">
        <x:v>1.6433694641074303</x:v>
      </x:c>
      <x:c r="W128" s="13" t="n">
        <x:v>0.27895084173566725</x:v>
      </x:c>
      <x:c r="X128" s="13" t="n">
        <x:v>-0.3083290878285008</x:v>
      </x:c>
      <x:c r="Y128" s="13" t="n">
        <x:v>5.664503551170864</x:v>
      </x:c>
      <x:c r="Z128" s="13" t="n">
        <x:v>4.38320545247151</x:v>
      </x:c>
      <x:c r="AA128" s="13" t="n">
        <x:v>-0.33818628289900327</x:v>
      </x:c>
      <x:c r="AB128" s="13" t="n">
        <x:v>-0.7694002170926887</x:v>
      </x:c>
      <x:c r="AC128" s="13" t="n">
        <x:v>-0.6637783872422569</x:v>
      </x:c>
      <x:c r="AD128" s="13" t="n">
        <x:v>-0.4449041905792009</x:v>
      </x:c>
      <x:c r="AE128" s="13" t="n">
        <x:v>-0.5416581822682998</x:v>
      </x:c>
      <x:c r="AF128" s="13" t="n">
        <x:v>5.60953384531505</x:v>
      </x:c>
      <x:c r="AG128" s="13" t="n">
        <x:v>-0.5668689397555211</x:v>
      </x:c>
      <x:c r="AH128" s="13" t="n">
        <x:v>-0.6146557859280658</x:v>
      </x:c>
      <x:c r="AI128" s="13" t="n">
        <x:v>0.857599070347957</x:v>
      </x:c>
      <x:c r="AJ128" s="13" t="n">
        <x:v>5.720012480425505</x:v>
      </x:c>
      <x:c r="AK128" s="13" t="n">
        <x:v>-0.34209935622514215</x:v>
      </x:c>
      <x:c r="AL128" s="13" t="n">
        <x:v>-0.7803108915425512</x:v>
      </x:c>
      <x:c r="AM128" s="13" t="n">
        <x:v>-0.7153928904040838</x:v>
      </x:c>
      <x:c r="AN128" s="13" t="n">
        <x:v>-0.8282920256673522</x:v>
      </x:c>
      <x:c r="AO128" s="13" t="n">
        <x:v>-0.19479683018708502</x:v>
      </x:c>
      <x:c r="AP128" s="13" t="n">
        <x:v>0.043165259261241304</x:v>
      </x:c>
    </x:row>
    <x:row r="129" ht="15" hidden="0" customHeight="1">
      <x:c r="A129" s="2" t="str">
        <x:v>E128</x:v>
      </x:c>
      <x:c r="B129" s="2" t="str">
        <x:v>个体经营E128 </x:v>
      </x:c>
      <x:c r="C129" s="2" t="str">
        <x:v>无信贷记录</x:v>
      </x:c>
      <x:c r="D129" s="2" t="str"/>
      <x:c r="E129" s="2" t="str"/>
      <x:c r="F129" s="13" t="n">
        <x:v>0.8809742216301659</x:v>
      </x:c>
      <x:c r="G129" s="13" t="n">
        <x:v>0.8912475440118433</x:v>
      </x:c>
      <x:c r="H129" s="13" t="n">
        <x:v>0.41681909873726375</x:v>
      </x:c>
      <x:c r="I129" s="13" t="n">
        <x:v>0.18294902422441775</x:v>
      </x:c>
      <x:c r="J129" s="13" t="n">
        <x:v>-0.3833128998452612</x:v>
      </x:c>
      <x:c r="K129" s="13" t="n">
        <x:v>-0.37430021088549215</x:v>
      </x:c>
      <x:c r="L129" s="13" t="n">
        <x:v>0.9066991356744915</x:v>
      </x:c>
      <x:c r="M129" s="13" t="n">
        <x:v>-0.10230716152909568</x:v>
      </x:c>
      <x:c r="N129" s="13" t="n">
        <x:v>-0.2047197054153173</x:v>
      </x:c>
      <x:c r="O129" s="13" t="n">
        <x:v>-0.907292928829844</x:v>
      </x:c>
      <x:c r="P129" s="13" t="n">
        <x:v>-1.2068813962349554</x:v>
      </x:c>
      <x:c r="Q129" s="13" t="n">
        <x:v>-0.3664471533880291</x:v>
      </x:c>
      <x:c r="R129" s="13" t="n">
        <x:v>-0.4394644007495052</x:v>
      </x:c>
      <x:c r="S129" s="13" t="n">
        <x:v>0.12957365881778177</x:v>
      </x:c>
      <x:c r="T129" s="13" t="n">
        <x:v>0.2590597127376754</x:v>
      </x:c>
      <x:c r="U129" s="13" t="n">
        <x:v>0.10163831137860622</x:v>
      </x:c>
      <x:c r="V129" s="13" t="n">
        <x:v>0.10445342687216652</x:v>
      </x:c>
      <x:c r="W129" s="13" t="n">
        <x:v>0.06914973843432869</x:v>
      </x:c>
      <x:c r="X129" s="13" t="n">
        <x:v>-0.3910667203118402</x:v>
      </x:c>
      <x:c r="Y129" s="13" t="n">
        <x:v>1.7766342964301898</x:v>
      </x:c>
      <x:c r="Z129" s="13" t="n">
        <x:v>1.3291460785562987</x:v>
      </x:c>
      <x:c r="AA129" s="13" t="n">
        <x:v>-0.3804841729163561</x:v>
      </x:c>
      <x:c r="AB129" s="13" t="n">
        <x:v>-0.4012492004043318</x:v>
      </x:c>
      <x:c r="AC129" s="13" t="n">
        <x:v>-0.6980651016988949</x:v>
      </x:c>
      <x:c r="AD129" s="13" t="n">
        <x:v>3.0430479599543663</x:v>
      </x:c>
      <x:c r="AE129" s="13" t="n">
        <x:v>2.5151321102892887</x:v>
      </x:c>
      <x:c r="AF129" s="13" t="n">
        <x:v>1.7733592032698415</x:v>
      </x:c>
      <x:c r="AG129" s="13" t="n">
        <x:v>0.3641206206685359</x:v>
      </x:c>
      <x:c r="AH129" s="13" t="n">
        <x:v>0.2528135994416659</x:v>
      </x:c>
      <x:c r="AI129" s="13" t="n">
        <x:v>0.5557109381851616</x:v>
      </x:c>
      <x:c r="AJ129" s="13" t="n">
        <x:v>3.3004158891790367</x:v>
      </x:c>
      <x:c r="AK129" s="13" t="n">
        <x:v>-0.32860091429154087</x:v>
      </x:c>
      <x:c r="AL129" s="13" t="n">
        <x:v>-0.547020649523286</x:v>
      </x:c>
      <x:c r="AM129" s="13" t="n">
        <x:v>-0.5762917340362098</x:v>
      </x:c>
      <x:c r="AN129" s="13" t="n">
        <x:v>1.2270954904605504</x:v>
      </x:c>
      <x:c r="AO129" s="13" t="n">
        <x:v>-0.12740242050366254</x:v>
      </x:c>
      <x:c r="AP129" s="13" t="n">
        <x:v>0.2027593107182162</x:v>
      </x:c>
    </x:row>
    <x:row r="130" ht="15" hidden="0" customHeight="1">
      <x:c r="A130" s="2" t="str">
        <x:v>E129</x:v>
      </x:c>
      <x:c r="B130" s="2" t="str">
        <x:v>个体经营E129 </x:v>
      </x:c>
      <x:c r="C130" s="2" t="str">
        <x:v>无信贷记录</x:v>
      </x:c>
      <x:c r="D130" s="2" t="str"/>
      <x:c r="E130" s="2" t="str"/>
      <x:c r="F130" s="13" t="n">
        <x:v>2.3199024703889</x:v>
      </x:c>
      <x:c r="G130" s="13" t="n">
        <x:v>2.2309635777081307</x:v>
      </x:c>
      <x:c r="H130" s="13" t="n">
        <x:v>3.71249912386086</x:v>
      </x:c>
      <x:c r="I130" s="13" t="n">
        <x:v>0.7832946530217291</x:v>
      </x:c>
      <x:c r="J130" s="13" t="n">
        <x:v>1.1376087973575177</x:v>
      </x:c>
      <x:c r="K130" s="13" t="n">
        <x:v>1.160733763652073</x:v>
      </x:c>
      <x:c r="L130" s="13" t="n">
        <x:v>3.4623500693426403</x:v>
      </x:c>
      <x:c r="M130" s="13" t="n">
        <x:v>1.2648468508107231</x:v>
      </x:c>
      <x:c r="N130" s="13" t="n">
        <x:v>-0.1932912740083144</x:v>
      </x:c>
      <x:c r="O130" s="13" t="n">
        <x:v>-0.8453025404700325</x:v>
      </x:c>
      <x:c r="P130" s="13" t="n">
        <x:v>-0.902979904415821</x:v>
      </x:c>
      <x:c r="Q130" s="13" t="n">
        <x:v>1.1411955558391662</x:v>
      </x:c>
      <x:c r="R130" s="13" t="n">
        <x:v>-0.5778785297930942</x:v>
      </x:c>
      <x:c r="S130" s="13" t="n">
        <x:v>-0.7442661879808078</x:v>
      </x:c>
      <x:c r="T130" s="13" t="n">
        <x:v>0.7299766413668972</x:v>
      </x:c>
      <x:c r="U130" s="13" t="n">
        <x:v>2.5056005628401787</x:v>
      </x:c>
      <x:c r="V130" s="13" t="n">
        <x:v>2.3598097774685067</x:v>
      </x:c>
      <x:c r="W130" s="13" t="n">
        <x:v>4.130299666624526</x:v>
      </x:c>
      <x:c r="X130" s="13" t="n">
        <x:v>1.3877923780799561</x:v>
      </x:c>
      <x:c r="Y130" s="13" t="n">
        <x:v>2.9264114858458496</x:v>
      </x:c>
      <x:c r="Z130" s="13" t="n">
        <x:v>2.3228963938891503</x:v>
      </x:c>
      <x:c r="AA130" s="13" t="n">
        <x:v>1.4782731050684266</x:v>
      </x:c>
      <x:c r="AB130" s="13" t="n">
        <x:v>-0.11699416808852149</x:v>
      </x:c>
      <x:c r="AC130" s="13" t="n">
        <x:v>-0.1425951799400911</x:v>
      </x:c>
      <x:c r="AD130" s="13" t="n">
        <x:v>-0.9692519143661938</x:v>
      </x:c>
      <x:c r="AE130" s="13" t="n">
        <x:v>-1.276816605783456</x:v>
      </x:c>
      <x:c r="AF130" s="13" t="n">
        <x:v>2.9309564110872466</x:v>
      </x:c>
      <x:c r="AG130" s="13" t="n">
        <x:v>-0.898704886728842</x:v>
      </x:c>
      <x:c r="AH130" s="13" t="n">
        <x:v>-0.45388335567505755</x:v>
      </x:c>
      <x:c r="AI130" s="13" t="n">
        <x:v>0.857599070347957</x:v>
      </x:c>
      <x:c r="AJ130" s="13" t="n">
        <x:v>4.0305252228095565</x:v>
      </x:c>
      <x:c r="AK130" s="13" t="n">
        <x:v>-0.26158513709084646</x:v>
      </x:c>
      <x:c r="AL130" s="13" t="n">
        <x:v>0.21490234621340693</x:v>
      </x:c>
      <x:c r="AM130" s="13" t="n">
        <x:v>-0.1730604071739776</x:v>
      </x:c>
      <x:c r="AN130" s="13" t="n">
        <x:v>-1.206041204390723</x:v>
      </x:c>
      <x:c r="AO130" s="13" t="n">
        <x:v>-0.8158492440022442</x:v>
      </x:c>
      <x:c r="AP130" s="13" t="n">
        <x:v>-0.6884625603444103</x:v>
      </x:c>
    </x:row>
    <x:row r="131" ht="15" hidden="0" customHeight="1">
      <x:c r="A131" s="2" t="str">
        <x:v>E130</x:v>
      </x:c>
      <x:c r="B131" s="2" t="str">
        <x:v>个体经营E130 </x:v>
      </x:c>
      <x:c r="C131" s="2" t="str">
        <x:v>无信贷记录</x:v>
      </x:c>
      <x:c r="D131" s="2" t="str"/>
      <x:c r="E131" s="2" t="str"/>
      <x:c r="F131" s="13" t="n">
        <x:v>0.8944178167377701</x:v>
      </x:c>
      <x:c r="G131" s="13" t="n">
        <x:v>0.8859730714382358</x:v>
      </x:c>
      <x:c r="H131" s="13" t="n">
        <x:v>0.8420681342370827</x:v>
      </x:c>
      <x:c r="I131" s="13" t="n">
        <x:v>0.3115945161095559</x:v>
      </x:c>
      <x:c r="J131" s="13" t="n">
        <x:v>0.974559298416326</x:v>
      </x:c>
      <x:c r="K131" s="13" t="n">
        <x:v>0.9629691088128464</x:v>
      </x:c>
      <x:c r="L131" s="13" t="n">
        <x:v>0.8671473950343892</x:v>
      </x:c>
      <x:c r="M131" s="13" t="n">
        <x:v>0.3608104616776569</x:v>
      </x:c>
      <x:c r="N131" s="13" t="n">
        <x:v>-0.09915588547972906</x:v>
      </x:c>
      <x:c r="O131" s="13" t="n">
        <x:v>-0.8391717020326178</x:v>
      </x:c>
      <x:c r="P131" s="13" t="n">
        <x:v>-0.983345655153018</x:v>
      </x:c>
      <x:c r="Q131" s="13" t="n">
        <x:v>1.228257977079804</x:v>
      </x:c>
      <x:c r="R131" s="13" t="n">
        <x:v>0.022662742567796844</x:v>
      </x:c>
      <x:c r="S131" s="13" t="n">
        <x:v>1.6978929014910502</x:v>
      </x:c>
      <x:c r="T131" s="13" t="n">
        <x:v>0.2590597127376754</x:v>
      </x:c>
      <x:c r="U131" s="13" t="n">
        <x:v>0.168561416581504</x:v>
      </x:c>
      <x:c r="V131" s="13" t="n">
        <x:v>0.1942188537615731</x:v>
      </x:c>
      <x:c r="W131" s="13" t="n">
        <x:v>-0.17811584759939178</x:v>
      </x:c>
      <x:c r="X131" s="13" t="n">
        <x:v>0.043305850225691514</x:v>
      </x:c>
      <x:c r="Y131" s="13" t="n">
        <x:v>0.563332161330331</x:v>
      </x:c>
      <x:c r="Z131" s="13" t="n">
        <x:v>0.4167212735707871</x:v>
      </x:c>
      <x:c r="AA131" s="13" t="n">
        <x:v>-0.36638487624390514</x:v>
      </x:c>
      <x:c r="AB131" s="13" t="n">
        <x:v>-0.6551849523536888</x:v>
      </x:c>
      <x:c r="AC131" s="13" t="n">
        <x:v>-0.16608894764647153</x:v>
      </x:c>
      <x:c r="AD131" s="13" t="n">
        <x:v>2.2471153099944603</x:v>
      </x:c>
      <x:c r="AE131" s="13" t="n">
        <x:v>2.08921246061734</x:v>
      </x:c>
      <x:c r="AF131" s="13" t="n">
        <x:v>0.7766518344406061</x:v>
      </x:c>
      <x:c r="AG131" s="13" t="n">
        <x:v>0.9167288737763296</x:v>
      </x:c>
      <x:c r="AH131" s="13" t="n">
        <x:v>2.098240003646784</x:v>
      </x:c>
      <x:c r="AI131" s="13" t="n">
        <x:v>-0.5512122130784217</x:v>
      </x:c>
      <x:c r="AJ131" s="13" t="n">
        <x:v>0.24744543110237419</x:v>
      </x:c>
      <x:c r="AK131" s="13" t="n">
        <x:v>-0.11721890624783349</x:v>
      </x:c>
      <x:c r="AL131" s="13" t="n">
        <x:v>-0.5445879718218682</x:v>
      </x:c>
      <x:c r="AM131" s="13" t="n">
        <x:v>-0.26570935263343043</x:v>
      </x:c>
      <x:c r="AN131" s="13" t="n">
        <x:v>0.7846501300746819</x:v>
      </x:c>
      <x:c r="AO131" s="13" t="n">
        <x:v>0.4461344943223579</x:v>
      </x:c>
      <x:c r="AP131" s="13" t="n">
        <x:v>2.0929048511179205</x:v>
      </x:c>
    </x:row>
    <x:row r="132" ht="15" hidden="0" customHeight="1">
      <x:c r="A132" s="2" t="str">
        <x:v>E131</x:v>
      </x:c>
      <x:c r="B132" s="2" t="str">
        <x:v>个体经营E131 </x:v>
      </x:c>
      <x:c r="C132" s="2" t="str">
        <x:v>无信贷记录</x:v>
      </x:c>
      <x:c r="D132" s="2" t="str"/>
      <x:c r="E132" s="2" t="str"/>
      <x:c r="F132" s="13" t="n">
        <x:v>2.6680452264513383</x:v>
      </x:c>
      <x:c r="G132" s="13" t="n">
        <x:v>2.51818258421639</x:v>
      </x:c>
      <x:c r="H132" s="13" t="n">
        <x:v>5.328445458760172</x:v>
      </x:c>
      <x:c r="I132" s="13" t="n">
        <x:v>5.114359546488047</x:v>
      </x:c>
      <x:c r="J132" s="13" t="n">
        <x:v>1.9263501704775106</x:v>
      </x:c>
      <x:c r="K132" s="13" t="n">
        <x:v>1.9784828848562157</x:v>
      </x:c>
      <x:c r="L132" s="13" t="n">
        <x:v>2.053699614237458</x:v>
      </x:c>
      <x:c r="M132" s="13" t="n">
        <x:v>1.8332318839073536</x:v>
      </x:c>
      <x:c r="N132" s="13" t="n">
        <x:v>1.4293831762099303</x:v>
      </x:c>
      <x:c r="O132" s="13" t="n">
        <x:v>-0.7724439682895443</x:v>
      </x:c>
      <x:c r="P132" s="13" t="n">
        <x:v>-0.6467243710368106</x:v>
      </x:c>
      <x:c r="Q132" s="13" t="n">
        <x:v>1.938850956899065</x:v>
      </x:c>
      <x:c r="R132" s="13" t="n">
        <x:v>-0.4148591495543894</x:v>
      </x:c>
      <x:c r="S132" s="13" t="n">
        <x:v>-0.16236027689086716</x:v>
      </x:c>
      <x:c r="T132" s="13" t="n">
        <x:v>0.7299766413668972</x:v>
      </x:c>
      <x:c r="U132" s="13" t="n">
        <x:v>1.1982287202544355</x:v>
      </x:c>
      <x:c r="V132" s="13" t="n">
        <x:v>1.190615092233986</x:v>
      </x:c>
      <x:c r="W132" s="13" t="n">
        <x:v>1.1556197376734034</x:v>
      </x:c>
      <x:c r="X132" s="13" t="n">
        <x:v>0.4776784207632232</x:v>
      </x:c>
      <x:c r="Y132" s="13" t="n">
        <x:v>1.6936504034712165</x:v>
      </x:c>
      <x:c r="Z132" s="13" t="n">
        <x:v>1.302255935854765</x:v>
      </x:c>
      <x:c r="AA132" s="13" t="n">
        <x:v>1.541719940094456</x:v>
      </x:c>
      <x:c r="AB132" s="13" t="n">
        <x:v>-0.42814159877283986</x:v>
      </x:c>
      <x:c r="AC132" s="13" t="n">
        <x:v>-0.2442449534888521</x:v>
      </x:c>
      <x:c r="AD132" s="13" t="n">
        <x:v>-0.9736212003329325</x:v>
      </x:c>
      <x:c r="AE132" s="13" t="n">
        <x:v>-1.2996891681974172</x:v>
      </x:c>
      <x:c r="AF132" s="13" t="n">
        <x:v>1.689810909159096</x:v>
      </x:c>
      <x:c r="AG132" s="13" t="n">
        <x:v>-1.193892195138907</x:v>
      </x:c>
      <x:c r="AH132" s="13" t="n">
        <x:v>-0.1688561624937602</x:v>
      </x:c>
      <x:c r="AI132" s="13" t="n">
        <x:v>0.857599070347957</x:v>
      </x:c>
      <x:c r="AJ132" s="13" t="n">
        <x:v>1.3838195975991028</x:v>
      </x:c>
      <x:c r="AK132" s="13" t="n">
        <x:v>-0.15444269150720835</x:v>
      </x:c>
      <x:c r="AL132" s="13" t="n">
        <x:v>0.05427651757520976</x:v>
      </x:c>
      <x:c r="AM132" s="13" t="n">
        <x:v>0.2689969768490889</x:v>
      </x:c>
      <x:c r="AN132" s="13" t="n">
        <x:v>-1.156241611642123</x:v>
      </x:c>
      <x:c r="AO132" s="13" t="n">
        <x:v>-0.8443020398669908</x:v>
      </x:c>
      <x:c r="AP132" s="13" t="n">
        <x:v>-0.18844038246399017</x:v>
      </x:c>
    </x:row>
    <x:row r="133" ht="15" hidden="0" customHeight="1">
      <x:c r="A133" s="2" t="str">
        <x:v>E132</x:v>
      </x:c>
      <x:c r="B133" s="2" t="str">
        <x:v>个体经营E132 </x:v>
      </x:c>
      <x:c r="C133" s="2" t="str">
        <x:v>无信贷记录</x:v>
      </x:c>
      <x:c r="D133" s="2" t="str"/>
      <x:c r="E133" s="2" t="str"/>
      <x:c r="F133" s="13" t="n">
        <x:v>1.7789136603691054</x:v>
      </x:c>
      <x:c r="G133" s="13" t="n">
        <x:v>1.8099647668329193</x:v>
      </x:c>
      <x:c r="H133" s="13" t="n">
        <x:v>0.6400748423746687</x:v>
      </x:c>
      <x:c r="I133" s="13" t="n">
        <x:v>-0.031460128917479166</x:v>
      </x:c>
      <x:c r="J133" s="13" t="n">
        <x:v>0.8301826042117488</x:v>
      </x:c>
      <x:c r="K133" s="13" t="n">
        <x:v>0.8256770311110848</x:v>
      </x:c>
      <x:c r="L133" s="13" t="n">
        <x:v>1.3600229322418178</x:v>
      </x:c>
      <x:c r="M133" s="13" t="n">
        <x:v>-0.3397783330598698</x:v>
      </x:c>
      <x:c r="N133" s="13" t="n">
        <x:v>-0.5077602254154661</x:v>
      </x:c>
      <x:c r="O133" s="13" t="n">
        <x:v>-0.7412792832529974</x:v>
      </x:c>
      <x:c r="P133" s="13" t="n">
        <x:v>-0.6380021894502008</x:v>
      </x:c>
      <x:c r="Q133" s="13" t="n">
        <x:v>1.0586998586775078</x:v>
      </x:c>
      <x:c r="R133" s="13" t="n">
        <x:v>-0.8448806378601825</x:v>
      </x:c>
      <x:c r="S133" s="13" t="n">
        <x:v>0.034928522324926305</x:v>
      </x:c>
      <x:c r="T133" s="13" t="n">
        <x:v>0.2590597127376754</x:v>
      </x:c>
      <x:c r="U133" s="13" t="n">
        <x:v>0.3877741076398149</x:v>
      </x:c>
      <x:c r="V133" s="13" t="n">
        <x:v>0.3838483180654445</x:v>
      </x:c>
      <x:c r="W133" s="13" t="n">
        <x:v>0.4063300830257657</x:v>
      </x:c>
      <x:c r="X133" s="13" t="n">
        <x:v>-0.22559145534516142</x:v>
      </x:c>
      <x:c r="Y133" s="13" t="n">
        <x:v>1.5009422519970943</x:v>
      </x:c>
      <x:c r="Z133" s="13" t="n">
        <x:v>1.1531321194768585</x:v>
      </x:c>
      <x:c r="AA133" s="13" t="n">
        <x:v>-0.16664484005085015</x:v>
      </x:c>
      <x:c r="AB133" s="13" t="n">
        <x:v>-0.381373471422229</x:v>
      </x:c>
      <x:c r="AC133" s="13" t="n">
        <x:v>-0.5366964058113549</x:v>
      </x:c>
      <x:c r="AD133" s="13" t="n">
        <x:v>-0.9026640288315383</x:v>
      </x:c>
      <x:c r="AE133" s="13" t="n">
        <x:v>-1.16228782323202</x:v>
      </x:c>
      <x:c r="AF133" s="13" t="n">
        <x:v>1.6174521608169632</x:v>
      </x:c>
      <x:c r="AG133" s="13" t="n">
        <x:v>-0.7565593427254252</x:v>
      </x:c>
      <x:c r="AH133" s="13" t="n">
        <x:v>-0.037543621809864515</x:v>
      </x:c>
      <x:c r="AI133" s="13" t="n">
        <x:v>0.6563403155727601</x:v>
      </x:c>
      <x:c r="AJ133" s="13" t="n">
        <x:v>1.9095411508908633</x:v>
      </x:c>
      <x:c r="AK133" s="13" t="n">
        <x:v>-0.2302212356524928</x:v>
      </x:c>
      <x:c r="AL133" s="13" t="n">
        <x:v>-0.6327105345676665</x:v>
      </x:c>
      <x:c r="AM133" s="13" t="n">
        <x:v>-0.6238756693112338</x:v>
      </x:c>
      <x:c r="AN133" s="13" t="n">
        <x:v>-1.0899663265386716</x:v>
      </x:c>
      <x:c r="AO133" s="13" t="n">
        <x:v>-0.9299606209281515</x:v>
      </x:c>
      <x:c r="AP133" s="13" t="n">
        <x:v>-0.0014493493478815115</x:v>
      </x:c>
    </x:row>
    <x:row r="134" ht="15" hidden="0" customHeight="1">
      <x:c r="A134" s="2" t="str">
        <x:v>E133</x:v>
      </x:c>
      <x:c r="B134" s="2" t="str">
        <x:v>个体经营E133 </x:v>
      </x:c>
      <x:c r="C134" s="2" t="str">
        <x:v>无信贷记录</x:v>
      </x:c>
      <x:c r="D134" s="2" t="str"/>
      <x:c r="E134" s="2" t="str"/>
      <x:c r="F134" s="13" t="n">
        <x:v>0.14992079112355405</x:v>
      </x:c>
      <x:c r="G134" s="13" t="n">
        <x:v>0.1552188712402608</x:v>
      </x:c>
      <x:c r="H134" s="13" t="n">
        <x:v>-0.029692388537546143</x:v>
      </x:c>
      <x:c r="I134" s="13" t="n">
        <x:v>-0.37451477394451427</x:v>
      </x:c>
      <x:c r="J134" s="13" t="n">
        <x:v>0.24125150030432455</x:v>
      </x:c>
      <x:c r="K134" s="13" t="n">
        <x:v>0.2244999979754157</x:v>
      </x:c>
      <x:c r="L134" s="13" t="n">
        <x:v>0.1460887387494473</x:v>
      </x:c>
      <x:c r="M134" s="13" t="n">
        <x:v>-0.07729717018513696</x:v>
      </x:c>
      <x:c r="N134" s="13" t="n">
        <x:v>-0.5865347430571348</x:v>
      </x:c>
      <x:c r="O134" s="13" t="n">
        <x:v>-0.7471974954401979</x:v>
      </x:c>
      <x:c r="P134" s="13" t="n">
        <x:v>-0.8043057599141055</x:v>
      </x:c>
      <x:c r="Q134" s="13" t="n">
        <x:v>0.30930103819606425</x:v>
      </x:c>
      <x:c r="R134" s="13" t="n">
        <x:v>-0.19355986583043058</x:v>
      </x:c>
      <x:c r="S134" s="13" t="n">
        <x:v>0.26043893200002316</x:v>
      </x:c>
      <x:c r="T134" s="13" t="n">
        <x:v>0.35324309846351976</x:v>
      </x:c>
      <x:c r="U134" s="13" t="n">
        <x:v>-0.47010632755953635</x:v>
      </x:c>
      <x:c r="V134" s="13" t="n">
        <x:v>-0.4683622034658592</x:v>
      </x:c>
      <x:c r="W134" s="13" t="n">
        <x:v>-0.4103956405401595</x:v>
      </x:c>
      <x:c r="X134" s="13" t="n">
        <x:v>-0.32901349594933565</x:v>
      </x:c>
      <x:c r="Y134" s="13" t="n">
        <x:v>0.5347084538606847</x:v>
      </x:c>
      <x:c r="Z134" s="13" t="n">
        <x:v>0.40027172777444464</x:v>
      </x:c>
      <x:c r="AA134" s="13" t="n">
        <x:v>-0.3781342901376143</x:v>
      </x:c>
      <x:c r="AB134" s="13" t="n">
        <x:v>0.4372121313069041</x:v>
      </x:c>
      <x:c r="AC134" s="13" t="n">
        <x:v>0.019017040651361478</x:v>
      </x:c>
      <x:c r="AD134" s="13" t="n">
        <x:v>0.9292882781915993</x:v>
      </x:c>
      <x:c r="AE134" s="13" t="n">
        <x:v>1.0892203180400744</x:v>
      </x:c>
      <x:c r="AF134" s="13" t="n">
        <x:v>0.5229866085540086</x:v>
      </x:c>
      <x:c r="AG134" s="13" t="n">
        <x:v>1.0357605488576038</x:v>
      </x:c>
      <x:c r="AH134" s="13" t="n">
        <x:v>0.10337338521342798</x:v>
      </x:c>
      <x:c r="AI134" s="13" t="n">
        <x:v>-0.7524709678536187</x:v>
      </x:c>
      <x:c r="AJ134" s="13" t="n">
        <x:v>0.765031014009262</x:v>
      </x:c>
      <x:c r="AK134" s="13" t="n">
        <x:v>-0.22362811005323716</x:v>
      </x:c>
      <x:c r="AL134" s="13" t="n">
        <x:v>-0.5261137644461497</x:v>
      </x:c>
      <x:c r="AM134" s="13" t="n">
        <x:v>-0.6125742870875249</x:v>
      </x:c>
      <x:c r="AN134" s="13" t="n">
        <x:v>0.037095022927846964</x:v>
      </x:c>
      <x:c r="AO134" s="13" t="n">
        <x:v>0.3555709409354253</x:v>
      </x:c>
      <x:c r="AP134" s="13" t="n">
        <x:v>0.20766731767451402</x:v>
      </x:c>
    </x:row>
    <x:row r="135" ht="15" hidden="0" customHeight="1">
      <x:c r="A135" s="2" t="str">
        <x:v>E134</x:v>
      </x:c>
      <x:c r="B135" s="2" t="str">
        <x:v>***工程咨询有限公司</x:v>
      </x:c>
      <x:c r="C135" s="2" t="str">
        <x:v>无信贷记录</x:v>
      </x:c>
      <x:c r="D135" s="2" t="str"/>
      <x:c r="E135" s="2" t="str"/>
      <x:c r="F135" s="13" t="n">
        <x:v>0.17309940337804397</x:v>
      </x:c>
      <x:c r="G135" s="13" t="n">
        <x:v>0.18638620917521379</x:v>
      </x:c>
      <x:c r="H135" s="13" t="n">
        <x:v>-0.18916077684997823</x:v>
      </x:c>
      <x:c r="I135" s="13" t="n">
        <x:v>-0.16010562080261734</x:v>
      </x:c>
      <x:c r="J135" s="13" t="n">
        <x:v>-0.4843907286649882</x:v>
      </x:c>
      <x:c r="K135" s="13" t="n">
        <x:v>-0.4881745795587149</x:v>
      </x:c>
      <x:c r="L135" s="13" t="n">
        <x:v>1.0588212150595002</x:v>
      </x:c>
      <x:c r="M135" s="13" t="n">
        <x:v>-0.44879821650663787</x:v>
      </x:c>
      <x:c r="N135" s="13" t="n">
        <x:v>-0.2673021387692683</x:v>
      </x:c>
      <x:c r="O135" s="13" t="n">
        <x:v>-0.5594202855361791</x:v>
      </x:c>
      <x:c r="P135" s="13" t="n">
        <x:v>-0.25091487970682885</x:v>
      </x:c>
      <x:c r="Q135" s="13" t="n">
        <x:v>-0.5014778465282707</x:v>
      </x:c>
      <x:c r="R135" s="13" t="n">
        <x:v>0.7855569999425015</x:v>
      </x:c>
      <x:c r="S135" s="13" t="n">
        <x:v>1.043772006392035</x:v>
      </x:c>
      <x:c r="T135" s="13" t="n">
        <x:v>0.7299766413668972</x:v>
      </x:c>
      <x:c r="U135" s="13" t="n">
        <x:v>1.0580590668373424</x:v>
      </x:c>
      <x:c r="V135" s="13" t="n">
        <x:v>1.0436242057025829</x:v>
      </x:c>
      <x:c r="W135" s="13" t="n">
        <x:v>1.125648151487498</x:v>
      </x:c>
      <x:c r="X135" s="13" t="n">
        <x:v>0.8086289506965807</x:v>
      </x:c>
      <x:c r="Y135" s="13" t="n">
        <x:v>0.6566451634645968</x:v>
      </x:c>
      <x:c r="Z135" s="13" t="n">
        <x:v>0.5046659722391641</x:v>
      </x:c>
      <x:c r="AA135" s="13" t="n">
        <x:v>3.7412102209968032</x:v>
      </x:c>
      <x:c r="AB135" s="13" t="n">
        <x:v>-0.38765460460247825</x:v>
      </x:c>
      <x:c r="AC135" s="13" t="n">
        <x:v>-0.013443467850090433</x:v>
      </x:c>
      <x:c r="AD135" s="13" t="n">
        <x:v>-0.982409449983003</x:v>
      </x:c>
      <x:c r="AE135" s="13" t="n">
        <x:v>-1.1650065460271533</x:v>
      </x:c>
      <x:c r="AF135" s="13" t="n">
        <x:v>0.6128288166282644</x:v>
      </x:c>
      <x:c r="AG135" s="13" t="n">
        <x:v>-0.57735748562779</x:v>
      </x:c>
      <x:c r="AH135" s="13" t="n">
        <x:v>0.7251753107008492</x:v>
      </x:c>
      <x:c r="AI135" s="13" t="n">
        <x:v>0.9582284477355555</x:v>
      </x:c>
      <x:c r="AJ135" s="13" t="n">
        <x:v>1.5257481273264957</x:v>
      </x:c>
      <x:c r="AK135" s="13" t="n">
        <x:v>-0.3317422146369346</x:v>
      </x:c>
      <x:c r="AL135" s="13" t="n">
        <x:v>-0.2872547561063997</x:v>
      </x:c>
      <x:c r="AM135" s="13" t="n">
        <x:v>0.06770081898703637</x:v>
      </x:c>
      <x:c r="AN135" s="13" t="n">
        <x:v>-1.008175739171035</x:v>
      </x:c>
      <x:c r="AO135" s="13" t="n">
        <x:v>0.2599289170237849</x:v>
      </x:c>
      <x:c r="AP135" s="13" t="n">
        <x:v>1.000689856929461</x:v>
      </x:c>
    </x:row>
    <x:row r="136" ht="15" hidden="0" customHeight="1">
      <x:c r="A136" s="2" t="str">
        <x:v>E135</x:v>
      </x:c>
      <x:c r="B136" s="2" t="str">
        <x:v>***建设工程有限公司</x:v>
      </x:c>
      <x:c r="C136" s="2" t="str">
        <x:v>无信贷记录</x:v>
      </x:c>
      <x:c r="D136" s="2" t="str"/>
      <x:c r="E136" s="2" t="str"/>
      <x:c r="F136" s="13" t="n">
        <x:v>0.7275318085054427</x:v>
      </x:c>
      <x:c r="G136" s="13" t="n">
        <x:v>0.7536317595913584</x:v>
      </x:c>
      <x:c r="H136" s="13" t="n">
        <x:v>-0.05095484031253709</x:v>
      </x:c>
      <x:c r="I136" s="13" t="n">
        <x:v>-0.2458692820593761</x:v>
      </x:c>
      <x:c r="J136" s="13" t="n">
        <x:v>-0.04366847844091617</x:v>
      </x:c>
      <x:c r="K136" s="13" t="n">
        <x:v>-0.043295243020310674</x:v>
      </x:c>
      <x:c r="L136" s="13" t="n">
        <x:v>0.398611390528562</x:v>
      </x:c>
      <x:c r="M136" s="13" t="n">
        <x:v>-0.5666654553287558</x:v>
      </x:c>
      <x:c r="N136" s="13" t="n">
        <x:v>-0.5319475217827779</x:v>
      </x:c>
      <x:c r="O136" s="13" t="n">
        <x:v>-0.8195580329169516</x:v>
      </x:c>
      <x:c r="P136" s="13" t="n">
        <x:v>-1.0011800619306834</x:v>
      </x:c>
      <x:c r="Q136" s="13" t="n">
        <x:v>0.013115897932659713</x:v>
      </x:c>
      <x:c r="R136" s="13" t="n">
        <x:v>-0.18451607120068808</x:v>
      </x:c>
      <x:c r="S136" s="13" t="n">
        <x:v>1.505374372864609</x:v>
      </x:c>
      <x:c r="T136" s="13" t="n">
        <x:v>0.2590597127376754</x:v>
      </x:c>
      <x:c r="U136" s="13" t="n">
        <x:v>-0.34205660658076337</x:v>
      </x:c>
      <x:c r="V136" s="13" t="n">
        <x:v>-0.3410075040665136</x:v>
      </x:c>
      <x:c r="W136" s="13" t="n">
        <x:v>-0.29050929579653745</x:v>
      </x:c>
      <x:c r="X136" s="13" t="n">
        <x:v>-0.10148500662015238</x:v>
      </x:c>
      <x:c r="Y136" s="13" t="n">
        <x:v>0.7785051451699972</x:v>
      </x:c>
      <x:c r="Z136" s="13" t="n">
        <x:v>0.6742439002767796</x:v>
      </x:c>
      <x:c r="AA136" s="13" t="n">
        <x:v>-0.21599237840442845</x:v>
      </x:c>
      <x:c r="AB136" s="13" t="n">
        <x:v>-0.10010910020004274</x:v>
      </x:c>
      <x:c r="AC136" s="13" t="n">
        <x:v>0.5784843978528785</x:v>
      </x:c>
      <x:c r="AD136" s="13" t="n">
        <x:v>-0.6049722171800034</x:v>
      </x:c>
      <x:c r="AE136" s="13" t="n">
        <x:v>-0.5136224581299981</x:v>
      </x:c>
      <x:c r="AF136" s="13" t="n">
        <x:v>0.7322016954395292</x:v>
      </x:c>
      <x:c r="AG136" s="13" t="n">
        <x:v>-0.4570568309120159</x:v>
      </x:c>
      <x:c r="AH136" s="13" t="n">
        <x:v>0.23501413906416332</x:v>
      </x:c>
      <x:c r="AI136" s="13" t="n">
        <x:v>0.7569696929603585</x:v>
      </x:c>
      <x:c r="AJ136" s="13" t="n">
        <x:v>1.3877857981867245</x:v>
      </x:c>
      <x:c r="AK136" s="13" t="n">
        <x:v>-0.2825947411690984</x:v>
      </x:c>
      <x:c r="AL136" s="13" t="n">
        <x:v>-0.7766693487459777</x:v>
      </x:c>
      <x:c r="AM136" s="13" t="n">
        <x:v>-0.4340811005779575</x:v>
      </x:c>
      <x:c r="AN136" s="13" t="n">
        <x:v>-0.9625295068493251</x:v>
      </x:c>
      <x:c r="AO136" s="13" t="n">
        <x:v>-0.3411831059403217</x:v>
      </x:c>
      <x:c r="AP136" s="13" t="n">
        <x:v>1.036615970577247</x:v>
      </x:c>
    </x:row>
    <x:row r="137" ht="15" hidden="0" customHeight="1">
      <x:c r="A137" s="2" t="str">
        <x:v>E136</x:v>
      </x:c>
      <x:c r="B137" s="2" t="str">
        <x:v>***机械有限责任公司</x:v>
      </x:c>
      <x:c r="C137" s="2" t="str">
        <x:v>无信贷记录</x:v>
      </x:c>
      <x:c r="D137" s="2" t="str"/>
      <x:c r="E137" s="2" t="str"/>
      <x:c r="F137" s="13" t="n">
        <x:v>-0.015574500373503924</x:v>
      </x:c>
      <x:c r="G137" s="13" t="n">
        <x:v>0.005136151645794791</x:v>
      </x:c>
      <x:c r="H137" s="13" t="n">
        <x:v>-0.497466327587347</x:v>
      </x:c>
      <x:c r="I137" s="13" t="n">
        <x:v>-0.4173966045728936</x:v>
      </x:c>
      <x:c r="J137" s="13" t="n">
        <x:v>2.0661621561783803</x:v>
      </x:c>
      <x:c r="K137" s="13" t="n">
        <x:v>2.017233560596762</x:v>
      </x:c>
      <x:c r="L137" s="13" t="n">
        <x:v>-0.6662431651665</x:v>
      </x:c>
      <x:c r="M137" s="13" t="n">
        <x:v>-1.0914761649223057</x:v>
      </x:c>
      <x:c r="N137" s="13" t="n">
        <x:v>-0.6376362500278533</x:v>
      </x:c>
      <x:c r="O137" s="13" t="n">
        <x:v>2.647185593580244</x:v>
      </x:c>
      <x:c r="P137" s="13" t="n">
        <x:v>2.247067986074058</x:v>
      </x:c>
      <x:c r="Q137" s="13" t="n">
        <x:v>2.6134547309423213</x:v>
      </x:c>
      <x:c r="R137" s="13" t="n">
        <x:v>-0.49956214523140346</x:v>
      </x:c>
      <x:c r="S137" s="13" t="n">
        <x:v>0.2575286040231407</x:v>
      </x:c>
      <x:c r="T137" s="13" t="n">
        <x:v>-0.023490444439857705</x:v>
      </x:c>
      <x:c r="U137" s="13" t="n">
        <x:v>0.1543336698060848</x:v>
      </x:c>
      <x:c r="V137" s="13" t="n">
        <x:v>0.1734605987933978</x:v>
      </x:c>
      <x:c r="W137" s="13" t="n">
        <x:v>-0.10318688213462801</x:v>
      </x:c>
      <x:c r="X137" s="13" t="n">
        <x:v>-0.3083290878285008</x:v>
      </x:c>
      <x:c r="Y137" s="13" t="n">
        <x:v>0.6973611794121091</x:v>
      </x:c>
      <x:c r="Z137" s="13" t="n">
        <x:v>0.4969525794832703</x:v>
      </x:c>
      <x:c r="AA137" s="13" t="n">
        <x:v>-0.3898837040313234</x:v>
      </x:c>
      <x:c r="AB137" s="13" t="n">
        <x:v>-0.5870020440774825</x:v>
      </x:c>
      <x:c r="AC137" s="13" t="n">
        <x:v>-0.5938163997995846</x:v>
      </x:c>
      <x:c r="AD137" s="13" t="n">
        <x:v>1.721677300930579</x:v>
      </x:c>
      <x:c r="AE137" s="13" t="n">
        <x:v>1.7546938277965378</x:v>
      </x:c>
      <x:c r="AF137" s="13" t="n">
        <x:v>0.9385805474395057</x:v>
      </x:c>
      <x:c r="AG137" s="13" t="n">
        <x:v>-0.25301895761659154</x:v>
      </x:c>
      <x:c r="AH137" s="13" t="n">
        <x:v>0.47699387365698304</x:v>
      </x:c>
      <x:c r="AI137" s="13" t="n">
        <x:v>0.05256405124716919</x:v>
      </x:c>
      <x:c r="AJ137" s="13" t="n">
        <x:v>-0.371818735024889</x:v>
      </x:c>
      <x:c r="AK137" s="13" t="n">
        <x:v>0.006498446692743821</x:v>
      </x:c>
      <x:c r="AL137" s="13" t="n">
        <x:v>-0.7701558211215119</x:v>
      </x:c>
      <x:c r="AM137" s="13" t="n">
        <x:v>-0.667225271164745</x:v>
      </x:c>
      <x:c r="AN137" s="13" t="n">
        <x:v>2.972240938723261</x:v>
      </x:c>
      <x:c r="AO137" s="13" t="n">
        <x:v>-0.458728827442775</x:v>
      </x:c>
      <x:c r="AP137" s="13" t="n">
        <x:v>0.39404588386572265</x:v>
      </x:c>
    </x:row>
    <x:row r="138" ht="15" hidden="0" customHeight="1">
      <x:c r="A138" s="2" t="str">
        <x:v>E137</x:v>
      </x:c>
      <x:c r="B138" s="2" t="str">
        <x:v>***建设工程有限公司</x:v>
      </x:c>
      <x:c r="C138" s="2" t="str">
        <x:v>无信贷记录</x:v>
      </x:c>
      <x:c r="D138" s="2" t="str"/>
      <x:c r="E138" s="2" t="str"/>
      <x:c r="F138" s="13" t="n">
        <x:v>0.908324984090464</x:v>
      </x:c>
      <x:c r="G138" s="13" t="n">
        <x:v>0.8946040265586843</x:v>
      </x:c>
      <x:c r="H138" s="13" t="n">
        <x:v>0.9696428448870285</x:v>
      </x:c>
      <x:c r="I138" s="13" t="n">
        <x:v>1.1263492980487642</x:v>
      </x:c>
      <x:c r="J138" s="13" t="n">
        <x:v>1.5910605246525842</x:v>
      </x:c>
      <x:c r="K138" s="13" t="n">
        <x:v>1.6743896109335032</x:v>
      </x:c>
      <x:c r="L138" s="13" t="n">
        <x:v>1.3508956074787173</x:v>
      </x:c>
      <x:c r="M138" s="13" t="n">
        <x:v>0.48743213758513443</x:v>
      </x:c>
      <x:c r="N138" s="13" t="n">
        <x:v>0.5505519016974567</x:v>
      </x:c>
      <x:c r="O138" s="13" t="n">
        <x:v>-0.8632151485344157</x:v>
      </x:c>
      <x:c r="P138" s="13" t="n">
        <x:v>-1.1504895804830202</x:v>
      </x:c>
      <x:c r="Q138" s="13" t="n">
        <x:v>1.5407020761736827</x:v>
      </x:c>
      <x:c r="R138" s="13" t="n">
        <x:v>-0.5982803656250943</x:v>
      </x:c>
      <x:c r="S138" s="13" t="n">
        <x:v>0.04207083730650866</x:v>
      </x:c>
      <x:c r="T138" s="13" t="n">
        <x:v>0.8241600270927416</x:v>
      </x:c>
      <x:c r="U138" s="13" t="n">
        <x:v>-0.42584222648045433</x:v>
      </x:c>
      <x:c r="V138" s="13" t="n">
        <x:v>-0.4173081169225092</x:v>
      </x:c>
      <x:c r="W138" s="13" t="n">
        <x:v>-0.46284591636549416</x:v>
      </x:c>
      <x:c r="X138" s="13" t="n">
        <x:v>-0.2669602715868311</x:v>
      </x:c>
      <x:c r="Y138" s="13" t="n">
        <x:v>0.8736975612336664</x:v>
      </x:c>
      <x:c r="Z138" s="13" t="n">
        <x:v>0.6844574896712076</x:v>
      </x:c>
      <x:c r="AA138" s="13" t="n">
        <x:v>-0.33818628289900327</x:v>
      </x:c>
      <x:c r="AB138" s="13" t="n">
        <x:v>-0.2720520794409456</x:v>
      </x:c>
      <x:c r="AC138" s="13" t="n">
        <x:v>0.1711253738771735</x:v>
      </x:c>
      <x:c r="AD138" s="13" t="n">
        <x:v>-0.4173485974747224</x:v>
      </x:c>
      <x:c r="AE138" s="13" t="n">
        <x:v>-0.3518760698954945</x:v>
      </x:c>
      <x:c r="AF138" s="13" t="n">
        <x:v>0.8254512806396246</x:v>
      </x:c>
      <x:c r="AG138" s="13" t="n">
        <x:v>0.1552971323117263</x:v>
      </x:c>
      <x:c r="AH138" s="13" t="n">
        <x:v>0.21981810101406501</x:v>
      </x:c>
      <x:c r="AI138" s="13" t="n">
        <x:v>0.2538228060223661</x:v>
      </x:c>
      <x:c r="AJ138" s="13" t="n">
        <x:v>0.2858657444019456</x:v>
      </x:c>
      <x:c r="AK138" s="13" t="n">
        <x:v>-0.08867351795581101</x:v>
      </x:c>
      <x:c r="AL138" s="13" t="n">
        <x:v>-0.45356715451613894</x:v>
      </x:c>
      <x:c r="AM138" s="13" t="n">
        <x:v>-0.031972225147765265</x:v>
      </x:c>
      <x:c r="AN138" s="13" t="n">
        <x:v>-0.8781190788132701</x:v>
      </x:c>
      <x:c r="AO138" s="13" t="n">
        <x:v>-0.3334106661224168</x:v>
      </x:c>
      <x:c r="AP138" s="13" t="n">
        <x:v>0.13253767114161916</x:v>
      </x:c>
    </x:row>
    <x:row r="139" ht="15" hidden="0" customHeight="1">
      <x:c r="A139" s="2" t="str">
        <x:v>E138</x:v>
      </x:c>
      <x:c r="B139" s="2" t="str">
        <x:v>个体经营E138 </x:v>
      </x:c>
      <x:c r="C139" s="2" t="str">
        <x:v>无信贷记录</x:v>
      </x:c>
      <x:c r="D139" s="2" t="str"/>
      <x:c r="E139" s="2" t="str"/>
      <x:c r="F139" s="13" t="n">
        <x:v>-0.371597984602469</x:v>
      </x:c>
      <x:c r="G139" s="13" t="n">
        <x:v>-0.3659949185334917</x:v>
      </x:c>
      <x:c r="H139" s="13" t="n">
        <x:v>-0.4336789722623741</x:v>
      </x:c>
      <x:c r="I139" s="13" t="n">
        <x:v>0.6117673305082116</x:v>
      </x:c>
      <x:c r="J139" s="13" t="n">
        <x:v>-0.09367472518180436</x:v>
      </x:c>
      <x:c r="K139" s="13" t="n">
        <x:v>-0.1041855464259499</x:v>
      </x:c>
      <x:c r="L139" s="13" t="n">
        <x:v>-0.5506303848338933</x:v>
      </x:c>
      <x:c r="M139" s="13" t="n">
        <x:v>-0.5603306330083206</x:v>
      </x:c>
      <x:c r="N139" s="13" t="n">
        <x:v>4.5203208139493745</x:v>
      </x:c>
      <x:c r="O139" s="13" t="n">
        <x:v>-0.37225024615352315</x:v>
      </x:c>
      <x:c r="P139" s="13" t="n">
        <x:v>-0.4865648865737382</x:v>
      </x:c>
      <x:c r="Q139" s="13" t="n">
        <x:v>-0.1040034225084972</x:v>
      </x:c>
      <x:c r="R139" s="13" t="n">
        <x:v>-0.1708035560900246</x:v>
      </x:c>
      <x:c r="S139" s="13" t="n">
        <x:v>0.15071110254757578</x:v>
      </x:c>
      <x:c r="T139" s="13" t="n">
        <x:v>0.7299766413668972</x:v>
      </x:c>
      <x:c r="U139" s="13" t="n">
        <x:v>0.22652631085173044</x:v>
      </x:c>
      <x:c r="V139" s="13" t="n">
        <x:v>0.2604208560925104</x:v>
      </x:c>
      <x:c r="W139" s="13" t="n">
        <x:v>-0.2380590199712028</x:v>
      </x:c>
      <x:c r="X139" s="13" t="n">
        <x:v>-0.14285382286182208</x:v>
      </x:c>
      <x:c r="Y139" s="13" t="n">
        <x:v>0.6004797749972494</x:v>
      </x:c>
      <x:c r="Z139" s="13" t="n">
        <x:v>0.427870485340736</x:v>
      </x:c>
      <x:c r="AA139" s="13" t="n">
        <x:v>-0.11494741891853001</x:v>
      </x:c>
      <x:c r="AB139" s="13" t="n">
        <x:v>-0.726311145702528</x:v>
      </x:c>
      <x:c r="AC139" s="13" t="n">
        <x:v>-0.4190060330983782</x:v>
      </x:c>
      <x:c r="AD139" s="13" t="n">
        <x:v>-0.8342577890213823</x:v>
      </x:c>
      <x:c r="AE139" s="13" t="n">
        <x:v>-1.0386434747964903</x:v>
      </x:c>
      <x:c r="AF139" s="13" t="n">
        <x:v>0.5892052623967091</x:v>
      </x:c>
      <x:c r="AG139" s="13" t="n">
        <x:v>-0.8558650962434022</x:v>
      </x:c>
      <x:c r="AH139" s="13" t="n">
        <x:v>0.369784954284185</x:v>
      </x:c>
      <x:c r="AI139" s="13" t="n">
        <x:v>0.857599070347957</x:v>
      </x:c>
      <x:c r="AJ139" s="13" t="n">
        <x:v>1.131844126116661</x:v>
      </x:c>
      <x:c r="AK139" s="13" t="n">
        <x:v>-0.2750081577838582</x:v>
      </x:c>
      <x:c r="AL139" s="13" t="n">
        <x:v>-0.7239613720638406</x:v>
      </x:c>
      <x:c r="AM139" s="13" t="n">
        <x:v>0.3332272058473498</x:v>
      </x:c>
      <x:c r="AN139" s="13" t="n">
        <x:v>-0.7818200259601461</x:v>
      </x:c>
      <x:c r="AO139" s="13" t="n">
        <x:v>-0.5196624062031504</x:v>
      </x:c>
      <x:c r="AP139" s="13" t="n">
        <x:v>0.27461689411246387</x:v>
      </x:c>
    </x:row>
    <x:row r="140" ht="15" hidden="0" customHeight="1">
      <x:c r="A140" s="2" t="str">
        <x:v>E139</x:v>
      </x:c>
      <x:c r="B140" s="2" t="str">
        <x:v>个体经营E139 </x:v>
      </x:c>
      <x:c r="C140" s="2" t="str">
        <x:v>无信贷记录</x:v>
      </x:c>
      <x:c r="D140" s="2" t="str"/>
      <x:c r="E140" s="2" t="str"/>
      <x:c r="F140" s="13" t="n">
        <x:v>-0.3938494523667793</x:v>
      </x:c>
      <x:c r="G140" s="13" t="n">
        <x:v>-0.3923672814015289</x:v>
      </x:c>
      <x:c r="H140" s="13" t="n">
        <x:v>-0.3592603910499058</x:v>
      </x:c>
      <x:c r="I140" s="13" t="n">
        <x:v>-0.37451477394451427</x:v>
      </x:c>
      <x:c r="J140" s="13" t="n">
        <x:v>-0.5442802927645191</x:v>
      </x:c>
      <x:c r="K140" s="13" t="n">
        <x:v>-0.5469180382974296</x:v>
      </x:c>
      <x:c r="L140" s="13" t="n">
        <x:v>-0.48065422831678917</x:v>
      </x:c>
      <x:c r="M140" s="13" t="n">
        <x:v>0.06924342236169538</x:v>
      </x:c>
      <x:c r="N140" s="13" t="n">
        <x:v>-0.24898192706796232</x:v>
      </x:c>
      <x:c r="O140" s="13" t="n">
        <x:v>-0.7193721118891224</x:v>
      </x:c>
      <x:c r="P140" s="13" t="n">
        <x:v>-0.9647590365439279</x:v>
      </x:c>
      <x:c r="Q140" s="13" t="n">
        <x:v>-0.5597015473681565</x:v>
      </x:c>
      <x:c r="R140" s="13" t="n">
        <x:v>-0.29473302645184213</x:v>
      </x:c>
      <x:c r="S140" s="13" t="n">
        <x:v>0.11625995315714985</x:v>
      </x:c>
      <x:c r="T140" s="13" t="n">
        <x:v>0.7299766413668972</x:v>
      </x:c>
      <x:c r="U140" s="13" t="n">
        <x:v>5.476902121275351</x:v>
      </x:c>
      <x:c r="V140" s="13" t="n">
        <x:v>5.468925103209986</x:v>
      </x:c>
      <x:c r="W140" s="13" t="n">
        <x:v>3.957963046055569</x:v>
      </x:c>
      <x:c r="X140" s="13" t="n">
        <x:v>0.2708343395548748</x:v>
      </x:c>
      <x:c r="Y140" s="13" t="n">
        <x:v>1.278645574566319</x:v>
      </x:c>
      <x:c r="Z140" s="13" t="n">
        <x:v>0.9533210117761535</x:v>
      </x:c>
      <x:c r="AA140" s="13" t="n">
        <x:v>-0.0021530455389224606</x:v>
      </x:c>
      <x:c r="AB140" s="13" t="n">
        <x:v>-0.6248930435436738</x:v>
      </x:c>
      <x:c r="AC140" s="13" t="n">
        <x:v>-0.6103558162611263</x:v>
      </x:c>
      <x:c r="AD140" s="13" t="n">
        <x:v>-0.562259991263593</x:v>
      </x:c>
      <x:c r="AE140" s="13" t="n">
        <x:v>-0.2946664005299132</x:v>
      </x:c>
      <x:c r="AF140" s="13" t="n">
        <x:v>1.2719834939055348</x:v>
      </x:c>
      <x:c r="AG140" s="13" t="n">
        <x:v>-1.1454362821531396</x:v>
      </x:c>
      <x:c r="AH140" s="13" t="n">
        <x:v>-0.5671515197270361</x:v>
      </x:c>
      <x:c r="AI140" s="13" t="n">
        <x:v>0.857599070347957</x:v>
      </x:c>
      <x:c r="AJ140" s="13" t="n">
        <x:v>2.600716529106471</x:v>
      </x:c>
      <x:c r="AK140" s="13" t="n">
        <x:v>-0.34068307716868174</x:v>
      </x:c>
      <x:c r="AL140" s="13" t="n">
        <x:v>-0.4342359188261283</x:v>
      </x:c>
      <x:c r="AM140" s="13" t="n">
        <x:v>-0.6237940403264057</x:v>
      </x:c>
      <x:c r="AN140" s="13" t="n">
        <x:v>-0.8639640607362665</x:v>
      </x:c>
      <x:c r="AO140" s="13" t="n">
        <x:v>-0.740035652858635</x:v>
      </x:c>
      <x:c r="AP140" s="13" t="n">
        <x:v>-0.2183446828183469</x:v>
      </x:c>
    </x:row>
    <x:row r="141" ht="15" hidden="0" customHeight="1">
      <x:c r="A141" s="2" t="str">
        <x:v>E140</x:v>
      </x:c>
      <x:c r="B141" s="2" t="str">
        <x:v>***建筑工程有限公司</x:v>
      </x:c>
      <x:c r="C141" s="2" t="str">
        <x:v>无信贷记录</x:v>
      </x:c>
      <x:c r="D141" s="2" t="str"/>
      <x:c r="E141" s="2" t="str"/>
      <x:c r="F141" s="13" t="n">
        <x:v>0.3487932842670775</x:v>
      </x:c>
      <x:c r="G141" s="13" t="n">
        <x:v>0.3585258140774927</x:v>
      </x:c>
      <x:c r="H141" s="13" t="n">
        <x:v>0.023463740899931224</x:v>
      </x:c>
      <x:c r="I141" s="13" t="n">
        <x:v>0.26871268548117655</x:v>
      </x:c>
      <x:c r="J141" s="13" t="n">
        <x:v>-0.42246624909136765</x:v>
      </x:c>
      <x:c r="K141" s="13" t="n">
        <x:v>-0.3920073406647582</x:v>
      </x:c>
      <x:c r="L141" s="13" t="n">
        <x:v>1.001014824893197</x:v>
      </x:c>
      <x:c r="M141" s="13" t="n">
        <x:v>-0.20683515258220078</x:v>
      </x:c>
      <x:c r="N141" s="13" t="n">
        <x:v>0.1859199208470343</x:v>
      </x:c>
      <x:c r="O141" s="13" t="n">
        <x:v>-0.5635316543669818</x:v>
      </x:c>
      <x:c r="P141" s="13" t="n">
        <x:v>-0.5898916854717765</x:v>
      </x:c>
      <x:c r="Q141" s="13" t="n">
        <x:v>-0.43651081188476054</x:v>
      </x:c>
      <x:c r="R141" s="13" t="n">
        <x:v>0.06983780269751934</x:v>
      </x:c>
      <x:c r="S141" s="13" t="n">
        <x:v>0.5389716340888931</x:v>
      </x:c>
      <x:c r="T141" s="13" t="n">
        <x:v>0.7299766413668972</x:v>
      </x:c>
      <x:c r="U141" s="13" t="n">
        <x:v>-0.11441265817405594</x:v>
      </x:c>
      <x:c r="V141" s="13" t="n">
        <x:v>-0.1395963274834076</x:v>
      </x:c>
      <x:c r="W141" s="13" t="n">
        <x:v>0.25647215209623814</x:v>
      </x:c>
      <x:c r="X141" s="13" t="n">
        <x:v>0.06399025834652636</x:v>
      </x:c>
      <x:c r="Y141" s="13" t="n">
        <x:v>1.1957916309342567</x:v>
      </x:c>
      <x:c r="Z141" s="13" t="n">
        <x:v>0.9369364838764218</x:v>
      </x:c>
      <x:c r="AA141" s="13" t="n">
        <x:v>-0.35228557957145423</x:v>
      </x:c>
      <x:c r="AB141" s="13" t="n">
        <x:v>0.14298609236103121</x:v>
      </x:c>
      <x:c r="AC141" s="13" t="n">
        <x:v>0.3159904531398515</x:v>
      </x:c>
      <x:c r="AD141" s="13" t="n">
        <x:v>-0.4384808915378415</x:v>
      </x:c>
      <x:c r="AE141" s="13" t="n">
        <x:v>-0.5620670538556952</x:v>
      </x:c>
      <x:c r="AF141" s="13" t="n">
        <x:v>1.1409715672021785</x:v>
      </x:c>
      <x:c r="AG141" s="13" t="n">
        <x:v>-0.5452785513680006</x:v>
      </x:c>
      <x:c r="AH141" s="13" t="n">
        <x:v>-0.35570571811801593</x:v>
      </x:c>
      <x:c r="AI141" s="13" t="n">
        <x:v>0.857599070347957</x:v>
      </x:c>
      <x:c r="AJ141" s="13" t="n">
        <x:v>2.369826563418498</x:v>
      </x:c>
      <x:c r="AK141" s="13" t="n">
        <x:v>-0.3262473254606033</x:v>
      </x:c>
      <x:c r="AL141" s="13" t="n">
        <x:v>-0.2458981962703093</x:v>
      </x:c>
      <x:c r="AM141" s="13" t="n">
        <x:v>0.052377107595023696</x:v>
      </x:c>
      <x:c r="AN141" s="13" t="n">
        <x:v>-0.6752340321059331</x:v>
      </x:c>
      <x:c r="AO141" s="13" t="n">
        <x:v>-0.21025804178278756</x:v>
      </x:c>
      <x:c r="AP141" s="13" t="n">
        <x:v>0.14709769965020433</x:v>
      </x:c>
    </x:row>
    <x:row r="142" ht="15" hidden="0" customHeight="1">
      <x:c r="A142" s="2" t="str">
        <x:v>E141</x:v>
      </x:c>
      <x:c r="B142" s="2" t="str">
        <x:v>***食品有限公司</x:v>
      </x:c>
      <x:c r="C142" s="2" t="str">
        <x:v>无信贷记录</x:v>
      </x:c>
      <x:c r="D142" s="2" t="str"/>
      <x:c r="E142" s="2" t="str"/>
      <x:c r="F142" s="13" t="n">
        <x:v>0.042372030262720864</x:v>
      </x:c>
      <x:c r="G142" s="13" t="n">
        <x:v>0.0391804746208973</x:v>
      </x:c>
      <x:c r="H142" s="13" t="n">
        <x:v>0.0766198703374086</x:v>
      </x:c>
      <x:c r="I142" s="13" t="n">
        <x:v>-0.33163294331613485</x:v>
      </x:c>
      <x:c r="J142" s="13" t="n">
        <x:v>0.2490222464351466</x:v>
      </x:c>
      <x:c r="K142" s="13" t="n">
        <x:v>0.2330999777821167</x:v>
      </x:c>
      <x:c r="L142" s="13" t="n">
        <x:v>-0.07905193874036581</x:v>
      </x:c>
      <x:c r="M142" s="13" t="n">
        <x:v>0.3707748654346524</x:v>
      </x:c>
      <x:c r="N142" s="13" t="n">
        <x:v>-0.48286040809894665</x:v>
      </x:c>
      <x:c r="O142" s="13" t="n">
        <x:v>-0.8016417188759012</x:v>
      </x:c>
      <x:c r="P142" s="13" t="n">
        <x:v>-1.0542567057009744</x:v>
      </x:c>
      <x:c r="Q142" s="13" t="n">
        <x:v>0.2425665681791168</x:v>
      </x:c>
      <x:c r="R142" s="13" t="n">
        <x:v>-0.586293374182258</x:v>
      </x:c>
      <x:c r="S142" s="13" t="n">
        <x:v>0.5758905261925906</x:v>
      </x:c>
      <x:c r="T142" s="13" t="n">
        <x:v>0.7299766413668972</x:v>
      </x:c>
      <x:c r="U142" s="13" t="n">
        <x:v>1.9380715525762346</x:v>
      </x:c>
      <x:c r="V142" s="13" t="n">
        <x:v>1.9541822547120007</x:v>
      </x:c>
      <x:c r="W142" s="13" t="n">
        <x:v>1.4778142891718877</x:v>
      </x:c>
      <x:c r="X142" s="13" t="n">
        <x:v>2.587488049088377</x:v>
      </x:c>
      <x:c r="Y142" s="13" t="n">
        <x:v>0.9508572706000946</x:v>
      </x:c>
      <x:c r="Z142" s="13" t="n">
        <x:v>0.7474496936165551</x:v>
      </x:c>
      <x:c r="AA142" s="13" t="n">
        <x:v>2.3994271543352217</x:v>
      </x:c>
      <x:c r="AB142" s="13" t="n">
        <x:v>-0.5284316472988398</x:v>
      </x:c>
      <x:c r="AC142" s="13" t="n">
        <x:v>0.38286625689099363</x:v>
      </x:c>
      <x:c r="AD142" s="13" t="n">
        <x:v>-0.9476654150685259</x:v>
      </x:c>
      <x:c r="AE142" s="13" t="n">
        <x:v>-1.1536212216008832</x:v>
      </x:c>
      <x:c r="AF142" s="13" t="n">
        <x:v>0.9852342206285917</x:v>
      </x:c>
      <x:c r="AG142" s="13" t="n">
        <x:v>-1.1263324261010554</x:v>
      </x:c>
      <x:c r="AH142" s="13" t="n">
        <x:v>0.09608992704474684</x:v>
      </x:c>
      <x:c r="AI142" s="13" t="n">
        <x:v>0.7569696929603585</x:v>
      </x:c>
      <x:c r="AJ142" s="13" t="n">
        <x:v>1.4473824738925256</x:v>
      </x:c>
      <x:c r="AK142" s="13" t="n">
        <x:v>-0.2565225001334439</x:v>
      </x:c>
      <x:c r="AL142" s="13" t="n">
        <x:v>-0.3025131977257127</x:v>
      </x:c>
      <x:c r="AM142" s="13" t="n">
        <x:v>0.7044378122885128</x:v>
      </x:c>
      <x:c r="AN142" s="13" t="n">
        <x:v>-1.1612508490341729</x:v>
      </x:c>
      <x:c r="AO142" s="13" t="n">
        <x:v>-0.9287322779377835</x:v>
      </x:c>
      <x:c r="AP142" s="13" t="n">
        <x:v>0.3972460970132777</x:v>
      </x:c>
    </x:row>
    <x:row r="143" ht="15" hidden="0" customHeight="1">
      <x:c r="A143" s="2" t="str">
        <x:v>E142</x:v>
      </x:c>
      <x:c r="B143" s="2" t="str">
        <x:v>***运业有限公司</x:v>
      </x:c>
      <x:c r="C143" s="2" t="str">
        <x:v>无信贷记录</x:v>
      </x:c>
      <x:c r="D143" s="2" t="str"/>
      <x:c r="E143" s="2" t="str"/>
      <x:c r="F143" s="13" t="n">
        <x:v>-0.27563852986888077</x:v>
      </x:c>
      <x:c r="G143" s="13" t="n">
        <x:v>-0.27393139724870746</x:v>
      </x:c>
      <x:c r="H143" s="13" t="n">
        <x:v>-0.274210583949942</x:v>
      </x:c>
      <x:c r="I143" s="13" t="n">
        <x:v>0.011421701710900218</x:v>
      </x:c>
      <x:c r="J143" s="13" t="n">
        <x:v>0.5473778355527914</x:v>
      </x:c>
      <x:c r="K143" s="13" t="n">
        <x:v>0.5508216071987292</x:v>
      </x:c>
      <x:c r="L143" s="13" t="n">
        <x:v>-0.4228478381504858</x:v>
      </x:c>
      <x:c r="M143" s="13" t="n">
        <x:v>0.06375997267097193</x:v>
      </x:c>
      <x:c r="N143" s="13" t="n">
        <x:v>0.9658327310170857</x:v>
      </x:c>
      <x:c r="O143" s="13" t="n">
        <x:v>-0.12597681101882496</x:v>
      </x:c>
      <x:c r="P143" s="13" t="n">
        <x:v>0.12778349774399267</x:v>
      </x:c>
      <x:c r="Q143" s="13" t="n">
        <x:v>0.5137505493940512</x:v>
      </x:c>
      <x:c r="R143" s="13" t="n">
        <x:v>-0.47055056850964344</x:v>
      </x:c>
      <x:c r="S143" s="13" t="n">
        <x:v>0.7555970073239339</x:v>
      </x:c>
      <x:c r="T143" s="13" t="n">
        <x:v>0.8241600270927416</x:v>
      </x:c>
      <x:c r="U143" s="13" t="n">
        <x:v>0.21809505350333389</x:v>
      </x:c>
      <x:c r="V143" s="13" t="n">
        <x:v>0.2194653800742187</x:v>
      </x:c>
      <x:c r="W143" s="13" t="n">
        <x:v>0.18903608317795073</x:v>
      </x:c>
      <x:c r="X143" s="13" t="n">
        <x:v>-0.18422263910349174</x:v>
      </x:c>
      <x:c r="Y143" s="13" t="n">
        <x:v>0.43892270475755096</x:v>
      </x:c>
      <x:c r="Z143" s="13" t="n">
        <x:v>0.298398840042417</x:v>
      </x:c>
      <x:c r="AA143" s="13" t="n">
        <x:v>-0.2230420267406539</x:v>
      </x:c>
      <x:c r="AB143" s="13" t="n">
        <x:v>-0.4043419599896392</x:v>
      </x:c>
      <x:c r="AC143" s="13" t="n">
        <x:v>-0.4530882839120821</x:v>
      </x:c>
      <x:c r="AD143" s="13" t="n">
        <x:v>0.2676645388796935</x:v>
      </x:c>
      <x:c r="AE143" s="13" t="n">
        <x:v>0.30136773443215065</x:v>
      </x:c>
      <x:c r="AF143" s="13" t="n">
        <x:v>0.3995499672964259</x:v>
      </x:c>
      <x:c r="AG143" s="13" t="n">
        <x:v>-0.8407831328472127</x:v>
      </x:c>
      <x:c r="AH143" s="13" t="n">
        <x:v>0.7634435801488547</x:v>
      </x:c>
      <x:c r="AI143" s="13" t="n">
        <x:v>0.9582284477355555</x:v>
      </x:c>
      <x:c r="AJ143" s="13" t="n">
        <x:v>0.3707591061596354</x:v>
      </x:c>
      <x:c r="AK143" s="13" t="n">
        <x:v>-0.1526680613239791</x:v>
      </x:c>
      <x:c r="AL143" s="13" t="n">
        <x:v>-0.20937536982617402</x:v>
      </x:c>
      <x:c r="AM143" s="13" t="n">
        <x:v>-0.18523102241553274</x:v>
      </x:c>
      <x:c r="AN143" s="13" t="n">
        <x:v>0.07612523986262588</x:v>
      </x:c>
      <x:c r="AO143" s="13" t="n">
        <x:v>-0.7158036633934762</x:v>
      </x:c>
      <x:c r="AP143" s="13" t="n">
        <x:v>0.8434252860729898</x:v>
      </x:c>
    </x:row>
    <x:row r="144" ht="15" hidden="0" customHeight="1">
      <x:c r="A144" s="2" t="str">
        <x:v>E143</x:v>
      </x:c>
      <x:c r="B144" s="2" t="str">
        <x:v>***电子科技有限公司</x:v>
      </x:c>
      <x:c r="C144" s="2" t="str">
        <x:v>无信贷记录</x:v>
      </x:c>
      <x:c r="D144" s="2" t="str"/>
      <x:c r="E144" s="2" t="str"/>
      <x:c r="F144" s="13" t="n">
        <x:v>1.1090517662143469</x:v>
      </x:c>
      <x:c r="G144" s="13" t="n">
        <x:v>1.1046239344895983</x:v>
      </x:c>
      <x:c r="H144" s="13" t="n">
        <x:v>0.9164867154495511</x:v>
      </x:c>
      <x:c r="I144" s="13" t="n">
        <x:v>1.3836402818190405</x:v>
      </x:c>
      <x:c r="J144" s="13" t="n">
        <x:v>0.1544373729635974</x:v>
      </x:c>
      <x:c r="K144" s="13" t="n">
        <x:v>0.15153712124507585</x:v>
      </x:c>
      <x:c r="L144" s="13" t="n">
        <x:v>1.1135851636381036</x:v>
      </x:c>
      <x:c r="M144" s="13" t="n">
        <x:v>0.24470531547710045</x:v>
      </x:c>
      <x:c r="N144" s="13" t="n">
        <x:v>0.5759139655556044</x:v>
      </x:c>
      <x:c r="O144" s="13" t="n">
        <x:v>-0.7000396398323865</x:v>
      </x:c>
      <x:c r="P144" s="13" t="n">
        <x:v>-0.5727788057012347</x:v>
      </x:c>
      <x:c r="Q144" s="13" t="n">
        <x:v>0.10834809609484668</x:v>
      </x:c>
      <x:c r="R144" s="13" t="n">
        <x:v>-0.6611718920105427</x:v>
      </x:c>
      <x:c r="S144" s="13" t="n">
        <x:v>0.3238913467935313</x:v>
      </x:c>
      <x:c r="T144" s="13" t="n">
        <x:v>0.918343412818586</x:v>
      </x:c>
      <x:c r="U144" s="13" t="n">
        <x:v>0.046308185029753715</x:v>
      </x:c>
      <x:c r="V144" s="13" t="n">
        <x:v>0.06966932395252147</x:v>
      </x:c>
      <x:c r="W144" s="13" t="n">
        <x:v>-0.25304481306415555</x:v>
      </x:c>
      <x:c r="X144" s="13" t="n">
        <x:v>0.043305850225691514</x:v>
      </x:c>
      <x:c r="Y144" s="13" t="n">
        <x:v>0.40351103494423873</x:v>
      </x:c>
      <x:c r="Z144" s="13" t="n">
        <x:v>0.28686873028216053</x:v>
      </x:c>
      <x:c r="AA144" s="13" t="n">
        <x:v>-0.21834226118317027</x:v>
      </x:c>
      <x:c r="AB144" s="13" t="n">
        <x:v>-0.6534605088334235</x:v>
      </x:c>
      <x:c r="AC144" s="13" t="n">
        <x:v>-0.05862879641841154</x:v>
      </x:c>
      <x:c r="AD144" s="13" t="n">
        <x:v>0.63587143053648</x:v>
      </x:c>
      <x:c r="AE144" s="13" t="n">
        <x:v>0.9644215698392297</x:v>
      </x:c>
      <x:c r="AF144" s="13" t="n">
        <x:v>0.3401954999971926</x:v>
      </x:c>
      <x:c r="AG144" s="13" t="n">
        <x:v>0.10118104442431929</x:v>
      </x:c>
      <x:c r="AH144" s="13" t="n">
        <x:v>1.1725561825120125</x:v>
      </x:c>
      <x:c r="AI144" s="13" t="n">
        <x:v>0.7569696929603585</x:v>
      </x:c>
      <x:c r="AJ144" s="13" t="n">
        <x:v>0.6149022302103719</x:v>
      </x:c>
      <x:c r="AK144" s="13" t="n">
        <x:v>-0.21848464357833292</x:v>
      </x:c>
      <x:c r="AL144" s="13" t="n">
        <x:v>-0.5883204070334778</x:v>
      </x:c>
      <x:c r="AM144" s="13" t="n">
        <x:v>0.02263725816800028</x:v>
      </x:c>
      <x:c r="AN144" s="13" t="n">
        <x:v>-0.11012577792426037</x:v>
      </x:c>
      <x:c r="AO144" s="13" t="n">
        <x:v>-0.40153437994369456</x:v>
      </x:c>
      <x:c r="AP144" s="13" t="n">
        <x:v>0.7849966113394236</x:v>
      </x:c>
    </x:row>
    <x:row r="145" ht="15" hidden="0" customHeight="1">
      <x:c r="A145" s="2" t="str">
        <x:v>E144</x:v>
      </x:c>
      <x:c r="B145" s="2" t="str">
        <x:v>***劳务有限公司</x:v>
      </x:c>
      <x:c r="C145" s="2" t="str">
        <x:v>无信贷记录</x:v>
      </x:c>
      <x:c r="D145" s="2" t="str"/>
      <x:c r="E145" s="2" t="str"/>
      <x:c r="F145" s="13" t="n">
        <x:v>0.536076471283356</x:v>
      </x:c>
      <x:c r="G145" s="13" t="n">
        <x:v>0.555599289327734</x:v>
      </x:c>
      <x:c r="H145" s="13" t="n">
        <x:v>-0.05095484031253709</x:v>
      </x:c>
      <x:c r="I145" s="13" t="n">
        <x:v>0.011421701710900218</x:v>
      </x:c>
      <x:c r="J145" s="13" t="n">
        <x:v>-0.3836896757133382</x:v>
      </x:c>
      <x:c r="K145" s="13" t="n">
        <x:v>-0.3778113054661625</x:v>
      </x:c>
      <x:c r="L145" s="13" t="n">
        <x:v>1.3326409579525162</x:v>
      </x:c>
      <x:c r="M145" s="13" t="n">
        <x:v>-0.4692590476059364</x:v>
      </x:c>
      <x:c r="N145" s="13" t="n">
        <x:v>-0.2335446517401301</x:v>
      </x:c>
      <x:c r="O145" s="13" t="n">
        <x:v>-0.7480476095436738</x:v>
      </x:c>
      <x:c r="P145" s="13" t="n">
        <x:v>-0.7256200798307826</x:v>
      </x:c>
      <x:c r="Q145" s="13" t="n">
        <x:v>-0.35959211878741354</x:v>
      </x:c>
      <x:c r="R145" s="13" t="n">
        <x:v>0.5650464268141593</x:v>
      </x:c>
      <x:c r="S145" s="13" t="n">
        <x:v>1.558650280743344</x:v>
      </x:c>
      <x:c r="T145" s="13" t="n">
        <x:v>0.16487632701183103</x:v>
      </x:c>
      <x:c r="U145" s="13" t="n">
        <x:v>0.15696843772745872</x:v>
      </x:c>
      <x:c r="V145" s="13" t="n">
        <x:v>0.15158027598910498</x:v>
      </x:c>
      <x:c r="W145" s="13" t="n">
        <x:v>0.22650056591033263</x:v>
      </x:c>
      <x:c r="X145" s="13" t="n">
        <x:v>0.8086289506965807</x:v>
      </x:c>
      <x:c r="Y145" s="13" t="n">
        <x:v>0.46389314065679566</x:v>
      </x:c>
      <x:c r="Z145" s="13" t="n">
        <x:v>0.3913407488922612</x:v>
      </x:c>
      <x:c r="AA145" s="13" t="n">
        <x:v>-0.3193872206690687</x:v>
      </x:c>
      <x:c r="AB145" s="13" t="n">
        <x:v>-0.32151895667302277</x:v>
      </x:c>
      <x:c r="AC145" s="13" t="n">
        <x:v>0.8608925946556116</x:v>
      </x:c>
      <x:c r="AD145" s="13" t="n">
        <x:v>-0.47278513173338343</x:v>
      </x:c>
      <x:c r="AE145" s="13" t="n">
        <x:v>-0.3886659084467321</x:v>
      </x:c>
      <x:c r="AF145" s="13" t="n">
        <x:v>0.6565134280716819</x:v>
      </x:c>
      <x:c r="AG145" s="13" t="n">
        <x:v>-0.13989892076624127</x:v>
      </x:c>
      <x:c r="AH145" s="13" t="n">
        <x:v>1.5519653224385594</x:v>
      </x:c>
      <x:c r="AI145" s="13" t="n">
        <x:v>-0.14869470352802777</x:v>
      </x:c>
      <x:c r="AJ145" s="13" t="n">
        <x:v>1.1293445791864791</x:v>
      </x:c>
      <x:c r="AK145" s="13" t="n">
        <x:v>-0.31356619404493064</x:v>
      </x:c>
      <x:c r="AL145" s="13" t="n">
        <x:v>-0.5337407690553563</x:v>
      </x:c>
      <x:c r="AM145" s="13" t="n">
        <x:v>0.3209097662071054</x:v>
      </x:c>
      <x:c r="AN145" s="13" t="n">
        <x:v>-0.8293706645797351</x:v>
      </x:c>
      <x:c r="AO145" s="13" t="n">
        <x:v>0.3163877518183127</x:v>
      </x:c>
      <x:c r="AP145" s="13" t="n">
        <x:v>1.7324913457054378</x:v>
      </x:c>
    </x:row>
    <x:row r="146" ht="15" hidden="0" customHeight="1">
      <x:c r="A146" s="2" t="str">
        <x:v>E145</x:v>
      </x:c>
      <x:c r="B146" s="2" t="str">
        <x:v>***工贸有限公司</x:v>
      </x:c>
      <x:c r="C146" s="2" t="str">
        <x:v>无信贷记录</x:v>
      </x:c>
      <x:c r="D146" s="2" t="str"/>
      <x:c r="E146" s="2" t="str"/>
      <x:c r="F146" s="13" t="n">
        <x:v>0.7724983162791532</x:v>
      </x:c>
      <x:c r="G146" s="13" t="n">
        <x:v>0.7867170875530778</x:v>
      </x:c>
      <x:c r="H146" s="13" t="n">
        <x:v>0.24671948453733616</x:v>
      </x:c>
      <x:c r="I146" s="13" t="n">
        <x:v>0.3115945161095559</x:v>
      </x:c>
      <x:c r="J146" s="13" t="n">
        <x:v>2.0045362130333073</x:v>
      </x:c>
      <x:c r="K146" s="13" t="n">
        <x:v>1.9760883650021315</x:v>
      </x:c>
      <x:c r="L146" s="13" t="n">
        <x:v>0.4351206895809641</x:v>
      </x:c>
      <x:c r="M146" s="13" t="n">
        <x:v>-0.22579637244331457</x:v>
      </x:c>
      <x:c r="N146" s="13" t="n">
        <x:v>-0.054968974056218395</x:v>
      </x:c>
      <x:c r="O146" s="13" t="n">
        <x:v>-0.44268917553623316</x:v>
      </x:c>
      <x:c r="P146" s="13" t="n">
        <x:v>-0.1487341943488258</x:v>
      </x:c>
      <x:c r="Q146" s="13" t="n">
        <x:v>1.9475493813015374</x:v>
      </x:c>
      <x:c r="R146" s="13" t="n">
        <x:v>-0.970791138330989</x:v>
      </x:c>
      <x:c r="S146" s="13" t="n">
        <x:v>-0.09450472050912409</x:v>
      </x:c>
      <x:c r="T146" s="13" t="n">
        <x:v>0.8241600270927416</x:v>
      </x:c>
      <x:c r="U146" s="13" t="n">
        <x:v>1.69093032155136</x:v>
      </x:c>
      <x:c r="V146" s="13" t="n">
        <x:v>1.609707429023903</x:v>
      </x:c>
      <x:c r="W146" s="13" t="n">
        <x:v>2.564284288410963</x:v>
      </x:c>
      <x:c r="X146" s="13" t="n">
        <x:v>1.2636859293549472</x:v>
      </x:c>
      <x:c r="Y146" s="13" t="n">
        <x:v>0.6924659794333035</x:v>
      </x:c>
      <x:c r="Z146" s="13" t="n">
        <x:v>0.5257913213648434</x:v>
      </x:c>
      <x:c r="AA146" s="13" t="n">
        <x:v>0.5688684696953408</x:v>
      </x:c>
      <x:c r="AB146" s="13" t="n">
        <x:v>-0.19424541401970066</x:v>
      </x:c>
      <x:c r="AC146" s="13" t="n">
        <x:v>-0.0016273637243136101</x:v>
      </x:c>
      <x:c r="AD146" s="13" t="n">
        <x:v>-0.638424320498546</x:v>
      </x:c>
      <x:c r="AE146" s="13" t="n">
        <x:v>-0.46398545036761923</x:v>
      </x:c>
      <x:c r="AF146" s="13" t="n">
        <x:v>0.6479185471838661</x:v>
      </x:c>
      <x:c r="AG146" s="13" t="n">
        <x:v>-1.1799271193192928</x:v>
      </x:c>
      <x:c r="AH146" s="13" t="n">
        <x:v>-0.0046185201456391154</x:v>
      </x:c>
      <x:c r="AI146" s="13" t="n">
        <x:v>0.9582284477355555</x:v>
      </x:c>
      <x:c r="AJ146" s="13" t="n">
        <x:v>-0.3324398710889289</x:v>
      </x:c>
      <x:c r="AK146" s="13" t="n">
        <x:v>-0.008933298056822836</x:v>
      </x:c>
      <x:c r="AL146" s="13" t="n">
        <x:v>-0.06606391162243937</x:v>
      </x:c>
      <x:c r="AM146" s="13" t="n">
        <x:v>0.07060395181893127</x:v>
      </x:c>
      <x:c r="AN146" s="13" t="n">
        <x:v>-0.7116370823149619</x:v>
      </x:c>
      <x:c r="AO146" s="13" t="n">
        <x:v>-1.2146746052285762</x:v>
      </x:c>
      <x:c r="AP146" s="13" t="n">
        <x:v>-0.06415902270396169</x:v>
      </x:c>
    </x:row>
    <x:row r="147" ht="15" hidden="0" customHeight="1">
      <x:c r="A147" s="2" t="str">
        <x:v>E146</x:v>
      </x:c>
      <x:c r="B147" s="2" t="str">
        <x:v>***基础建设工程有限公司</x:v>
      </x:c>
      <x:c r="C147" s="2" t="str">
        <x:v>无信贷记录</x:v>
      </x:c>
      <x:c r="D147" s="2" t="str"/>
      <x:c r="E147" s="2" t="str"/>
      <x:c r="F147" s="13" t="n">
        <x:v>0.8939542444926803</x:v>
      </x:c>
      <x:c r="G147" s="13" t="n">
        <x:v>0.9085094542527402</x:v>
      </x:c>
      <x:c r="H147" s="13" t="n">
        <x:v>0.33176929163729996</x:v>
      </x:c>
      <x:c r="I147" s="13" t="n">
        <x:v>-0.11722379017423794</x:v>
      </x:c>
      <x:c r="J147" s="13" t="n">
        <x:v>2.17029092164375</x:v>
      </x:c>
      <x:c r="K147" s="13" t="n">
        <x:v>2.1424286087591455</x:v>
      </x:c>
      <x:c r="L147" s="13" t="n">
        <x:v>0.45946022228256556</x:v>
      </x:c>
      <x:c r="M147" s="13" t="n">
        <x:v>-0.20586667181391002</x:v>
      </x:c>
      <x:c r="N147" s="13" t="n">
        <x:v>-0.449068225004753</x:v>
      </x:c>
      <x:c r="O147" s="13" t="n">
        <x:v>0.44092028686588935</x:v>
      </x:c>
      <x:c r="P147" s="13" t="n">
        <x:v>0.8239242328778044</x:v>
      </x:c>
      <x:c r="Q147" s="13" t="n">
        <x:v>2.110646894421381</x:v>
      </x:c>
      <x:c r="R147" s="13" t="n">
        <x:v>-0.5017372641523604</x:v>
      </x:c>
      <x:c r="S147" s="13" t="n">
        <x:v>-0.055283986336433465</x:v>
      </x:c>
      <x:c r="T147" s="13" t="n">
        <x:v>0.8241600270927416</x:v>
      </x:c>
      <x:c r="U147" s="13" t="n">
        <x:v>0.2897607409647047</x:v>
      </x:c>
      <x:c r="V147" s="13" t="n">
        <x:v>0.24751707597715825</x:v>
      </x:c>
      <x:c r="W147" s="13" t="n">
        <x:v>0.8334251861749192</x:v>
      </x:c>
      <x:c r="X147" s="13" t="n">
        <x:v>0.2708343395548748</x:v>
      </x:c>
      <x:c r="Y147" s="13" t="n">
        <x:v>0.7768382619178906</x:v>
      </x:c>
      <x:c r="Z147" s="13" t="n">
        <x:v>0.5995118441778731</x:v>
      </x:c>
      <x:c r="AA147" s="13" t="n">
        <x:v>-0.24654085452807215</x:v>
      </x:c>
      <x:c r="AB147" s="13" t="n">
        <x:v>-0.015842580880415104</x:v>
      </x:c>
      <x:c r="AC147" s="13" t="n">
        <x:v>0.05817971885881427</x:v>
      </x:c>
      <x:c r="AD147" s="13" t="n">
        <x:v>-0.6695559296077397</x:v>
      </x:c>
      <x:c r="AE147" s="13" t="n">
        <x:v>-0.5701526495591306</x:v>
      </x:c>
      <x:c r="AF147" s="13" t="n">
        <x:v>0.7305688324630082</x:v>
      </x:c>
      <x:c r="AG147" s="13" t="n">
        <x:v>-0.7743680842851821</x:v>
      </x:c>
      <x:c r="AH147" s="13" t="n">
        <x:v>-0.11306874129118462</x:v>
      </x:c>
      <x:c r="AI147" s="13" t="n">
        <x:v>0.857599070347957</x:v>
      </x:c>
      <x:c r="AJ147" s="13" t="n">
        <x:v>-0.32057782249047884</x:v>
      </x:c>
      <x:c r="AK147" s="13" t="n">
        <x:v>-0.011468305387520588</x:v>
      </x:c>
      <x:c r="AL147" s="13" t="n">
        <x:v>-0.27110791168817244</x:v>
      </x:c>
      <x:c r="AM147" s="13" t="n">
        <x:v>-0.26886485772350627</x:v>
      </x:c>
      <x:c r="AN147" s="13" t="n">
        <x:v>-0.09418240476819979</x:v>
      </x:c>
      <x:c r="AO147" s="13" t="n">
        <x:v>-0.7056784867680095</x:v>
      </x:c>
      <x:c r="AP147" s="13" t="n">
        <x:v>-0.09474957267223373</x:v>
      </x:c>
    </x:row>
    <x:row r="148" ht="15" hidden="0" customHeight="1">
      <x:c r="A148" s="2" t="str">
        <x:v>E147</x:v>
      </x:c>
      <x:c r="B148" s="2" t="str">
        <x:v>***装饰工程有限责任公司</x:v>
      </x:c>
      <x:c r="C148" s="2" t="str">
        <x:v>无信贷记录</x:v>
      </x:c>
      <x:c r="D148" s="2" t="str"/>
      <x:c r="E148" s="2" t="str"/>
      <x:c r="F148" s="13" t="n">
        <x:v>2.1646057682838173</x:v>
      </x:c>
      <x:c r="G148" s="13" t="n">
        <x:v>2.0751268880333655</x:v>
      </x:c>
      <x:c r="H148" s="13" t="n">
        <x:v>3.6061868649859057</x:v>
      </x:c>
      <x:c r="I148" s="13" t="n">
        <x:v>2.198395063758249</x:v>
      </x:c>
      <x:c r="J148" s="13" t="n">
        <x:v>2.5509446977940957</x:v>
      </x:c>
      <x:c r="K148" s="13" t="n">
        <x:v>2.5586256178448568</x:v>
      </x:c>
      <x:c r="L148" s="13" t="n">
        <x:v>1.5486543106792288</x:v>
      </x:c>
      <x:c r="M148" s="13" t="n">
        <x:v>1.335843492014581</x:v>
      </x:c>
      <x:c r="N148" s="13" t="n">
        <x:v>0.4734220552079054</x:v>
      </x:c>
      <x:c r="O148" s="13" t="n">
        <x:v>-0.8308805850820097</x:v>
      </x:c>
      <x:c r="P148" s="13" t="n">
        <x:v>-0.8803091280378663</x:v>
      </x:c>
      <x:c r="Q148" s="13" t="n">
        <x:v>2.4851984517814096</x:v>
      </x:c>
      <x:c r="R148" s="13" t="n">
        <x:v>-0.9331219451327947</x:v>
      </x:c>
      <x:c r="S148" s="13" t="n">
        <x:v>-0.08698689527281751</x:v>
      </x:c>
      <x:c r="T148" s="13" t="n">
        <x:v>0.8241600270927416</x:v>
      </x:c>
      <x:c r="U148" s="13" t="n">
        <x:v>0.6897185114292671</x:v>
      </x:c>
      <x:c r="V148" s="13" t="n">
        <x:v>0.7513255343939526</x:v>
      </x:c>
      <x:c r="W148" s="13" t="n">
        <x:v>-0.2080874337852973</x:v>
      </x:c>
      <x:c r="X148" s="13" t="n">
        <x:v>0.10535907458819604</x:v>
      </x:c>
      <x:c r="Y148" s="13" t="n">
        <x:v>1.3038215311277102</x:v>
      </x:c>
      <x:c r="Z148" s="13" t="n">
        <x:v>0.9827954146622273</x:v>
      </x:c>
      <x:c r="AA148" s="13" t="n">
        <x:v>-0.04680081833501711</x:v>
      </x:c>
      <x:c r="AB148" s="13" t="n">
        <x:v>-0.8210974574367269</x:v>
      </x:c>
      <x:c r="AC148" s="13" t="n">
        <x:v>-0.35098990747578035</x:v>
      </x:c>
      <x:c r="AD148" s="13" t="n">
        <x:v>-0.7582493534131959</x:v>
      </x:c>
      <x:c r="AE148" s="13" t="n">
        <x:v>-1.003366467609026</x:v>
      </x:c>
      <x:c r="AF148" s="13" t="n">
        <x:v>1.2467966297314184</x:v>
      </x:c>
      <x:c r="AG148" s="13" t="n">
        <x:v>-0.6295658725285149</x:v>
      </x:c>
      <x:c r="AH148" s="13" t="n">
        <x:v>-0.4293807995734777</x:v>
      </x:c>
      <x:c r="AI148" s="13" t="n">
        <x:v>0.857599070347957</x:v>
      </x:c>
      <x:c r="AJ148" s="13" t="n">
        <x:v>0.25783682856707646</x:v>
      </x:c>
      <x:c r="AK148" s="13" t="n">
        <x:v>-0.06094427791439597</x:v>
      </x:c>
      <x:c r="AL148" s="13" t="n">
        <x:v>-0.33188798981119255</x:v>
      </x:c>
      <x:c r="AM148" s="13" t="n">
        <x:v>-0.14303740405820517</x:v>
      </x:c>
      <x:c r="AN148" s="13" t="n">
        <x:v>-1.0653445026637072</x:v>
      </x:c>
      <x:c r="AO148" s="13" t="n">
        <x:v>-0.9299980765095902</x:v>
      </x:c>
      <x:c r="AP148" s="13" t="n">
        <x:v>-0.2734708684932182</x:v>
      </x:c>
    </x:row>
    <x:row r="149" ht="15" hidden="0" customHeight="1">
      <x:c r="A149" s="2" t="str">
        <x:v>E148</x:v>
      </x:c>
      <x:c r="B149" s="2" t="str">
        <x:v>***商贸有限公司</x:v>
      </x:c>
      <x:c r="C149" s="2" t="str">
        <x:v>无信贷记录</x:v>
      </x:c>
      <x:c r="D149" s="2" t="str"/>
      <x:c r="E149" s="2" t="str"/>
      <x:c r="F149" s="13" t="n">
        <x:v>-0.35954510623013425</x:v>
      </x:c>
      <x:c r="G149" s="13" t="n">
        <x:v>-0.3664744160401833</x:v>
      </x:c>
      <x:c r="H149" s="13" t="n">
        <x:v>-0.14663587329999636</x:v>
      </x:c>
      <x:c r="I149" s="13" t="n">
        <x:v>-0.37451477394451427</x:v>
      </x:c>
      <x:c r="J149" s="13" t="n">
        <x:v>0.033161412565880975</x:v>
      </x:c>
      <x:c r="K149" s="13" t="n">
        <x:v>0.020379044899477207</x:v>
      </x:c>
      <x:c r="L149" s="13" t="n">
        <x:v>-0.3072350578178791</x:v>
      </x:c>
      <x:c r="M149" s="13" t="n">
        <x:v>1.3104513844066241</x:v>
      </x:c>
      <x:c r="N149" s="13" t="n">
        <x:v>-0.29892749489006365</x:v>
      </x:c>
      <x:c r="O149" s="13" t="n">
        <x:v>0.7089550796281134</x:v>
      </x:c>
      <x:c r="P149" s="13" t="n">
        <x:v>1.0436675105646387</x:v>
      </x:c>
      <x:c r="Q149" s="13" t="n">
        <x:v>0.007777473288851303</x:v>
      </x:c>
      <x:c r="R149" s="13" t="n">
        <x:v>0.6914029247642981</x:v>
      </x:c>
      <x:c r="S149" s="13" t="n">
        <x:v>-1.1739147053564731</x:v>
      </x:c>
      <x:c r="T149" s="13" t="n">
        <x:v>0.7299766413668972</x:v>
      </x:c>
      <x:c r="U149" s="13" t="n">
        <x:v>-0.4116144797050351</x:v>
      </x:c>
      <x:c r="V149" s="13" t="n">
        <x:v>-0.3954277941182163</x:v>
      </x:c>
      <x:c r="W149" s="13" t="n">
        <x:v>-0.5527606749232107</x:v>
      </x:c>
      <x:c r="X149" s="13" t="n">
        <x:v>-0.3703823121910053</x:v>
      </x:c>
      <x:c r="Y149" s="13" t="n">
        <x:v>0.23294554074779245</x:v>
      </x:c>
      <x:c r="Z149" s="13" t="n">
        <x:v>0.14174035430712062</x:v>
      </x:c>
      <x:c r="AA149" s="13" t="n">
        <x:v>0.044844610035914015</x:v>
      </x:c>
      <x:c r="AB149" s="13" t="n">
        <x:v>-0.6964023170115745</x:v>
      </x:c>
      <x:c r="AC149" s="13" t="n">
        <x:v>-0.5741249783297148</x:v>
      </x:c>
      <x:c r="AD149" s="13" t="n">
        <x:v>-0.9673782879343509</x:v>
      </x:c>
      <x:c r="AE149" s="13" t="n">
        <x:v>-1.1879149056637062</x:v>
      </x:c>
      <x:c r="AF149" s="13" t="n">
        <x:v>0.8524517090692436</x:v>
      </x:c>
      <x:c r="AG149" s="13" t="n">
        <x:v>-0.11713234695070891</x:v>
      </x:c>
      <x:c r="AH149" s="13" t="n">
        <x:v>0.6553354494105857</x:v>
      </x:c>
      <x:c r="AI149" s="13" t="n">
        <x:v>-1.054359100016414</x:v>
      </x:c>
      <x:c r="AJ149" s="13" t="n">
        <x:v>0.4262049826705744</x:v>
      </x:c>
      <x:c r="AK149" s="13" t="n">
        <x:v>-0.2171786440811855</x:v>
      </x:c>
      <x:c r="AL149" s="13" t="n">
        <x:v>-0.2906959615409712</x:v>
      </x:c>
      <x:c r="AM149" s="13" t="n">
        <x:v>-0.5557880772541219</x:v>
      </x:c>
      <x:c r="AN149" s="13" t="n">
        <x:v>-0.08497214385473781</x:v>
      </x:c>
      <x:c r="AO149" s="13" t="n">
        <x:v>0.41278291850730525</x:v>
      </x:c>
      <x:c r="AP149" s="13" t="n">
        <x:v>-0.39304598311264377</x:v>
      </x:c>
    </x:row>
    <x:row r="150" ht="15" hidden="0" customHeight="1">
      <x:c r="A150" s="2" t="str">
        <x:v>E149</x:v>
      </x:c>
      <x:c r="B150" s="2" t="str">
        <x:v>***建筑劳务有限公司</x:v>
      </x:c>
      <x:c r="C150" s="2" t="str">
        <x:v>无信贷记录</x:v>
      </x:c>
      <x:c r="D150" s="2" t="str"/>
      <x:c r="E150" s="2" t="str"/>
      <x:c r="F150" s="13" t="n">
        <x:v>-0.47682888423785325</x:v>
      </x:c>
      <x:c r="G150" s="13" t="n">
        <x:v>-0.47484085255248143</x:v>
      </x:c>
      <x:c r="H150" s="13" t="n">
        <x:v>-0.4336789722623741</x:v>
      </x:c>
      <x:c r="I150" s="13" t="n">
        <x:v>-0.46027843520127304</x:v>
      </x:c>
      <x:c r="J150" s="13" t="n">
        <x:v>-0.5573819737974922</x:v>
      </x:c>
      <x:c r="K150" s="13" t="n">
        <x:v>-0.5600300328936613</x:v>
      </x:c>
      <x:c r="L150" s="13" t="n">
        <x:v>-0.37721121433498317</x:v>
      </x:c>
      <x:c r="M150" s="13" t="n">
        <x:v>-0.10263257162532169</x:v>
      </x:c>
      <x:c r="N150" s="13" t="n">
        <x:v>-0.7216149855326618</x:v>
      </x:c>
      <x:c r="O150" s="13" t="n">
        <x:v>-0.26029070421604633</x:v>
      </x:c>
      <x:c r="P150" s="13" t="n">
        <x:v>-0.08270607016549868</x:v>
      </x:c>
      <x:c r="Q150" s="13" t="n">
        <x:v>-0.5725837519269587</x:v>
      </x:c>
      <x:c r="R150" s="13" t="n">
        <x:v>0.010584585979012384</x:v>
      </x:c>
      <x:c r="S150" s="13" t="n">
        <x:v>-0.19871125702449458</x:v>
      </x:c>
      <x:c r="T150" s="13" t="n">
        <x:v>0.5416098699152085</x:v>
      </x:c>
      <x:c r="U150" s="13" t="n">
        <x:v>0.08635665743463743</x:v>
      </x:c>
      <x:c r="V150" s="13" t="n">
        <x:v>0.09659895201934345</x:v>
      </x:c>
      <x:c r="W150" s="13" t="n">
        <x:v>-0.04324370976281698</x:v>
      </x:c>
      <x:c r="X150" s="13" t="n">
        <x:v>0.2708343395548748</x:v>
      </x:c>
      <x:c r="Y150" s="13" t="n">
        <x:v>0.4426339886087455</x:v>
      </x:c>
      <x:c r="Z150" s="13" t="n">
        <x:v>0.339718614564221</x:v>
      </x:c>
      <x:c r="AA150" s="13" t="n">
        <x:v>-0.3757844073588725</x:v>
      </x:c>
      <x:c r="AB150" s="13" t="n">
        <x:v>-0.48762289143143417</x:v>
      </x:c>
      <x:c r="AC150" s="13" t="n">
        <x:v>0.23553792001838167</x:v>
      </x:c>
      <x:c r="AD150" s="13" t="n">
        <x:v>-0.024529629706901743</x:v>
      </x:c>
      <x:c r="AE150" s="13" t="n">
        <x:v>0.054742720450552985</x:v>
      </x:c>
      <x:c r="AF150" s="13" t="n">
        <x:v>0.5214418335768513</x:v>
      </x:c>
      <x:c r="AG150" s="13" t="n">
        <x:v>-0.044233594733729974</x:v>
      </x:c>
      <x:c r="AH150" s="13" t="n">
        <x:v>0.27909153683305543</x:v>
      </x:c>
      <x:c r="AI150" s="13" t="n">
        <x:v>-0.24932408091562624</x:v>
      </x:c>
      <x:c r="AJ150" s="13" t="n">
        <x:v>1.2279908839246059</x:v>
      </x:c>
      <x:c r="AK150" s="13" t="n">
        <x:v>-0.3410269963249409</x:v>
      </x:c>
      <x:c r="AL150" s="13" t="n">
        <x:v>-0.2624140570919003</x:v>
      </x:c>
      <x:c r="AM150" s="13" t="n">
        <x:v>0.5320193696691852</x:v>
      </x:c>
      <x:c r="AN150" s="13" t="n">
        <x:v>-0.20109898926574735</x:v>
      </x:c>
      <x:c r="AO150" s="13" t="n">
        <x:v>-0.014519799094083496</x:v>
      </x:c>
      <x:c r="AP150" s="13" t="n">
        <x:v>0.0148847228382353</x:v>
      </x:c>
    </x:row>
    <x:row r="151" ht="15" hidden="0" customHeight="1">
      <x:c r="A151" s="2" t="str">
        <x:v>E150</x:v>
      </x:c>
      <x:c r="B151" s="2" t="str">
        <x:v>***建设工程有限公司</x:v>
      </x:c>
      <x:c r="C151" s="2" t="str">
        <x:v>无信贷记录</x:v>
      </x:c>
      <x:c r="D151" s="2" t="str"/>
      <x:c r="E151" s="2" t="str"/>
      <x:c r="F151" s="13" t="n">
        <x:v>0.9537550641092644</x:v>
      </x:c>
      <x:c r="G151" s="13" t="n">
        <x:v>0.9555002099085156</x:v>
      </x:c>
      <x:c r="H151" s="13" t="n">
        <x:v>0.6613372941496596</x:v>
      </x:c>
      <x:c r="I151" s="13" t="n">
        <x:v>0.22583085485279714</x:v>
      </x:c>
      <x:c r="J151" s="13" t="n">
        <x:v>1.1919161064162347</x:v>
      </x:c>
      <x:c r="K151" s="13" t="n">
        <x:v>1.1805678594114004</x:v>
      </x:c>
      <x:c r="L151" s="13" t="n">
        <x:v>0.6998131077108796</x:v>
      </x:c>
      <x:c r="M151" s="13" t="n">
        <x:v>0.11034301557694098</x:v>
      </x:c>
      <x:c r="N151" s="13" t="n">
        <x:v>-0.1928675982171963</x:v>
      </x:c>
      <x:c r="O151" s="13" t="n">
        <x:v>-0.8728229563650457</x:v>
      </x:c>
      <x:c r="P151" s="13" t="n">
        <x:v>-1.1158043971958125</x:v>
      </x:c>
      <x:c r="Q151" s="13" t="n">
        <x:v>1.1479562981758322</x:v>
      </x:c>
      <x:c r="R151" s="13" t="n">
        <x:v>-0.3619866437465116</x:v>
      </x:c>
      <x:c r="S151" s="13" t="n">
        <x:v>0.5056049313945093</x:v>
      </x:c>
      <x:c r="T151" s="13" t="n">
        <x:v>0.8241600270927416</x:v>
      </x:c>
      <x:c r="U151" s="13" t="n">
        <x:v>-0.3151819737827493</x:v>
      </x:c>
      <x:c r="V151" s="13" t="n">
        <x:v>-0.3168830455899856</x:v>
      </x:c>
      <x:c r="W151" s="13" t="n">
        <x:v>-0.23056612342472643</x:v>
      </x:c>
      <x:c r="X151" s="13" t="n">
        <x:v>-0.3703823121910053</x:v>
      </x:c>
      <x:c r="Y151" s="13" t="n">
        <x:v>0.5924321927491853</x:v>
      </x:c>
      <x:c r="Z151" s="13" t="n">
        <x:v>0.41046743577999156</x:v>
      </x:c>
      <x:c r="AA151" s="13" t="n">
        <x:v>-0.08204906001614447</x:v>
      </x:c>
      <x:c r="AB151" s="13" t="n">
        <x:v>-0.0588410213861792</x:v>
      </x:c>
      <x:c r="AC151" s="13" t="n">
        <x:v>-0.6164459960655324</x:v>
      </x:c>
      <x:c r="AD151" s="13" t="n">
        <x:v>-0.6925506502511733</x:v>
      </x:c>
      <x:c r="AE151" s="13" t="n">
        <x:v>-0.8279492240633509</x:v>
      </x:c>
      <x:c r="AF151" s="13" t="n">
        <x:v>0.5499264013804672</x:v>
      </x:c>
      <x:c r="AG151" s="13" t="n">
        <x:v>-0.5044334470960208</x:v>
      </x:c>
      <x:c r="AH151" s="13" t="n">
        <x:v>0.49073830291489995</x:v>
      </x:c>
      <x:c r="AI151" s="13" t="n">
        <x:v>0.857599070347957</x:v>
      </x:c>
      <x:c r="AJ151" s="13" t="n">
        <x:v>0.12812987525812558</x:v>
      </x:c>
      <x:c r="AK151" s="13" t="n">
        <x:v>-0.08340366236170885</x:v>
      </x:c>
      <x:c r="AL151" s="13" t="n">
        <x:v>-0.5079314500152398</x:v>
      </x:c>
      <x:c r="AM151" s="13" t="n">
        <x:v>-0.5098866511755794</x:v>
      </x:c>
      <x:c r="AN151" s="13" t="n">
        <x:v>-1.0549934924910052</x:v>
      </x:c>
      <x:c r="AO151" s="13" t="n">
        <x:v>-0.4838235367165092</x:v>
      </x:c>
      <x:c r="AP151" s="13" t="n">
        <x:v>0.5529403090724954</x:v>
      </x:c>
    </x:row>
    <x:row r="152" ht="15" hidden="0" customHeight="1">
      <x:c r="A152" s="2" t="str">
        <x:v>E151</x:v>
      </x:c>
      <x:c r="B152" s="2" t="str">
        <x:v>***路桥工程有限公司</x:v>
      </x:c>
      <x:c r="C152" s="2" t="str">
        <x:v>无信贷记录</x:v>
      </x:c>
      <x:c r="D152" s="2" t="str"/>
      <x:c r="E152" s="2" t="str"/>
      <x:c r="F152" s="13" t="n">
        <x:v>-0.2413341837322357</x:v>
      </x:c>
      <x:c r="G152" s="13" t="n">
        <x:v>-0.23701008923345546</x:v>
      </x:c>
      <x:c r="H152" s="13" t="n">
        <x:v>-0.30610426161242843</x:v>
      </x:c>
      <x:c r="I152" s="13" t="n">
        <x:v>-0.4173966045728936</x:v>
      </x:c>
      <x:c r="J152" s="13" t="n">
        <x:v>-0.3335321334228351</x:v>
      </x:c>
      <x:c r="K152" s="13" t="n">
        <x:v>-0.3401304631729881</x:v>
      </x:c>
      <x:c r="L152" s="13" t="n">
        <x:v>-0.185537394309872</x:v>
      </x:c>
      <x:c r="M152" s="13" t="n">
        <x:v>-0.19229585016185607</x:v>
      </x:c>
      <x:c r="N152" s="13" t="n">
        <x:v>-0.5833350190036172</x:v>
      </x:c>
      <x:c r="O152" s="13" t="n">
        <x:v>0.038105611621511465</x:v>
      </x:c>
      <x:c r="P152" s="13" t="n">
        <x:v>0.1737787527930447</x:v>
      </x:c>
      <x:c r="Q152" s="13" t="n">
        <x:v>-0.3397360620935877</x:v>
      </x:c>
      <x:c r="R152" s="13" t="n">
        <x:v>1.4274225790176411</x:v>
      </x:c>
      <x:c r="S152" s="13" t="n">
        <x:v>-0.4509969826053512</x:v>
      </x:c>
      <x:c r="T152" s="13" t="n">
        <x:v>0.2590597127376754</x:v>
      </x:c>
      <x:c r="U152" s="13" t="n">
        <x:v>-0.4816993064135816</x:v>
      </x:c>
      <x:c r="V152" s="13" t="n">
        <x:v>-0.4683622034658592</x:v>
      </x:c>
      <x:c r="W152" s="13" t="n">
        <x:v>-0.5752393645626398</x:v>
      </x:c>
      <x:c r="X152" s="13" t="n">
        <x:v>-0.3910667203118402</x:v>
      </x:c>
      <x:c r="Y152" s="13" t="n">
        <x:v>0.4581848804126091</x:v>
      </x:c>
      <x:c r="Z152" s="13" t="n">
        <x:v>0.3062950178054587</x:v>
      </x:c>
      <x:c r="AA152" s="13" t="n">
        <x:v>-0.38753382125258157</x:v>
      </x:c>
      <x:c r="AB152" s="13" t="n">
        <x:v>-0.5733356528998742</x:v>
      </x:c>
      <x:c r="AC152" s="13" t="n">
        <x:v>-0.6980651016988949</x:v>
      </x:c>
      <x:c r="AD152" s="13" t="n">
        <x:v>0.14692616825733965</x:v>
      </x:c>
      <x:c r="AE152" s="13" t="n">
        <x:v>0.06970552689973615</x:v>
      </x:c>
      <x:c r="AF152" s="13" t="n">
        <x:v>0.7853998302361568</x:v>
      </x:c>
      <x:c r="AG152" s="13" t="n">
        <x:v>-0.22064753697899683</x:v>
      </x:c>
      <x:c r="AH152" s="13" t="n">
        <x:v>0.6006237846109255</x:v>
      </x:c>
      <x:c r="AI152" s="13" t="n">
        <x:v>-0.4505828356908232</x:v>
      </x:c>
      <x:c r="AJ152" s="13" t="n">
        <x:v>1.0812619954641605</x:v>
      </x:c>
      <x:c r="AK152" s="13" t="n">
        <x:v>-0.30405076145118415</x:v>
      </x:c>
      <x:c r="AL152" s="13" t="n">
        <x:v>-0.7378875230660391</x:v>
      </x:c>
      <x:c r="AM152" s="13" t="n">
        <x:v>-0.7177648157048139</x:v>
      </x:c>
      <x:c r="AN152" s="13" t="n">
        <x:v>0.11979173620141446</x:v>
      </x:c>
      <x:c r="AO152" s="13" t="n">
        <x:v>0.863099108218403</x:v>
      </x:c>
      <x:c r="AP152" s="13" t="n">
        <x:v>0.022262472195926714</x:v>
      </x:c>
    </x:row>
    <x:row r="153" ht="15" hidden="0" customHeight="1">
      <x:c r="A153" s="2" t="str">
        <x:v>E152</x:v>
      </x:c>
      <x:c r="B153" s="2" t="str">
        <x:v>***运贸有限责任公司</x:v>
      </x:c>
      <x:c r="C153" s="2" t="str">
        <x:v>无信贷记录</x:v>
      </x:c>
      <x:c r="D153" s="2" t="str"/>
      <x:c r="E153" s="2" t="str"/>
      <x:c r="F153" s="13" t="n">
        <x:v>-0.1898776645272681</x:v>
      </x:c>
      <x:c r="G153" s="13" t="n">
        <x:v>-0.18426536349738115</x:v>
      </x:c>
      <x:c r="H153" s="13" t="n">
        <x:v>-0.295473035724933</x:v>
      </x:c>
      <x:c r="I153" s="13" t="n">
        <x:v>0.5260036692514528</x:v>
      </x:c>
      <x:c r="J153" s="13" t="n">
        <x:v>-0.4383068177657548</x:v>
      </x:c>
      <x:c r="K153" s="13" t="n">
        <x:v>-0.4331482182659543</x:v>
      </x:c>
      <x:c r="L153" s="13" t="n">
        <x:v>-0.2615984340023764</x:v>
      </x:c>
      <x:c r="M153" s="13" t="n">
        <x:v>-0.26688733180022856</x:v>
      </x:c>
      <x:c r="N153" s="13" t="n">
        <x:v>2.0661774260961017</x:v>
      </x:c>
      <x:c r="O153" s="13" t="n">
        <x:v>-0.294847216138921</x:v>
      </x:c>
      <x:c r="P153" s="13" t="n">
        <x:v>-0.05622769358478244</x:v>
      </x:c>
      <x:c r="Q153" s="13" t="n">
        <x:v>-0.4561327017326199</x:v>
      </x:c>
      <x:c r="R153" s="13" t="n">
        <x:v>-0.8596553210741896</x:v>
      </x:c>
      <x:c r="S153" s="13" t="n">
        <x:v>0.47157553716220535</x:v>
      </x:c>
      <x:c r="T153" s="13" t="n">
        <x:v>0.8241600270927416</x:v>
      </x:c>
      <x:c r="U153" s="13" t="n">
        <x:v>0.24391577913279838</x:v>
      </x:c>
      <x:c r="V153" s="13" t="n">
        <x:v>0.28791151807739124</x:v>
      </x:c>
      <x:c r="W153" s="13" t="n">
        <x:v>-0.35794536471482485</x:v>
      </x:c>
      <x:c r="X153" s="13" t="n">
        <x:v>-0.2049070472243266</x:v>
      </x:c>
      <x:c r="Y153" s="13" t="n">
        <x:v>0.6233088229309205</x:v>
      </x:c>
      <x:c r="Z153" s="13" t="n">
        <x:v>0.4443522769785146</x:v>
      </x:c>
      <x:c r="AA153" s="13" t="n">
        <x:v>-0.3640349934651633</x:v>
      </x:c>
      <x:c r="AB153" s="13" t="n">
        <x:v>-0.8192664515311461</x:v>
      </x:c>
      <x:c r="AC153" s="13" t="n">
        <x:v>-0.49566288410003223</x:v>
      </x:c>
      <x:c r="AD153" s="13" t="n">
        <x:v>1.9536094207441537</x:v>
      </x:c>
      <x:c r="AE153" s="13" t="n">
        <x:v>1.9024342160454362</x:v>
      </x:c>
      <x:c r="AF153" s="13" t="n">
        <x:v>0.5801728545737321</x:v>
      </x:c>
      <x:c r="AG153" s="13" t="n">
        <x:v>-1.3113595300233116</x:v>
      </x:c>
      <x:c r="AH153" s="13" t="n">
        <x:v>0.2421331199571524</x:v>
      </x:c>
      <x:c r="AI153" s="13" t="n">
        <x:v>0.9582284477355555</x:v>
      </x:c>
      <x:c r="AJ153" s="13" t="n">
        <x:v>1.4351051274296533</x:v>
      </x:c>
      <x:c r="AK153" s="13" t="n">
        <x:v>-0.32315375390765627</x:v>
      </x:c>
      <x:c r="AL153" s="13" t="n">
        <x:v>-0.8355681798756963</x:v>
      </x:c>
      <x:c r="AM153" s="13" t="n">
        <x:v>0.009115132444255361</x:v>
      </x:c>
      <x:c r="AN153" s="13" t="n">
        <x:v>0.9956050925560985</x:v>
      </x:c>
      <x:c r="AO153" s="13" t="n">
        <x:v>-1.201203652946133</x:v>
      </x:c>
      <x:c r="AP153" s="13" t="n">
        <x:v>0.406892099336948</x:v>
      </x:c>
    </x:row>
    <x:row r="154" ht="15" hidden="0" customHeight="1">
      <x:c r="A154" s="2" t="str">
        <x:v>E153</x:v>
      </x:c>
      <x:c r="B154" s="2" t="str">
        <x:v>个体经营E153 </x:v>
      </x:c>
      <x:c r="C154" s="2" t="str">
        <x:v>无信贷记录</x:v>
      </x:c>
      <x:c r="D154" s="2" t="str"/>
      <x:c r="E154" s="2" t="str"/>
      <x:c r="F154" s="13" t="n">
        <x:v>-0.5797419226477885</x:v>
      </x:c>
      <x:c r="G154" s="13" t="n">
        <x:v>-0.5774533189844805</x:v>
      </x:c>
      <x:c r="H154" s="13" t="n">
        <x:v>-0.518728779362338</x:v>
      </x:c>
      <x:c r="I154" s="13" t="n">
        <x:v>-0.46027843520127304</x:v>
      </x:c>
      <x:c r="J154" s="13" t="n">
        <x:v>-0.5682449739455853</x:v>
      </x:c>
      <x:c r="K154" s="13" t="n">
        <x:v>-0.5707009915869584</x:v>
      </x:c>
      <x:c r="L154" s="13" t="n">
        <x:v>-0.614521658175597</x:v>
      </x:c>
      <x:c r="M154" s="13" t="n">
        <x:v>-1.151103901665672</x:v>
      </x:c>
      <x:c r="N154" s="13" t="n">
        <x:v>-0.7216149855326618</x:v>
      </x:c>
      <x:c r="O154" s="13" t="n">
        <x:v>0.5672301432967316</x:v>
      </x:c>
      <x:c r="P154" s="13" t="n">
        <x:v>0.9249674589441019</x:v>
      </x:c>
      <x:c r="Q154" s="13" t="n">
        <x:v>-0.5834003962544333</x:v>
      </x:c>
      <x:c r="R154" s="13" t="n">
        <x:v>1.9552406868408196</x:v>
      </x:c>
      <x:c r="S154" s="13" t="n">
        <x:v>-0.9395029097140581</x:v>
      </x:c>
      <x:c r="T154" s="13" t="n">
        <x:v>-0.9653243016983014</x:v>
      </x:c>
      <x:c r="U154" s="13" t="n">
        <x:v>-0.37261991446870096</x:v>
      </x:c>
      <x:c r="V154" s="13" t="n">
        <x:v>-0.3898174549376284</x:v>
      </x:c>
      <x:c r="W154" s="13" t="n">
        <x:v>-0.07321529594872249</x:v>
      </x:c>
      <x:c r="X154" s="13" t="n">
        <x:v>-0.3703823121910053</x:v>
      </x:c>
      <x:c r="Y154" s="13" t="n">
        <x:v>1.8136053182945513</x:v>
      </x:c>
      <x:c r="Z154" s="13" t="n">
        <x:v>1.3706073912345218</x:v>
      </x:c>
      <x:c r="AA154" s="13" t="n">
        <x:v>-0.38518393847383975</x:v>
      </x:c>
      <x:c r="AB154" s="13" t="n">
        <x:v>0.7244613094040931</x:v>
      </x:c>
      <x:c r="AC154" s="13" t="n">
        <x:v>-0.5785514113071855</x:v>
      </x:c>
      <x:c r="AD154" s="13" t="n">
        <x:v>1.1022249640897774</x:v>
      </x:c>
      <x:c r="AE154" s="13" t="n">
        <x:v>0.7825113846013685</x:v>
      </x:c>
      <x:c r="AF154" s="13" t="n">
        <x:v>1.8105816773929289</x:v>
      </x:c>
      <x:c r="AG154" s="13" t="n">
        <x:v>0.14334786095441251</x:v>
      </x:c>
      <x:c r="AH154" s="13" t="n">
        <x:v>-1.348596171539296</x:v>
      </x:c>
      <x:c r="AI154" s="13" t="n">
        <x:v>0.15319342863476768</x:v>
      </x:c>
      <x:c r="AJ154" s="13" t="n">
        <x:v>3.5040377739338027</x:v>
      </x:c>
      <x:c r="AK154" s="13" t="n">
        <x:v>-0.3429077133460709</x:v>
      </x:c>
      <x:c r="AL154" s="13" t="n">
        <x:v>1.771365095484838</x:v>
      </x:c>
      <x:c r="AM154" s="13" t="n">
        <x:v>-0.6141151817397342</x:v>
      </x:c>
      <x:c r="AN154" s="13" t="n">
        <x:v>1.090996198414612</x:v>
      </x:c>
      <x:c r="AO154" s="13" t="n">
        <x:v>1.3923700861929544</x:v>
      </x:c>
      <x:c r="AP154" s="13" t="n">
        <x:v>-1.2586574606930703</x:v>
      </x:c>
    </x:row>
    <x:row r="155" ht="15" hidden="0" customHeight="1">
      <x:c r="A155" s="2" t="str">
        <x:v>E154</x:v>
      </x:c>
      <x:c r="B155" s="2" t="str">
        <x:v>***汽车销售服务有限公司</x:v>
      </x:c>
      <x:c r="C155" s="2" t="str">
        <x:v>无信贷记录</x:v>
      </x:c>
      <x:c r="D155" s="2" t="str"/>
      <x:c r="E155" s="2" t="str"/>
      <x:c r="F155" s="13" t="n">
        <x:v>0.637135220712932</x:v>
      </x:c>
      <x:c r="G155" s="13" t="n">
        <x:v>0.6625272333199573</x:v>
      </x:c>
      <x:c r="H155" s="13" t="n">
        <x:v>-0.10411096975001445</x:v>
      </x:c>
      <x:c r="I155" s="13" t="n">
        <x:v>1.8124585881028343</x:v>
      </x:c>
      <x:c r="J155" s="13" t="n">
        <x:v>2.2566897985440497</x:v>
      </x:c>
      <x:c r="K155" s="13" t="n">
        <x:v>2.424115038890277</x:v>
      </x:c>
      <x:c r="L155" s="13" t="n">
        <x:v>0.20085268732805048</x:v>
      </x:c>
      <x:c r="M155" s="13" t="n">
        <x:v>-0.5956104906692382</x:v>
      </x:c>
      <x:c r="N155" s="13" t="n">
        <x:v>1.4326276394341217</x:v>
      </x:c>
      <x:c r="O155" s="13" t="n">
        <x:v>0.420124998824839</x:v>
      </x:c>
      <x:c r="P155" s="13" t="n">
        <x:v>0.6060780788989989</x:v>
      </x:c>
      <x:c r="Q155" s="13" t="n">
        <x:v>2.84467181907303</x:v>
      </x:c>
      <x:c r="R155" s="13" t="n">
        <x:v>-1.1366572139054618</x:v>
      </x:c>
      <x:c r="S155" s="13" t="n">
        <x:v>0.072182920635247</x:v>
      </x:c>
      <x:c r="T155" s="13" t="n">
        <x:v>0.16487632701183103</x:v>
      </x:c>
      <x:c r="U155" s="13" t="n">
        <x:v>0.4536433056741631</x:v>
      </x:c>
      <x:c r="V155" s="13" t="n">
        <x:v>0.4719306432006747</x:v>
      </x:c>
      <x:c r="W155" s="13" t="n">
        <x:v>0.16655739353852161</x:v>
      </x:c>
      <x:c r="X155" s="13" t="n">
        <x:v>0.0846746664673612</x:v>
      </x:c>
      <x:c r="Y155" s="13" t="n">
        <x:v>0.24391003933579433</x:v>
      </x:c>
      <x:c r="Z155" s="13" t="n">
        <x:v>0.1456474086115829</x:v>
      </x:c>
      <x:c r="AA155" s="13" t="n">
        <x:v>0.3268305434849329</x:v>
      </x:c>
      <x:c r="AB155" s="13" t="n">
        <x:v>-0.5602253052054491</x:v>
      </x:c>
      <x:c r="AC155" s="13" t="n">
        <x:v>-0.2742390190322603</x:v>
      </x:c>
      <x:c r="AD155" s="13" t="n">
        <x:v>0.5297095226422993</x:v>
      </x:c>
      <x:c r="AE155" s="13" t="n">
        <x:v>0.9051721227479816</x:v>
      </x:c>
      <x:c r="AF155" s="13" t="n">
        <x:v>0.39073829229711654</x:v>
      </x:c>
      <x:c r="AG155" s="13" t="n">
        <x:v>-0.8468538279705975</x:v>
      </x:c>
      <x:c r="AH155" s="13" t="n">
        <x:v>0.7252391804070385</x:v>
      </x:c>
      <x:c r="AI155" s="13" t="n">
        <x:v>0.2538228060223661</x:v>
      </x:c>
      <x:c r="AJ155" s="13" t="n">
        <x:v>-1.2686373149804324</x:v>
      </x:c>
      <x:c r="AK155" s="13" t="n">
        <x:v>0.28909256744685563</x:v>
      </x:c>
      <x:c r="AL155" s="13" t="n">
        <x:v>-0.7018657756824322</x:v>
      </x:c>
      <x:c r="AM155" s="13" t="n">
        <x:v>0.21719922709748327</x:v>
      </x:c>
      <x:c r="AN155" s="13" t="n">
        <x:v>0.6314423582442308</x:v>
      </x:c>
      <x:c r="AO155" s="13" t="n">
        <x:v>-1.170313562322819</x:v>
      </x:c>
      <x:c r="AP155" s="13" t="n">
        <x:v>0.4055228452133623</x:v>
      </x:c>
    </x:row>
    <x:row r="156" ht="15" hidden="0" customHeight="1">
      <x:c r="A156" s="2" t="str">
        <x:v>E155</x:v>
      </x:c>
      <x:c r="B156" s="2" t="str">
        <x:v>个体经营E155 </x:v>
      </x:c>
      <x:c r="C156" s="2" t="str">
        <x:v>无信贷记录</x:v>
      </x:c>
      <x:c r="D156" s="2" t="str"/>
      <x:c r="E156" s="2" t="str"/>
      <x:c r="F156" s="13" t="n">
        <x:v>-0.41934592584671826</x:v>
      </x:c>
      <x:c r="G156" s="13" t="n">
        <x:v>-0.42065763429633235</x:v>
      </x:c>
      <x:c r="H156" s="13" t="n">
        <x:v>-0.3167354874999239</x:v>
      </x:c>
      <x:c r="I156" s="13" t="n">
        <x:v>-0.16010562080261734</x:v>
      </x:c>
      <x:c r="J156" s="13" t="n">
        <x:v>1.1393441074099582</x:v>
      </x:c>
      <x:c r="K156" s="13" t="n">
        <x:v>1.1362705521321772</x:v>
      </x:c>
      <x:c r="L156" s="13" t="n">
        <x:v>-0.562800151184694</x:v>
      </x:c>
      <x:c r="M156" s="13" t="n">
        <x:v>0.5985483448375144</x:v>
      </x:c>
      <x:c r="N156" s="13" t="n">
        <x:v>1.1778236501816268</x:v>
      </x:c>
      <x:c r="O156" s="13" t="n">
        <x:v>-0.40123015419868713</x:v>
      </x:c>
      <x:c r="P156" s="13" t="n">
        <x:v>-0.5570119823511817</x:v>
      </x:c>
      <x:c r="Q156" s="13" t="n">
        <x:v>1.9036074711075037</x:v>
      </x:c>
      <x:c r="R156" s="13" t="n">
        <x:v>-0.9251281393907755</x:v>
      </x:c>
      <x:c r="S156" s="13" t="n">
        <x:v>0.1793357301080951</x:v>
      </x:c>
      <x:c r="T156" s="13" t="n">
        <x:v>-0.30604060161739083</x:v>
      </x:c>
      <x:c r="U156" s="13" t="n">
        <x:v>0.01100229488334307</x:v>
      </x:c>
      <x:c r="V156" s="13" t="n">
        <x:v>0.039373492377346754</x:v>
      </x:c>
      <x:c r="W156" s="13" t="n">
        <x:v>-0.35045246816834846</x:v>
      </x:c>
      <x:c r="X156" s="13" t="n">
        <x:v>-0.2049070472243266</x:v>
      </x:c>
      <x:c r="Y156" s="13" t="n">
        <x:v>0.2876585636353697</x:v>
      </x:c>
      <x:c r="Z156" s="13" t="n">
        <x:v>0.18268774024400897</x:v>
      </x:c>
      <x:c r="AA156" s="13" t="n">
        <x:v>-0.2653399167580067</x:v>
      </x:c>
      <x:c r="AB156" s="13" t="n">
        <x:v>-0.7299026370102887</x:v>
      </x:c>
      <x:c r="AC156" s="13" t="n">
        <x:v>-0.4098598387447249</x:v>
      </x:c>
      <x:c r="AD156" s="13" t="n">
        <x:v>-0.6938129607573209</x:v>
      </x:c>
      <x:c r="AE156" s="13" t="n">
        <x:v>-0.8537940362272535</x:v>
      </x:c>
      <x:c r="AF156" s="13" t="n">
        <x:v>0.6467981352682702</x:v>
      </x:c>
      <x:c r="AG156" s="13" t="n">
        <x:v>-0.9006853743163188</x:v>
      </x:c>
      <x:c r="AH156" s="13" t="n">
        <x:v>0.6583683152531923</x:v>
      </x:c>
      <x:c r="AI156" s="13" t="n">
        <x:v>-0.24932408091562624</x:v>
      </x:c>
      <x:c r="AJ156" s="13" t="n">
        <x:v>-0.3354852616255292</x:v>
      </x:c>
      <x:c r="AK156" s="13" t="n">
        <x:v>-0.0027694342540891554</x:v>
      </x:c>
      <x:c r="AL156" s="13" t="n">
        <x:v>-0.5924319336829049</x:v>
      </x:c>
      <x:c r="AM156" s="13" t="n">
        <x:v>-0.12979273136720176</x:v>
      </x:c>
      <x:c r="AN156" s="13" t="n">
        <x:v>-0.7159693684412587</x:v>
      </x:c>
      <x:c r="AO156" s="13" t="n">
        <x:v>-1.0522332657239086</x:v>
      </x:c>
      <x:c r="AP156" s="13" t="n">
        <x:v>0.4374877934277037</x:v>
      </x:c>
    </x:row>
    <x:row r="157" ht="15" hidden="0" customHeight="1">
      <x:c r="A157" s="2" t="str">
        <x:v>E156</x:v>
      </x:c>
      <x:c r="B157" s="2" t="str">
        <x:v>个体经营E156 </x:v>
      </x:c>
      <x:c r="C157" s="2" t="str">
        <x:v>无信贷记录</x:v>
      </x:c>
      <x:c r="D157" s="2" t="str"/>
      <x:c r="E157" s="2" t="str"/>
      <x:c r="F157" s="13" t="n">
        <x:v>-0.32941291029929737</x:v>
      </x:c>
      <x:c r="G157" s="13" t="n">
        <x:v>-0.32763511799816497</x:v>
      </x:c>
      <x:c r="H157" s="13" t="n">
        <x:v>-0.3167354874999239</x:v>
      </x:c>
      <x:c r="I157" s="13" t="n">
        <x:v>0.011421701710900218</x:v>
      </x:c>
      <x:c r="J157" s="13" t="n">
        <x:v>-0.5254471636072967</x:v>
      </x:c>
      <x:c r="K157" s="13" t="n">
        <x:v>-0.5257149312270194</x:v>
      </x:c>
      <x:c r="L157" s="13" t="n">
        <x:v>-0.24942866765157573</x:v>
      </x:c>
      <x:c r="M157" s="13" t="n">
        <x:v>0.04301227966301661</x:v>
      </x:c>
      <x:c r="N157" s="13" t="n">
        <x:v>1.2850795963102812</x:v>
      </x:c>
      <x:c r="O157" s="13" t="n">
        <x:v>-0.2834363295782274</x:v>
      </x:c>
      <x:c r="P157" s="13" t="n">
        <x:v>0.05124770586756517</x:v>
      </x:c>
      <x:c r="Q157" s="13" t="n">
        <x:v>-0.5365501337591426</x:v>
      </x:c>
      <x:c r="R157" s="13" t="n">
        <x:v>0.4378425248706519</x:v>
      </x:c>
      <x:c r="S157" s="13" t="n">
        <x:v>0.7125130798877402</x:v>
      </x:c>
      <x:c r="T157" s="13" t="n">
        <x:v>0.35324309846351976</x:v>
      </x:c>
      <x:c r="U157" s="13" t="n">
        <x:v>-0.32572104546824504</x:v>
      </x:c>
      <x:c r="V157" s="13" t="n">
        <x:v>-0.33146992745951415</x:v>
      </x:c>
      <x:c r="W157" s="13" t="n">
        <x:v>-0.18560874414586817</x:v>
      </x:c>
      <x:c r="X157" s="13" t="n">
        <x:v>0.18809670707153542</x:v>
      </x:c>
      <x:c r="Y157" s="13" t="n">
        <x:v>0.9212299965207438</x:v>
      </x:c>
      <x:c r="Z157" s="13" t="n">
        <x:v>0.9495411503551731</x:v>
      </x:c>
      <x:c r="AA157" s="13" t="n">
        <x:v>-0.3193872206690687</x:v>
      </x:c>
      <x:c r="AB157" s="13" t="n">
        <x:v>0.0959882041721478</x:v>
      </x:c>
      <x:c r="AC157" s="13" t="n">
        <x:v>1.7420060771318386</x:v>
      </x:c>
      <x:c r="AD157" s="13" t="n">
        <x:v>-0.2541841518753405</x:v>
      </x:c>
      <x:c r="AE157" s="13" t="n">
        <x:v>0.011906089954862973</x:v>
      </x:c>
      <x:c r="AF157" s="13" t="n">
        <x:v>0.9121370132267231</x:v>
      </x:c>
      <x:c r="AG157" s="13" t="n">
        <x:v>0.5902909962172721</x:v>
      </x:c>
      <x:c r="AH157" s="13" t="n">
        <x:v>-0.9829467173862859</x:v>
      </x:c>
      <x:c r="AI157" s="13" t="n">
        <x:v>0.6563403155727601</x:v>
      </x:c>
      <x:c r="AJ157" s="13" t="n">
        <x:v>1.995018478862746</x:v>
      </x:c>
      <x:c r="AK157" s="13" t="n">
        <x:v>-0.33872211740808544</x:v>
      </x:c>
      <x:c r="AL157" s="13" t="n">
        <x:v>0.03905243412181798</x:v>
      </x:c>
      <x:c r="AM157" s="13" t="n">
        <x:v>1.5673625121537293</x:v>
      </x:c>
      <x:c r="AN157" s="13" t="n">
        <x:v>-0.3596000393166907</x:v>
      </x:c>
      <x:c r="AO157" s="13" t="n">
        <x:v>0.5739440891385773</x:v>
      </x:c>
      <x:c r="AP157" s="13" t="n">
        <x:v>-0.06247906832931347</x:v>
      </x:c>
    </x:row>
    <x:row r="158" ht="15" hidden="0" customHeight="1">
      <x:c r="A158" s="2" t="str">
        <x:v>E157</x:v>
      </x:c>
      <x:c r="B158" s="2" t="str">
        <x:v>***环境设备工程有限公司</x:v>
      </x:c>
      <x:c r="C158" s="2" t="str">
        <x:v>无信贷记录</x:v>
      </x:c>
      <x:c r="D158" s="2" t="str"/>
      <x:c r="E158" s="2" t="str"/>
      <x:c r="F158" s="13" t="n">
        <x:v>0.10727214457529262</x:v>
      </x:c>
      <x:c r="G158" s="13" t="n">
        <x:v>0.09432268789042954</x:v>
      </x:c>
      <x:c r="H158" s="13" t="n">
        <x:v>0.34240051752479544</x:v>
      </x:c>
      <x:c r="I158" s="13" t="n">
        <x:v>0.054303532339279606</x:v>
      </x:c>
      <x:c r="J158" s="13" t="n">
        <x:v>0.48898262483311467</x:v>
      </x:c>
      <x:c r="K158" s="13" t="n">
        <x:v>0.4932500618361635</x:v>
      </x:c>
      <x:c r="L158" s="13" t="n">
        <x:v>0.2251922200296519</x:v>
      </x:c>
      <x:c r="M158" s="13" t="n">
        <x:v>0.8517430136472411</x:v>
      </x:c>
      <x:c r="N158" s="13" t="n">
        <x:v>0.15879251875416295</x:v>
      </x:c>
      <x:c r="O158" s="13" t="n">
        <x:v>-0.8145972836659653</x:v>
      </x:c>
      <x:c r="P158" s="13" t="n">
        <x:v>-1.0118040473937668</x:v>
      </x:c>
      <x:c r="Q158" s="13" t="n">
        <x:v>0.4562914658703837</x:v>
      </x:c>
      <x:c r="R158" s="13" t="n">
        <x:v>0.15432542722077225</x:v>
      </x:c>
      <x:c r="S158" s="13" t="n">
        <x:v>1.1380444649527697</x:v>
      </x:c>
      <x:c r="T158" s="13" t="n">
        <x:v>0.8241600270927416</x:v>
      </x:c>
      <x:c r="U158" s="13" t="n">
        <x:v>-0.03326180619573894</x:v>
      </x:c>
      <x:c r="V158" s="13" t="n">
        <x:v>-0.031877815216119716</x:v>
      </x:c>
      <x:c r="W158" s="13" t="n">
        <x:v>-0.028257916669864224</x:v>
      </x:c>
      <x:c r="X158" s="13" t="n">
        <x:v>1.160263888750773</x:v>
      </x:c>
      <x:c r="Y158" s="13" t="n">
        <x:v>0.11922748503062959</x:v>
      </x:c>
      <x:c r="Z158" s="13" t="n">
        <x:v>0.14328849351194323</x:v>
      </x:c>
      <x:c r="AA158" s="13" t="n">
        <x:v>-0.18544390228078472</x:v>
      </x:c>
      <x:c r="AB158" s="13" t="n">
        <x:v>-0.3502277005425335</x:v>
      </x:c>
      <x:c r="AC158" s="13" t="n">
        <x:v>2.0359082079153725</x:v>
      </x:c>
      <x:c r="AD158" s="13" t="n">
        <x:v>-0.1289755996981459</x:v>
      </x:c>
      <x:c r="AE158" s="13" t="n">
        <x:v>0.25388102867057005</x:v>
      </x:c>
      <x:c r="AF158" s="13" t="n">
        <x:v>0.08637957134755575</x:v>
      </x:c>
      <x:c r="AG158" s="13" t="n">
        <x:v>0.8386650430948437</x:v>
      </x:c>
      <x:c r="AH158" s="13" t="n">
        <x:v>1.0240478613619908</x:v>
      </x:c>
      <x:c r="AI158" s="13" t="n">
        <x:v>0.6563403155727601</x:v>
      </x:c>
      <x:c r="AJ158" s="13" t="n">
        <x:v>-0.11305120939577462</x:v>
      </x:c>
      <x:c r="AK158" s="13" t="n">
        <x:v>-0.11736319003519148</x:v>
      </x:c>
      <x:c r="AL158" s="13" t="n">
        <x:v>-0.1561704772312581</x:v>
      </x:c>
      <x:c r="AM158" s="13" t="n">
        <x:v>1.3582474209800086</x:v>
      </x:c>
      <x:c r="AN158" s="13" t="n">
        <x:v>-0.6650024350673872</x:v>
      </x:c>
      <x:c r="AO158" s="13" t="n">
        <x:v>0.49865197447388754</x:v>
      </x:c>
      <x:c r="AP158" s="13" t="n">
        <x:v>1.2089586735011963</x:v>
      </x:c>
    </x:row>
    <x:row r="159" ht="15" hidden="0" customHeight="1">
      <x:c r="A159" s="2" t="str">
        <x:v>E158</x:v>
      </x:c>
      <x:c r="B159" s="2" t="str">
        <x:v>***装饰工程有限公司</x:v>
      </x:c>
      <x:c r="C159" s="2" t="str">
        <x:v>无信贷记录</x:v>
      </x:c>
      <x:c r="D159" s="2" t="str"/>
      <x:c r="E159" s="2" t="str"/>
      <x:c r="F159" s="13" t="n">
        <x:v>-0.06842173631374093</x:v>
      </x:c>
      <x:c r="G159" s="13" t="n">
        <x:v>-0.08452988210553154</x:v>
      </x:c>
      <x:c r="H159" s="13" t="n">
        <x:v>0.2786131621998226</x:v>
      </x:c>
      <x:c r="I159" s="13" t="n">
        <x:v>0.09718536296765899</x:v>
      </x:c>
      <x:c r="J159" s="13" t="n">
        <x:v>0.726299831280442</x:v>
      </x:c>
      <x:c r="K159" s="13" t="n">
        <x:v>0.7333548454047045</x:v>
      </x:c>
      <x:c r="L159" s="13" t="n">
        <x:v>0.21606489526655137</x:v>
      </x:c>
      <x:c r="M159" s="13" t="n">
        <x:v>1.3020644839430047</x:v>
      </x:c>
      <x:c r="N159" s="13" t="n">
        <x:v>0.5558704559317512</x:v>
      </x:c>
      <x:c r="O159" s="13" t="n">
        <x:v>1.9801647278858603</x:v>
      </x:c>
      <x:c r="P159" s="13" t="n">
        <x:v>1.8884512259248016</x:v>
      </x:c>
      <x:c r="Q159" s="13" t="n">
        <x:v>0.936698398471703</x:v>
      </x:c>
      <x:c r="R159" s="13" t="n">
        <x:v>-0.019784221614381484</x:v>
      </x:c>
      <x:c r="S159" s="13" t="n">
        <x:v>0.20658431371127456</x:v>
      </x:c>
      <x:c r="T159" s="13" t="n">
        <x:v>0.2590597127376754</x:v>
      </x:c>
      <x:c r="U159" s="13" t="n">
        <x:v>-0.04011220279131115</x:v>
      </x:c>
      <x:c r="V159" s="13" t="n">
        <x:v>-0.0649788163815884</x:v>
      </x:c>
      <x:c r="W159" s="13" t="n">
        <x:v>0.31641532446804915</x:v>
      </x:c>
      <x:c r="X159" s="13" t="n">
        <x:v>-0.3910667203118402</x:v>
      </x:c>
      <x:c r="Y159" s="13" t="n">
        <x:v>0.23546533736875414</x:v>
      </x:c>
      <x:c r="Z159" s="13" t="n">
        <x:v>0.13350953352009742</x:v>
      </x:c>
      <x:c r="AA159" s="13" t="n">
        <x:v>-0.3757844073588725</x:v>
      </x:c>
      <x:c r="AB159" s="13" t="n">
        <x:v>0.043718491195934996</x:v>
      </x:c>
      <x:c r="AC159" s="13" t="n">
        <x:v>-0.6980651016988949</x:v>
      </x:c>
      <x:c r="AD159" s="13" t="n">
        <x:v>-0.25404277225545696</x:v>
      </x:c>
      <x:c r="AE159" s="13" t="n">
        <x:v>-0.4125076354556481</x:v>
      </x:c>
      <x:c r="AF159" s="13" t="n">
        <x:v>0.41339658721799816</x:v>
      </x:c>
      <x:c r="AG159" s="13" t="n">
        <x:v>0.5667791294616946</x:v>
      </x:c>
      <x:c r="AH159" s="13" t="n">
        <x:v>0.09233821920422626</x:v>
      </x:c>
      <x:c r="AI159" s="13" t="n">
        <x:v>0.05256405124716919</x:v>
      </x:c>
      <x:c r="AJ159" s="13" t="n">
        <x:v>-0.10361222791791837</x:v>
      </x:c>
      <x:c r="AK159" s="13" t="n">
        <x:v>-0.062102926953230546</x:v>
      </x:c>
      <x:c r="AL159" s="13" t="n">
        <x:v>0.35815469647304854</x:v>
      </x:c>
      <x:c r="AM159" s="13" t="n">
        <x:v>-0.39129855892627524</x:v>
      </x:c>
      <x:c r="AN159" s="13" t="n">
        <x:v>1.2715128812860415</x:v>
      </x:c>
      <x:c r="AO159" s="13" t="n">
        <x:v>0.25258124251246145</x:v>
      </x:c>
      <x:c r="AP159" s="13" t="n">
        <x:v>0.1691182814949932</x:v>
      </x:c>
    </x:row>
    <x:row r="160" ht="15" hidden="0" customHeight="1">
      <x:c r="A160" s="2" t="str">
        <x:v>E159</x:v>
      </x:c>
      <x:c r="B160" s="2" t="str">
        <x:v>个体经营E159 </x:v>
      </x:c>
      <x:c r="C160" s="2" t="str">
        <x:v>无信贷记录</x:v>
      </x:c>
      <x:c r="D160" s="2" t="str"/>
      <x:c r="E160" s="2" t="str"/>
      <x:c r="F160" s="13" t="n">
        <x:v>1.5587168439514512</x:v>
      </x:c>
      <x:c r="G160" s="13" t="n">
        <x:v>1.5328152079651833</x:v>
      </x:c>
      <x:c r="H160" s="13" t="n">
        <x:v>1.7350911087867025</x:v>
      </x:c>
      <x:c r="I160" s="13" t="n">
        <x:v>0.09718536296765899</x:v>
      </x:c>
      <x:c r="J160" s="13" t="n">
        <x:v>0.82638320896248</x:v>
      </x:c>
      <x:c r="K160" s="13" t="n">
        <x:v>0.8088695100218469</x:v>
      </x:c>
      <x:c r="L160" s="13" t="n">
        <x:v>2.4553019038138815</x:v>
      </x:c>
      <x:c r="M160" s="13" t="n">
        <x:v>0.5869096854603526</x:v>
      </x:c>
      <x:c r="N160" s="13" t="n">
        <x:v>-0.40767122431410413</x:v>
      </x:c>
      <x:c r="O160" s="13" t="n">
        <x:v>-0.85979169417007</x:v>
      </x:c>
      <x:c r="P160" s="13" t="n">
        <x:v>-0.9627912477008809</x:v>
      </x:c>
      <x:c r="Q160" s="13" t="n">
        <x:v>1.0542377928774713</x:v>
      </x:c>
      <x:c r="R160" s="13" t="n">
        <x:v>-0.7740858405604193</x:v>
      </x:c>
      <x:c r="S160" s="13" t="n">
        <x:v>-0.390884797311419</x:v>
      </x:c>
      <x:c r="T160" s="13" t="n">
        <x:v>0.2590597127376754</x:v>
      </x:c>
      <x:c r="U160" s="13" t="n">
        <x:v>-0.4263691800647291</x:v>
      </x:c>
      <x:c r="V160" s="13" t="n">
        <x:v>-0.4161860490863916</x:v>
      </x:c>
      <x:c r="W160" s="13" t="n">
        <x:v>-0.4853246060049233</x:v>
      </x:c>
      <x:c r="X160" s="13" t="n">
        <x:v>-0.3496979040701705</x:v>
      </x:c>
      <x:c r="Y160" s="13" t="n">
        <x:v>0.4884093118857868</x:v>
      </x:c>
      <x:c r="Z160" s="13" t="n">
        <x:v>0.35472071732442645</x:v>
      </x:c>
      <x:c r="AA160" s="13" t="n">
        <x:v>-0.20894273006820296</x:v>
      </x:c>
      <x:c r="AB160" s="13" t="n">
        <x:v>-0.3669828432096856</x:v>
      </x:c>
      <x:c r="AC160" s="13" t="n">
        <x:v>-0.41082189732397106</x:v>
      </x:c>
      <x:c r="AD160" s="13" t="n">
        <x:v>-0.830358463849296</x:v>
      </x:c>
      <x:c r="AE160" s="13" t="n">
        <x:v>-0.9477533685610661</x:v>
      </x:c>
      <x:c r="AF160" s="13" t="n">
        <x:v>0.4763725706622655</x:v>
      </x:c>
      <x:c r="AG160" s="13" t="n">
        <x:v>-0.6899545034443479</x:v>
      </x:c>
      <x:c r="AH160" s="13" t="n">
        <x:v>-0.23323653955140755</x:v>
      </x:c>
      <x:c r="AI160" s="13" t="n">
        <x:v>0.7569696929603585</x:v>
      </x:c>
      <x:c r="AJ160" s="13" t="n">
        <x:v>0.2376710288788</x:v>
      </x:c>
      <x:c r="AK160" s="13" t="n">
        <x:v>-0.1247632366602824</x:v>
      </x:c>
      <x:c r="AL160" s="13" t="n">
        <x:v>-0.4384694233716121</x:v>
      </x:c>
      <x:c r="AM160" s="13" t="n">
        <x:v>-0.5941818017170523</x:v>
      </x:c>
      <x:c r="AN160" s="13" t="n">
        <x:v>-1.1307073678084125</x:v>
      </x:c>
      <x:c r="AO160" s="13" t="n">
        <x:v>-0.8505978479595102</x:v>
      </x:c>
      <x:c r="AP160" s="13" t="n">
        <x:v>-0.36085839520918955</x:v>
      </x:c>
    </x:row>
    <x:row r="161" ht="15" hidden="0" customHeight="1">
      <x:c r="A161" s="2" t="str">
        <x:v>E160</x:v>
      </x:c>
      <x:c r="B161" s="2" t="str">
        <x:v>***钢结构工程有限公司</x:v>
      </x:c>
      <x:c r="C161" s="2" t="str">
        <x:v>无信贷记录</x:v>
      </x:c>
      <x:c r="D161" s="2" t="str"/>
      <x:c r="E161" s="2" t="str"/>
      <x:c r="F161" s="13" t="n">
        <x:v>0.5323678933226377</x:v>
      </x:c>
      <x:c r="G161" s="13" t="n">
        <x:v>0.5330629065132295</x:v>
      </x:c>
      <x:c r="H161" s="13" t="n">
        <x:v>0.36366296929978636</x:v>
      </x:c>
      <x:c r="I161" s="13" t="n">
        <x:v>-0.11722379017423794</x:v>
      </x:c>
      <x:c r="J161" s="13" t="n">
        <x:v>1.5044286721099627</x:v>
      </x:c>
      <x:c r="K161" s="13" t="n">
        <x:v>1.4747009730500067</x:v>
      </x:c>
      <x:c r="L161" s="13" t="n">
        <x:v>0.5750730026151722</x:v>
      </x:c>
      <x:c r="M161" s="13" t="n">
        <x:v>0.13926929040170036</x:v>
      </x:c>
      <x:c r="N161" s="13" t="n">
        <x:v>-0.35966558005571553</x:v>
      </x:c>
      <x:c r="O161" s="13" t="n">
        <x:v>-0.7056721582326291</x:v>
      </x:c>
      <x:c r="P161" s="13" t="n">
        <x:v>-0.614361559531735</x:v>
      </x:c>
      <x:c r="Q161" s="13" t="n">
        <x:v>1.4554590093243809</x:v>
      </x:c>
      <x:c r="R161" s="13" t="n">
        <x:v>-0.7780866065540378</x:v>
      </x:c>
      <x:c r="S161" s="13" t="n">
        <x:v>-0.012736324643478035</x:v>
      </x:c>
      <x:c r="T161" s="13" t="n">
        <x:v>0.8241600270927416</x:v>
      </x:c>
      <x:c r="U161" s="13" t="n">
        <x:v>0.5590340225291203</x:v>
      </x:c>
      <x:c r="V161" s="13" t="n">
        <x:v>0.45678272741308734</x:v>
      </x:c>
      <x:c r="W161" s="13" t="n">
        <x:v>1.8674449095886594</x:v>
      </x:c>
      <x:c r="X161" s="13" t="n">
        <x:v>0.9741042156632594</x:v>
      </x:c>
      <x:c r="Y161" s="13" t="n">
        <x:v>0.9010746137579912</x:v>
      </x:c>
      <x:c r="Z161" s="13" t="n">
        <x:v>0.7308604745572068</x:v>
      </x:c>
      <x:c r="AA161" s="13" t="n">
        <x:v>-0.2394912061918467</x:v>
      </x:c>
      <x:c r="AB161" s="13" t="n">
        <x:v>0.2791616196025974</x:v>
      </x:c>
      <x:c r="AC161" s="13" t="n">
        <x:v>0.536486602291485</x:v>
      </x:c>
      <x:c r="AD161" s="13" t="n">
        <x:v>-0.27449198652595413</x:v>
      </x:c>
      <x:c r="AE161" s="13" t="n">
        <x:v>0.07106100456314775</x:v>
      </x:c>
      <x:c r="AF161" s="13" t="n">
        <x:v>0.8522695808515552</x:v>
      </x:c>
      <x:c r="AG161" s="13" t="n">
        <x:v>-0.5736485017471036</x:v>
      </x:c>
      <x:c r="AH161" s="13" t="n">
        <x:v>-0.16687503296259515</x:v>
      </x:c>
      <x:c r="AI161" s="13" t="n">
        <x:v>0.9582284477355555</x:v>
      </x:c>
      <x:c r="AJ161" s="13" t="n">
        <x:v>0.3978893082116925</x:v>
      </x:c>
      <x:c r="AK161" s="13" t="n">
        <x:v>-0.12017257526186048</x:v>
      </x:c>
      <x:c r="AL161" s="13" t="n">
        <x:v>0.3114427769587382</x:v>
      </x:c>
      <x:c r="AM161" s="13" t="n">
        <x:v>0.2600805979026305</x:v>
      </x:c>
      <x:c r="AN161" s="13" t="n">
        <x:v>-0.6763809454092158</x:v>
      </x:c>
      <x:c r="AO161" s="13" t="n">
        <x:v>-0.7985484115522355</x:v>
      </x:c>
      <x:c r="AP161" s="13" t="n">
        <x:v>-0.09578244943433076</x:v>
      </x:c>
    </x:row>
    <x:row r="162" ht="15" hidden="0" customHeight="1">
      <x:c r="A162" s="2" t="str">
        <x:v>E161</x:v>
      </x:c>
      <x:c r="B162" s="2" t="str">
        <x:v>***建筑劳务有限责任公司</x:v>
      </x:c>
      <x:c r="C162" s="2" t="str">
        <x:v>无信贷记录</x:v>
      </x:c>
      <x:c r="D162" s="2" t="str"/>
      <x:c r="E162" s="2" t="str"/>
      <x:c r="F162" s="13" t="n">
        <x:v>-0.49768963526689414</x:v>
      </x:c>
      <x:c r="G162" s="13" t="n">
        <x:v>-0.4935412553134532</x:v>
      </x:c>
      <x:c r="H162" s="13" t="n">
        <x:v>-0.497466327587347</x:v>
      </x:c>
      <x:c r="I162" s="13" t="n">
        <x:v>-0.46027843520127304</x:v>
      </x:c>
      <x:c r="J162" s="13" t="n">
        <x:v>-0.5508817969090158</x:v>
      </x:c>
      <x:c r="K162" s="13" t="n">
        <x:v>-0.5536447693264659</x:v>
      </x:c>
      <x:c r="L162" s="13" t="n">
        <x:v>-0.28898040829167804</x:v>
      </x:c>
      <x:c r="M162" s="13" t="n">
        <x:v>-0.8414243656759314</x:v>
      </x:c>
      <x:c r="N162" s="13" t="n">
        <x:v>-0.7216149855326618</x:v>
      </x:c>
      <x:c r="O162" s="13" t="n">
        <x:v>-0.4390305908068964</x:v>
      </x:c>
      <x:c r="P162" s="13" t="n">
        <x:v>-0.19999167645096105</x:v>
      </x:c>
      <x:c r="Q162" s="13" t="n">
        <x:v>-0.566377658975118</x:v>
      </x:c>
      <x:c r="R162" s="13" t="n">
        <x:v>0.7284295720668201</x:v>
      </x:c>
      <x:c r="S162" s="13" t="n">
        <x:v>-0.2077550239653288</x:v>
      </x:c>
      <x:c r="T162" s="13" t="n">
        <x:v>0.5416098699152085</x:v>
      </x:c>
      <x:c r="U162" s="13" t="n">
        <x:v>-0.40739885103083684</x:v>
      </x:c>
      <x:c r="V162" s="13" t="n">
        <x:v>-0.41338087949609764</x:v>
      </x:c>
      <x:c r="W162" s="13" t="n">
        <x:v>-0.25304481306415555</x:v>
      </x:c>
      <x:c r="X162" s="13" t="n">
        <x:v>-0.32901349594933565</x:v>
      </x:c>
      <x:c r="Y162" s="13" t="n">
        <x:v>0.9349814623076559</x:v>
      </x:c>
      <x:c r="Z162" s="13" t="n">
        <x:v>0.7194553810821697</x:v>
      </x:c>
      <x:c r="AA162" s="13" t="n">
        <x:v>-0.3311366345627778</x:v>
      </x:c>
      <x:c r="AB162" s="13" t="n">
        <x:v>0.4372121313069041</x:v>
      </x:c>
      <x:c r="AC162" s="13" t="n">
        <x:v>-0.2762520767869794</x:v>
      </x:c>
      <x:c r="AD162" s="13" t="n">
        <x:v>-0.6388144144575413</x:v>
      </x:c>
      <x:c r="AE162" s="13" t="n">
        <x:v>-0.7431235039498449</x:v>
      </x:c>
      <x:c r="AF162" s="13" t="n">
        <x:v>0.8854844071312451</x:v>
      </x:c>
      <x:c r="AG162" s="13" t="n">
        <x:v>-0.20854389554080965</x:v>
      </x:c>
      <x:c r="AH162" s="13" t="n">
        <x:v>-0.3768836734611839</x:v>
      </x:c>
      <x:c r="AI162" s="13" t="n">
        <x:v>0.4550815607975631</x:v>
      </x:c>
      <x:c r="AJ162" s="13" t="n">
        <x:v>2.0373588436746215</x:v>
      </x:c>
      <x:c r="AK162" s="13" t="n">
        <x:v>-0.3409626491973131</x:v>
      </x:c>
      <x:c r="AL162" s="13" t="n">
        <x:v>0.44681130709857836</x:v>
      </x:c>
      <x:c r="AM162" s="13" t="n">
        <x:v>-0.4172270889828615</x:v>
      </x:c>
      <x:c r="AN162" s="13" t="n">
        <x:v>-0.7092418119723769</x:v>
      </x:c>
      <x:c r="AO162" s="13" t="n">
        <x:v>0.39484801644160367</x:v>
      </x:c>
      <x:c r="AP162" s="13" t="n">
        <x:v>-0.32101546536720094</x:v>
      </x:c>
    </x:row>
    <x:row r="163" ht="15" hidden="0" customHeight="1">
      <x:c r="A163" s="2" t="str">
        <x:v>E162</x:v>
      </x:c>
      <x:c r="B163" s="2" t="str">
        <x:v>***网络信息安全有限公司</x:v>
      </x:c>
      <x:c r="C163" s="2" t="str">
        <x:v>无信贷记录</x:v>
      </x:c>
      <x:c r="D163" s="2" t="str"/>
      <x:c r="E163" s="2" t="str"/>
      <x:c r="F163" s="13" t="n">
        <x:v>4.191343623816415</x:v>
      </x:c>
      <x:c r="G163" s="13" t="n">
        <x:v>4.097167873751778</x:v>
      </x:c>
      <x:c r="H163" s="13" t="n">
        <x:v>5.2540268775477035</x:v>
      </x:c>
      <x:c r="I163" s="13" t="n">
        <x:v>5.9617045197048135</x:v>
      </x:c>
      <x:c r="J163" s="13" t="n">
        <x:v>2.2899157504565024</x:v>
      </x:c>
      <x:c r="K163" s="13" t="n">
        <x:v>2.817725155737169</x:v>
      </x:c>
      <x:c r="L163" s="13" t="n">
        <x:v>3.197657651212725</x:v>
      </x:c>
      <x:c r="M163" s="13" t="n">
        <x:v>0.8609912944417497</x:v>
      </x:c>
      <x:c r="N163" s="13" t="n">
        <x:v>1.9068168140951325</x:v>
      </x:c>
      <x:c r="O163" s="13" t="n">
        <x:v>-0.8138188074770067</x:v>
      </x:c>
      <x:c r="P163" s="13" t="n">
        <x:v>-0.9892801753384685</x:v>
      </x:c>
      <x:c r="Q163" s="13" t="n">
        <x:v>2.1542969400496434</x:v>
      </x:c>
      <x:c r="R163" s="13" t="n">
        <x:v>-0.8219192645192094</x:v>
      </x:c>
      <x:c r="S163" s="13" t="n">
        <x:v>0.24572881253340456</x:v>
      </x:c>
      <x:c r="T163" s="13" t="n">
        <x:v>0.918343412818586</x:v>
      </x:c>
      <x:c r="U163" s="13" t="n">
        <x:v>-0.2904151553218344</x:v>
      </x:c>
      <x:c r="V163" s="13" t="n">
        <x:v>-0.28265997658839936</x:v>
      </x:c>
      <x:c r="W163" s="13" t="n">
        <x:v>-0.33546667507539574</x:v>
      </x:c>
      <x:c r="X163" s="13" t="n">
        <x:v>0.2294655233132051</x:v>
      </x:c>
      <x:c r="Y163" s="13" t="n">
        <x:v>0.8524512056418624</x:v>
      </x:c>
      <x:c r="Z163" s="13" t="n">
        <x:v>0.9501056306767611</x:v>
      </x:c>
      <x:c r="AA163" s="13" t="n">
        <x:v>-0.1642949572721083</x:v>
      </x:c>
      <x:c r="AB163" s="13" t="n">
        <x:v>-0.3733680556794006</x:v>
      </x:c>
      <x:c r="AC163" s="13" t="n">
        <x:v>1.4333892492360496</x:v>
      </x:c>
      <x:c r="AD163" s="13" t="n">
        <x:v>-0.7358682057009132</x:v>
      </x:c>
      <x:c r="AE163" s="13" t="n">
        <x:v>-0.8911682611254806</x:v>
      </x:c>
      <x:c r="AF163" s="13" t="n">
        <x:v>0.8046385528208002</x:v>
      </x:c>
      <x:c r="AG163" s="13" t="n">
        <x:v>0.5657476160455795</x:v>
      </x:c>
      <x:c r="AH163" s="13" t="n">
        <x:v>1.0980201821195452</x:v>
      </x:c>
      <x:c r="AI163" s="13" t="n">
        <x:v>0.857599070347957</x:v>
      </x:c>
      <x:c r="AJ163" s="13" t="n">
        <x:v>-0.2876664260186726</x:v>
      </x:c>
      <x:c r="AK163" s="13" t="n">
        <x:v>-0.03061186421072049</x:v>
      </x:c>
      <x:c r="AL163" s="13" t="n">
        <x:v>-0.3250872840437049</x:v>
      </x:c>
      <x:c r="AM163" s="13" t="n">
        <x:v>0.7549859626980561</x:v>
      </x:c>
      <x:c r="AN163" s="13" t="n">
        <x:v>-1.0392292092462967</x:v>
      </x:c>
      <x:c r="AO163" s="13" t="n">
        <x:v>-0.2917896130604616</x:v>
      </x:c>
      <x:c r="AP163" s="13" t="n">
        <x:v>0.6995763849643462</x:v>
      </x:c>
    </x:row>
    <x:row r="164" ht="15" hidden="0" customHeight="1">
      <x:c r="A164" s="2" t="str">
        <x:v>E163</x:v>
      </x:c>
      <x:c r="B164" s="2" t="str">
        <x:v>***物流有限公司</x:v>
      </x:c>
      <x:c r="C164" s="2" t="str">
        <x:v>无信贷记录</x:v>
      </x:c>
      <x:c r="D164" s="2" t="str"/>
      <x:c r="E164" s="2" t="str"/>
      <x:c r="F164" s="13" t="n">
        <x:v>0.6079301692722747</x:v>
      </x:c>
      <x:c r="G164" s="13" t="n">
        <x:v>0.623687935277939</x:v>
      </x:c>
      <x:c r="H164" s="13" t="n">
        <x:v>0.08725109622490407</x:v>
      </x:c>
      <x:c r="I164" s="13" t="n">
        <x:v>-0.031460128917479166</x:v>
      </x:c>
      <x:c r="J164" s="13" t="n">
        <x:v>1.0934851791497395</x:v>
      </x:c>
      <x:c r="K164" s="13" t="n">
        <x:v>1.0693067839603736</x:v>
      </x:c>
      <x:c r="L164" s="13" t="n">
        <x:v>0.09740967334624447</x:v>
      </x:c>
      <x:c r="M164" s="13" t="n">
        <x:v>-0.31980311914554804</x:v>
      </x:c>
      <x:c r="N164" s="13" t="n">
        <x:v>-0.30237331682465</x:v>
      </x:c>
      <x:c r="O164" s="13" t="n">
        <x:v>-0.5359703527203084</x:v>
      </x:c>
      <x:c r="P164" s="13" t="n">
        <x:v>-0.5773141375010952</x:v>
      </x:c>
      <x:c r="Q164" s="13" t="n">
        <x:v>1.0080264977747575</x:v>
      </x:c>
      <x:c r="R164" s="13" t="n">
        <x:v>-0.2434540613247293</x:v>
      </x:c>
      <x:c r="S164" s="13" t="n">
        <x:v>-0.6490161539773733</x:v>
      </x:c>
      <x:c r="T164" s="13" t="n">
        <x:v>0.918343412818586</x:v>
      </x:c>
      <x:c r="U164" s="13" t="n">
        <x:v>0.01574487714181614</x:v>
      </x:c>
      <x:c r="V164" s="13" t="n">
        <x:v>-0.026267476035531805</x:v>
      </x:c>
      <x:c r="W164" s="13" t="n">
        <x:v>0.5936524966876752</x:v>
      </x:c>
      <x:c r="X164" s="13" t="n">
        <x:v>-0.2049070472243266</x:v>
      </x:c>
      <x:c r="Y164" s="13" t="n">
        <x:v>0.7807137598165813</x:v>
      </x:c>
      <x:c r="Z164" s="13" t="n">
        <x:v>0.6075184736854554</x:v>
      </x:c>
      <x:c r="AA164" s="13" t="n">
        <x:v>-0.3428860484564869</x:v>
      </x:c>
      <x:c r="AB164" s="13" t="n">
        <x:v>0.22020948167513588</x:v>
      </x:c>
      <x:c r="AC164" s="13" t="n">
        <x:v>-0.3735236148593392</x:v>
      </x:c>
      <x:c r="AD164" s="13" t="n">
        <x:v>1.4578012390916362</x:v>
      </x:c>
      <x:c r="AE164" s="13" t="n">
        <x:v>1.5644782354822124</x:v>
      </x:c>
      <x:c r="AF164" s="13" t="n">
        <x:v>0.7343652333365298</x:v>
      </x:c>
      <x:c r="AG164" s="13" t="n">
        <x:v>-0.37665265838904477</x:v>
      </x:c>
      <x:c r="AH164" s="13" t="n">
        <x:v>-0.4843260284444483</x:v>
      </x:c>
      <x:c r="AI164" s="13" t="n">
        <x:v>0.857599070347957</x:v>
      </x:c>
      <x:c r="AJ164" s="13" t="n">
        <x:v>0.5153901146566607</x:v>
      </x:c>
      <x:c r="AK164" s="13" t="n">
        <x:v>-0.14400387419746197</x:v>
      </x:c>
      <x:c r="AL164" s="13" t="n">
        <x:v>-0.22723976356877174</x:v>
      </x:c>
      <x:c r="AM164" s="13" t="n">
        <x:v>-0.4628419224716203</x:v>
      </x:c>
      <x:c r="AN164" s="13" t="n">
        <x:v>0.515677808455772</x:v>
      </x:c>
      <x:c r="AO164" s="13" t="n">
        <x:v>-0.34328789390600967</x:v>
      </x:c>
      <x:c r="AP164" s="13" t="n">
        <x:v>-0.6454434588602288</x:v>
      </x:c>
    </x:row>
    <x:row r="165" ht="15" hidden="0" customHeight="1">
      <x:c r="A165" s="2" t="str">
        <x:v>E164</x:v>
      </x:c>
      <x:c r="B165" s="2" t="str">
        <x:v>个体经营E164 </x:v>
      </x:c>
      <x:c r="C165" s="2" t="str">
        <x:v>无信贷记录</x:v>
      </x:c>
      <x:c r="D165" s="2" t="str"/>
      <x:c r="E165" s="2" t="str"/>
      <x:c r="F165" s="13" t="n">
        <x:v>1.33156644385745</x:v>
      </x:c>
      <x:c r="G165" s="13" t="n">
        <x:v>1.3539626379692224</x:v>
      </x:c>
      <x:c r="H165" s="13" t="n">
        <x:v>0.49123767994973205</x:v>
      </x:c>
      <x:c r="I165" s="13" t="n">
        <x:v>1.1263492980487642</x:v>
      </x:c>
      <x:c r="J165" s="13" t="n">
        <x:v>0.9418775196675843</x:v>
      </x:c>
      <x:c r="K165" s="13" t="n">
        <x:v>0.98720840057823</x:v>
      </x:c>
      <x:c r="L165" s="13" t="n">
        <x:v>0.8184683296311863</x:v>
      </x:c>
      <x:c r="M165" s="13" t="n">
        <x:v>-0.2812839364870492</x:v>
      </x:c>
      <x:c r="N165" s="13" t="n">
        <x:v>0.25322673020039543</x:v>
      </x:c>
      <x:c r="O165" s="13" t="n">
        <x:v>-0.27238029043075124</x:v>
      </x:c>
      <x:c r="P165" s="13" t="n">
        <x:v>0.13152260652746864</x:v>
      </x:c>
      <x:c r="Q165" s="13" t="n">
        <x:v>0.9432522044106129</x:v>
      </x:c>
      <x:c r="R165" s="13" t="n">
        <x:v>-0.4264820048442894</x:v>
      </x:c>
      <x:c r="S165" s="13" t="n">
        <x:v>0.020477566290157657</x:v>
      </x:c>
      <x:c r="T165" s="13" t="n">
        <x:v>0.7299766413668972</x:v>
      </x:c>
      <x:c r="U165" s="13" t="n">
        <x:v>0.31558146659416925</x:v>
      </x:c>
      <x:c r="V165" s="13" t="n">
        <x:v>0.2682753309453335</x:v>
      </x:c>
      <x:c r="W165" s="13" t="n">
        <x:v>0.9233399447326358</x:v>
      </x:c>
      <x:c r="X165" s="13" t="n">
        <x:v>0.043305850225691514</x:v>
      </x:c>
      <x:c r="Y165" s="13" t="n">
        <x:v>0.6618018511170185</x:v>
      </x:c>
      <x:c r="Z165" s="13" t="n">
        <x:v>0.4919385549774762</x:v>
      </x:c>
      <x:c r="AA165" s="13" t="n">
        <x:v>-0.19719331617449384</x:v>
      </x:c>
      <x:c r="AB165" s="13" t="n">
        <x:v>0.014186432356602725</x:v>
      </x:c>
      <x:c r="AC165" s="13" t="n">
        <x:v>-0.21441713232294773</x:v>
      </x:c>
      <x:c r="AD165" s="13" t="n">
        <x:v>-0.8428477330273382</x:v>
      </x:c>
      <x:c r="AE165" s="13" t="n">
        <x:v>-1.007374899829991</x:v>
      </x:c>
      <x:c r="AF165" s="13" t="n">
        <x:v>0.650944410422326</x:v>
      </x:c>
      <x:c r="AG165" s="13" t="n">
        <x:v>-0.6267056429771547</x:v>
      </x:c>
      <x:c r="AH165" s="13" t="n">
        <x:v>0.02596790711209256</x:v>
      </x:c>
      <x:c r="AI165" s="13" t="n">
        <x:v>0.857599070347957</x:v>
      </x:c>
      <x:c r="AJ165" s="13" t="n">
        <x:v>0.4354985080027438</x:v>
      </x:c>
      <x:c r="AK165" s="13" t="n">
        <x:v>-0.13143479702398064</x:v>
      </x:c>
      <x:c r="AL165" s="13" t="n">
        <x:v>-0.3569938250395558</x:v>
      </x:c>
      <x:c r="AM165" s="13" t="n">
        <x:v>-0.16749243838551406</x:v>
      </x:c>
      <x:c r="AN165" s="13" t="n">
        <x:v>-0.7151640010779726</x:v>
      </x:c>
      <x:c r="AO165" s="13" t="n">
        <x:v>-0.585125714121262</x:v>
      </x:c>
      <x:c r="AP165" s="13" t="n">
        <x:v>0.02168339405718695</x:v>
      </x:c>
    </x:row>
    <x:row r="166" ht="15" hidden="0" customHeight="1">
      <x:c r="A166" s="2" t="str">
        <x:v>E165</x:v>
      </x:c>
      <x:c r="B166" s="2" t="str">
        <x:v>***文化传媒股份有限公司</x:v>
      </x:c>
      <x:c r="C166" s="2" t="str">
        <x:v>无信贷记录</x:v>
      </x:c>
      <x:c r="D166" s="2" t="str"/>
      <x:c r="E166" s="2" t="str"/>
      <x:c r="F166" s="13" t="n">
        <x:v>1.3922944079642137</x:v>
      </x:c>
      <x:c r="G166" s="13" t="n">
        <x:v>1.3769785182904184</x:v>
      </x:c>
      <x:c r="H166" s="13" t="n">
        <x:v>1.3736294286118564</x:v>
      </x:c>
      <x:c r="I166" s="13" t="n">
        <x:v>1.5980494349609373</x:v>
      </x:c>
      <x:c r="J166" s="13" t="n">
        <x:v>1.285361718199143</x:v>
      </x:c>
      <x:c r="K166" s="13" t="n">
        <x:v>1.3664199566122655</x:v>
      </x:c>
      <x:c r="L166" s="13" t="n">
        <x:v>2.1084635628160613</x:v>
      </x:c>
      <x:c r="M166" s="13" t="n">
        <x:v>0.429299963852375</x:v>
      </x:c>
      <x:c r="N166" s="13" t="n">
        <x:v>0.5284065686609298</x:v>
      </x:c>
      <x:c r="O166" s="13" t="n">
        <x:v>-0.7351340682186673</x:v>
      </x:c>
      <x:c r="P166" s="13" t="n">
        <x:v>-0.6046542520599665</x:v>
      </x:c>
      <x:c r="Q166" s="13" t="n">
        <x:v>1.2399038936409696</x:v>
      </x:c>
      <x:c r="R166" s="13" t="n">
        <x:v>-0.9330269169209845</x:v>
      </x:c>
      <x:c r="S166" s="13" t="n">
        <x:v>-0.5215826446182219</x:v>
      </x:c>
      <x:c r="T166" s="13" t="n">
        <x:v>0.8241600270927416</x:v>
      </x:c>
      <x:c r="U166" s="13" t="n">
        <x:v>0.8135526037338418</x:v>
      </x:c>
      <x:c r="V166" s="13" t="n">
        <x:v>0.7692786197718339</x:v>
      </x:c>
      <x:c r="W166" s="13" t="n">
        <x:v>1.3129705651494075</x:v>
      </x:c>
      <x:c r="X166" s="13" t="n">
        <x:v>1.9669558054633318</x:v>
      </x:c>
      <x:c r="Y166" s="13" t="n">
        <x:v>0.5854060809780102</x:v>
      </x:c>
      <x:c r="Z166" s="13" t="n">
        <x:v>0.4813694697714247</x:v>
      </x:c>
      <x:c r="AA166" s="13" t="n">
        <x:v>0.1999368734328744</x:v>
      </x:c>
      <x:c r="AB166" s="13" t="n">
        <x:v>-0.19595274653335176</x:v>
      </x:c>
      <x:c r="AC166" s="13" t="n">
        <x:v>0.9280546754977649</x:v>
      </x:c>
      <x:c r="AD166" s="13" t="n">
        <x:v>-0.8444459440070697</x:v>
      </x:c>
      <x:c r="AE166" s="13" t="n">
        <x:v>-0.8377461510884525</x:v>
      </x:c>
      <x:c r="AF166" s="13" t="n">
        <x:v>0.5430436891295944</x:v>
      </x:c>
      <x:c r="AG166" s="13" t="n">
        <x:v>-1.027596558310746</x:v>
      </x:c>
      <x:c r="AH166" s="13" t="n">
        <x:v>-0.49818044390247274</x:v>
      </x:c>
      <x:c r="AI166" s="13" t="n">
        <x:v>0.9582284477355555</x:v>
      </x:c>
      <x:c r="AJ166" s="13" t="n">
        <x:v>0.04451889261632264</x:v>
      </x:c>
      <x:c r="AK166" s="13" t="n">
        <x:v>-0.07709202767657654</x:v>
      </x:c>
      <x:c r="AL166" s="13" t="n">
        <x:v>-0.16105502667747387</x:v>
      </x:c>
      <x:c r="AM166" s="13" t="n">
        <x:v>0.6850682488765891</x:v>
      </x:c>
      <x:c r="AN166" s="13" t="n">
        <x:v>-1.0495857340486394</x:v>
      </x:c>
      <x:c r="AO166" s="13" t="n">
        <x:v>-1.117344551694697</x:v>
      </x:c>
      <x:c r="AP166" s="13" t="n">
        <x:v>-0.5743545175381033</x:v>
      </x:c>
    </x:row>
    <x:row r="167" ht="15" hidden="0" customHeight="1">
      <x:c r="A167" s="2" t="str">
        <x:v>E166</x:v>
      </x:c>
      <x:c r="B167" s="2" t="str">
        <x:v>***建筑工程有限公司</x:v>
      </x:c>
      <x:c r="C167" s="2" t="str">
        <x:v>无信贷记录</x:v>
      </x:c>
      <x:c r="D167" s="2" t="str"/>
      <x:c r="E167" s="2" t="str"/>
      <x:c r="F167" s="13" t="n">
        <x:v>-0.5333846981388086</x:v>
      </x:c>
      <x:c r="G167" s="13" t="n">
        <x:v>-0.5309420608353969</x:v>
      </x:c>
      <x:c r="H167" s="13" t="n">
        <x:v>-0.4868351016998515</x:v>
      </x:c>
      <x:c r="I167" s="13" t="n">
        <x:v>-0.46027843520127304</x:v>
      </x:c>
      <x:c r="J167" s="13" t="n">
        <x:v>-0.5064368661543932</x:v>
      </x:c>
      <x:c r="K167" s="13" t="n">
        <x:v>-0.5099855578983701</x:v>
      </x:c>
      <x:c r="L167" s="13" t="n">
        <x:v>-0.4897815530798897</x:v>
      </x:c>
      <x:c r="M167" s="13" t="n">
        <x:v>-0.477415086530096</x:v>
      </x:c>
      <x:c r="N167" s="13" t="n">
        <x:v>-0.7216149855326618</x:v>
      </x:c>
      <x:c r="O167" s="13" t="n">
        <x:v>-0.08896671367204627</x:v>
      </x:c>
      <x:c r="P167" s="13" t="n">
        <x:v>0.2753082622662003</x:v>
      </x:c>
      <x:c r="Q167" s="13" t="n">
        <x:v>-0.5231705648140037</x:v>
      </x:c>
      <x:c r="R167" s="13" t="n">
        <x:v>1.873536160122163</x:v>
      </x:c>
      <x:c r="S167" s="13" t="n">
        <x:v>1.974329597814321</x:v>
      </x:c>
      <x:c r="T167" s="13" t="n">
        <x:v>0.07069294128598666</x:v>
      </x:c>
      <x:c r="U167" s="13" t="n">
        <x:v>0.2686825975937133</x:v>
      </x:c>
      <x:c r="V167" s="13" t="n">
        <x:v>0.2368574315340412</x:v>
      </x:c>
      <x:c r="W167" s="13" t="n">
        <x:v>0.6760743586989153</x:v>
      </x:c>
      <x:c r="X167" s="13" t="n">
        <x:v>4.945510574863549</x:v>
      </x:c>
      <x:c r="Y167" s="13" t="n">
        <x:v>0.20364562268392705</x:v>
      </x:c>
      <x:c r="Z167" s="13" t="n">
        <x:v>0.4711455838782224</x:v>
      </x:c>
      <x:c r="AA167" s="13" t="n">
        <x:v>-0.2817890962091995</x:v>
      </x:c>
      <x:c r="AB167" s="13" t="n">
        <x:v>-0.10057955283479682</x:v>
      </x:c>
      <x:c r="AC167" s="13" t="n">
        <x:v>5.267905931214426</x:v>
      </x:c>
      <x:c r="AD167" s="13" t="n">
        <x:v>1.1252428974997555</x:v>
      </x:c>
      <x:c r="AE167" s="13" t="n">
        <x:v>1.389667736071578</x:v>
      </x:c>
      <x:c r="AF167" s="13" t="n">
        <x:v>0.16907477591374126</x:v>
      </x:c>
      <x:c r="AG167" s="13" t="n">
        <x:v>0.9452870808982793</x:v>
      </x:c>
      <x:c r="AH167" s="13" t="n">
        <x:v>0.8568080330536145</x:v>
      </x:c>
      <x:c r="AI167" s="13" t="n">
        <x:v>0.15319342863476768</x:v>
      </x:c>
      <x:c r="AJ167" s="13" t="n">
        <x:v>0.7934406899621433</x:v>
      </x:c>
      <x:c r="AK167" s="13" t="n">
        <x:v>-0.33436728015082307</x:v>
      </x:c>
      <x:c r="AL167" s="13" t="n">
        <x:v>0.5054765833595442</x:v>
      </x:c>
      <x:c r="AM167" s="13" t="n">
        <x:v>5.277690058932323</x:v>
      </x:c>
      <x:c r="AN167" s="13" t="n">
        <x:v>0.632391838912199</x:v>
      </x:c>
      <x:c r="AO167" s="13" t="n">
        <x:v>1.7145599611262459</x:v>
      </x:c>
      <x:c r="AP167" s="13" t="n">
        <x:v>1.6370453960857765</x:v>
      </x:c>
    </x:row>
    <x:row r="168" ht="15" hidden="0" customHeight="1">
      <x:c r="A168" s="2" t="str">
        <x:v>E167</x:v>
      </x:c>
      <x:c r="B168" s="2" t="str">
        <x:v>***体育文化股份有限公司</x:v>
      </x:c>
      <x:c r="C168" s="2" t="str">
        <x:v>无信贷记录</x:v>
      </x:c>
      <x:c r="D168" s="2" t="str"/>
      <x:c r="E168" s="2" t="str"/>
      <x:c r="F168" s="13" t="n">
        <x:v>2.7704946926161838</x:v>
      </x:c>
      <x:c r="G168" s="13" t="n">
        <x:v>2.7790292278566118</x:v>
      </x:c>
      <x:c r="H168" s="13" t="n">
        <x:v>1.8945594970991346</x:v>
      </x:c>
      <x:c r="I168" s="13" t="n">
        <x:v>3.6992591357515274</x:v>
      </x:c>
      <x:c r="J168" s="13" t="n">
        <x:v>2.5887994157810557</x:v>
      </x:c>
      <x:c r="K168" s="13" t="n">
        <x:v>2.5834207001312697</x:v>
      </x:c>
      <x:c r="L168" s="13" t="n">
        <x:v>2.634805957488192</x:v>
      </x:c>
      <x:c r="M168" s="13" t="n">
        <x:v>0.043313689323532835</x:v>
      </x:c>
      <x:c r="N168" s="13" t="n">
        <x:v>0.7598834481175762</x:v>
      </x:c>
      <x:c r="O168" s="13" t="n">
        <x:v>-0.6006676990914483</x:v>
      </x:c>
      <x:c r="P168" s="13" t="n">
        <x:v>-0.4949984568053697</x:v>
      </x:c>
      <x:c r="Q168" s="13" t="n">
        <x:v>2.52244632495065</x:v>
      </x:c>
      <x:c r="R168" s="13" t="n">
        <x:v>-1.2639507400639614</x:v>
      </x:c>
      <x:c r="S168" s="13" t="n">
        <x:v>-0.3690537168311681</x:v>
      </x:c>
      <x:c r="T168" s="13" t="n">
        <x:v>0.8241600270927416</x:v>
      </x:c>
      <x:c r="U168" s="13" t="n">
        <x:v>2.0640134592179082</x:v>
      </x:c>
      <x:c r="V168" s="13" t="n">
        <x:v>2.0574124956348183</x:v>
      </x:c>
      <x:c r="W168" s="13" t="n">
        <x:v>1.8899235992280885</x:v>
      </x:c>
      <x:c r="X168" s="13" t="n">
        <x:v>1.4912144186841305</x:v>
      </x:c>
      <x:c r="Y168" s="13" t="n">
        <x:v>0.7277900978527402</x:v>
      </x:c>
      <x:c r="Z168" s="13" t="n">
        <x:v>0.5346891880059907</x:v>
      </x:c>
      <x:c r="AA168" s="13" t="n">
        <x:v>5.658714568450131</x:v>
      </x:c>
      <x:c r="AB168" s="13" t="n">
        <x:v>-0.4608182662018862</x:v>
      </x:c>
      <x:c r="AC168" s="13" t="n">
        <x:v>-0.04205285887667272</x:v>
      </x:c>
      <x:c r="AD168" s="13" t="n">
        <x:v>-0.6850528996710505</x:v>
      </x:c>
      <x:c r="AE168" s="13" t="n">
        <x:v>-0.6943067121654009</x:v>
      </x:c>
      <x:c r="AF168" s="13" t="n">
        <x:v>0.6825217175453406</x:v>
      </x:c>
      <x:c r="AG168" s="13" t="n">
        <x:v>-1.2064649960400111</x:v>
      </x:c>
      <x:c r="AH168" s="13" t="n">
        <x:v>-0.21186830583271074</x:v>
      </x:c>
      <x:c r="AI168" s="13" t="n">
        <x:v>0.9582284477355555</x:v>
      </x:c>
      <x:c r="AJ168" s="13" t="n">
        <x:v>-0.7241204443995537</x:v>
      </x:c>
      <x:c r="AK168" s="13" t="n">
        <x:v>0.06704984756870536</x:v>
      </x:c>
      <x:c r="AL168" s="13" t="n">
        <x:v>-0.45649096333922223</x:v>
      </x:c>
      <x:c r="AM168" s="13" t="n">
        <x:v>0.16192504896236162</x:v>
      </x:c>
      <x:c r="AN168" s="13" t="n">
        <x:v>-0.8542632299868548</x:v>
      </x:c>
      <x:c r="AO168" s="13" t="n">
        <x:v>-1.4208734473559648</x:v>
      </x:c>
      <x:c r="AP168" s="13" t="n">
        <x:v>-0.3367231969271068</x:v>
      </x:c>
    </x:row>
    <x:row r="169" ht="15" hidden="0" customHeight="1">
      <x:c r="A169" s="2" t="str">
        <x:v>E168</x:v>
      </x:c>
      <x:c r="B169" s="2" t="str">
        <x:v>***建材有限公司</x:v>
      </x:c>
      <x:c r="C169" s="2" t="str">
        <x:v>无信贷记录</x:v>
      </x:c>
      <x:c r="D169" s="2" t="str"/>
      <x:c r="E169" s="2" t="str"/>
      <x:c r="F169" s="13" t="n">
        <x:v>-0.3989487470627671</x:v>
      </x:c>
      <x:c r="G169" s="13" t="n">
        <x:v>-0.39044929137476253</x:v>
      </x:c>
      <x:c r="H169" s="13" t="n">
        <x:v>-0.518728779362338</x:v>
      </x:c>
      <x:c r="I169" s="13" t="n">
        <x:v>-0.46027843520127304</x:v>
      </x:c>
      <x:c r="J169" s="13" t="n">
        <x:v>-0.5405466929730998</x:v>
      </x:c>
      <x:c r="K169" s="13" t="n">
        <x:v>-0.5434923744366938</x:v>
      </x:c>
      <x:c r="L169" s="13" t="n">
        <x:v>-0.6905826978681014</x:v>
      </x:c>
      <x:c r="M169" s="13" t="n">
        <x:v>-1.151103901665672</x:v>
      </x:c>
      <x:c r="N169" s="13" t="n">
        <x:v>-0.7216149855326618</x:v>
      </x:c>
      <x:c r="O169" s="13" t="n">
        <x:v>0.8121449993097851</x:v>
      </x:c>
      <x:c r="P169" s="13" t="n">
        <x:v>0.6868973693228722</x:v>
      </x:c>
      <x:c r="Q169" s="13" t="n">
        <x:v>-0.5427742995544017</x:v>
      </x:c>
      <x:c r="R169" s="13" t="n">
        <x:v>0.2747000774783383</x:v>
      </x:c>
      <x:c r="S169" s="13" t="n">
        <x:v>2.1027361122998327</x:v>
      </x:c>
      <x:c r="T169" s="13" t="n">
        <x:v>-1.624608001779212</x:v>
      </x:c>
      <x:c r="U169" s="13" t="n">
        <x:v>-0.34100269941221384</x:v>
      </x:c>
      <x:c r="V169" s="13" t="n">
        <x:v>-0.32305441868863227</x:v>
      </x:c>
      <x:c r="W169" s="13" t="n">
        <x:v>-0.5152961921908288</x:v>
      </x:c>
      <x:c r="X169" s="13" t="n">
        <x:v>-0.3910667203118402</x:v>
      </x:c>
      <x:c r="Y169" s="13" t="n">
        <x:v>0.31058325853408286</x:v>
      </x:c>
      <x:c r="Z169" s="13" t="n">
        <x:v>0.19178590302802698</x:v>
      </x:c>
      <x:c r="AA169" s="13" t="n">
        <x:v>-0.37108464180138884</x:v>
      </x:c>
      <x:c r="AB169" s="13" t="n">
        <x:v>-0.7012867195529997</x:v>
      </x:c>
      <x:c r="AC169" s="13" t="n">
        <x:v>-0.6980651016988949</x:v>
      </x:c>
      <x:c r="AD169" s="13" t="n">
        <x:v>0.7343226149849249</x:v>
      </x:c>
      <x:c r="AE169" s="13" t="n">
        <x:v>0.9468642809100355</x:v>
      </x:c>
      <x:c r="AF169" s="13" t="n">
        <x:v>0.37640672321869084</x:v>
      </x:c>
      <x:c r="AG169" s="13" t="n">
        <x:v>-0.5294251225837479</x:v>
      </x:c>
      <x:c r="AH169" s="13" t="n">
        <x:v>0.39833257591322946</x:v>
      </x:c>
      <x:c r="AI169" s="13" t="n">
        <x:v>0.15319342863476768</x:v>
      </x:c>
      <x:c r="AJ169" s="13" t="n">
        <x:v>0.9966004656562433</x:v>
      </x:c>
      <x:c r="AK169" s="13" t="n">
        <x:v>-0.3373348007641932</x:v>
      </x:c>
      <x:c r="AL169" s="13" t="n">
        <x:v>-0.9303368268062318</x:v>
      </x:c>
      <x:c r="AM169" s="13" t="n">
        <x:v>-0.7815911692517314</x:v>
      </x:c>
      <x:c r="AN169" s="13" t="n">
        <x:v>1.0402694791412053</x:v>
      </x:c>
      <x:c r="AO169" s="13" t="n">
        <x:v>-0.06388729955083516</x:v>
      </x:c>
      <x:c r="AP169" s="13" t="n">
        <x:v>1.4848119094510486</x:v>
      </x:c>
    </x:row>
    <x:row r="170" ht="15" hidden="0" customHeight="1">
      <x:c r="A170" s="2" t="str">
        <x:v>E169</x:v>
      </x:c>
      <x:c r="B170" s="2" t="str">
        <x:v>***建筑设计有限公司</x:v>
      </x:c>
      <x:c r="C170" s="2" t="str">
        <x:v>无信贷记录</x:v>
      </x:c>
      <x:c r="D170" s="2" t="str"/>
      <x:c r="E170" s="2" t="str"/>
      <x:c r="F170" s="13" t="n">
        <x:v>2.1854665193128584</x:v>
      </x:c>
      <x:c r="G170" s="13" t="n">
        <x:v>2.1748623694252154</x:v>
      </x:c>
      <x:c r="H170" s="13" t="n">
        <x:v>1.8732970453241435</x:v>
      </x:c>
      <x:c r="I170" s="13" t="n">
        <x:v>0.7404128223933497</x:v>
      </x:c>
      <x:c r="J170" s="13" t="n">
        <x:v>1.0128463775180734</x:v>
      </x:c>
      <x:c r="K170" s="13" t="n">
        <x:v>0.9911017108904546</x:v>
      </x:c>
      <x:c r="L170" s="13" t="n">
        <x:v>2.3974955136475784</x:v>
      </x:c>
      <x:c r="M170" s="13" t="n">
        <x:v>0.2803174127998284</x:v>
      </x:c>
      <x:c r="N170" s="13" t="n">
        <x:v>-0.20123874941888661</x:v>
      </x:c>
      <x:c r="O170" s="13" t="n">
        <x:v>-0.8702683063761144</x:v>
      </x:c>
      <x:c r="P170" s="13" t="n">
        <x:v>-1.120470861023447</x:v>
      </x:c>
      <x:c r="Q170" s="13" t="n">
        <x:v>0.9717572163930376</x:v>
      </x:c>
      <x:c r="R170" s="13" t="n">
        <x:v>-0.05319710413458877</x:v>
      </x:c>
      <x:c r="S170" s="13" t="n">
        <x:v>0.9866192948879056</x:v>
      </x:c>
      <x:c r="T170" s="13" t="n">
        <x:v>0.8241600270927416</x:v>
      </x:c>
      <x:c r="U170" s="13" t="n">
        <x:v>0.2254724036831809</x:v>
      </x:c>
      <x:c r="V170" s="13" t="n">
        <x:v>0.2441508724688055</x:v>
      </x:c>
      <x:c r="W170" s="13" t="n">
        <x:v>-0.035750813216340604</x:v>
      </x:c>
      <x:c r="X170" s="13" t="n">
        <x:v>0.2294655233132051</x:v>
      </x:c>
      <x:c r="Y170" s="13" t="n">
        <x:v>0.5811038532400005</x:v>
      </x:c>
      <x:c r="Z170" s="13" t="n">
        <x:v>0.4356564484366241</x:v>
      </x:c>
      <x:c r="AA170" s="13" t="n">
        <x:v>0.011946251133528483</x:v>
      </x:c>
      <x:c r="AB170" s="13" t="n">
        <x:v>-0.5763303905154089</x:v>
      </x:c>
      <x:c r="AC170" s="13" t="n">
        <x:v>0.013931351698522757</x:v>
      </x:c>
      <x:c r="AD170" s="13" t="n">
        <x:v>-0.8267516027608635</x:v>
      </x:c>
      <x:c r="AE170" s="13" t="n">
        <x:v>-0.989426347994565</x:v>
      </x:c>
      <x:c r="AF170" s="13" t="n">
        <x:v>0.5388292677650034</x:v>
      </x:c>
      <x:c r="AG170" s="13" t="n">
        <x:v>-0.4683507268137831</x:v>
      </x:c>
      <x:c r="AH170" s="13" t="n">
        <x:v>0.6471300012015109</x:v>
      </x:c>
      <x:c r="AI170" s="13" t="n">
        <x:v>0.9582284477355555</x:v>
      </x:c>
      <x:c r="AJ170" s="13" t="n">
        <x:v>0.2473451124797184</x:v>
      </x:c>
      <x:c r="AK170" s="13" t="n">
        <x:v>-0.11784512771326151</x:v>
      </x:c>
      <x:c r="AL170" s="13" t="n">
        <x:v>-0.5491788152217734</x:v>
      </x:c>
      <x:c r="AM170" s="13" t="n">
        <x:v>-0.30942995144682367</x:v>
      </x:c>
      <x:c r="AN170" s="13" t="n">
        <x:v>-1.1360288105577765</x:v>
      </x:c>
      <x:c r="AO170" s="13" t="n">
        <x:v>-0.25746036723860033</x:v>
      </x:c>
      <x:c r="AP170" s="13" t="n">
        <x:v>0.9263729820786923</x:v>
      </x:c>
    </x:row>
    <x:row r="171" ht="15" hidden="0" customHeight="1">
      <x:c r="A171" s="2" t="str">
        <x:v>E170</x:v>
      </x:c>
      <x:c r="B171" s="2" t="str">
        <x:v>***建筑劳务有限公司</x:v>
      </x:c>
      <x:c r="C171" s="2" t="str">
        <x:v>无信贷记录</x:v>
      </x:c>
      <x:c r="D171" s="2" t="str"/>
      <x:c r="E171" s="2" t="str"/>
      <x:c r="F171" s="13" t="n">
        <x:v>0.0038955339202676044</x:v>
      </x:c>
      <x:c r="G171" s="13" t="n">
        <x:v>-0.01356425111517701</x:v>
      </x:c>
      <x:c r="H171" s="13" t="n">
        <x:v>0.36366296929978636</x:v>
      </x:c>
      <x:c r="I171" s="13" t="n">
        <x:v>1.898222249359593</x:v>
      </x:c>
      <x:c r="J171" s="13" t="n">
        <x:v>0.10614146968881363</x:v>
      </x:c>
      <x:c r="K171" s="13" t="n">
        <x:v>0.1284032148245254</x:v>
      </x:c>
      <x:c r="L171" s="13" t="n">
        <x:v>-0.002990899047861383</x:v>
      </x:c>
      <x:c r="M171" s="13" t="n">
        <x:v>1.2453034550308768</x:v>
      </x:c>
      <x:c r="N171" s="13" t="n">
        <x:v>4.0416696674385575</x:v>
      </x:c>
      <x:c r="O171" s="13" t="n">
        <x:v>-0.6571893258150111</x:v>
      </x:c>
      <x:c r="P171" s="13" t="n">
        <x:v>-0.555534765901401</x:v>
      </x:c>
      <x:c r="Q171" s="13" t="n">
        <x:v>0.07958759514830695</x:v>
      </x:c>
      <x:c r="R171" s="13" t="n">
        <x:v>-0.262929383546296</x:v>
      </x:c>
      <x:c r="S171" s="13" t="n">
        <x:v>0.8058971908314915</x:v>
      </x:c>
      <x:c r="T171" s="13" t="n">
        <x:v>0.5416098699152085</x:v>
      </x:c>
      <x:c r="U171" s="13" t="n">
        <x:v>-0.14023338380352043</x:v>
      </x:c>
      <x:c r="V171" s="13" t="n">
        <x:v>-0.10593429239988014</x:v>
      </x:c>
      <x:c r="W171" s="13" t="n">
        <x:v>-0.560253571469687</x:v>
      </x:c>
      <x:c r="X171" s="13" t="n">
        <x:v>-0.08080059849931753</x:v>
      </x:c>
      <x:c r="Y171" s="13" t="n">
        <x:v>0.17038665868707029</x:v>
      </x:c>
      <x:c r="Z171" s="13" t="n">
        <x:v>0.1053014597413357</x:v>
      </x:c>
      <x:c r="AA171" s="13" t="n">
        <x:v>-0.37343452458013066</x:v>
      </x:c>
      <x:c r="AB171" s="13" t="n">
        <x:v>-0.9158455998605152</x:v>
      </x:c>
      <x:c r="AC171" s="13" t="n">
        <x:v>-0.059442328613424834</x:v>
      </x:c>
      <x:c r="AD171" s="13" t="n">
        <x:v>-0.27408858839139016</x:v>
      </x:c>
      <x:c r="AE171" s="13" t="n">
        <x:v>-0.2916534902591611</x:v>
      </x:c>
      <x:c r="AF171" s="13" t="n">
        <x:v>0.13649461117858575</x:v>
      </x:c>
      <x:c r="AG171" s="13" t="n">
        <x:v>-0.18163437140819433</x:v>
      </x:c>
      <x:c r="AH171" s="13" t="n">
        <x:v>0.5400565436632113</x:v>
      </x:c>
      <x:c r="AI171" s="13" t="n">
        <x:v>-0.04806532614042929</x:v>
      </x:c>
      <x:c r="AJ171" s="13" t="n">
        <x:v>0.26650549391595524</x:v>
      </x:c>
      <x:c r="AK171" s="13" t="n">
        <x:v>-0.1849595459608362</x:v>
      </x:c>
      <x:c r="AL171" s="13" t="n">
        <x:v>-0.4940812533480245</x:v>
      </x:c>
      <x:c r="AM171" s="13" t="n">
        <x:v>1.2424545824303992</x:v>
      </x:c>
      <x:c r="AN171" s="13" t="n">
        <x:v>-0.6411977810324596</x:v>
      </x:c>
      <x:c r="AO171" s="13" t="n">
        <x:v>-0.26466961651276955</x:v>
      </x:c>
      <x:c r="AP171" s="13" t="n">
        <x:v>0.7617379718815032</x:v>
      </x:c>
    </x:row>
    <x:row r="172" ht="15" hidden="0" customHeight="1">
      <x:c r="A172" s="2" t="str">
        <x:v>E171</x:v>
      </x:c>
      <x:c r="B172" s="2" t="str">
        <x:v>***质量检验测试站</x:v>
      </x:c>
      <x:c r="C172" s="2" t="str">
        <x:v>无信贷记录</x:v>
      </x:c>
      <x:c r="D172" s="2" t="str"/>
      <x:c r="E172" s="2" t="str"/>
      <x:c r="F172" s="13" t="n">
        <x:v>0.278793875258518</x:v>
      </x:c>
      <x:c r="G172" s="13" t="n">
        <x:v>0.26262631273917575</x:v>
      </x:c>
      <x:c r="H172" s="13" t="n">
        <x:v>0.5443938093872094</x:v>
      </x:c>
      <x:c r="I172" s="13" t="n">
        <x:v>-0.11722379017423794</x:v>
      </x:c>
      <x:c r="J172" s="13" t="n">
        <x:v>0.36258593065367734</x:v>
      </x:c>
      <x:c r="K172" s="13" t="n">
        <x:v>0.3438303391433892</x:v>
      </x:c>
      <x:c r="L172" s="13" t="n">
        <x:v>0.27995616860825506</x:v>
      </x:c>
      <x:c r="M172" s="13" t="n">
        <x:v>0.8457896221371269</x:v>
      </x:c>
      <x:c r="N172" s="13" t="n">
        <x:v>-0.24768562136729114</x:v>
      </x:c>
      <x:c r="O172" s="13" t="n">
        <x:v>-0.6041515002237072</x:v>
      </x:c>
      <x:c r="P172" s="13" t="n">
        <x:v>-0.5631648884664756</x:v>
      </x:c>
      <x:c r="Q172" s="13" t="n">
        <x:v>0.3077700642427272</x:v>
      </x:c>
      <x:c r="R172" s="13" t="n">
        <x:v>-0.42751879525630926</x:v>
      </x:c>
      <x:c r="S172" s="13" t="n">
        <x:v>0.40771396203217597</x:v>
      </x:c>
      <x:c r="T172" s="13" t="n">
        <x:v>0.918343412818586</x:v>
      </x:c>
      <x:c r="U172" s="13" t="n">
        <x:v>3.3966790738488415</x:v>
      </x:c>
      <x:c r="V172" s="13" t="n">
        <x:v>3.387623915352212</x:v>
      </x:c>
      <x:c r="W172" s="13" t="n">
        <x:v>3.0738012535713564</x:v>
      </x:c>
      <x:c r="X172" s="13" t="n">
        <x:v>1.946271397342497</x:v>
      </x:c>
      <x:c r="Y172" s="13" t="n">
        <x:v>0.4753110879821515</x:v>
      </x:c>
      <x:c r="Z172" s="13" t="n">
        <x:v>0.34947673150244146</x:v>
      </x:c>
      <x:c r="AA172" s="13" t="n">
        <x:v>3.0268458562592886</x:v>
      </x:c>
      <x:c r="AB172" s="13" t="n">
        <x:v>-0.4753024703177129</x:v>
      </x:c>
      <x:c r="AC172" s="13" t="n">
        <x:v>-0.15886459350073642</x:v>
      </x:c>
      <x:c r="AD172" s="13" t="n">
        <x:v>-0.9371289812545192</x:v>
      </x:c>
      <x:c r="AE172" s="13" t="n">
        <x:v>-1.156247145398937</x:v>
      </x:c>
      <x:c r="AF172" s="13" t="n">
        <x:v>0.43519568133657155</x:v>
      </x:c>
      <x:c r="AG172" s="13" t="n">
        <x:v>-0.7507408757621332</x:v>
      </x:c>
      <x:c r="AH172" s="13" t="n">
        <x:v>0.18383183783761659</x:v>
      </x:c>
      <x:c r="AI172" s="13" t="n">
        <x:v>0.9582284477355555</x:v>
      </x:c>
      <x:c r="AJ172" s="13" t="n">
        <x:v>0.573309283089077</x:v>
      </x:c>
      <x:c r="AK172" s="13" t="n">
        <x:v>-0.19732698789241482</x:v>
      </x:c>
      <x:c r="AL172" s="13" t="n">
        <x:v>-0.1628448559639962</x:v>
      </x:c>
      <x:c r="AM172" s="13" t="n">
        <x:v>0.023396683353749954</x:v>
      </x:c>
      <x:c r="AN172" s="13" t="n">
        <x:v>-1.012443535279471</x:v>
      </x:c>
      <x:c r="AO172" s="13" t="n">
        <x:v>-0.6442301227235882</x:v>
      </x:c>
      <x:c r="AP172" s="13" t="n">
        <x:v>0.3384087670987274</x:v>
      </x:c>
    </x:row>
    <x:row r="173" ht="15" hidden="0" customHeight="1">
      <x:c r="A173" s="2" t="str">
        <x:v>E172</x:v>
      </x:c>
      <x:c r="B173" s="2" t="str">
        <x:v>***物流有限公司</x:v>
      </x:c>
      <x:c r="C173" s="2" t="str">
        <x:v>无信贷记录</x:v>
      </x:c>
      <x:c r="D173" s="2" t="str"/>
      <x:c r="E173" s="2" t="str"/>
      <x:c r="F173" s="13" t="n">
        <x:v>-0.3943130246118691</x:v>
      </x:c>
      <x:c r="G173" s="13" t="n">
        <x:v>-0.38901079885468776</x:v>
      </x:c>
      <x:c r="H173" s="13" t="n">
        <x:v>-0.4443101981498696</x:v>
      </x:c>
      <x:c r="I173" s="13" t="n">
        <x:v>-0.2458692820593761</x:v>
      </x:c>
      <x:c r="J173" s="13" t="n">
        <x:v>0.357922763036167</x:v>
      </x:c>
      <x:c r="K173" s="13" t="n">
        <x:v>0.34073224883416864</x:v>
      </x:c>
      <x:c r="L173" s="13" t="n">
        <x:v>-0.5536728264215934</x:v>
      </x:c>
      <x:c r="M173" s="13" t="n">
        <x:v>-0.5803993640030503</x:v>
      </x:c>
      <x:c r="N173" s="13" t="n">
        <x:v>0.44214206036371584</x:v>
      </x:c>
      <x:c r="O173" s="13" t="n">
        <x:v>-0.5767248859982731</x:v>
      </x:c>
      <x:c r="P173" s="13" t="n">
        <x:v>-0.7332468662140063</x:v>
      </x:c>
      <x:c r="Q173" s="13" t="n">
        <x:v>0.32733261029331884</x:v>
      </x:c>
      <x:c r="R173" s="13" t="n">
        <x:v>-0.6025517221606252</x:v>
      </x:c>
      <x:c r="S173" s="13" t="n">
        <x:v>0.8987750223312476</x:v>
      </x:c>
      <x:c r="T173" s="13" t="n">
        <x:v>0.8241600270927416</x:v>
      </x:c>
      <x:c r="U173" s="13" t="n">
        <x:v>0.11112347589555237</x:v>
      </x:c>
      <x:c r="V173" s="13" t="n">
        <x:v>0.11006376605275443</x:v>
      </x:c>
      <x:c r="W173" s="13" t="n">
        <x:v>0.12909291080613972</x:v>
      </x:c>
      <x:c r="X173" s="13" t="n">
        <x:v>-0.3910667203118402</x:v>
      </x:c>
      <x:c r="Y173" s="13" t="n">
        <x:v>0.20674643974124224</x:v>
      </x:c>
      <x:c r="Z173" s="13" t="n">
        <x:v>0.11122945622246097</x:v>
      </x:c>
      <x:c r="AA173" s="13" t="n">
        <x:v>-0.16899472282959196</x:v>
      </x:c>
      <x:c r="AB173" s="13" t="n">
        <x:v>-0.3581144702645133</x:v>
      </x:c>
      <x:c r="AC173" s="13" t="n">
        <x:v>-0.6980651016988949</x:v>
      </x:c>
      <x:c r="AD173" s="13" t="n">
        <x:v>-0.5069455012291615</x:v>
      </x:c>
      <x:c r="AE173" s="13" t="n">
        <x:v>-0.566862456242823</x:v>
      </x:c>
      <x:c r="AF173" s="13" t="n">
        <x:v>0.1721123068046752</x:v>
      </x:c>
      <x:c r="AG173" s="13" t="n">
        <x:v>-0.3848657486212551</x:v>
      </x:c>
      <x:c r="AH173" s="13" t="n">
        <x:v>1.0775699682245</x:v>
      </x:c>
      <x:c r="AI173" s="13" t="n">
        <x:v>0.9582284477355555</x:v>
      </x:c>
      <x:c r="AJ173" s="13" t="n">
        <x:v>0.1326778583061049</x:v>
      </x:c>
      <x:c r="AK173" s="13" t="n">
        <x:v>-0.13914434824876715</x:v>
      </x:c>
      <x:c r="AL173" s="13" t="n">
        <x:v>-0.17294357087559117</x:v>
      </x:c>
      <x:c r="AM173" s="13" t="n">
        <x:v>-0.6018233661425234</x:v>
      </x:c>
      <x:c r="AN173" s="13" t="n">
        <x:v>-0.7270207964069347</x:v>
      </x:c>
      <x:c r="AO173" s="13" t="n">
        <x:v>-0.5906400420869844</x:v>
      </x:c>
      <x:c r="AP173" s="13" t="n">
        <x:v>1.0893359172188681</x:v>
      </x:c>
    </x:row>
    <x:row r="174" ht="15" hidden="0" customHeight="1">
      <x:c r="A174" s="2" t="str">
        <x:v>E173</x:v>
      </x:c>
      <x:c r="B174" s="2" t="str">
        <x:v>***贸易有限责任公司</x:v>
      </x:c>
      <x:c r="C174" s="2" t="str">
        <x:v>无信贷记录</x:v>
      </x:c>
      <x:c r="D174" s="2" t="str"/>
      <x:c r="E174" s="2" t="str"/>
      <x:c r="F174" s="13" t="n">
        <x:v>0.013166978822063571</x:v>
      </x:c>
      <x:c r="G174" s="13" t="n">
        <x:v>0.01856208183315916</x:v>
      </x:c>
      <x:c r="H174" s="13" t="n">
        <x:v>-0.13600464741250087</x:v>
      </x:c>
      <x:c r="I174" s="13" t="n">
        <x:v>-0.20298745143099672</x:v>
      </x:c>
      <x:c r="J174" s="13" t="n">
        <x:v>1.875188876988924</x:v>
      </x:c>
      <x:c r="K174" s="13" t="n">
        <x:v>1.8320921085151443</x:v>
      </x:c>
      <x:c r="L174" s="13" t="n">
        <x:v>-0.09426414667886669</x:v>
      </x:c>
      <x:c r="M174" s="13" t="n">
        <x:v>-0.12709690265959647</x:v>
      </x:c>
      <x:c r="N174" s="13" t="n">
        <x:v>-0.22847957978296393</x:v>
      </x:c>
      <x:c r="O174" s="13" t="n">
        <x:v>-0.09961724953817977</x:v>
      </x:c>
      <x:c r="P174" s="13" t="n">
        <x:v>0.29998977688985956</x:v>
      </x:c>
      <x:c r="Q174" s="13" t="n">
        <x:v>1.8202755981651801</x:v>
      </x:c>
      <x:c r="R174" s="13" t="n">
        <x:v>-1.0586745623828915</x:v>
      </x:c>
      <x:c r="S174" s="13" t="n">
        <x:v>-0.176838723480008</x:v>
      </x:c>
      <x:c r="T174" s="13" t="n">
        <x:v>0.8241600270927416</x:v>
      </x:c>
      <x:c r="U174" s="13" t="n">
        <x:v>0.7582224773849893</x:v>
      </x:c>
      <x:c r="V174" s="13" t="n">
        <x:v>0.7827434338052449</x:v>
      </x:c>
      <x:c r="W174" s="13" t="n">
        <x:v>0.34638691065395466</x:v>
      </x:c>
      <x:c r="X174" s="13" t="n">
        <x:v>0.25014993143403996</x:v>
      </x:c>
      <x:c r="Y174" s="13" t="n">
        <x:v>0.596630396617249</x:v>
      </x:c>
      <x:c r="Z174" s="13" t="n">
        <x:v>0.4352448157569125</x:v>
      </x:c>
      <x:c r="AA174" s="13" t="n">
        <x:v>0.4231757374133477</x:v>
      </x:c>
      <x:c r="AB174" s="13" t="n">
        <x:v>-0.5871628150811568</x:v>
      </x:c>
      <x:c r="AC174" s="13" t="n">
        <x:v>-0.2603525141039424</x:v>
      </x:c>
      <x:c r="AD174" s="13" t="n">
        <x:v>-0.8585522450810038</x:v>
      </x:c>
      <x:c r="AE174" s="13" t="n">
        <x:v>-1.0543257433200481</x:v>
      </x:c>
      <x:c r="AF174" s="13" t="n">
        <x:v>0.5540389219516495</x:v>
      </x:c>
      <x:c r="AG174" s="13" t="n">
        <x:v>-1.2738015802331062</x:v>
      </x:c>
      <x:c r="AH174" s="13" t="n">
        <x:v>-0.23446979399487766</x:v>
      </x:c>
      <x:c r="AI174" s="13" t="n">
        <x:v>0.9582284477355555</x:v>
      </x:c>
      <x:c r="AJ174" s="13" t="n">
        <x:v>-0.39131076633054585</x:v>
      </x:c>
      <x:c r="AK174" s="13" t="n">
        <x:v>0.0034297372445167384</x:v>
      </x:c>
      <x:c r="AL174" s="13" t="n">
        <x:v>-0.5005663853511733</x:v>
      </x:c>
      <x:c r="AM174" s="13" t="n">
        <x:v>-0.1911973989427446</x:v>
      </x:c>
      <x:c r="AN174" s="13" t="n">
        <x:v>-0.6003788695492084</x:v>
      </x:c>
      <x:c r="AO174" s="13" t="n">
        <x:v>-1.31846404375328</x:v>
      </x:c>
      <x:c r="AP174" s="13" t="n">
        <x:v>-0.2303540417449429</x:v>
      </x:c>
    </x:row>
    <x:row r="175" ht="15" hidden="0" customHeight="1">
      <x:c r="A175" s="2" t="str">
        <x:v>E174</x:v>
      </x:c>
      <x:c r="B175" s="2" t="str">
        <x:v>***工程技术有限公司</x:v>
      </x:c>
      <x:c r="C175" s="2" t="str">
        <x:v>无信贷记录</x:v>
      </x:c>
      <x:c r="D175" s="2" t="str"/>
      <x:c r="E175" s="2" t="str"/>
      <x:c r="F175" s="13" t="n">
        <x:v>0.49945426392126197</x:v>
      </x:c>
      <x:c r="G175" s="13" t="n">
        <x:v>0.5004570760582017</x:v>
      </x:c>
      <x:c r="H175" s="13" t="n">
        <x:v>0.33176929163729996</x:v>
      </x:c>
      <x:c r="I175" s="13" t="n">
        <x:v>-0.20298745143099672</x:v>
      </x:c>
      <x:c r="J175" s="13" t="n">
        <x:v>1.163493189003191</x:v>
      </x:c>
      <x:c r="K175" s="13" t="n">
        <x:v>1.1555498731613765</x:v>
      </x:c>
      <x:c r="L175" s="13" t="n">
        <x:v>0.6085398600798742</x:v>
      </x:c>
      <x:c r="M175" s="13" t="n">
        <x:v>0.12943840638694426</x:v>
      </x:c>
      <x:c r="N175" s="13" t="n">
        <x:v>-0.4421928539435704</x:v>
      </x:c>
      <x:c r="O175" s="13" t="n">
        <x:v>-0.11510988966174796</x:v>
      </x:c>
      <x:c r="P175" s="13" t="n">
        <x:v>0.02115247635610285</x:v>
      </x:c>
      <x:c r="Q175" s="13" t="n">
        <x:v>1.2705011820712961</x:v>
      </x:c>
      <x:c r="R175" s="13" t="n">
        <x:v>-0.8423822271113628</x:v>
      </x:c>
      <x:c r="S175" s="13" t="n">
        <x:v>0.08428013927226424</x:v>
      </x:c>
      <x:c r="T175" s="13" t="n">
        <x:v>0.5416098699152085</x:v>
      </x:c>
      <x:c r="U175" s="13" t="n">
        <x:v>0.0984765898729575</x:v>
      </x:c>
      <x:c r="V175" s="13" t="n">
        <x:v>0.09715998593740224</x:v>
      </x:c>
      <x:c r="W175" s="13" t="n">
        <x:v>0.12160001425966334</x:v>
      </x:c>
      <x:c r="X175" s="13" t="n">
        <x:v>-0.28764467970766594</x:v>
      </x:c>
      <x:c r="Y175" s="13" t="n">
        <x:v>0.42476841599315485</x:v>
      </x:c>
      <x:c r="Z175" s="13" t="n">
        <x:v>0.2859743882135448</x:v>
      </x:c>
      <x:c r="AA175" s="13" t="n">
        <x:v>-0.19954319895323566</x:v>
      </x:c>
      <x:c r="AB175" s="13" t="n">
        <x:v>-0.3520139931955147</x:v>
      </x:c>
      <x:c r="AC175" s="13" t="n">
        <x:v>-0.5523166987821762</x:v>
      </x:c>
      <x:c r="AD175" s="13" t="n">
        <x:v>-0.8047522948003727</x:v>
      </x:c>
      <x:c r="AE175" s="13" t="n">
        <x:v>-0.9266363724373116</x:v>
      </x:c>
      <x:c r="AF175" s="13" t="n">
        <x:v>0.5018195619358778</x:v>
      </x:c>
      <x:c r="AG175" s="13" t="n">
        <x:v>-0.7332176231856877</x:v>
      </x:c>
      <x:c r="AH175" s="13" t="n">
        <x:v>0.04826405715049893</x:v>
      </x:c>
      <x:c r="AI175" s="13" t="n">
        <x:v>0.5557109381851616</x:v>
      </x:c>
      <x:c r="AJ175" s="13" t="n">
        <x:v>-0.1273005545967088</x:v>
      </x:c>
      <x:c r="AK175" s="13" t="n">
        <x:v>-0.04542696684865513</x:v>
      </x:c>
      <x:c r="AL175" s="13" t="n">
        <x:v>-0.3935391787786495</x:v>
      </x:c>
      <x:c r="AM175" s="13" t="n">
        <x:v>-0.5950827216648202</x:v>
      </x:c>
      <x:c r="AN175" s="13" t="n">
        <x:v>-0.5783177451571904</x:v>
      </x:c>
      <x:c r="AO175" s="13" t="n">
        <x:v>-0.9172762405229845</x:v>
      </x:c>
      <x:c r="AP175" s="13" t="n">
        <x:v>0.07199780261078259</x:v>
      </x:c>
    </x:row>
    <x:row r="176" ht="15" hidden="0" customHeight="1">
      <x:c r="A176" s="2" t="str">
        <x:v>E175</x:v>
      </x:c>
      <x:c r="B176" s="2" t="str">
        <x:v>***食品集团有限公司</x:v>
      </x:c>
      <x:c r="C176" s="2" t="str">
        <x:v>无信贷记录</x:v>
      </x:c>
      <x:c r="D176" s="2" t="str"/>
      <x:c r="E176" s="2" t="str"/>
      <x:c r="F176" s="13" t="n">
        <x:v>1.2842820748582906</x:v>
      </x:c>
      <x:c r="G176" s="13" t="n">
        <x:v>1.2729275593383447</x:v>
      </x:c>
      <x:c r="H176" s="13" t="n">
        <x:v>1.2035298144119289</x:v>
      </x:c>
      <x:c r="I176" s="13" t="n">
        <x:v>2.412804216900146</x:v>
      </x:c>
      <x:c r="J176" s="13" t="n">
        <x:v>1.2082752929934313</x:v>
      </x:c>
      <x:c r="K176" s="13" t="n">
        <x:v>1.3094193845319193</x:v>
      </x:c>
      <x:c r="L176" s="13" t="n">
        <x:v>1.1287973715766044</x:v>
      </x:c>
      <x:c r="M176" s="13" t="n">
        <x:v>0.3691410931930543</x:v>
      </x:c>
      <x:c r="N176" s="13" t="n">
        <x:v>1.1195493423465537</x:v>
      </x:c>
      <x:c r="O176" s="13" t="n">
        <x:v>0.6220497026800154</x:v>
      </x:c>
      <x:c r="P176" s="13" t="n">
        <x:v>0.8989527830586647</x:v>
      </x:c>
      <x:c r="Q176" s="13" t="n">
        <x:v>1.118004057459377</x:v>
      </x:c>
      <x:c r="R176" s="13" t="n">
        <x:v>-0.22880461593201604</x:v>
      </x:c>
      <x:c r="S176" s="13" t="n">
        <x:v>-0.08403987940377187</x:v>
      </x:c>
      <x:c r="T176" s="13" t="n">
        <x:v>0.918343412818586</x:v>
      </x:c>
      <x:c r="U176" s="13" t="n">
        <x:v>1.5929169548762498</x:v>
      </x:c>
      <x:c r="V176" s="13" t="n">
        <x:v>1.5687519530056113</x:v>
      </x:c>
      <x:c r="W176" s="13" t="n">
        <x:v>1.7175869786591318</x:v>
      </x:c>
      <x:c r="X176" s="13" t="n">
        <x:v>0.9741042156632594</x:v>
      </x:c>
      <x:c r="Y176" s="13" t="n">
        <x:v>0.2380019933810002</x:v>
      </x:c>
      <x:c r="Z176" s="13" t="n">
        <x:v>0.15997384406292361</x:v>
      </x:c>
      <x:c r="AA176" s="13" t="n">
        <x:v>3.893952601615022</x:v>
      </x:c>
      <x:c r="AB176" s="13" t="n">
        <x:v>-0.38501834084892916</x:v>
      </x:c>
      <x:c r="AC176" s="13" t="n">
        <x:v>-0.1123814638206691</x:v>
      </x:c>
      <x:c r="AD176" s="13" t="n">
        <x:v>-0.8688197089559078</x:v>
      </x:c>
      <x:c r="AE176" s="13" t="n">
        <x:v>-0.9571354626997184</x:v>
      </x:c>
      <x:c r="AF176" s="13" t="n">
        <x:v>0.22426214841123535</x:v>
      </x:c>
      <x:c r="AG176" s="13" t="n">
        <x:v>0.4496561158909536</x:v>
      </x:c>
      <x:c r="AH176" s="13" t="n">
        <x:v>0.4314919506555775</x:v>
      </x:c>
      <x:c r="AI176" s="13" t="n">
        <x:v>0.2538228060223661</x:v>
      </x:c>
      <x:c r="AJ176" s="13" t="n">
        <x:v>-0.4707242649484131</x:v>
      </x:c>
      <x:c r="AK176" s="13" t="n">
        <x:v>0.045042667643589926</x:v>
      </x:c>
      <x:c r="AL176" s="13" t="n">
        <x:v>-0.24636159864852036</x:v>
      </x:c>
      <x:c r="AM176" s="13" t="n">
        <x:v>0.2336382197915831</x:v>
      </x:c>
      <x:c r="AN176" s="13" t="n">
        <x:v>-0.08672630667987591</x:v>
      </x:c>
      <x:c r="AO176" s="13" t="n">
        <x:v>0.05570878430941315</x:v>
      </x:c>
      <x:c r="AP176" s="13" t="n">
        <x:v>0.16188420950058838</x:v>
      </x:c>
    </x:row>
    <x:row r="177" ht="15" hidden="0" customHeight="1">
      <x:c r="A177" s="2" t="str">
        <x:v>E176</x:v>
      </x:c>
      <x:c r="B177" s="2" t="str">
        <x:v>***科技有限公司</x:v>
      </x:c>
      <x:c r="C177" s="2" t="str">
        <x:v>无信贷记录</x:v>
      </x:c>
      <x:c r="D177" s="2" t="str"/>
      <x:c r="E177" s="2" t="str"/>
      <x:c r="F177" s="13" t="n">
        <x:v>0.8842192273457945</x:v>
      </x:c>
      <x:c r="G177" s="13" t="n">
        <x:v>0.9051529717058991</x:v>
      </x:c>
      <x:c r="H177" s="13" t="n">
        <x:v>0.18293212921236332</x:v>
      </x:c>
      <x:c r="I177" s="13" t="n">
        <x:v>0.26871268548117655</x:v>
      </x:c>
      <x:c r="J177" s="13" t="n">
        <x:v>-0.4746677155723322</x:v>
      </x:c>
      <x:c r="K177" s="13" t="n">
        <x:v>-0.4761792994534287</x:v>
      </x:c>
      <x:c r="L177" s="13" t="n">
        <x:v>1.9289595091417508</x:v>
      </x:c>
      <x:c r="M177" s="13" t="n">
        <x:v>-0.36621157508157876</x:v>
      </x:c>
      <x:c r="N177" s="13" t="n">
        <x:v>-0.14117138274855645</x:v>
      </x:c>
      <x:c r="O177" s="13" t="n">
        <x:v>-0.8522535987290678</x:v>
      </x:c>
      <x:c r="P177" s="13" t="n">
        <x:v>-0.8976505706587483</x:v>
      </x:c>
      <x:c r="Q177" s="13" t="n">
        <x:v>-0.4943818786882591</x:v>
      </x:c>
      <x:c r="R177" s="13" t="n">
        <x:v>-0.7255448132509723</x:v>
      </x:c>
      <x:c r="S177" s="13" t="n">
        <x:v>-0.29102435479806177</x:v>
      </x:c>
      <x:c r="T177" s="13" t="n">
        <x:v>0.918343412818586</x:v>
      </x:c>
      <x:c r="U177" s="13" t="n">
        <x:v>0.5822199802372109</x:v>
      </x:c>
      <x:c r="V177" s="13" t="n">
        <x:v>0.5386936794496708</x:v>
      </x:c>
      <x:c r="W177" s="13" t="n">
        <x:v>1.103169461848069</x:v>
      </x:c>
      <x:c r="X177" s="13" t="n">
        <x:v>0.9947886237840943</x:v>
      </x:c>
      <x:c r="Y177" s="13" t="n">
        <x:v>0.3410941099656162</x:v>
      </x:c>
      <x:c r="Z177" s="13" t="n">
        <x:v>0.24938831192470554</x:v>
      </x:c>
      <x:c r="AA177" s="13" t="n">
        <x:v>-0.0021530455389224606</x:v>
      </x:c>
      <x:c r="AB177" s="13" t="n">
        <x:v>-0.13576814135455917</x:v>
      </x:c>
      <x:c r="AC177" s="13" t="n">
        <x:v>0.4606309353804168</x:v>
      </x:c>
      <x:c r="AD177" s="13" t="n">
        <x:v>-0.5594221402989381</x:v>
      </x:c>
      <x:c r="AE177" s="13" t="n">
        <x:v>-0.41255320090134306</x:v>
      </x:c>
      <x:c r="AF177" s="13" t="n">
        <x:v>0.28066150106533216</x:v>
      </x:c>
      <x:c r="AG177" s="13" t="n">
        <x:v>-1.2090271567966309</x:v>
      </x:c>
      <x:c r="AH177" s="13" t="n">
        <x:v>-0.009561544522443278</x:v>
      </x:c>
      <x:c r="AI177" s="13" t="n">
        <x:v>1.058857825123154</x:v>
      </x:c>
      <x:c r="AJ177" s="13" t="n">
        <x:v>0.9963151164412523</x:v>
      </x:c>
      <x:c r="AK177" s="13" t="n">
        <x:v>-0.32561068118921316</x:v>
      </x:c>
      <x:c r="AL177" s="13" t="n">
        <x:v>-0.29748721045885823</x:v>
      </x:c>
      <x:c r="AM177" s="13" t="n">
        <x:v>0.18699690760266738</x:v>
      </x:c>
      <x:c r="AN177" s="13" t="n">
        <x:v>-0.957958583624114</x:v>
      </x:c>
      <x:c r="AO177" s="13" t="n">
        <x:v>-1.0620877150547479</x:v>
      </x:c>
      <x:c r="AP177" s="13" t="n">
        <x:v>-0.1870370884421562</x:v>
      </x:c>
    </x:row>
    <x:row r="178" ht="15" hidden="0" customHeight="1">
      <x:c r="A178" s="2" t="str">
        <x:v>E177</x:v>
      </x:c>
      <x:c r="B178" s="2" t="str">
        <x:v>***电力工程有限公司</x:v>
      </x:c>
      <x:c r="C178" s="2" t="str">
        <x:v>无信贷记录</x:v>
      </x:c>
      <x:c r="D178" s="2" t="str"/>
      <x:c r="E178" s="2" t="str"/>
      <x:c r="F178" s="13" t="n">
        <x:v>0.8485241644738801</x:v>
      </x:c>
      <x:c r="G178" s="13" t="n">
        <x:v>0.8562442260233575</x:v>
      </x:c>
      <x:c r="H178" s="13" t="n">
        <x:v>0.44871277639975016</x:v>
      </x:c>
      <x:c r="I178" s="13" t="n">
        <x:v>-0.2458692820593761</x:v>
      </x:c>
      <x:c r="J178" s="13" t="n">
        <x:v>1.014523913053068</x:v>
      </x:c>
      <x:c r="K178" s="13" t="n">
        <x:v>1.1271054162201752</x:v>
      </x:c>
      <x:c r="L178" s="13" t="n">
        <x:v>1.256579918260012</x:v>
      </x:c>
      <x:c r="M178" s="13" t="n">
        <x:v>-0.0424668825958013</x:v>
      </x:c>
      <x:c r="N178" s="13" t="n">
        <x:v>-0.545207514348108</x:v>
      </x:c>
      <x:c r="O178" s="13" t="n">
        <x:v>-0.5848957046516939</x:v>
      </x:c>
      <x:c r="P178" s="13" t="n">
        <x:v>-0.4006485499029329</x:v>
      </x:c>
      <x:c r="Q178" s="13" t="n">
        <x:v>0.9734078595405021</x:v>
      </x:c>
      <x:c r="R178" s="13" t="n">
        <x:v>-0.32289587974816303</x:v>
      </x:c>
      <x:c r="S178" s="13" t="n">
        <x:v>0.27618858996068246</x:v>
      </x:c>
      <x:c r="T178" s="13" t="n">
        <x:v>0.8241600270927416</x:v>
      </x:c>
      <x:c r="U178" s="13" t="n">
        <x:v>-0.04854346013970772</x:v>
      </x:c>
      <x:c r="V178" s="13" t="n">
        <x:v>-0.07844363041499938</x:v>
      </x:c>
      <x:c r="W178" s="13" t="n">
        <x:v>0.37635849683986017</x:v>
      </x:c>
      <x:c r="X178" s="13" t="n">
        <x:v>-0.018747374136813013</x:v>
      </x:c>
      <x:c r="Y178" s="13" t="n">
        <x:v>0.42248293282766103</x:v>
      </x:c>
      <x:c r="Z178" s="13" t="n">
        <x:v>0.3032136756317268</x:v>
      </x:c>
      <x:c r="AA178" s="13" t="n">
        <x:v>0.07304320338081591</x:v>
      </x:c>
      <x:c r="AB178" s="13" t="n">
        <x:v>0.1293393929265956</x:v>
      </x:c>
      <x:c r="AC178" s="13" t="n">
        <x:v>0.023310945695375004</x:v>
      </x:c>
      <x:c r="AD178" s="13" t="n">
        <x:v>-0.7039940421548158</x:v>
      </x:c>
      <x:c r="AE178" s="13" t="n">
        <x:v>-0.9415780818613286</x:v>
      </x:c>
      <x:c r="AF178" s="13" t="n">
        <x:v>0.4677876280639572</x:v>
      </x:c>
      <x:c r="AG178" s="13" t="n">
        <x:v>0.6999507835028709</x:v>
      </x:c>
      <x:c r="AH178" s="13" t="n">
        <x:v>-0.5373818523763018</x:v>
      </x:c>
      <x:c r="AI178" s="13" t="n">
        <x:v>-0.24932408091562624</x:v>
      </x:c>
      <x:c r="AJ178" s="13" t="n">
        <x:v>-0.016316839327196415</x:v>
      </x:c>
      <x:c r="AK178" s="13" t="n">
        <x:v>-0.05678159783382842</x:v>
      </x:c>
      <x:c r="AL178" s="13" t="n">
        <x:v>-0.30430757560661437</x:v>
      </x:c>
      <x:c r="AM178" s="13" t="n">
        <x:v>-0.43455994564178446</x:v>
      </x:c>
      <x:c r="AN178" s="13" t="n">
        <x:v>-0.8545959430400987</x:v>
      </x:c>
      <x:c r="AO178" s="13" t="n">
        <x:v>0.1097605828045212</x:v>
      </x:c>
      <x:c r="AP178" s="13" t="n">
        <x:v>-0.10537929448166446</x:v>
      </x:c>
    </x:row>
    <x:row r="179" ht="15" hidden="0" customHeight="1">
      <x:c r="A179" s="2" t="str">
        <x:v>E178</x:v>
      </x:c>
      <x:c r="B179" s="2" t="str">
        <x:v>***贸易有限公司</x:v>
      </x:c>
      <x:c r="C179" s="2" t="str">
        <x:v>无信贷记录</x:v>
      </x:c>
      <x:c r="D179" s="2" t="str"/>
      <x:c r="E179" s="2" t="str"/>
      <x:c r="F179" s="13" t="n">
        <x:v>-0.4550409887186327</x:v>
      </x:c>
      <x:c r="G179" s="13" t="n">
        <x:v>-0.45182497223128537</x:v>
      </x:c>
      <x:c r="H179" s="13" t="n">
        <x:v>-0.4443101981498696</x:v>
      </x:c>
      <x:c r="I179" s="13" t="n">
        <x:v>-0.2458692820593761</x:v>
      </x:c>
      <x:c r="J179" s="13" t="n">
        <x:v>1.2634640995113562</x:v>
      </x:c>
      <x:c r="K179" s="13" t="n">
        <x:v>1.2314151044294492</x:v>
      </x:c>
      <x:c r="L179" s="13" t="n">
        <x:v>-0.6266914245263977</x:v>
      </x:c>
      <x:c r="M179" s="13" t="n">
        <x:v>-0.3605102627271578</x:v>
      </x:c>
      <x:c r="N179" s="13" t="n">
        <x:v>0.8999563937343628</x:v>
      </x:c>
      <x:c r="O179" s="13" t="n">
        <x:v>-0.15880759591602253</x:v>
      </x:c>
      <x:c r="P179" s="13" t="n">
        <x:v>-0.09159741990117198</x:v>
      </x:c>
      <x:c r="Q179" s="13" t="n">
        <x:v>1.218357313268292</x:v>
      </x:c>
      <x:c r="R179" s="13" t="n">
        <x:v>-0.8754722473868627</x:v>
      </x:c>
      <x:c r="S179" s="13" t="n">
        <x:v>0.47620749990483235</x:v>
      </x:c>
      <x:c r="T179" s="13" t="n">
        <x:v>0.7299766413668972</x:v>
      </x:c>
      <x:c r="U179" s="13" t="n">
        <x:v>0.028391763164411</x:v>
      </x:c>
      <x:c r="V179" s="13" t="n">
        <x:v>0.024786610507818184</x:v>
      </x:c>
      <x:c r="W179" s="13" t="n">
        <x:v>0.09162842807375783</x:v>
      </x:c>
      <x:c r="X179" s="13" t="n">
        <x:v>0.06399025834652636</x:v>
      </x:c>
      <x:c r="Y179" s="13" t="n">
        <x:v>0.2854943754616842</x:v>
      </x:c>
      <x:c r="Z179" s="13" t="n">
        <x:v>0.19640307210108127</x:v>
      </x:c>
      <x:c r="AA179" s="13" t="n">
        <x:v>0.030745313363463075</x:v>
      </x:c>
      <x:c r="AB179" s="13" t="n">
        <x:v>-0.3020475782144698</x:v>
      </x:c>
      <x:c r="AC179" s="13" t="n">
        <x:v>0.024412163083175654</x:v>
      </x:c>
      <x:c r="AD179" s="13" t="n">
        <x:v>-0.9152398886677974</x:v>
      </x:c>
      <x:c r="AE179" s="13" t="n">
        <x:v>-1.2132591239037782</x:v>
      </x:c>
      <x:c r="AF179" s="13" t="n">
        <x:v>0.2492530354986873</x:v>
      </x:c>
      <x:c r="AG179" s="13" t="n">
        <x:v>-0.7974103157561172</x:v>
      </x:c>
      <x:c r="AH179" s="13" t="n">
        <x:v>0.62021624356026</x:v>
      </x:c>
      <x:c r="AI179" s="13" t="n">
        <x:v>0.9582284477355555</x:v>
      </x:c>
      <x:c r="AJ179" s="13" t="n">
        <x:v>-0.4346854547316489</x:v>
      </x:c>
      <x:c r="AK179" s="13" t="n">
        <x:v>0.008875659388788862</x:v>
      </x:c>
      <x:c r="AL179" s="13" t="n">
        <x:v>-0.02006880308866935</x:v>
      </x:c>
      <x:c r="AM179" s="13" t="n">
        <x:v>0.39235108936601826</x:v>
      </x:c>
      <x:c r="AN179" s="13" t="n">
        <x:v>-0.678035720218289</x:v>
      </x:c>
      <x:c r="AO179" s="13" t="n">
        <x:v>-0.9699376585128092</x:v>
      </x:c>
      <x:c r="AP179" s="13" t="n">
        <x:v>0.6001385582911097</x:v>
      </x:c>
    </x:row>
    <x:row r="180" ht="15" hidden="0" customHeight="1">
      <x:c r="A180" s="2" t="str">
        <x:v>E179</x:v>
      </x:c>
      <x:c r="B180" s="2" t="str">
        <x:v>***园林有限公司</x:v>
      </x:c>
      <x:c r="C180" s="2" t="str">
        <x:v>无信贷记录</x:v>
      </x:c>
      <x:c r="D180" s="2" t="str"/>
      <x:c r="E180" s="2" t="str"/>
      <x:c r="F180" s="13" t="n">
        <x:v>0.37243546876665723</x:v>
      </x:c>
      <x:c r="G180" s="13" t="n">
        <x:v>0.3474973714235862</x:v>
      </x:c>
      <x:c r="H180" s="13" t="n">
        <x:v>0.8101744565745963</x:v>
      </x:c>
      <x:c r="I180" s="13" t="n">
        <x:v>0.011421701710900218</x:v>
      </x:c>
      <x:c r="J180" s="13" t="n">
        <x:v>0.18376559004384815</x:v>
      </x:c>
      <x:c r="K180" s="13" t="n">
        <x:v>0.178326080713088</x:v>
      </x:c>
      <x:c r="L180" s="13" t="n">
        <x:v>0.3560172083007595</x:v>
      </x:c>
      <x:c r="M180" s="13" t="n">
        <x:v>1.1077350667300825</x:v>
      </x:c>
      <x:c r="N180" s="13" t="n">
        <x:v>-0.12763338930715074</x:v>
      </x:c>
      <x:c r="O180" s="13" t="n">
        <x:v>-0.8532355279078517</x:v>
      </x:c>
      <x:c r="P180" s="13" t="n">
        <x:v>-0.9552631513546384</x:v>
      </x:c>
      <x:c r="Q180" s="13" t="n">
        <x:v>0.155967331773321</x:v>
      </x:c>
      <x:c r="R180" s="13" t="n">
        <x:v>-0.24620432092006309</x:v>
      </x:c>
      <x:c r="S180" s="13" t="n">
        <x:v>0.7721835693520094</x:v>
      </x:c>
      <x:c r="T180" s="13" t="n">
        <x:v>0.6357932556410528</x:v>
      </x:c>
      <x:c r="U180" s="13" t="n">
        <x:v>-0.13549080154504736</x:v>
      </x:c>
      <x:c r="V180" s="13" t="n">
        <x:v>-0.14408459882787794</x:v>
      </x:c>
      <x:c r="W180" s="13" t="n">
        <x:v>0.016699462608994044</x:v>
      </x:c>
      <x:c r="X180" s="13" t="n">
        <x:v>-0.018747374136813013</x:v>
      </x:c>
      <x:c r="Y180" s="13" t="n">
        <x:v>0.051683313180624524</x:v>
      </x:c>
      <x:c r="Z180" s="13" t="n">
        <x:v>0.01361306722063168</x:v>
      </x:c>
      <x:c r="AA180" s="13" t="n">
        <x:v>-0.2958883928816505</x:v>
      </x:c>
      <x:c r="AB180" s="13" t="n">
        <x:v>-0.12739690092104056</x:v>
      </x:c>
      <x:c r="AC180" s="13" t="n">
        <x:v>0.14086108155210142</x:v>
      </x:c>
      <x:c r="AD180" s="13" t="n">
        <x:v>-0.735960519853262</x:v>
      </x:c>
      <x:c r="AE180" s="13" t="n">
        <x:v>-1.038920100150001</x:v>
      </x:c>
      <x:c r="AF180" s="13" t="n">
        <x:v>0.02021394315839138</x:v>
      </x:c>
      <x:c r="AG180" s="13" t="n">
        <x:v>-0.008953293555951748</x:v>
      </x:c>
      <x:c r="AH180" s="13" t="n">
        <x:v>0.3660328923935743</x:v>
      </x:c>
      <x:c r="AI180" s="13" t="n">
        <x:v>0.15319342863476768</x:v>
      </x:c>
      <x:c r="AJ180" s="13" t="n">
        <x:v>0.0103615837960262</x:v>
      </x:c>
      <x:c r="AK180" s="13" t="n">
        <x:v>-0.142145285876477</x:v>
      </x:c>
      <x:c r="AL180" s="13" t="n">
        <x:v>-0.00420739373466774</x:v>
      </x:c>
      <x:c r="AM180" s="13" t="n">
        <x:v>-0.15438805045680154</x:v>
      </x:c>
      <x:c r="AN180" s="13" t="n">
        <x:v>-1.067687724702104</x:v>
      </x:c>
      <x:c r="AO180" s="13" t="n">
        <x:v>-0.17202315238876056</x:v>
      </x:c>
      <x:c r="AP180" s="13" t="n">
        <x:v>0.653443695987983</x:v>
      </x:c>
    </x:row>
    <x:row r="181" ht="15" hidden="0" customHeight="1">
      <x:c r="A181" s="2" t="str">
        <x:v>E180</x:v>
      </x:c>
      <x:c r="B181" s="2" t="str">
        <x:v>***电气有限公司</x:v>
      </x:c>
      <x:c r="C181" s="2" t="str">
        <x:v>无信贷记录</x:v>
      </x:c>
      <x:c r="D181" s="2" t="str"/>
      <x:c r="E181" s="2" t="str"/>
      <x:c r="F181" s="13" t="n">
        <x:v>1.090508876410755</x:v>
      </x:c>
      <x:c r="G181" s="13" t="n">
        <x:v>1.0883210192620845</x:v>
      </x:c>
      <x:c r="H181" s="13" t="n">
        <x:v>0.8526993601245783</x:v>
      </x:c>
      <x:c r="I181" s="13" t="n">
        <x:v>0.8261764836501084</x:v>
      </x:c>
      <x:c r="J181" s="13" t="n">
        <x:v>0.8639251493856042</x:v>
      </x:c>
      <x:c r="K181" s="13" t="n">
        <x:v>0.8501777061442024</x:v>
      </x:c>
      <x:c r="L181" s="13" t="n">
        <x:v>1.137924696339705</x:v>
      </x:c>
      <x:c r="M181" s="13" t="n">
        <x:v>0.19719056150577327</x:v>
      </x:c>
      <x:c r="N181" s="13" t="n">
        <x:v>0.19232002596959924</x:v>
      </x:c>
      <x:c r="O181" s="13" t="n">
        <x:v>1.7745143716469864</x:v>
      </x:c>
      <x:c r="P181" s="13" t="n">
        <x:v>1.7703380065315035</x:v>
      </x:c>
      <x:c r="Q181" s="13" t="n">
        <x:v>0.7880907295345936</x:v>
      </x:c>
      <x:c r="R181" s="13" t="n">
        <x:v>-0.9328240211235898</x:v>
      </x:c>
      <x:c r="S181" s="13" t="n">
        <x:v>0.016799748039165605</x:v>
      </x:c>
      <x:c r="T181" s="13" t="n">
        <x:v>0.918343412818586</x:v>
      </x:c>
      <x:c r="U181" s="13" t="n">
        <x:v>0.5521836259335481</x:v>
      </x:c>
      <x:c r="V181" s="13" t="n">
        <x:v>0.5880646642388444</x:v>
      </x:c>
      <x:c r="W181" s="13" t="n">
        <x:v>0.016699462608994044</x:v>
      </x:c>
      <x:c r="X181" s="13" t="n">
        <x:v>-0.24627586346599628</x:v>
      </x:c>
      <x:c r="Y181" s="13" t="n">
        <x:v>0.24099840188375019</x:v>
      </x:c>
      <x:c r="Z181" s="13" t="n">
        <x:v>0.14189868443567982</x:v>
      </x:c>
      <x:c r="AA181" s="13" t="n">
        <x:v>0.7263106158710428</x:v>
      </x:c>
      <x:c r="AB181" s="13" t="n">
        <x:v>-0.6791797573120533</x:v>
      </x:c>
      <x:c r="AC181" s="13" t="n">
        <x:v>-0.5822732909387612</x:v>
      </x:c>
      <x:c r="AD181" s="13" t="n">
        <x:v>-0.9200536127069183</x:v>
      </x:c>
      <x:c r="AE181" s="13" t="n">
        <x:v>-1.190313823630055</x:v>
      </x:c>
      <x:c r="AF181" s="13" t="n">
        <x:v>0.18518903458175331</x:v>
      </x:c>
      <x:c r="AG181" s="13" t="n">
        <x:v>-0.7475854912312507</x:v>
      </x:c>
      <x:c r="AH181" s="13" t="n">
        <x:v>0.12127416894078176</x:v>
      </x:c>
      <x:c r="AI181" s="13" t="n">
        <x:v>1.058857825123154</x:v>
      </x:c>
      <x:c r="AJ181" s="13" t="n">
        <x:v>-0.20048498418110222</x:v>
      </x:c>
      <x:c r="AK181" s="13" t="n">
        <x:v>-0.041110001675108476</x:v>
      </x:c>
      <x:c r="AL181" s="13" t="n">
        <x:v>-0.6036571282503629</x:v>
      </x:c>
      <x:c r="AM181" s="13" t="n">
        <x:v>-0.3909642565688457</x:v>
      </x:c>
      <x:c r="AN181" s="13" t="n">
        <x:v>0.7120363382826224</x:v>
      </x:c>
      <x:c r="AO181" s="13" t="n">
        <x:v>-0.985365062060372</x:v>
      </x:c>
      <x:c r="AP181" s="13" t="n">
        <x:v>0.0674281549662758</x:v>
      </x:c>
    </x:row>
    <x:row r="182" ht="15" hidden="0" customHeight="1">
      <x:c r="A182" s="2" t="str">
        <x:v>E181</x:v>
      </x:c>
      <x:c r="B182" s="2" t="str">
        <x:v>***食品有限公司</x:v>
      </x:c>
      <x:c r="C182" s="2" t="str">
        <x:v>无信贷记录</x:v>
      </x:c>
      <x:c r="D182" s="2" t="str"/>
      <x:c r="E182" s="2" t="str"/>
      <x:c r="F182" s="13" t="n">
        <x:v>0.8003126509845411</x:v>
      </x:c>
      <x:c r="G182" s="13" t="n">
        <x:v>0.8145279429411897</x:v>
      </x:c>
      <x:c r="H182" s="13" t="n">
        <x:v>0.2679819363123271</x:v>
      </x:c>
      <x:c r="I182" s="13" t="n">
        <x:v>0.9119401449068673</x:v>
      </x:c>
      <x:c r="J182" s="13" t="n">
        <x:v>1.3822734653844895</x:v>
      </x:c>
      <x:c r="K182" s="13" t="n">
        <x:v>1.354755069260491</x:v>
      </x:c>
      <x:c r="L182" s="13" t="n">
        <x:v>0.4229509232301634</x:v>
      </x:c>
      <x:c r="M182" s="13" t="n">
        <x:v>-0.21881406497214856</x:v>
      </x:c>
      <x:c r="N182" s="13" t="n">
        <x:v>0.44042029472755434</x:v>
      </x:c>
      <x:c r="O182" s="13" t="n">
        <x:v>-0.741083318412876</x:v>
      </x:c>
      <x:c r="P182" s="13" t="n">
        <x:v>-0.7845760866012611</x:v>
      </x:c>
      <x:c r="Q182" s="13" t="n">
        <x:v>1.3352620592733948</x:v>
      </x:c>
      <x:c r="R182" s="13" t="n">
        <x:v>-1.2208531346178582</x:v>
      </x:c>
      <x:c r="S182" s="13" t="n">
        <x:v>0.07192293087078297</x:v>
      </x:c>
      <x:c r="T182" s="13" t="n">
        <x:v>0.8241600270927416</x:v>
      </x:c>
      <x:c r="U182" s="13" t="n">
        <x:v>0.26815564400943853</x:v>
      </x:c>
      <x:c r="V182" s="13" t="n">
        <x:v>0.28061807714262693</x:v>
      </x:c>
      <x:c r="W182" s="13" t="n">
        <x:v>0.08413553152728144</x:v>
      </x:c>
      <x:c r="X182" s="13" t="n">
        <x:v>-0.18422263910349174</x:v>
      </x:c>
      <x:c r="Y182" s="13" t="n">
        <x:v>0.26153285643906354</x:v>
      </x:c>
      <x:c r="Z182" s="13" t="n">
        <x:v>0.15448310718782635</x:v>
      </x:c>
      <x:c r="AA182" s="13" t="n">
        <x:v>0.037794961699688545</x:v>
      </x:c>
      <x:c r="AB182" s="13" t="n">
        <x:v>-0.5151088798467172</x:v>
      </x:c>
      <x:c r="AC182" s="13" t="n">
        <x:v>-0.47119165553158215</x:v>
      </x:c>
      <x:c r="AD182" s="13" t="n">
        <x:v>1.2778289019097622</x:v>
      </x:c>
      <x:c r="AE182" s="13" t="n">
        <x:v>1.4937484583373972</x:v>
      </x:c>
      <x:c r="AF182" s="13" t="n">
        <x:v>0.2257805594126815</x:v>
      </x:c>
      <x:c r="AG182" s="13" t="n">
        <x:v>-1.1539204805037855</x:v>
      </x:c>
      <x:c r="AH182" s="13" t="n">
        <x:v>0.13717007193134576</x:v>
      </x:c>
      <x:c r="AI182" s="13" t="n">
        <x:v>0.9582284477355555</x:v>
      </x:c>
      <x:c r="AJ182" s="13" t="n">
        <x:v>-0.5658486496273973</x:v>
      </x:c>
      <x:c r="AK182" s="13" t="n">
        <x:v>0.057839337323947346</x:v>
      </x:c>
      <x:c r="AL182" s="13" t="n">
        <x:v>-0.6129011998410714</x:v>
      </x:c>
      <x:c r="AM182" s="13" t="n">
        <x:v>-0.226650506652976</x:v>
      </x:c>
      <x:c r="AN182" s="13" t="n">
        <x:v>0.2567424957880591</x:v>
      </x:c>
      <x:c r="AO182" s="13" t="n">
        <x:v>-1.371983258756505</x:v>
      </x:c>
      <x:c r="AP182" s="13" t="n">
        <x:v>0.10920226598572526</x:v>
      </x:c>
    </x:row>
    <x:row r="183" ht="15" hidden="0" customHeight="1">
      <x:c r="A183" s="2" t="str">
        <x:v>E182</x:v>
      </x:c>
      <x:c r="B183" s="2" t="str">
        <x:v>***新材料科技有限公司</x:v>
      </x:c>
      <x:c r="C183" s="2" t="str">
        <x:v>无信贷记录</x:v>
      </x:c>
      <x:c r="D183" s="2" t="str"/>
      <x:c r="E183" s="2" t="str"/>
      <x:c r="F183" s="13" t="n">
        <x:v>-0.15001045144954542</x:v>
      </x:c>
      <x:c r="G183" s="13" t="n">
        <x:v>-0.1454260654553628</x:v>
      </x:c>
      <x:c r="H183" s="13" t="n">
        <x:v>-0.2423169062874556</x:v>
      </x:c>
      <x:c r="I183" s="13" t="n">
        <x:v>-0.46027843520127304</x:v>
      </x:c>
      <x:c r="J183" s="13" t="n">
        <x:v>1.1162053929187308</x:v>
      </x:c>
      <x:c r="K183" s="13" t="n">
        <x:v>1.083970833937572</x:v>
      </x:c>
      <x:c r="L183" s="13" t="n">
        <x:v>-0.2524711092392759</x:v>
      </x:c>
      <x:c r="M183" s="13" t="n">
        <x:v>-0.1506962623561294</x:v>
      </x:c>
      <x:c r="N183" s="13" t="n">
        <x:v>-0.7216149855326618</x:v>
      </x:c>
      <x:c r="O183" s="13" t="n">
        <x:v>-0.17572635026328698</x:v>
      </x:c>
      <x:c r="P183" s="13" t="n">
        <x:v>-0.11020477151005713</x:v>
      </x:c>
      <x:c r="Q183" s="13" t="n">
        <x:v>1.0734592947936075</x:v>
      </x:c>
      <x:c r="R183" s="13" t="n">
        <x:v>-1.076302079675976</x:v>
      </x:c>
      <x:c r="S183" s="13" t="n">
        <x:v>0.161041943312554</x:v>
      </x:c>
      <x:c r="T183" s="13" t="n">
        <x:v>0.8241600270927416</x:v>
      </x:c>
      <x:c r="U183" s="13" t="n">
        <x:v>0.00836752696196914</x:v>
      </x:c>
      <x:c r="V183" s="13" t="n">
        <x:v>0.04161762804958192</x:v>
      </x:c>
      <x:c r="W183" s="13" t="n">
        <x:v>-0.41788853708663587</x:v>
      </x:c>
      <x:c r="X183" s="13" t="n">
        <x:v>-0.3910667203118402</x:v>
      </x:c>
      <x:c r="Y183" s="13" t="n">
        <x:v>0.27914914970385374</x:v>
      </x:c>
      <x:c r="Z183" s="13" t="n">
        <x:v>0.1673993689902824</x:v>
      </x:c>
      <x:c r="AA183" s="13" t="n">
        <x:v>-0.3005881584391341</x:v>
      </x:c>
      <x:c r="AB183" s="13" t="n">
        <x:v>-0.7974784287839186</x:v>
      </x:c>
      <x:c r="AC183" s="13" t="n">
        <x:v>-0.6980651016988949</x:v>
      </x:c>
      <x:c r="AD183" s="13" t="n">
        <x:v>-0.6477622094433507</x:v>
      </x:c>
      <x:c r="AE183" s="13" t="n">
        <x:v>-0.8965378551639177</x:v>
      </x:c>
      <x:c r="AF183" s="13" t="n">
        <x:v>0.24303731270914347</x:v>
      </x:c>
      <x:c r="AG183" s="13" t="n">
        <x:v>-1.0322286395029086</x:v>
      </x:c>
      <x:c r="AH183" s="13" t="n">
        <x:v>0.2794541630883393</x:v>
      </x:c>
      <x:c r="AI183" s="13" t="n">
        <x:v>0.9582284477355555</x:v>
      </x:c>
      <x:c r="AJ183" s="13" t="n">
        <x:v>-0.33173462605855203</x:v>
      </x:c>
      <x:c r="AK183" s="13" t="n">
        <x:v>-0.0053751587094073945</x:v>
      </x:c>
      <x:c r="AL183" s="13" t="n">
        <x:v>-0.7894501006983803</x:v>
      </x:c>
      <x:c r="AM183" s="13" t="n">
        <x:v>-0.7815911692517314</x:v>
      </x:c>
      <x:c r="AN183" s="13" t="n">
        <x:v>-0.5250450805686626</x:v>
      </x:c>
      <x:c r="AO183" s="13" t="n">
        <x:v>-1.2166728244225566</x:v>
      </x:c>
      <x:c r="AP183" s="13" t="n">
        <x:v>0.2354535292819793</x:v>
      </x:c>
    </x:row>
    <x:row r="184" ht="15" hidden="0" customHeight="1">
      <x:c r="A184" s="2" t="str">
        <x:v>E183</x:v>
      </x:c>
      <x:c r="B184" s="2" t="str">
        <x:v>***建设工程有限公司</x:v>
      </x:c>
      <x:c r="C184" s="2" t="str">
        <x:v>无信贷记录</x:v>
      </x:c>
      <x:c r="D184" s="2" t="str"/>
      <x:c r="E184" s="2" t="str"/>
      <x:c r="F184" s="13" t="n">
        <x:v>0.06462349802703118</x:v>
      </x:c>
      <x:c r="G184" s="13" t="n">
        <x:v>0.06363484746216812</x:v>
      </x:c>
      <x:c r="H184" s="13" t="n">
        <x:v>0.04472619267492217</x:v>
      </x:c>
      <x:c r="I184" s="13" t="n">
        <x:v>0.09718536296765899</x:v>
      </x:c>
      <x:c r="J184" s="13" t="n">
        <x:v>-0.022235262125235883</x:v>
      </x:c>
      <x:c r="K184" s="13" t="n">
        <x:v>0.023554911232626024</x:v>
      </x:c>
      <x:c r="L184" s="13" t="n">
        <x:v>0.5507334699135709</x:v>
      </x:c>
      <x:c r="M184" s="13" t="n">
        <x:v>0.24192410006230539</x:v>
      </x:c>
      <x:c r="N184" s="13" t="n">
        <x:v>0.2755132106103709</x:v>
      </x:c>
      <x:c r="O184" s="13" t="n">
        <x:v>-0.8796957416775615</x:v>
      </x:c>
      <x:c r="P184" s="13" t="n">
        <x:v>-1.0901055029754712</x:v>
      </x:c>
      <x:c r="Q184" s="13" t="n">
        <x:v>0.0008351159906228574</x:v>
      </x:c>
      <x:c r="R184" s="13" t="n">
        <x:v>-0.08207319147294763</x:v>
      </x:c>
      <x:c r="S184" s="13" t="n">
        <x:v>1.5168972819683504</x:v>
      </x:c>
      <x:c r="T184" s="13" t="n">
        <x:v>0.5416098699152085</x:v>
      </x:c>
      <x:c r="U184" s="13" t="n">
        <x:v>-0.01798015225177015</x:v>
      </x:c>
      <x:c r="V184" s="13" t="n">
        <x:v>-0.026828509953590596</x:v>
      </x:c>
      <x:c r="W184" s="13" t="n">
        <x:v>0.12160001425966334</x:v>
      </x:c>
      <x:c r="X184" s="13" t="n">
        <x:v>-0.3496979040701705</x:v>
      </x:c>
      <x:c r="Y184" s="13" t="n">
        <x:v>0.09476460270552285</x:v>
      </x:c>
      <x:c r="Z184" s="13" t="n">
        <x:v>0.02723826972504475</x:v>
      </x:c>
      <x:c r="AA184" s="13" t="n">
        <x:v>-0.3005881584391341</x:v>
      </x:c>
      <x:c r="AB184" s="13" t="n">
        <x:v>-0.20850640395756911</x:v>
      </x:c>
      <x:c r="AC184" s="13" t="n">
        <x:v>-0.625866971580926</x:v>
      </x:c>
      <x:c r="AD184" s="13" t="n">
        <x:v>2.1038742173429097</x:v>
      </x:c>
      <x:c r="AE184" s="13" t="n">
        <x:v>2.0161835864705644</x:v>
      </x:c>
      <x:c r="AF184" s="13" t="n">
        <x:v>0.062415964539958506</x:v>
      </x:c>
      <x:c r="AG184" s="13" t="n">
        <x:v>-0.2578024302414706</x:v>
      </x:c>
      <x:c r="AH184" s="13" t="n">
        <x:v>0.6224065927835278</x:v>
      </x:c>
      <x:c r="AI184" s="13" t="n">
        <x:v>0.857599070347957</x:v>
      </x:c>
      <x:c r="AJ184" s="13" t="n">
        <x:v>0.24032138119074284</x:v>
      </x:c>
      <x:c r="AK184" s="13" t="n">
        <x:v>-0.18785207056453285</x:v>
      </x:c>
      <x:c r="AL184" s="13" t="n">
        <x:v>-0.18369209814064197</x:v>
      </x:c>
      <x:c r="AM184" s="13" t="n">
        <x:v>-0.40396330019363064</x:v>
      </x:c>
      <x:c r="AN184" s="13" t="n">
        <x:v>0.6669919370451285</x:v>
      </x:c>
      <x:c r="AO184" s="13" t="n">
        <x:v>-0.17790401616967963</x:v>
      </x:c>
      <x:c r="AP184" s="13" t="n">
        <x:v>1.2387721818274706</x:v>
      </x:c>
    </x:row>
    <x:row r="185" ht="15" hidden="0" customHeight="1">
      <x:c r="A185" s="2" t="str">
        <x:v>E184</x:v>
      </x:c>
      <x:c r="B185" s="2" t="str">
        <x:v>***建筑装饰工程有限公司</x:v>
      </x:c>
      <x:c r="C185" s="2" t="str">
        <x:v>无信贷记录</x:v>
      </x:c>
      <x:c r="D185" s="2" t="str"/>
      <x:c r="E185" s="2" t="str"/>
      <x:c r="F185" s="13" t="n">
        <x:v>0.3256146720125876</x:v>
      </x:c>
      <x:c r="G185" s="13" t="n">
        <x:v>0.3316739537027639</x:v>
      </x:c>
      <x:c r="H185" s="13" t="n">
        <x:v>0.08725109622490407</x:v>
      </x:c>
      <x:c r="I185" s="13" t="n">
        <x:v>-0.11722379017423794</x:v>
      </x:c>
      <x:c r="J185" s="13" t="n">
        <x:v>0.25888508051304066</x:v>
      </x:c>
      <x:c r="K185" s="13" t="n">
        <x:v>0.2613576846436336</x:v>
      </x:c>
      <x:c r="L185" s="13" t="n">
        <x:v>0.6876433413600788</x:v>
      </x:c>
      <x:c r="M185" s="13" t="n">
        <x:v>-0.06967358527462145</x:v>
      </x:c>
      <x:c r="N185" s="13" t="n">
        <x:v>-0.28238100949124306</x:v>
      </x:c>
      <x:c r="O185" s="13" t="n">
        <x:v>-0.8614616626514476</x:v>
      </x:c>
      <x:c r="P185" s="13" t="n">
        <x:v>-1.0897186646707042</x:v>
      </x:c>
      <x:c r="Q185" s="13" t="n">
        <x:v>0.3573354034807783</x:v>
      </x:c>
      <x:c r="R185" s="13" t="n">
        <x:v>-0.335103154601346</x:v>
      </x:c>
      <x:c r="S185" s="13" t="n">
        <x:v>0.4505176281648182</x:v>
      </x:c>
      <x:c r="T185" s="13" t="n">
        <x:v>0.35324309846351976</x:v>
      </x:c>
      <x:c r="U185" s="13" t="n">
        <x:v>-0.21347993201771567</x:v>
      </x:c>
      <x:c r="V185" s="13" t="n">
        <x:v>-0.18840627835452242</x:v>
      </x:c>
      <x:c r="W185" s="13" t="n">
        <x:v>-0.500310399097876</x:v>
      </x:c>
      <x:c r="X185" s="13" t="n">
        <x:v>0.043305850225691514</x:v>
      </x:c>
      <x:c r="Y185" s="13" t="n">
        <x:v>-0.0193392781150945</x:v>
      </x:c>
      <x:c r="Z185" s="13" t="n">
        <x:v>-0.03408911313966168</x:v>
      </x:c>
      <x:c r="AA185" s="13" t="n">
        <x:v>-0.30763780677535957</x:v>
      </x:c>
      <x:c r="AB185" s="13" t="n">
        <x:v>-0.7933873319372513</x:v>
      </x:c>
      <x:c r="AC185" s="13" t="n">
        <x:v>0.40168528876002735</x:v>
      </x:c>
      <x:c r="AD185" s="13" t="n">
        <x:v>-0.26632873740878393</x:v>
      </x:c>
      <x:c r="AE185" s="13" t="n">
        <x:v>0.0017739934184259453</x:v>
      </x:c>
      <x:c r="AF185" s="13" t="n">
        <x:v>-0.019469392308857327</x:v>
      </x:c>
      <x:c r="AG185" s="13" t="n">
        <x:v>0.5878261187091797</x:v>
      </x:c>
      <x:c r="AH185" s="13" t="n">
        <x:v>0.8229307030685279</x:v>
      </x:c>
      <x:c r="AI185" s="13" t="n">
        <x:v>0.2538228060223661</x:v>
      </x:c>
      <x:c r="AJ185" s="13" t="n">
        <x:v>-0.16498563802717103</x:v>
      </x:c>
      <x:c r="AK185" s="13" t="n">
        <x:v>-0.09597767235682675</x:v>
      </x:c>
      <x:c r="AL185" s="13" t="n">
        <x:v>-0.7640859497070046</x:v>
      </x:c>
      <x:c r="AM185" s="13" t="n">
        <x:v>-0.12743227558917603</x:v>
      </x:c>
      <x:c r="AN185" s="13" t="n">
        <x:v>-0.7835930076848623</x:v>
      </x:c>
      <x:c r="AO185" s="13" t="n">
        <x:v>0.04869009784252012</x:v>
      </x:c>
      <x:c r="AP185" s="13" t="n">
        <x:v>0.6864911923384045</x:v>
      </x:c>
    </x:row>
    <x:row r="186" ht="15" hidden="0" customHeight="1">
      <x:c r="A186" s="2" t="str">
        <x:v>E185</x:v>
      </x:c>
      <x:c r="B186" s="2" t="str">
        <x:v>***生态魔芋有限公司</x:v>
      </x:c>
      <x:c r="C186" s="2" t="str">
        <x:v>无信贷记录</x:v>
      </x:c>
      <x:c r="D186" s="2" t="str"/>
      <x:c r="E186" s="2" t="str"/>
      <x:c r="F186" s="13" t="n">
        <x:v>-0.5811326393830578</x:v>
      </x:c>
      <x:c r="G186" s="13" t="n">
        <x:v>-0.5793713090112469</x:v>
      </x:c>
      <x:c r="H186" s="13" t="n">
        <x:v>-0.5080975534748424</x:v>
      </x:c>
      <x:c r="I186" s="13" t="n">
        <x:v>-0.37451477394451427</x:v>
      </x:c>
      <x:c r="J186" s="13" t="n">
        <x:v>-0.5543640847433509</x:v>
      </x:c>
      <x:c r="K186" s="13" t="n">
        <x:v>-0.547450176885926</x:v>
      </x:c>
      <x:c r="L186" s="13" t="n">
        <x:v>-0.6540733988156993</x:v>
      </x:c>
      <x:c r="M186" s="13" t="n">
        <x:v>-0.5863941595667332</x:v>
      </x:c>
      <x:c r="N186" s="13" t="n">
        <x:v>2.502165726681781</x:v>
      </x:c>
      <x:c r="O186" s="13" t="n">
        <x:v>-0.13008594387013048</x:v>
      </x:c>
      <x:c r="P186" s="13" t="n">
        <x:v>-0.10695284695880183</x:v>
      </x:c>
      <x:c r="Q186" s="13" t="n">
        <x:v>-0.5684523826915695</x:v>
      </x:c>
      <x:c r="R186" s="13" t="n">
        <x:v>0.6334740034411471</x:v>
      </x:c>
      <x:c r="S186" s="13" t="n">
        <x:v>0.7243907766103838</x:v>
      </x:c>
      <x:c r="T186" s="13" t="n">
        <x:v>-0.588590758794924</x:v>
      </x:c>
      <x:c r="U186" s="13" t="n">
        <x:v>2.327490251355301</x:v>
      </x:c>
      <x:c r="V186" s="13" t="n">
        <x:v>2.506239630081851</x:v>
      </x:c>
      <x:c r="W186" s="13" t="n">
        <x:v>-0.35794536471482485</x:v>
      </x:c>
      <x:c r="X186" s="13" t="n">
        <x:v>-0.22559145534516142</x:v>
      </x:c>
      <x:c r="Y186" s="13" t="n">
        <x:v>0.38771787622120263</x:v>
      </x:c>
      <x:c r="Z186" s="13" t="n">
        <x:v>0.261668001762895</x:v>
      </x:c>
      <x:c r="AA186" s="13" t="n">
        <x:v>0.338579957378642</x:v>
      </x:c>
      <x:c r="AB186" s="13" t="n">
        <x:v>-0.9638051099457839</x:v>
      </x:c>
      <x:c r="AC186" s="13" t="n">
        <x:v>-0.6488716679470704</x:v>
      </x:c>
      <x:c r="AD186" s="13" t="n">
        <x:v>-0.5687823631928368</x:v>
      </x:c>
      <x:c r="AE186" s="13" t="n">
        <x:v>-0.28048263047218813</x:v>
      </x:c>
      <x:c r="AF186" s="13" t="n">
        <x:v>0.34939020437935836</x:v>
      </x:c>
      <x:c r="AG186" s="13" t="n">
        <x:v>-0.2579878403981109</x:v>
      </x:c>
      <x:c r="AH186" s="13" t="n">
        <x:v>0.38572556483034875</x:v>
      </x:c>
      <x:c r="AI186" s="13" t="n">
        <x:v>0.15319342863476768</x:v>
      </x:c>
      <x:c r="AJ186" s="13" t="n">
        <x:v>1.1348310214131803</x:v>
      </x:c>
      <x:c r="AK186" s="13" t="n">
        <x:v>-0.338577286198983</x:v>
      </x:c>
      <x:c r="AL186" s="13" t="n">
        <x:v>-1.125772009075925</x:v>
      </x:c>
      <x:c r="AM186" s="13" t="n">
        <x:v>-0.6748856480741837</x:v>
      </x:c>
      <x:c r="AN186" s="13" t="n">
        <x:v>-0.44338497373013575</x:v>
      </x:c>
      <x:c r="AO186" s="13" t="n">
        <x:v>0.3071832354085234</x:v>
      </x:c>
      <x:c r="AP186" s="13" t="n">
        <x:v>0.6340832038187272</x:v>
      </x:c>
    </x:row>
    <x:row r="187" ht="15" hidden="0" customHeight="1">
      <x:c r="A187" s="2" t="str">
        <x:v>E186</x:v>
      </x:c>
      <x:c r="B187" s="2" t="str">
        <x:v>***建筑劳务有限公司</x:v>
      </x:c>
      <x:c r="C187" s="2" t="str">
        <x:v>无信贷记录</x:v>
      </x:c>
      <x:c r="D187" s="2" t="str"/>
      <x:c r="E187" s="2" t="str"/>
      <x:c r="F187" s="13" t="n">
        <x:v>-0.1541826016553536</x:v>
      </x:c>
      <x:c r="G187" s="13" t="n">
        <x:v>-0.16029048816280192</x:v>
      </x:c>
      <x:c r="H187" s="13" t="n">
        <x:v>-0.008429936762555197</x:v>
      </x:c>
      <x:c r="I187" s="13" t="n">
        <x:v>0.011421701710900218</x:v>
      </x:c>
      <x:c r="J187" s="13" t="n">
        <x:v>-0.507405911494655</x:v>
      </x:c>
      <x:c r="K187" s="13" t="n">
        <x:v>-0.5060132470068791</x:v>
      </x:c>
      <x:c r="L187" s="13" t="n">
        <x:v>-0.042542639687963686</x:v>
      </x:c>
      <x:c r="M187" s="13" t="n">
        <x:v>0.7126095444525644</x:v>
      </x:c>
      <x:c r="N187" s="13" t="n">
        <x:v>0.5408326153717189</x:v>
      </x:c>
      <x:c r="O187" s="13" t="n">
        <x:v>-0.7845954267006999</x:v>
      </x:c>
      <x:c r="P187" s="13" t="n">
        <x:v>-1.0075851800130518</x:v>
      </x:c>
      <x:c r="Q187" s="13" t="n">
        <x:v>-0.5166463371812781</x:v>
      </x:c>
      <x:c r="R187" s="13" t="n">
        <x:v>-0.018230459904209118</x:v>
      </x:c>
      <x:c r="S187" s="13" t="n">
        <x:v>0.5518437682820975</x:v>
      </x:c>
      <x:c r="T187" s="13" t="n">
        <x:v>0.44742648418936415</x:v>
      </x:c>
      <x:c r="U187" s="13" t="n">
        <x:v>0.018906598647464856</x:v>
      </x:c>
      <x:c r="V187" s="13" t="n">
        <x:v>0.055082442082992907</x:v>
      </x:c>
      <x:c r="W187" s="13" t="n">
        <x:v>-0.4478601232725414</x:v>
      </x:c>
      <x:c r="X187" s="13" t="n">
        <x:v>-0.3910667203118402</x:v>
      </x:c>
      <x:c r="Y187" s="13" t="n">
        <x:v>0.24605701930897203</x:v>
      </x:c>
      <x:c r="Z187" s="13" t="n">
        <x:v>0.14172654433300444</x:v>
      </x:c>
      <x:c r="AA187" s="13" t="n">
        <x:v>-0.38753382125258157</x:v>
      </x:c>
      <x:c r="AB187" s="13" t="n">
        <x:v>-0.8315963154191638</x:v>
      </x:c>
      <x:c r="AC187" s="13" t="n">
        <x:v>-0.6980651016988949</x:v>
      </x:c>
      <x:c r="AD187" s="13" t="n">
        <x:v>2.2234165348490236</x:v>
      </x:c>
      <x:c r="AE187" s="13" t="n">
        <x:v>2.0613018759106616</x:v>
      </x:c>
      <x:c r="AF187" s="13" t="n">
        <x:v>0.23237195925889695</x:v>
      </x:c>
      <x:c r="AG187" s="13" t="n">
        <x:v>0.07618648238093013</x:v>
      </x:c>
      <x:c r="AH187" s="13" t="n">
        <x:v>0.5895434904886667</x:v>
      </x:c>
      <x:c r="AI187" s="13" t="n">
        <x:v>0.3544521834099646</x:v>
      </x:c>
      <x:c r="AJ187" s="13" t="n">
        <x:v>0.8643385137503088</x:v>
      </x:c>
      <x:c r="AK187" s="13" t="n">
        <x:v>-0.32891839005350415</x:v>
      </x:c>
      <x:c r="AL187" s="13" t="n">
        <x:v>-0.6441670405321646</x:v>
      </x:c>
      <x:c r="AM187" s="13" t="n">
        <x:v>-0.4605262299350376</x:v>
      </x:c>
      <x:c r="AN187" s="13" t="n">
        <x:v>0.809339548427234</x:v>
      </x:c>
      <x:c r="AO187" s="13" t="n">
        <x:v>0.022641485369789</x:v>
      </x:c>
      <x:c r="AP187" s="13" t="n">
        <x:v>0.6310263199491705</x:v>
      </x:c>
    </x:row>
    <x:row r="188" ht="15" hidden="0" customHeight="1">
      <x:c r="A188" s="2" t="str">
        <x:v>E187</x:v>
      </x:c>
      <x:c r="B188" s="2" t="str">
        <x:v>个体经营E187 </x:v>
      </x:c>
      <x:c r="C188" s="2" t="str">
        <x:v>无信贷记录</x:v>
      </x:c>
      <x:c r="D188" s="2" t="str"/>
      <x:c r="E188" s="2" t="str"/>
      <x:c r="F188" s="13" t="n">
        <x:v>1.1860047588992533</x:v>
      </x:c>
      <x:c r="G188" s="13" t="n">
        <x:v>1.1597661477591306</x:v>
      </x:c>
      <x:c r="H188" s="13" t="n">
        <x:v>1.4586792357118201</x:v>
      </x:c>
      <x:c r="I188" s="13" t="n">
        <x:v>1.2121129593055229</x:v>
      </x:c>
      <x:c r="J188" s="13" t="n">
        <x:v>1.0023201976004088</x:v>
      </x:c>
      <x:c r="K188" s="13" t="n">
        <x:v>0.9890156948877168</x:v>
      </x:c>
      <x:c r="L188" s="13" t="n">
        <x:v>4.179027609741294</x:v>
      </x:c>
      <x:c r="M188" s="13" t="n">
        <x:v>0.6897334225784971</x:v>
      </x:c>
      <x:c r="N188" s="13" t="n">
        <x:v>0.4185770828236375</x:v>
      </x:c>
      <x:c r="O188" s="13" t="n">
        <x:v>-0.9635066084918955</x:v>
      </x:c>
      <x:c r="P188" s="13" t="n">
        <x:v>-1.321285115579228</x:v>
      </x:c>
      <x:c r="Q188" s="13" t="n">
        <x:v>1.7040630751107728</x:v>
      </x:c>
      <x:c r="R188" s="13" t="n">
        <x:v>-0.96089999489808</x:v>
      </x:c>
      <x:c r="S188" s="13" t="n">
        <x:v>-0.8331648356682053</x:v>
      </x:c>
      <x:c r="T188" s="13" t="n">
        <x:v>-0.30604060161739083</x:v>
      </x:c>
      <x:c r="U188" s="13" t="n">
        <x:v>-0.4669446060538876</x:v>
      </x:c>
      <x:c r="V188" s="13" t="n">
        <x:v>-0.5379304093051492</x:v>
      </x:c>
      <x:c r="W188" s="13" t="n">
        <x:v>0.5636809105017696</x:v>
      </x:c>
      <x:c r="X188" s="13" t="n">
        <x:v>-0.3910667203118402</x:v>
      </x:c>
      <x:c r="Y188" s="13" t="n">
        <x:v>-0.5190376027414884</x:v>
      </x:c>
      <x:c r="Z188" s="13" t="n">
        <x:v>-0.45183270506382</x:v>
      </x:c>
      <x:c r="AA188" s="13" t="n">
        <x:v>-0.2653399167580067</x:v>
      </x:c>
      <x:c r="AB188" s="13" t="n">
        <x:v>5.696892426590532</x:v>
      </x:c>
      <x:c r="AC188" s="13" t="n">
        <x:v>-0.6980651016988949</x:v>
      </x:c>
      <x:c r="AD188" s="13" t="n">
        <x:v>0.02727892256142043</x:v>
      </x:c>
      <x:c r="AE188" s="13" t="n">
        <x:v>0.03281774022648492</x:v>
      </x:c>
      <x:c r="AF188" s="13" t="n">
        <x:v>-0.5159699528935868</x:v>
      </x:c>
      <x:c r="AG188" s="13" t="n">
        <x:v>0.9590850961352876</x:v>
      </x:c>
      <x:c r="AH188" s="13" t="n">
        <x:v>0.9116513124572752</x:v>
      </x:c>
      <x:c r="AI188" s="13" t="n">
        <x:v>-1.7587647417296035</x:v>
      </x:c>
      <x:c r="AJ188" s="13" t="n">
        <x:v>-1.4358539357567408</x:v>
      </x:c>
      <x:c r="AK188" s="13" t="n">
        <x:v>7.277012024670957</x:v>
      </x:c>
      <x:c r="AL188" s="13" t="n">
        <x:v>0.21753537248548163</x:v>
      </x:c>
      <x:c r="AM188" s="13" t="n">
        <x:v>-0.16364540293051047</x:v>
      </x:c>
      <x:c r="AN188" s="13" t="n">
        <x:v>-0.6983863040598756</x:v>
      </x:c>
      <x:c r="AO188" s="13" t="n">
        <x:v>-0.20082393068554932</x:v>
      </x:c>
      <x:c r="AP188" s="13" t="n">
        <x:v>-0.05521641516926163</x:v>
      </x:c>
    </x:row>
    <x:row r="189" ht="15" hidden="0" customHeight="1">
      <x:c r="A189" s="2" t="str">
        <x:v>E188</x:v>
      </x:c>
      <x:c r="B189" s="2" t="str">
        <x:v>***硬质合金有限公司</x:v>
      </x:c>
      <x:c r="C189" s="2" t="str">
        <x:v>无信贷记录</x:v>
      </x:c>
      <x:c r="D189" s="2" t="str"/>
      <x:c r="E189" s="2" t="str"/>
      <x:c r="F189" s="13" t="n">
        <x:v>0.5745529676258093</x:v>
      </x:c>
      <x:c r="G189" s="13" t="n">
        <x:v>0.5795741646623132</x:v>
      </x:c>
      <x:c r="H189" s="13" t="n">
        <x:v>0.29987561397481355</x:v>
      </x:c>
      <x:c r="I189" s="13" t="n">
        <x:v>-0.33163294331613485</x:v>
      </x:c>
      <x:c r="J189" s="13" t="n">
        <x:v>1.2312731863513096</x:v>
      </x:c>
      <x:c r="K189" s="13" t="n">
        <x:v>1.2003554479429108</x:v>
      </x:c>
      <x:c r="L189" s="13" t="n">
        <x:v>0.4107811568793627</x:v>
      </x:c>
      <x:c r="M189" s="13" t="n">
        <x:v>0.0034529939337199196</x:v>
      </x:c>
      <x:c r="N189" s="13" t="n">
        <x:v>-0.5911842441568359</x:v>
      </x:c>
      <x:c r="O189" s="13" t="n">
        <x:v>-0.7515579749039268</x:v>
      </x:c>
      <x:c r="P189" s="13" t="n">
        <x:v>-0.765313773668335</x:v>
      </x:c>
      <x:c r="Q189" s="13" t="n">
        <x:v>1.1866824490941488</x:v>
      </x:c>
      <x:c r="R189" s="13" t="n">
        <x:v>-1.2639507400639614</x:v>
      </x:c>
      <x:c r="S189" s="13" t="n">
        <x:v>-0.10014098855370827</x:v>
      </x:c>
      <x:c r="T189" s="13" t="n">
        <x:v>0.8241600270927416</x:v>
      </x:c>
      <x:c r="U189" s="13" t="n">
        <x:v>0.5774773979787378</x:v>
      </x:c>
      <x:c r="V189" s="13" t="n">
        <x:v>0.616116360141784</x:v>
      </x:c>
      <x:c r="W189" s="13" t="n">
        <x:v>0.0017136695160412882</x:v>
      </x:c>
      <x:c r="X189" s="13" t="n">
        <x:v>-0.24627586346599628</x:v>
      </x:c>
      <x:c r="Y189" s="13" t="n">
        <x:v>0.30034594650351526</x:v>
      </x:c>
      <x:c r="Z189" s="13" t="n">
        <x:v>0.1896220031147749</x:v>
      </x:c>
      <x:c r="AA189" s="13" t="n">
        <x:v>0.178787928424198</x:v>
      </x:c>
      <x:c r="AB189" s="13" t="n">
        <x:v>-0.694401182191091</x:v>
      </x:c>
      <x:c r="AC189" s="13" t="n">
        <x:v>-0.5850661469628842</x:v>
      </x:c>
      <x:c r="AD189" s="13" t="n">
        <x:v>-0.8484018773970405</x:v>
      </x:c>
      <x:c r="AE189" s="13" t="n">
        <x:v>-1.0094412962683796</x:v>
      </x:c>
      <x:c r="AF189" s="13" t="n">
        <x:v>0.26380149320664376</x:v>
      </x:c>
      <x:c r="AG189" s="13" t="n">
        <x:v>-1.2930324829254551</x:v>
      </x:c>
      <x:c r="AH189" s="13" t="n">
        <x:v>0.046419479823834466</x:v>
      </x:c>
      <x:c r="AI189" s="13" t="n">
        <x:v>0.9582284477355555</x:v>
      </x:c>
      <x:c r="AJ189" s="13" t="n">
        <x:v>-0.3853204892800103</x:v>
      </x:c>
      <x:c r="AK189" s="13" t="n">
        <x:v>0.006327185528774471</x:v>
      </x:c>
      <x:c r="AL189" s="13" t="n">
        <x:v>-0.6552814427932602</x:v>
      </x:c>
      <x:c r="AM189" s="13" t="n">
        <x:v>-0.6525938648481523</x:v>
      </x:c>
      <x:c r="AN189" s="13" t="n">
        <x:v>-1.063862886300887</x:v>
      </x:c>
      <x:c r="AO189" s="13" t="n">
        <x:v>-1.4208734473559648</x:v>
      </x:c>
      <x:c r="AP189" s="13" t="n">
        <x:v>-0.04190824287851727</x:v>
      </x:c>
    </x:row>
    <x:row r="190" ht="15" hidden="0" customHeight="1">
      <x:c r="A190" s="2" t="str">
        <x:v>E189</x:v>
      </x:c>
      <x:c r="B190" s="2" t="str">
        <x:v>***石油工程技术服务有限公司</x:v>
      </x:c>
      <x:c r="C190" s="2" t="str">
        <x:v>无信贷记录</x:v>
      </x:c>
      <x:c r="D190" s="2" t="str"/>
      <x:c r="E190" s="2" t="str"/>
      <x:c r="F190" s="13" t="n">
        <x:v>0.9644172257463298</x:v>
      </x:c>
      <x:c r="G190" s="13" t="n">
        <x:v>0.9885855378702348</x:v>
      </x:c>
      <x:c r="H190" s="13" t="n">
        <x:v>0.17230090332486786</x:v>
      </x:c>
      <x:c r="I190" s="13" t="n">
        <x:v>0.011421701710900218</x:v>
      </x:c>
      <x:c r="J190" s="13" t="n">
        <x:v>0.08114005317528591</x:v>
      </x:c>
      <x:c r="K190" s="13" t="n">
        <x:v>0.0675759559264444</x:v>
      </x:c>
      <x:c r="L190" s="13" t="n">
        <x:v>1.8042194040460438</x:v>
      </x:c>
      <x:c r="M190" s="13" t="n">
        <x:v>-0.4174128199263101</x:v>
      </x:c>
      <x:c r="N190" s="13" t="n">
        <x:v>-0.36561762489405764</x:v>
      </x:c>
      <x:c r="O190" s="13" t="n">
        <x:v>-0.7757285354712287</x:v>
      </x:c>
      <x:c r="P190" s="13" t="n">
        <x:v>-0.9923199112898512</x:v>
      </x:c>
      <x:c r="Q190" s="13" t="n">
        <x:v>0.05498697359122572</x:v>
      </x:c>
      <x:c r="R190" s="13" t="n">
        <x:v>-0.42320130236172215</x:v>
      </x:c>
      <x:c r="S190" s="13" t="n">
        <x:v>0.28210236926438637</x:v>
      </x:c>
      <x:c r="T190" s="13" t="n">
        <x:v>0.8241600270927416</x:v>
      </x:c>
      <x:c r="U190" s="13" t="n">
        <x:v>-0.22191118936611223</x:v>
      </x:c>
      <x:c r="V190" s="13" t="n">
        <x:v>-0.20692039765046255</x:v>
      </x:c>
      <x:c r="W190" s="13" t="n">
        <x:v>-0.37293115780777764</x:v>
      </x:c>
      <x:c r="X190" s="13" t="n">
        <x:v>-0.12216941474098722</x:v>
      </x:c>
      <x:c r="Y190" s="13" t="n">
        <x:v>-0.04535262812608539</x:v>
      </x:c>
      <x:c r="Z190" s="13" t="n">
        <x:v>-0.0668570954573307</x:v>
      </x:c>
      <x:c r="AA190" s="13" t="n">
        <x:v>-0.3405361656777451</x:v>
      </x:c>
      <x:c r="AB190" s="13" t="n">
        <x:v>-0.5688108426336566</x:v>
      </x:c>
      <x:c r="AC190" s="13" t="n">
        <x:v>0.019805909894871083</x:v>
      </x:c>
      <x:c r="AD190" s="13" t="n">
        <x:v>-0.4338105058731406</x:v>
      </x:c>
      <x:c r="AE190" s="13" t="n">
        <x:v>-0.22302478197787004</x:v>
      </x:c>
      <x:c r="AF190" s="13" t="n">
        <x:v>-0.06101966244592844</x:v>
      </x:c>
      <x:c r="AG190" s="13" t="n">
        <x:v>0.22479192529356318</x:v>
      </x:c>
      <x:c r="AH190" s="13" t="n">
        <x:v>0.7427381925454066</x:v>
      </x:c>
      <x:c r="AI190" s="13" t="n">
        <x:v>0.2538228060223661</x:v>
      </x:c>
      <x:c r="AJ190" s="13" t="n">
        <x:v>-0.07108092267901778</x:v>
      </x:c>
      <x:c r="AK190" s="13" t="n">
        <x:v>-0.1382912108196206</x:v>
      </x:c>
      <x:c r="AL190" s="13" t="n">
        <x:v>-0.819570185746764</x:v>
      </x:c>
      <x:c r="AM190" s="13" t="n">
        <x:v>-0.4237880450313245</x:v>
      </x:c>
      <x:c r="AN190" s="13" t="n">
        <x:v>-0.8252471519372181</x:v>
      </x:c>
      <x:c r="AO190" s="13" t="n">
        <x:v>-0.18197754946200967</x:v>
      </x:c>
      <x:c r="AP190" s="13" t="n">
        <x:v>0.5429330909558269</x:v>
      </x:c>
    </x:row>
    <x:row r="191" ht="15" hidden="0" customHeight="1">
      <x:c r="A191" s="2" t="str">
        <x:v>E190</x:v>
      </x:c>
      <x:c r="B191" s="2" t="str">
        <x:v>***劳务有限公司</x:v>
      </x:c>
      <x:c r="C191" s="2" t="str">
        <x:v>无信贷记录</x:v>
      </x:c>
      <x:c r="D191" s="2" t="str"/>
      <x:c r="E191" s="2" t="str"/>
      <x:c r="F191" s="13" t="n">
        <x:v>-0.55331830467767</x:v>
      </x:c>
      <x:c r="G191" s="13" t="n">
        <x:v>-0.5529989461432098</x:v>
      </x:c>
      <x:c r="H191" s="13" t="n">
        <x:v>-0.4549414240373651</x:v>
      </x:c>
      <x:c r="I191" s="13" t="n">
        <x:v>-0.4173966045728936</x:v>
      </x:c>
      <x:c r="J191" s="13" t="n">
        <x:v>-0.5365593744435984</x:v>
      </x:c>
      <x:c r="K191" s="13" t="n">
        <x:v>-0.5356550867815094</x:v>
      </x:c>
      <x:c r="L191" s="13" t="n">
        <x:v>-0.5506303848338933</x:v>
      </x:c>
      <x:c r="M191" s="13" t="n">
        <x:v>0.6489084012746948</x:v>
      </x:c>
      <x:c r="N191" s="13" t="n">
        <x:v>0.16360348872294347</x:v>
      </x:c>
      <x:c r="O191" s="13" t="n">
        <x:v>-0.06054849409014858</x:v>
      </x:c>
      <x:c r="P191" s="13" t="n">
        <x:v>0.10837541117199465</x:v>
      </x:c>
      <x:c r="Q191" s="13" t="n">
        <x:v>-0.5528101824881391</x:v>
      </x:c>
      <x:c r="R191" s="13" t="n">
        <x:v>1.0178091162207008</x:v>
      </x:c>
      <x:c r="S191" s="13" t="n">
        <x:v>-0.04889368062856199</x:v>
      </x:c>
      <x:c r="T191" s="13" t="n">
        <x:v>0.07069294128598666</x:v>
      </x:c>
      <x:c r="U191" s="13" t="n">
        <x:v>-0.3483800495920608</x:v>
      </x:c>
      <x:c r="V191" s="13" t="n">
        <x:v>-0.3539112841818658</x:v>
      </x:c>
      <x:c r="W191" s="13" t="n">
        <x:v>-0.2080874337852973</x:v>
      </x:c>
      <x:c r="X191" s="13" t="n">
        <x:v>-0.10148500662015238</x:v>
      </x:c>
      <x:c r="Y191" s="13" t="n">
        <x:v>0.5923560495452713</x:v>
      </x:c>
      <x:c r="Z191" s="13" t="n">
        <x:v>0.49853766822276324</x:v>
      </x:c>
      <x:c r="AA191" s="13" t="n">
        <x:v>-0.33348651734151963</x:v>
      </x:c>
      <x:c r="AB191" s="13" t="n">
        <x:v>0.15385161326233085</x:v>
      </x:c>
      <x:c r="AC191" s="13" t="n">
        <x:v>0.6638350911368635</x:v>
      </x:c>
      <x:c r="AD191" s="13" t="n">
        <x:v>-0.4821594935634008</x:v>
      </x:c>
      <x:c r="AE191" s="13" t="n">
        <x:v>-0.35695947627665275</x:v>
      </x:c>
      <x:c r="AF191" s="13" t="n">
        <x:v>0.5498518122222715</x:v>
      </x:c>
      <x:c r="AG191" s="13" t="n">
        <x:v>-0.3470733853355828</x:v>
      </x:c>
      <x:c r="AH191" s="13" t="n">
        <x:v>-0.585786587071057</x:v>
      </x:c>
      <x:c r="AI191" s="13" t="n">
        <x:v>0.5557109381851616</x:v>
      </x:c>
      <x:c r="AJ191" s="13" t="n">
        <x:v>1.4595997066316586</x:v>
      </x:c>
      <x:c r="AK191" s="13" t="n">
        <x:v>-0.3380693386709317</x:v>
      </x:c>
      <x:c r="AL191" s="13" t="n">
        <x:v>0.7960339270252579</x:v>
      </x:c>
      <x:c r="AM191" s="13" t="n">
        <x:v>1.1105999772089235</x:v>
      </x:c>
      <x:c r="AN191" s="13" t="n">
        <x:v>-0.3397860164933572</x:v>
      </x:c>
      <x:c r="AO191" s="13" t="n">
        <x:v>0.5258349467528737</x:v>
      </x:c>
      <x:c r="AP191" s="13" t="n">
        <x:v>-0.3289033558950284</x:v>
      </x:c>
    </x:row>
    <x:row r="192" ht="15" hidden="0" customHeight="1">
      <x:c r="A192" s="2" t="str">
        <x:v>E191</x:v>
      </x:c>
      <x:c r="B192" s="2" t="str">
        <x:v>***商贸有限责任公司</x:v>
      </x:c>
      <x:c r="C192" s="2" t="str">
        <x:v>无信贷记录</x:v>
      </x:c>
      <x:c r="D192" s="2" t="str"/>
      <x:c r="E192" s="2" t="str"/>
      <x:c r="F192" s="13" t="n">
        <x:v>-0.05173313549050819</x:v>
      </x:c>
      <x:c r="G192" s="13" t="n">
        <x:v>-0.047129076583587934</x:v>
      </x:c>
      <x:c r="H192" s="13" t="n">
        <x:v>-0.1678983250749873</x:v>
      </x:c>
      <x:c r="I192" s="13" t="n">
        <x:v>-0.2887511126877555</x:v>
      </x:c>
      <x:c r="J192" s="13" t="n">
        <x:v>5.2611480254075715</x:v>
      </x:c>
      <x:c r="K192" s="13" t="n">
        <x:v>5.198229868776137</x:v>
      </x:c>
      <x:c r="L192" s="13" t="n">
        <x:v>-0.28593796670397786</x:v>
      </x:c>
      <x:c r="M192" s="13" t="n">
        <x:v>-0.10382401631854941</x:v>
      </x:c>
      <x:c r="N192" s="13" t="n">
        <x:v>-0.3545915229695901</x:v>
      </x:c>
      <x:c r="O192" s="13" t="n">
        <x:v>0.2646067307389925</x:v>
      </x:c>
      <x:c r="P192" s="13" t="n">
        <x:v>0.49042124477490573</x:v>
      </x:c>
      <x:c r="Q192" s="13" t="n">
        <x:v>5.1203834083072675</x:v>
      </x:c>
      <x:c r="R192" s="13" t="n">
        <x:v>0.3156535247814873</x:v>
      </x:c>
      <x:c r="S192" s="13" t="n">
        <x:v>-1.5714175517617508</x:v>
      </x:c>
      <x:c r="T192" s="13" t="n">
        <x:v>0.8241600270927416</x:v>
      </x:c>
      <x:c r="U192" s="13" t="n">
        <x:v>0.95319530356666</x:v>
      </x:c>
      <x:c r="V192" s="13" t="n">
        <x:v>0.9852766782244685</x:v>
      </x:c>
      <x:c r="W192" s="13" t="n">
        <x:v>0.41382297957224207</x:v>
      </x:c>
      <x:c r="X192" s="13" t="n">
        <x:v>-0.3703823121910053</x:v>
      </x:c>
      <x:c r="Y192" s="13" t="n">
        <x:v>2.2213011145292403</x:v>
      </x:c>
      <x:c r="Z192" s="13" t="n">
        <x:v>1.6741454376115212</x:v>
      </x:c>
      <x:c r="AA192" s="13" t="n">
        <x:v>-0.15724530893588284</x:v>
      </x:c>
      <x:c r="AB192" s="13" t="n">
        <x:v>-0.6170091705678732</x:v>
      </x:c>
      <x:c r="AC192" s="13" t="n">
        <x:v>-0.6858117756975479</x:v>
      </x:c>
      <x:c r="AD192" s="13" t="n">
        <x:v>0.5189143403092847</x:v>
      </x:c>
      <x:c r="AE192" s="13" t="n">
        <x:v>0.3065717419409208</x:v>
      </x:c>
      <x:c r="AF192" s="13" t="n">
        <x:v>3.0191873626745913</x:v>
      </x:c>
      <x:c r="AG192" s="13" t="n">
        <x:v>-0.2456564579314176</x:v>
      </x:c>
      <x:c r="AH192" s="13" t="n">
        <x:v>-0.8978091586938747</x:v>
      </x:c>
      <x:c r="AI192" s="13" t="n">
        <x:v>-0.04806532614042929</x:v>
      </x:c>
      <x:c r="AJ192" s="13" t="n">
        <x:v>-0.4952017724376707</x:v>
      </x:c>
      <x:c r="AK192" s="13" t="n">
        <x:v>0.02161311862825717</x:v>
      </x:c>
      <x:c r="AL192" s="13" t="n">
        <x:v>-0.5172395744849024</x:v>
      </x:c>
      <x:c r="AM192" s="13" t="n">
        <x:v>-0.7063812516254379</x:v>
      </x:c>
      <x:c r="AN192" s="13" t="n">
        <x:v>0.5127179178952659</x:v>
      </x:c>
      <x:c r="AO192" s="13" t="n">
        <x:v>0.09749222230110771</x:v>
      </x:c>
      <x:c r="AP192" s="13" t="n">
        <x:v>-1.418746999772358</x:v>
      </x:c>
    </x:row>
    <x:row r="193" ht="15" hidden="0" customHeight="1">
      <x:c r="A193" s="2" t="str">
        <x:v>E192</x:v>
      </x:c>
      <x:c r="B193" s="2" t="str">
        <x:v>***建设工程有限公司</x:v>
      </x:c>
      <x:c r="C193" s="2" t="str">
        <x:v>无信贷记录</x:v>
      </x:c>
      <x:c r="D193" s="2" t="str"/>
      <x:c r="E193" s="2" t="str"/>
      <x:c r="F193" s="13" t="n">
        <x:v>-0.5611990328441965</x:v>
      </x:c>
      <x:c r="G193" s="13" t="n">
        <x:v>-0.5645068863038077</x:v>
      </x:c>
      <x:c r="H193" s="13" t="n">
        <x:v>-0.38052284282489673</x:v>
      </x:c>
      <x:c r="I193" s="13" t="n">
        <x:v>-0.33163294331613485</x:v>
      </x:c>
      <x:c r="J193" s="13" t="n">
        <x:v>-0.19303277717516493</x:v>
      </x:c>
      <x:c r="K193" s="13" t="n">
        <x:v>-0.1680112436446727</x:v>
      </x:c>
      <x:c r="L193" s="13" t="n">
        <x:v>-0.6266914245263977</x:v>
      </x:c>
      <x:c r="M193" s="13" t="n">
        <x:v>3.3462241345096584</x:v>
      </x:c>
      <x:c r="N193" s="13" t="n">
        <x:v>2.5844050305648025</x:v>
      </x:c>
      <x:c r="O193" s="13" t="n">
        <x:v>-0.5399860599820976</x:v>
      </x:c>
      <x:c r="P193" s="13" t="n">
        <x:v>-0.7012524868713522</x:v>
      </x:c>
      <x:c r="Q193" s="13" t="n">
        <x:v>-0.12821817029010243</x:v>
      </x:c>
      <x:c r="R193" s="13" t="n">
        <x:v>0.24263644864576772</x:v>
      </x:c>
      <x:c r="S193" s="13" t="n">
        <x:v>1.7227109890413774</x:v>
      </x:c>
      <x:c r="T193" s="13" t="n">
        <x:v>-0.6827741445207682</x:v>
      </x:c>
      <x:c r="U193" s="13" t="n">
        <x:v>-0.5143704286386184</x:v>
      </x:c>
      <x:c r="V193" s="13" t="n">
        <x:v>-0.5087566455660921</x:v>
      </x:c>
      <x:c r="W193" s="13" t="n">
        <x:v>-0.500310399097876</x:v>
      </x:c>
      <x:c r="X193" s="13" t="n">
        <x:v>-0.3496979040701705</x:v>
      </x:c>
      <x:c r="Y193" s="13" t="n">
        <x:v>-0.13598311966673032</x:v>
      </x:c>
      <x:c r="Z193" s="13" t="n">
        <x:v>-0.13716414228586887</x:v>
      </x:c>
      <x:c r="AA193" s="13" t="n">
        <x:v>-0.38283405569509793</x:v>
      </x:c>
      <x:c r="AB193" s="13" t="n">
        <x:v>0.7082379338969431</x:v>
      </x:c>
      <x:c r="AC193" s="13" t="n">
        <x:v>0.2861652897622413</x:v>
      </x:c>
      <x:c r="AD193" s="13" t="n">
        <x:v>0.7090968521220158</x:v>
      </x:c>
      <x:c r="AE193" s="13" t="n">
        <x:v>0.9847950553578201</x:v>
      </x:c>
      <x:c r="AF193" s="13" t="n">
        <x:v>-0.16362230916755796</x:v>
      </x:c>
      <x:c r="AG193" s="13" t="n">
        <x:v>0.6985226640527391</x:v>
      </x:c>
      <x:c r="AH193" s="13" t="n">
        <x:v>0.9477064441355513</x:v>
      </x:c>
      <x:c r="AI193" s="13" t="n">
        <x:v>-1.054359100016414</x:v>
      </x:c>
      <x:c r="AJ193" s="13" t="n">
        <x:v>-0.009770509371252283</x:v>
      </x:c>
      <x:c r="AK193" s="13" t="n">
        <x:v>-0.18698983347020212</x:v>
      </x:c>
      <x:c r="AL193" s="13" t="n">
        <x:v>1.451253835104244</x:v>
      </x:c>
      <x:c r="AM193" s="13" t="n">
        <x:v>0.9890133975166727</x:v>
      </x:c>
      <x:c r="AN193" s="13" t="n">
        <x:v>0.050420471843717236</x:v>
      </x:c>
      <x:c r="AO193" s="13" t="n">
        <x:v>0.49254559656194674</x:v>
      </x:c>
      <x:c r="AP193" s="13" t="n">
        <x:v>1.5286808172075923</x:v>
      </x:c>
    </x:row>
    <x:row r="194" ht="15" hidden="0" customHeight="1">
      <x:c r="A194" s="2" t="str">
        <x:v>E193</x:v>
      </x:c>
      <x:c r="B194" s="2" t="str">
        <x:v>个体经营E193 </x:v>
      </x:c>
      <x:c r="C194" s="2" t="str">
        <x:v>无信贷记录</x:v>
      </x:c>
      <x:c r="D194" s="2" t="str"/>
      <x:c r="E194" s="2" t="str"/>
      <x:c r="F194" s="13" t="n">
        <x:v>0.1364771960159499</x:v>
      </x:c>
      <x:c r="G194" s="13" t="n">
        <x:v>0.1264490208387657</x:v>
      </x:c>
      <x:c r="H194" s="13" t="n">
        <x:v>0.29987561397481355</x:v>
      </x:c>
      <x:c r="I194" s="13" t="n">
        <x:v>-0.20298745143099672</x:v>
      </x:c>
      <x:c r="J194" s="13" t="n">
        <x:v>-0.18006462948440924</x:v>
      </x:c>
      <x:c r="K194" s="13" t="n">
        <x:v>-0.18424180020639674</x:v>
      </x:c>
      <x:c r="L194" s="13" t="n">
        <x:v>0.16434338827564834</x:v>
      </x:c>
      <x:c r="M194" s="13" t="n">
        <x:v>0.6786115745905426</x:v>
      </x:c>
      <x:c r="N194" s="13" t="n">
        <x:v>-0.3005753993370133</x:v>
      </x:c>
      <x:c r="O194" s="13" t="n">
        <x:v>-0.5672936426145277</x:v>
      </x:c>
      <x:c r="P194" s="13" t="n">
        <x:v>-0.3093819007947501</x:v>
      </x:c>
      <x:c r="Q194" s="13" t="n">
        <x:v>-0.19136966968713642</x:v>
      </x:c>
      <x:c r="R194" s="13" t="n">
        <x:v>-0.8921925346757432</x:v>
      </x:c>
      <x:c r="S194" s="13" t="n">
        <x:v>-0.012426775258423258</x:v>
      </x:c>
      <x:c r="T194" s="13" t="n">
        <x:v>0.7299766413668972</x:v>
      </x:c>
      <x:c r="U194" s="13" t="n">
        <x:v>5.476902121275351</x:v>
      </x:c>
      <x:c r="V194" s="13" t="n">
        <x:v>5.468925103209986</x:v>
      </x:c>
      <x:c r="W194" s="13" t="n">
        <x:v>5.432265370540256</x:v>
      </x:c>
      <x:c r="X194" s="13" t="n">
        <x:v>6.907219841043514</x:v>
      </x:c>
      <x:c r="Y194" s="13" t="n">
        <x:v>0.7645351787982908</x:v>
      </x:c>
      <x:c r="Z194" s="13" t="n">
        <x:v>0.5604710126693317</x:v>
      </x:c>
      <x:c r="AA194" s="13" t="n">
        <x:v>5.562369374521717</x:v>
      </x:c>
      <x:c r="AB194" s="13" t="n">
        <x:v>-0.4487967952750097</x:v>
      </x:c>
      <x:c r="AC194" s="13" t="n">
        <x:v>-0.28973891143217756</x:v>
      </x:c>
      <x:c r="AD194" s="13" t="n">
        <x:v>-0.9795579163624285</x:v>
      </x:c>
      <x:c r="AE194" s="13" t="n">
        <x:v>-1.3038175711818139</x:v>
      </x:c>
      <x:c r="AF194" s="13" t="n">
        <x:v>0.7543764617522628</x:v>
      </x:c>
      <x:c r="AG194" s="13" t="n">
        <x:v>-1.0913794464812325</x:v>
      </x:c>
      <x:c r="AH194" s="13" t="n">
        <x:v>-0.8596069966435075</x:v>
      </x:c>
      <x:c r="AI194" s="13" t="n">
        <x:v>0.857599070347957</x:v>
      </x:c>
      <x:c r="AJ194" s="13" t="n">
        <x:v>1.4697564202763032</x:v>
      </x:c>
      <x:c r="AK194" s="13" t="n">
        <x:v>-0.2938356618268401</x:v>
      </x:c>
      <x:c r="AL194" s="13" t="n">
        <x:v>-0.0767721979609134</x:v>
      </x:c>
      <x:c r="AM194" s="13" t="n">
        <x:v>-0.08806704497816081</x:v>
      </x:c>
      <x:c r="AN194" s="13" t="n">
        <x:v>-1.0120878743256096</x:v>
      </x:c>
      <x:c r="AO194" s="13" t="n">
        <x:v>-1.1196888038560877</x:v>
      </x:c>
      <x:c r="AP194" s="13" t="n">
        <x:v>-0.4444640680425438</x:v>
      </x:c>
    </x:row>
    <x:row r="195" ht="15" hidden="0" customHeight="1">
      <x:c r="A195" s="2" t="str">
        <x:v>E194</x:v>
      </x:c>
      <x:c r="B195" s="2" t="str">
        <x:v>***文化传播有限公司</x:v>
      </x:c>
      <x:c r="C195" s="2" t="str">
        <x:v>无信贷记录</x:v>
      </x:c>
      <x:c r="D195" s="2" t="str"/>
      <x:c r="E195" s="2" t="str"/>
      <x:c r="F195" s="13" t="n">
        <x:v>1.635206264391268</x:v>
      </x:c>
      <x:c r="G195" s="13" t="n">
        <x:v>1.6694719973722851</x:v>
      </x:c>
      <x:c r="H195" s="13" t="n">
        <x:v>0.45934400228724565</x:v>
      </x:c>
      <x:c r="I195" s="13" t="n">
        <x:v>0.011421701710900218</x:v>
      </x:c>
      <x:c r="J195" s="13" t="n">
        <x:v>-0.3329923380023905</x:v>
      </x:c>
      <x:c r="K195" s="13" t="n">
        <x:v>-0.3361573501556058</x:v>
      </x:c>
      <x:c r="L195" s="13" t="n">
        <x:v>2.0780391469390596</x:v>
      </x:c>
      <x:c r="M195" s="13" t="n">
        <x:v>-0.422536331739716</x:v>
      </x:c>
      <x:c r="N195" s="13" t="n">
        <x:v>-0.47188549374140215</x:v>
      </x:c>
      <x:c r="O195" s="13" t="n">
        <x:v>-0.4319409642791397</x:v>
      </x:c>
      <x:c r="P195" s="13" t="n">
        <x:v>-0.457765656381361</x:v>
      </x:c>
      <x:c r="Q195" s="13" t="n">
        <x:v>-0.3242266389511356</x:v>
      </x:c>
      <x:c r="R195" s="13" t="n">
        <x:v>-0.8938615046654969</x:v>
      </x:c>
      <x:c r="S195" s="13" t="n">
        <x:v>-0.3602985199387935</x:v>
      </x:c>
      <x:c r="T195" s="13" t="n">
        <x:v>0.44742648418936415</x:v>
      </x:c>
      <x:c r="U195" s="13" t="n">
        <x:v>5.476902121275351</x:v>
      </x:c>
      <x:c r="V195" s="13" t="n">
        <x:v>5.468925103209986</x:v>
      </x:c>
      <x:c r="W195" s="13" t="n">
        <x:v>4.519930287041298</x:v>
      </x:c>
      <x:c r="X195" s="13" t="n">
        <x:v>6.907219841043514</x:v>
      </x:c>
      <x:c r="Y195" s="13" t="n">
        <x:v>0.2738557954749063</x:v>
      </x:c>
      <x:c r="Z195" s="13" t="n">
        <x:v>0.2270182565482415</x:v>
      </x:c>
      <x:c r="AA195" s="13" t="n">
        <x:v>5.931958937962228</x:v>
      </x:c>
      <x:c r="AB195" s="13" t="n">
        <x:v>-0.5358247851753711</x:v>
      </x:c>
      <x:c r="AC195" s="13" t="n">
        <x:v>0.48571838007839135</x:v>
      </x:c>
      <x:c r="AD195" s="13" t="n">
        <x:v>-0.7717886099014241</x:v>
      </x:c>
      <x:c r="AE195" s="13" t="n">
        <x:v>-0.6140561170026253</x:v>
      </x:c>
      <x:c r="AF195" s="13" t="n">
        <x:v>0.3360678954443112</x:v>
      </x:c>
      <x:c r="AG195" s="13" t="n">
        <x:v>-0.7898756375531659</x:v>
      </x:c>
      <x:c r="AH195" s="13" t="n">
        <x:v>-0.09128210964652277</x:v>
      </x:c>
      <x:c r="AI195" s="13" t="n">
        <x:v>0.5557109381851616</x:v>
      </x:c>
      <x:c r="AJ195" s="13" t="n">
        <x:v>0.7759535226975958</x:v>
      </x:c>
      <x:c r="AK195" s="13" t="n">
        <x:v>-0.29892799672381476</x:v>
      </x:c>
      <x:c r="AL195" s="13" t="n">
        <x:v>-0.43805550994911396</x:v>
      </x:c>
      <x:c r="AM195" s="13" t="n">
        <x:v>0.7131081849492699</x:v>
      </x:c>
      <x:c r="AN195" s="13" t="n">
        <x:v>-0.7862518908015614</x:v>
      </x:c>
      <x:c r="AO195" s="13" t="n">
        <x:v>-0.9788587688361692</x:v>
      </x:c>
      <x:c r="AP195" s="13" t="n">
        <x:v>-0.2706305313856668</x:v>
      </x:c>
    </x:row>
    <x:row r="196" ht="15" hidden="0" customHeight="1">
      <x:c r="A196" s="2" t="str">
        <x:v>E195</x:v>
      </x:c>
      <x:c r="B196" s="2" t="str">
        <x:v>***医药有限公司</x:v>
      </x:c>
      <x:c r="C196" s="2" t="str">
        <x:v>无信贷记录</x:v>
      </x:c>
      <x:c r="D196" s="2" t="str"/>
      <x:c r="E196" s="2" t="str"/>
      <x:c r="F196" s="13" t="n">
        <x:v>0.4702492124806047</x:v>
      </x:c>
      <x:c r="G196" s="13" t="n">
        <x:v>0.4755232057102393</x:v>
      </x:c>
      <x:c r="H196" s="13" t="n">
        <x:v>0.21482580687484973</x:v>
      </x:c>
      <x:c r="I196" s="13" t="n">
        <x:v>1.5122857737041786</x:v>
      </x:c>
      <x:c r="J196" s="13" t="n">
        <x:v>1.1650588326689821</x:v>
      </x:c>
      <x:c r="K196" s="13" t="n">
        <x:v>1.1843959213300952</x:v>
      </x:c>
      <x:c r="L196" s="13" t="n">
        <x:v>0.8458503039204879</x:v>
      </x:c>
      <x:c r="M196" s="13" t="n">
        <x:v>-0.01684957378544074</x:v>
      </x:c>
      <x:c r="N196" s="13" t="n">
        <x:v>1.4697595524128417</x:v>
      </x:c>
      <x:c r="O196" s="13" t="n">
        <x:v>-0.6013745351966482</x:v>
      </x:c>
      <x:c r="P196" s="13" t="n">
        <x:v>-0.7158190493858079</x:v>
      </x:c>
      <x:c r="Q196" s="13" t="n">
        <x:v>1.121529570428083</x:v>
      </x:c>
      <x:c r="R196" s="13" t="n">
        <x:v>-0.9308202438048143</x:v>
      </x:c>
      <x:c r="S196" s="13" t="n">
        <x:v>-0.5803236736097287</x:v>
      </x:c>
      <x:c r="T196" s="13" t="n">
        <x:v>0.8241600270927416</x:v>
      </x:c>
      <x:c r="U196" s="13" t="n">
        <x:v>1.9997251219363845</x:v>
      </x:c>
      <x:c r="V196" s="13" t="n">
        <x:v>2.0484359529458778</x:v>
      </x:c>
      <x:c r="W196" s="13" t="n">
        <x:v>1.0956765653015925</x:v>
      </x:c>
      <x:c r="X196" s="13" t="n">
        <x:v>1.284370337475782</x:v>
      </x:c>
      <x:c r="Y196" s="13" t="n">
        <x:v>0.6307299289432869</x:v>
      </x:c>
      <x:c r="Z196" s="13" t="n">
        <x:v>0.4498464745489513</x:v>
      </x:c>
      <x:c r="AA196" s="13" t="n">
        <x:v>0.5453696419079225</x:v>
      </x:c>
      <x:c r="AB196" s="13" t="n">
        <x:v>-0.6269421961160605</x:v>
      </x:c>
      <x:c r="AC196" s="13" t="n">
        <x:v>-0.11212249510919124</x:v>
      </x:c>
      <x:c r="AD196" s="13" t="n">
        <x:v>-0.7864774082258597</x:v>
      </x:c>
      <x:c r="AE196" s="13" t="n">
        <x:v>-0.7885165522043398</x:v>
      </x:c>
      <x:c r="AF196" s="13" t="n">
        <x:v>0.5874424994256525</x:v>
      </x:c>
      <x:c r="AG196" s="13" t="n">
        <x:v>-1.0945749680505057</x:v>
      </x:c>
      <x:c r="AH196" s="13" t="n">
        <x:v>-0.8563389920041633</x:v>
      </x:c>
      <x:c r="AI196" s="13" t="n">
        <x:v>0.9582284477355555</x:v>
      </x:c>
      <x:c r="AJ196" s="13" t="n">
        <x:v>0.2121673955245839</x:v>
      </x:c>
      <x:c r="AK196" s="13" t="n">
        <x:v>-0.09387500988787957</x:v>
      </x:c>
      <x:c r="AL196" s="13" t="n">
        <x:v>-0.5289570889068339</x:v>
      </x:c>
      <x:c r="AM196" s="13" t="n">
        <x:v>0.30147528879589647</x:v>
      </x:c>
      <x:c r="AN196" s="13" t="n">
        <x:v>-0.9174074381098034</x:v>
      </x:c>
      <x:c r="AO196" s="13" t="n">
        <x:v>-1.1473847985110097</x:v>
      </x:c>
      <x:c r="AP196" s="13" t="n">
        <x:v>-0.7907140516785162</x:v>
      </x:c>
    </x:row>
    <x:row r="197" ht="15" hidden="0" customHeight="1">
      <x:c r="A197" s="2" t="str">
        <x:v>E196</x:v>
      </x:c>
      <x:c r="B197" s="2" t="str">
        <x:v>***地质制图印刷厂</x:v>
      </x:c>
      <x:c r="C197" s="2" t="str">
        <x:v>无信贷记录</x:v>
      </x:c>
      <x:c r="D197" s="2" t="str"/>
      <x:c r="E197" s="2" t="str"/>
      <x:c r="F197" s="13" t="n">
        <x:v>0.02985557964529631</x:v>
      </x:c>
      <x:c r="G197" s="13" t="n">
        <x:v>0.029111026980374023</x:v>
      </x:c>
      <x:c r="H197" s="13" t="n">
        <x:v>0.01283251501243575</x:v>
      </x:c>
      <x:c r="I197" s="13" t="n">
        <x:v>-0.07434195954585855</x:v>
      </x:c>
      <x:c r="J197" s="13" t="n">
        <x:v>0.4042554174754193</x:v>
      </x:c>
      <x:c r="K197" s="13" t="n">
        <x:v>0.386437203939</x:v>
      </x:c>
      <x:c r="L197" s="13" t="n">
        <x:v>-0.24638622606387556</x:v>
      </x:c>
      <x:c r="M197" s="13" t="n">
        <x:v>0.23418695196808792</x:v>
      </x:c>
      <x:c r="N197" s="13" t="n">
        <x:v>0.005907383279205393</x:v>
      </x:c>
      <x:c r="O197" s="13" t="n">
        <x:v>-0.3248906462117626</x:v>
      </x:c>
      <x:c r="P197" s="13" t="n">
        <x:v>-0.18881483506082714</x:v>
      </x:c>
      <x:c r="Q197" s="13" t="n">
        <x:v>0.34769256558466155</x:v>
      </x:c>
      <x:c r="R197" s="13" t="n">
        <x:v>-0.8518420274518622</x:v>
      </x:c>
      <x:c r="S197" s="13" t="n">
        <x:v>-0.4023898518268478</x:v>
      </x:c>
      <x:c r="T197" s="13" t="n">
        <x:v>0.918343412818586</x:v>
      </x:c>
      <x:c r="U197" s="13" t="n">
        <x:v>1.0011480797356656</x:v>
      </x:c>
      <x:c r="V197" s="13" t="n">
        <x:v>0.9987414922578794</x:v>
      </x:c>
      <x:c r="W197" s="13" t="n">
        <x:v>0.9158470481861594</x:v>
      </x:c>
      <x:c r="X197" s="13" t="n">
        <x:v>1.3877923780799561</x:v>
      </x:c>
      <x:c r="Y197" s="13" t="n">
        <x:v>0.22129301201679819</x:v>
      </x:c>
      <x:c r="Z197" s="13" t="n">
        <x:v>0.1608167277203457</x:v>
      </x:c>
      <x:c r="AA197" s="13" t="n">
        <x:v>1.245634709972986</x:v>
      </x:c>
      <x:c r="AB197" s="13" t="n">
        <x:v>-0.4426495295575426</x:v>
      </x:c>
      <x:c r="AC197" s="13" t="n">
        <x:v>0.3465409471694762</x:v>
      </x:c>
      <x:c r="AD197" s="13" t="n">
        <x:v>-0.8619585230255127</x:v>
      </x:c>
      <x:c r="AE197" s="13" t="n">
        <x:v>-0.9211871156628099</x:v>
      </x:c>
      <x:c r="AF197" s="13" t="n">
        <x:v>0.16639380140272694</x:v>
      </x:c>
      <x:c r="AG197" s="13" t="n">
        <x:v>-0.9392104032329893</x:v>
      </x:c>
      <x:c r="AH197" s="13" t="n">
        <x:v>-0.16231099257450146</x:v>
      </x:c>
      <x:c r="AI197" s="13" t="n">
        <x:v>1.058857825123154</x:v>
      </x:c>
      <x:c r="AJ197" s="13" t="n">
        <x:v>0.12104476626624663</x:v>
      </x:c>
      <x:c r="AK197" s="13" t="n">
        <x:v>-0.1455484063322972</x:v>
      </x:c>
      <x:c r="AL197" s="13" t="n">
        <x:v>-0.23102754428497366</x:v>
      </x:c>
      <x:c r="AM197" s="13" t="n">
        <x:v>0.5834752701487933</x:v>
      </x:c>
      <x:c r="AN197" s="13" t="n">
        <x:v>-0.7648019618087014</x:v>
      </x:c>
      <x:c r="AO197" s="13" t="n">
        <x:v>-1.0206811771570141</x:v>
      </x:c>
      <x:c r="AP197" s="13" t="n">
        <x:v>-0.3321871594505842</x:v>
      </x:c>
    </x:row>
    <x:row r="198" ht="15" hidden="0" customHeight="1">
      <x:c r="A198" s="2" t="str">
        <x:v>E197</x:v>
      </x:c>
      <x:c r="B198" s="2" t="str">
        <x:v>***医疗设备有限公司</x:v>
      </x:c>
      <x:c r="C198" s="2" t="str">
        <x:v>无信贷记录</x:v>
      </x:c>
      <x:c r="D198" s="2" t="str"/>
      <x:c r="E198" s="2" t="str"/>
      <x:c r="F198" s="13" t="n">
        <x:v>1.1220317890768612</x:v>
      </x:c>
      <x:c r="G198" s="13" t="n">
        <x:v>1.1381887599580094</x:v>
      </x:c>
      <x:c r="H198" s="13" t="n">
        <x:v>0.4699752281747411</x:v>
      </x:c>
      <x:c r="I198" s="13" t="n">
        <x:v>-0.37451477394451427</x:v>
      </x:c>
      <x:c r="J198" s="13" t="n">
        <x:v>1.4122308237180488</x:v>
      </x:c>
      <x:c r="K198" s="13" t="n">
        <x:v>1.3748538689162426</x:v>
      </x:c>
      <x:c r="L198" s="13" t="n">
        <x:v>1.7342432475289395</x:v>
      </x:c>
      <x:c r="M198" s="13" t="n">
        <x:v>-0.19674141929429614</x:v>
      </x:c>
      <x:c r="N198" s="13" t="n">
        <x:v>-0.6624225197287792</x:v>
      </x:c>
      <x:c r="O198" s="13" t="n">
        <x:v>-0.5257587001757067</x:v>
      </x:c>
      <x:c r="P198" s="13" t="n">
        <x:v>-0.22220243610868684</x:v>
      </x:c>
      <x:c r="Q198" s="13" t="n">
        <x:v>1.536846932528809</x:v>
      </x:c>
      <x:c r="R198" s="13" t="n">
        <x:v>-0.7108036858590269</x:v>
      </x:c>
      <x:c r="S198" s="13" t="n">
        <x:v>0.08355541733597109</x:v>
      </x:c>
      <x:c r="T198" s="13" t="n">
        <x:v>0.5416098699152085</x:v>
      </x:c>
      <x:c r="U198" s="13" t="n">
        <x:v>1.45748988371763</x:v>
      </x:c>
      <x:c r="V198" s="13" t="n">
        <x:v>1.4548620676396766</x:v>
      </x:c>
      <x:c r="W198" s="13" t="n">
        <x:v>1.3129705651494075</x:v>
      </x:c>
      <x:c r="X198" s="13" t="n">
        <x:v>0.5604160532465625</x:v>
      </x:c>
      <x:c r="Y198" s="13" t="n">
        <x:v>0.9686952985329579</x:v>
      </x:c>
      <x:c r="Z198" s="13" t="n">
        <x:v>0.7402144023102148</x:v>
      </x:c>
      <x:c r="AA198" s="13" t="n">
        <x:v>2.568618714404633</x:v>
      </x:c>
      <x:c r="AB198" s="13" t="n">
        <x:v>-0.45886751851381957</x:v>
      </x:c>
      <x:c r="AC198" s="13" t="n">
        <x:v>-0.26663675745976456</x:v>
      </x:c>
      <x:c r="AD198" s="13" t="n">
        <x:v>-0.9219909616899737</x:v>
      </x:c>
      <x:c r="AE198" s="13" t="n">
        <x:v>-0.9945762012540971</x:v>
      </x:c>
      <x:c r="AF198" s="13" t="n">
        <x:v>1.0500636333249742</x:v>
      </x:c>
      <x:c r="AG198" s="13" t="n">
        <x:v>-0.8060876170939221</x:v>
      </x:c>
      <x:c r="AH198" s="13" t="n">
        <x:v>0.3490207078614217</x:v>
      </x:c>
      <x:c r="AI198" s="13" t="n">
        <x:v>0.6563403155727601</x:v>
      </x:c>
      <x:c r="AJ198" s="13" t="n">
        <x:v>0.5807665015821414</x:v>
      </x:c>
      <x:c r="AK198" s="13" t="n">
        <x:v>-0.132669348864637</x:v>
      </x:c>
      <x:c r="AL198" s="13" t="n">
        <x:v>-0.4446446442976846</x:v>
      </x:c>
      <x:c r="AM198" s="13" t="n">
        <x:v>-0.3906204837034248</x:v>
      </x:c>
      <x:c r="AN198" s="13" t="n">
        <x:v>-0.9466095100903947</x:v>
      </x:c>
      <x:c r="AO198" s="13" t="n">
        <x:v>-0.8623703195030493</x:v>
      </x:c>
      <x:c r="AP198" s="13" t="n">
        <x:v>0.22301984816862144</x:v>
      </x:c>
    </x:row>
    <x:row r="199" ht="15" hidden="0" customHeight="1">
      <x:c r="A199" s="2" t="str">
        <x:v>E198</x:v>
      </x:c>
      <x:c r="B199" s="2" t="str">
        <x:v>***商贸有限公司</x:v>
      </x:c>
      <x:c r="C199" s="2" t="str">
        <x:v>无信贷记录</x:v>
      </x:c>
      <x:c r="D199" s="2" t="str"/>
      <x:c r="E199" s="2" t="str"/>
      <x:c r="F199" s="13" t="n">
        <x:v>-0.08093818693116549</x:v>
      </x:c>
      <x:c r="G199" s="13" t="n">
        <x:v>-0.07973490703861569</x:v>
      </x:c>
      <x:c r="H199" s="13" t="n">
        <x:v>-0.11474219563750993</x:v>
      </x:c>
      <x:c r="I199" s="13" t="n">
        <x:v>-0.46027843520127304</x:v>
      </x:c>
      <x:c r="J199" s="13" t="n">
        <x:v>0.7553753373536477</x:v>
      </x:c>
      <x:c r="K199" s="13" t="n">
        <x:v>0.729519709409967</x:v>
      </x:c>
      <x:c r="L199" s="13" t="n">
        <x:v>-0.0668821723895651</x:v>
      </x:c>
      <x:c r="M199" s="13" t="n">
        <x:v>0.12109311104893779</x:v>
      </x:c>
      <x:c r="N199" s="13" t="n">
        <x:v>-0.7216149855326618</x:v>
      </x:c>
      <x:c r="O199" s="13" t="n">
        <x:v>-0.7186888428940229</x:v>
      </x:c>
      <x:c r="P199" s="13" t="n">
        <x:v>-0.9835553881001873</x:v>
      </x:c>
      <x:c r="Q199" s="13" t="n">
        <x:v>0.718413666135958</x:v>
      </x:c>
      <x:c r="R199" s="13" t="n">
        <x:v>-0.6667997824995603</x:v>
      </x:c>
      <x:c r="S199" s="13" t="n">
        <x:v>0.4677823482851871</x:v>
      </x:c>
      <x:c r="T199" s="13" t="n">
        <x:v>0.8241600270927416</x:v>
      </x:c>
      <x:c r="U199" s="13" t="n">
        <x:v>-0.13338298720794822</x:v>
      </x:c>
      <x:c r="V199" s="13" t="n">
        <x:v>-0.13847425964729002</x:v>
      </x:c>
      <x:c r="W199" s="13" t="n">
        <x:v>-0.028257916669864224</x:v>
      </x:c>
      <x:c r="X199" s="13" t="n">
        <x:v>0.7465757263340761</x:v>
      </x:c>
      <x:c r="Y199" s="13" t="n">
        <x:v>0.05951016146109685</x:v>
      </x:c>
      <x:c r="Z199" s="13" t="n">
        <x:v>0.08662302944709921</x:v>
      </x:c>
      <x:c r="AA199" s="13" t="n">
        <x:v>-0.3005881584391341</x:v>
      </x:c>
      <x:c r="AB199" s="13" t="n">
        <x:v>-0.1930317390546668</x:v>
      </x:c>
      <x:c r="AC199" s="13" t="n">
        <x:v>1.8301091181257267</x:v>
      </x:c>
      <x:c r="AD199" s="13" t="n">
        <x:v>-0.45062631209234016</x:v>
      </x:c>
      <x:c r="AE199" s="13" t="n">
        <x:v>-0.16294981120379654</x:v>
      </x:c>
      <x:c r="AF199" s="13" t="n">
        <x:v>0.027881049276277672</x:v>
      </x:c>
      <x:c r="AG199" s="13" t="n">
        <x:v>-0.16898762995949476</x:v>
      </x:c>
      <x:c r="AH199" s="13" t="n">
        <x:v>0.7015416189642334</x:v>
      </x:c>
      <x:c r="AI199" s="13" t="n">
        <x:v>0.5557109381851616</x:v>
      </x:c>
      <x:c r="AJ199" s="13" t="n">
        <x:v>-0.4170532483945684</x:v>
      </x:c>
      <x:c r="AK199" s="13" t="n">
        <x:v>-0.039684829784675225</x:v>
      </x:c>
      <x:c r="AL199" s="13" t="n">
        <x:v>-0.20139265854146013</x:v>
      </x:c>
      <x:c r="AM199" s="13" t="n">
        <x:v>0.9784109749611732</x:v>
      </x:c>
      <x:c r="AN199" s="13" t="n">
        <x:v>-0.7945321407354284</x:v>
      </x:c>
      <x:c r="AO199" s="13" t="n">
        <x:v>-0.532558025253167</x:v>
      </x:c>
      <x:c r="AP199" s="13" t="n">
        <x:v>0.6359340795384056</x:v>
      </x:c>
    </x:row>
    <x:row r="200" ht="15" hidden="0" customHeight="1">
      <x:c r="A200" s="2" t="str">
        <x:v>E199</x:v>
      </x:c>
      <x:c r="B200" s="2" t="str">
        <x:v>***建筑劳务有限公司</x:v>
      </x:c>
      <x:c r="C200" s="2" t="str">
        <x:v>无信贷记录</x:v>
      </x:c>
      <x:c r="D200" s="2" t="str"/>
      <x:c r="E200" s="2" t="str"/>
      <x:c r="F200" s="13" t="n">
        <x:v>-0.5904040842848538</x:v>
      </x:c>
      <x:c r="G200" s="13" t="n">
        <x:v>-0.5889612591450786</x:v>
      </x:c>
      <x:c r="H200" s="13" t="n">
        <x:v>-0.5080975534748424</x:v>
      </x:c>
      <x:c r="I200" s="13" t="n">
        <x:v>-0.46027843520127304</x:v>
      </x:c>
      <x:c r="J200" s="13" t="n">
        <x:v>-0.5667137170560457</x:v>
      </x:c>
      <x:c r="K200" s="13" t="n">
        <x:v>-0.5691968050091858</x:v>
      </x:c>
      <x:c r="L200" s="13" t="n">
        <x:v>-0.6388611908771984</x:v>
      </x:c>
      <x:c r="M200" s="13" t="n">
        <x:v>-0.3510984336921755</x:v>
      </x:c>
      <x:c r="N200" s="13" t="n">
        <x:v>-0.7216149855326618</x:v>
      </x:c>
      <x:c r="O200" s="13" t="n">
        <x:v>0.05505831226846236</x:v>
      </x:c>
      <x:c r="P200" s="13" t="n">
        <x:v>0.16951369658930143</x:v>
      </x:c>
      <x:c r="Q200" s="13" t="n">
        <x:v>-0.579940710872323</x:v>
      </x:c>
      <x:c r="R200" s="13" t="n">
        <x:v>0.7949277457153023</x:v>
      </x:c>
      <x:c r="S200" s="13" t="n">
        <x:v>-0.49754924221101404</x:v>
      </x:c>
      <x:c r="T200" s="13" t="n">
        <x:v>-0.9653243016983014</x:v>
      </x:c>
      <x:c r="U200" s="13" t="n">
        <x:v>-0.1275864977809256</x:v>
      </x:c>
      <x:c r="V200" s="13" t="n">
        <x:v>-0.09359154620258674</x:v>
      </x:c>
      <x:c r="W200" s="13" t="n">
        <x:v>-0.5452677783767343</x:v>
      </x:c>
      <x:c r="X200" s="13" t="n">
        <x:v>1.4705300105632957</x:v>
      </x:c>
      <x:c r="Y200" s="13" t="n">
        <x:v>0.024489159836722136</x:v>
      </x:c>
      <x:c r="Z200" s="13" t="n">
        <x:v>0.0996214252250139</x:v>
      </x:c>
      <x:c r="AA200" s="13" t="n">
        <x:v>-0.39223358681006526</x:v>
      </x:c>
      <x:c r="AB200" s="13" t="n">
        <x:v>-0.8987467638991173</x:v>
      </x:c>
      <x:c r="AC200" s="13" t="n">
        <x:v>3.029342073884121</x:v>
      </x:c>
      <x:c r="AD200" s="13" t="n">
        <x:v>0.5502328615428521</x:v>
      </x:c>
      <x:c r="AE200" s="13" t="n">
        <x:v>0.37890591909474386</x:v>
      </x:c>
      <x:c r="AF200" s="13" t="n">
        <x:v>0.26525673355359436</x:v>
      </x:c>
      <x:c r="AG200" s="13" t="n">
        <x:v>0.9929348392055287</x:v>
      </x:c>
      <x:c r="AH200" s="13" t="n">
        <x:v>1.0917985074274872</x:v>
      </x:c>
      <x:c r="AI200" s="13" t="n">
        <x:v>-1.255617854791611</x:v>
      </x:c>
      <x:c r="AJ200" s="13" t="n">
        <x:v>0.5435404593495133</x:v>
      </x:c>
      <x:c r="AK200" s="13" t="n">
        <x:v>-0.3422795240362908</x:v>
      </x:c>
      <x:c r="AL200" s="13" t="n">
        <x:v>-0.9866318510317885</x:v>
      </x:c>
      <x:c r="AM200" s="13" t="n">
        <x:v>5.277690058932323</x:v>
      </x:c>
      <x:c r="AN200" s="13" t="n">
        <x:v>0.38106974121195375</x:v>
      </x:c>
      <x:c r="AO200" s="13" t="n">
        <x:v>1.0056476055811756</x:v>
      </x:c>
      <x:c r="AP200" s="13" t="n">
        <x:v>0.24110807725432287</x:v>
      </x:c>
    </x:row>
    <x:row r="201" ht="15" hidden="0" customHeight="1">
      <x:c r="A201" s="2" t="str">
        <x:v>E200</x:v>
      </x:c>
      <x:c r="B201" s="2" t="str">
        <x:v>个体经营E200 </x:v>
      </x:c>
      <x:c r="C201" s="2" t="str">
        <x:v>无信贷记录</x:v>
      </x:c>
      <x:c r="D201" s="2" t="str"/>
      <x:c r="E201" s="2" t="str"/>
      <x:c r="F201" s="13" t="n">
        <x:v>-0.03875311262799384</x:v>
      </x:c>
      <x:c r="G201" s="13" t="n">
        <x:v>-0.035621136422989905</x:v>
      </x:c>
      <x:c r="H201" s="13" t="n">
        <x:v>-0.1253734215250054</x:v>
      </x:c>
      <x:c r="I201" s="13" t="n">
        <x:v>-0.20298745143099672</x:v>
      </x:c>
      <x:c r="J201" s="13" t="n">
        <x:v>0.520395969931107</x:v>
      </x:c>
      <x:c r="K201" s="13" t="n">
        <x:v>0.499789715427197</x:v>
      </x:c>
      <x:c r="L201" s="13" t="n">
        <x:v>-0.31027749940557925</x:v>
      </x:c>
      <x:c r="M201" s="13" t="n">
        <x:v>-0.0034385453482812427</x:v>
      </x:c>
      <x:c r="N201" s="13" t="n">
        <x:v>-0.1820813276183379</x:v>
      </x:c>
      <x:c r="O201" s="13" t="n">
        <x:v>-0.3582040736273348</x:v>
      </x:c>
      <x:c r="P201" s="13" t="n">
        <x:v>-0.14354417124387672</x:v>
      </x:c>
      <x:c r="Q201" s="13" t="n">
        <x:v>0.5170072449703385</x:v>
      </x:c>
      <x:c r="R201" s="13" t="n">
        <x:v>-0.6336918064741566</x:v>
      </x:c>
      <x:c r="S201" s="13" t="n">
        <x:v>0.4794748557123074</x:v>
      </x:c>
      <x:c r="T201" s="13" t="n">
        <x:v>0.7299766413668972</x:v>
      </x:c>
      <x:c r="U201" s="13" t="n">
        <x:v>-0.23666588972580624</x:v>
      </x:c>
      <x:c r="V201" s="13" t="n">
        <x:v>-0.23048382220893177</x:v>
      </x:c>
      <x:c r="W201" s="13" t="n">
        <x:v>-0.26803060615710833</x:v>
      </x:c>
      <x:c r="X201" s="13" t="n">
        <x:v>-0.14285382286182208</x:v>
      </x:c>
      <x:c r="Y201" s="13" t="n">
        <x:v>-0.047424727690690505</x:v>
      </x:c>
      <x:c r="Z201" s="13" t="n">
        <x:v>-0.07050991209609218</x:v>
      </x:c>
      <x:c r="AA201" s="13" t="n">
        <x:v>-0.2817890962091995</x:v>
      </x:c>
      <x:c r="AB201" s="13" t="n">
        <x:v>-0.3596906805772658</x:v>
      </x:c>
      <x:c r="AC201" s="13" t="n">
        <x:v>0.013931351698522757</x:v>
      </x:c>
      <x:c r="AD201" s="13" t="n">
        <x:v>-0.7634893864530435</x:v>
      </x:c>
      <x:c r="AE201" s="13" t="n">
        <x:v>-0.7044228166219156</x:v>
      </x:c>
      <x:c r="AF201" s="13" t="n">
        <x:v>-0.04855375948882907</x:v>
      </x:c>
      <x:c r="AG201" s="13" t="n">
        <x:v>-0.40208879831025174</x:v>
      </x:c>
      <x:c r="AH201" s="13" t="n">
        <x:v>0.5198465733212466</x:v>
      </x:c>
      <x:c r="AI201" s="13" t="n">
        <x:v>0.6563403155727601</x:v>
      </x:c>
      <x:c r="AJ201" s="13" t="n">
        <x:v>-0.41290554903865895</x:v>
      </x:c>
      <x:c r="AK201" s="13" t="n">
        <x:v>0.0030306031624548232</x:v>
      </x:c>
      <x:c r="AL201" s="13" t="n">
        <x:v>-0.44755653840207166</x:v>
      </x:c>
      <x:c r="AM201" s="13" t="n">
        <x:v>-0.18209355503031593</x:v>
      </x:c>
      <x:c r="AN201" s="13" t="n">
        <x:v>-0.7279959679273424</x:v>
      </x:c>
      <x:c r="AO201" s="13" t="n">
        <x:v>-0.6198638727947338</x:v>
      </x:c>
      <x:c r="AP201" s="13" t="n">
        <x:v>0.5515923304826619</x:v>
      </x:c>
    </x:row>
    <x:row r="202" ht="15" hidden="0" customHeight="1">
      <x:c r="A202" s="2" t="str">
        <x:v>E201</x:v>
      </x:c>
      <x:c r="B202" s="2" t="str">
        <x:v>***物流有限责任公司</x:v>
      </x:c>
      <x:c r="C202" s="2" t="str">
        <x:v>无信贷记录</x:v>
      </x:c>
      <x:c r="D202" s="2" t="str"/>
      <x:c r="E202" s="2" t="str"/>
      <x:c r="F202" s="13" t="n">
        <x:v>-0.39014087440606093</x:v>
      </x:c>
      <x:c r="G202" s="13" t="n">
        <x:v>-0.3894902963613794</x:v>
      </x:c>
      <x:c r="H202" s="13" t="n">
        <x:v>-0.3379979392749149</x:v>
      </x:c>
      <x:c r="I202" s="13" t="n">
        <x:v>-0.4173966045728936</x:v>
      </x:c>
      <x:c r="J202" s="13" t="n">
        <x:v>0.30333248010892916</x:v>
      </x:c>
      <x:c r="K202" s="13" t="n">
        <x:v>0.2861418031707043</x:v>
      </x:c>
      <x:c r="L202" s="13" t="n">
        <x:v>-0.3954658638611842</x:v>
      </x:c>
      <x:c r="M202" s="13" t="n">
        <x:v>0.20890539388927187</x:v>
      </x:c>
      <x:c r="N202" s="13" t="n">
        <x:v>-0.4883608735257852</x:v>
      </x:c>
      <x:c r="O202" s="13" t="n">
        <x:v>-0.46757849933074513</x:v>
      </x:c>
      <x:c r="P202" s="13" t="n">
        <x:v>-0.3983458940100744</x:v>
      </x:c>
      <x:c r="Q202" s="13" t="n">
        <x:v>0.27361745818342453</x:v>
      </x:c>
      <x:c r="R202" s="13" t="n">
        <x:v>0.00750372497804152</x:v>
      </x:c>
      <x:c r="S202" s="13" t="n">
        <x:v>1.1262481820893258</x:v>
      </x:c>
      <x:c r="T202" s="13" t="n">
        <x:v>0.7299766413668972</x:v>
      </x:c>
      <x:c r="U202" s="13" t="n">
        <x:v>0.0763445393334165</x:v>
      </x:c>
      <x:c r="V202" s="13" t="n">
        <x:v>0.06125381518163961</x:v>
      </x:c>
      <x:c r="W202" s="13" t="n">
        <x:v>0.28644373828214365</x:v>
      </x:c>
      <x:c r="X202" s="13" t="n">
        <x:v>-0.060116190378482696</x:v>
      </x:c>
      <x:c r="Y202" s="13" t="n">
        <x:v>-0.06430847009696947</x:v>
      </x:c>
      <x:c r="Z202" s="13" t="n">
        <x:v>-0.0952610460632273</x:v>
      </x:c>
      <x:c r="AA202" s="13" t="n">
        <x:v>0.00959636835478666</x:v>
      </x:c>
      <x:c r="AB202" s="13" t="n">
        <x:v>-0.17832182175850136</x:v>
      </x:c>
      <x:c r="AC202" s="13" t="n">
        <x:v>-0.2041339827368487</x:v>
      </x:c>
      <x:c r="AD202" s="13" t="n">
        <x:v>-0.6852606251858371</x:v>
      </x:c>
      <x:c r="AE202" s="13" t="n">
        <x:v>-0.5524849258425588</x:v>
      </x:c>
      <x:c r="AF202" s="13" t="n">
        <x:v>-0.09341050429780773</x:v>
      </x:c>
      <x:c r="AG202" s="13" t="n">
        <x:v>0.22152465189452947</x:v>
      </x:c>
      <x:c r="AH202" s="13" t="n">
        <x:v>1.3649355402724663</x:v>
      </x:c>
      <x:c r="AI202" s="13" t="n">
        <x:v>0.9582284477355555</x:v>
      </x:c>
      <x:c r="AJ202" s="13" t="n">
        <x:v>-0.2736094036566868</x:v>
      </x:c>
      <x:c r="AK202" s="13" t="n">
        <x:v>-0.04801880898716088</x:v>
      </x:c>
      <x:c r="AL202" s="13" t="n">
        <x:v>0.17784375935747024</x:v>
      </x:c>
      <x:c r="AM202" s="13" t="n">
        <x:v>-0.13561236027688503</x:v>
      </x:c>
      <x:c r="AN202" s="13" t="n">
        <x:v>-0.7584948016155413</x:v>
      </x:c>
      <x:c r="AO202" s="13" t="n">
        <x:v>0.10852227481601755</x:v>
      </x:c>
      <x:c r="AP202" s="13" t="n">
        <x:v>1.3734088867539858</x:v>
      </x:c>
    </x:row>
    <x:row r="203" ht="15" hidden="0" customHeight="1">
      <x:c r="A203" s="2" t="str">
        <x:v>E202</x:v>
      </x:c>
      <x:c r="B203" s="2" t="str">
        <x:v>个体经营E202 </x:v>
      </x:c>
      <x:c r="C203" s="2" t="str">
        <x:v>无信贷记录</x:v>
      </x:c>
      <x:c r="D203" s="2" t="str"/>
      <x:c r="E203" s="2" t="str"/>
      <x:c r="F203" s="13" t="n">
        <x:v>-0.4253723650328856</x:v>
      </x:c>
      <x:c r="G203" s="13" t="n">
        <x:v>-0.4369605495238462</x:v>
      </x:c>
      <x:c r="H203" s="13" t="n">
        <x:v>-0.09347974386251898</x:v>
      </x:c>
      <x:c r="I203" s="13" t="n">
        <x:v>-0.37451477394451427</x:v>
      </x:c>
      <x:c r="J203" s="13" t="n">
        <x:v>-0.3432026119998889</x:v>
      </x:c>
      <x:c r="K203" s="13" t="n">
        <x:v>-0.34612595452011846</x:v>
      </x:c>
      <x:c r="L203" s="13" t="n">
        <x:v>-0.3832960975103835</x:v>
      </x:c>
      <x:c r="M203" s="13" t="n">
        <x:v>2.6509022827628255</x:v>
      </x:c>
      <x:c r="N203" s="13" t="n">
        <x:v>-0.12822677751516814</x:v>
      </x:c>
      <x:c r="O203" s="13" t="n">
        <x:v>-0.6643226521714625</x:v>
      </x:c>
      <x:c r="P203" s="13" t="n">
        <x:v>-0.8555730394092587</x:v>
      </x:c>
      <x:c r="Q203" s="13" t="n">
        <x:v>-0.34285348494314266</x:v>
      </x:c>
      <x:c r="R203" s="13" t="n">
        <x:v>-0.47770369507746163</x:v>
      </x:c>
      <x:c r="S203" s="13" t="n">
        <x:v>-0.8189759774631473</x:v>
      </x:c>
      <x:c r="T203" s="13" t="n">
        <x:v>0.5416098699152085</x:v>
      </x:c>
      <x:c r="U203" s="13" t="n">
        <x:v>0.023122227321663143</x:v>
      </x:c>
      <x:c r="V203" s="13" t="n">
        <x:v>0.0679862221983451</x:v>
      </x:c>
      <x:c r="W203" s="13" t="n">
        <x:v>-0.560253571469687</x:v>
      </x:c>
      <x:c r="X203" s="13" t="n">
        <x:v>-0.3910667203118402</x:v>
      </x:c>
      <x:c r="Y203" s="13" t="n">
        <x:v>0.4394486637108818</x:v>
      </x:c>
      <x:c r="Z203" s="13" t="n">
        <x:v>0.29175948925578865</x:v>
      </x:c>
      <x:c r="AA203" s="13" t="n">
        <x:v>-0.38753382125258157</x:v>
      </x:c>
      <x:c r="AB203" s="13" t="n">
        <x:v>-0.9449132733720454</x:v>
      </x:c>
      <x:c r="AC203" s="13" t="n">
        <x:v>-0.6980651016988949</x:v>
      </x:c>
      <x:c r="AD203" s="13" t="n">
        <x:v>2.8499047897521863</x:v>
      </x:c>
      <x:c r="AE203" s="13" t="n">
        <x:v>2.4170991351490754</x:v>
      </x:c>
      <x:c r="AF203" s="13" t="n">
        <x:v>0.45563629976468745</x:v>
      </x:c>
      <x:c r="AG203" s="13" t="n">
        <x:v>-0.14392815033812484</x:v>
      </x:c>
      <x:c r="AH203" s="13" t="n">
        <x:v>-0.7144073977044234</x:v>
      </x:c>
      <x:c r="AI203" s="13" t="n">
        <x:v>0.4550815607975631</x:v>
      </x:c>
      <x:c r="AJ203" s="13" t="n">
        <x:v>1.0577210564117454</x:v>
      </x:c>
      <x:c r="AK203" s="13" t="n">
        <x:v>-0.3043397581567168</x:v>
      </x:c>
      <x:c r="AL203" s="13" t="n">
        <x:v>-0.6761141641875129</x:v>
      </x:c>
      <x:c r="AM203" s="13" t="n">
        <x:v>-0.7010650437493876</x:v>
      </x:c>
      <x:c r="AN203" s="13" t="n">
        <x:v>1.2828904834255956</x:v>
      </x:c>
      <x:c r="AO203" s="13" t="n">
        <x:v>-0.3925428708597114</x:v>
      </x:c>
      <x:c r="AP203" s="13" t="n">
        <x:v>-0.8654342694175642</x:v>
      </x:c>
    </x:row>
    <x:row r="204" ht="15" hidden="0" customHeight="1">
      <x:c r="A204" s="2" t="str">
        <x:v>E203</x:v>
      </x:c>
      <x:c r="B204" s="2" t="str">
        <x:v>***建设工程有限公司</x:v>
      </x:c>
      <x:c r="C204" s="2" t="str">
        <x:v>无信贷记录</x:v>
      </x:c>
      <x:c r="D204" s="2" t="str"/>
      <x:c r="E204" s="2" t="str"/>
      <x:c r="F204" s="13" t="n">
        <x:v>-0.05312385222577758</x:v>
      </x:c>
      <x:c r="G204" s="13" t="n">
        <x:v>-0.06391148931779339</x:v>
      </x:c>
      <x:c r="H204" s="13" t="n">
        <x:v>0.17230090332486786</x:v>
      </x:c>
      <x:c r="I204" s="13" t="n">
        <x:v>-0.33163294331613485</x:v>
      </x:c>
      <x:c r="J204" s="13" t="n">
        <x:v>-0.06950555481955722</x:v>
      </x:c>
      <x:c r="K204" s="13" t="n">
        <x:v>-0.07478960077400044</x:v>
      </x:c>
      <x:c r="L204" s="13" t="n">
        <x:v>0.32255035083605754</x:v>
      </x:c>
      <x:c r="M204" s="13" t="n">
        <x:v>0.9168472665839625</x:v>
      </x:c>
      <x:c r="N204" s="13" t="n">
        <x:v>-0.4379109911565221</x:v>
      </x:c>
      <x:c r="O204" s="13" t="n">
        <x:v>-0.6940431946759129</x:v>
      </x:c>
      <x:c r="P204" s="13" t="n">
        <x:v>-0.6819899685783675</x:v>
      </x:c>
      <x:c r="Q204" s="13" t="n">
        <x:v>-0.07956110220479175</x:v>
      </x:c>
      <x:c r="R204" s="13" t="n">
        <x:v>-0.44562168072875513</x:v>
      </x:c>
      <x:c r="S204" s="13" t="n">
        <x:v>0.7789547793316707</x:v>
      </x:c>
      <x:c r="T204" s="13" t="n">
        <x:v>0.5416098699152085</x:v>
      </x:c>
      <x:c r="U204" s="13" t="n">
        <x:v>-0.22401900370321137</x:v>
      </x:c>
      <x:c r="V204" s="13" t="n">
        <x:v>-0.2226293473561087</x:v>
      </x:c>
      <x:c r="W204" s="13" t="n">
        <x:v>-0.19310164069234453</x:v>
      </x:c>
      <x:c r="X204" s="13" t="n">
        <x:v>-0.3496979040701705</x:v>
      </x:c>
      <x:c r="Y204" s="13" t="n">
        <x:v>-0.07177904642122745</x:v>
      </x:c>
      <x:c r="Z204" s="13" t="n">
        <x:v>-0.10469589204904646</x:v>
      </x:c>
      <x:c r="AA204" s="13" t="n">
        <x:v>-0.3264368690052942</x:v>
      </x:c>
      <x:c r="AB204" s="13" t="n">
        <x:v>-0.2549602546379862</x:v>
      </x:c>
      <x:c r="AC204" s="13" t="n">
        <x:v>-0.5822732909387612</x:v>
      </x:c>
      <x:c r="AD204" s="13" t="n">
        <x:v>0.5569708996453028</x:v>
      </x:c>
      <x:c r="AE204" s="13" t="n">
        <x:v>0.7031416800208694</x:v>
      </x:c>
      <x:c r="AF204" s="13" t="n">
        <x:v>-0.10072860979664042</x:v>
      </x:c>
      <x:c r="AG204" s="13" t="n">
        <x:v>0.49870348005909654</x:v>
      </x:c>
      <x:c r="AH204" s="13" t="n">
        <x:v>0.34677893299843954</x:v>
      </x:c>
      <x:c r="AI204" s="13" t="n">
        <x:v>0.5557109381851616</x:v>
      </x:c>
      <x:c r="AJ204" s="13" t="n">
        <x:v>0.0012634982059376353</x:v>
      </x:c>
      <x:c r="AK204" s="13" t="n">
        <x:v>-0.16770947054994056</x:v>
      </x:c>
      <x:c r="AL204" s="13" t="n">
        <x:v>-0.09169776153113163</x:v>
      </x:c>
      <x:c r="AM204" s="13" t="n">
        <x:v>-0.6107072401333854</x:v>
      </x:c>
      <x:c r="AN204" s="13" t="n">
        <x:v>-0.15453024674660362</x:v>
      </x:c>
      <x:c r="AO204" s="13" t="n">
        <x:v>-0.0682096277281101</x:v>
      </x:c>
      <x:c r="AP204" s="13" t="n">
        <x:v>0.6478951533145572</x:v>
      </x:c>
    </x:row>
    <x:row r="205" ht="15" hidden="0" customHeight="1">
      <x:c r="A205" s="2" t="str">
        <x:v>E204</x:v>
      </x:c>
      <x:c r="B205" s="2" t="str">
        <x:v>***科技发展有限公司</x:v>
      </x:c>
      <x:c r="C205" s="2" t="str">
        <x:v>无信贷记录</x:v>
      </x:c>
      <x:c r="D205" s="2" t="str"/>
      <x:c r="E205" s="2" t="str"/>
      <x:c r="F205" s="13" t="n">
        <x:v>1.8058008505843137</x:v>
      </x:c>
      <x:c r="G205" s="13" t="n">
        <x:v>1.799895319192396</x:v>
      </x:c>
      <x:c r="H205" s="13" t="n">
        <x:v>1.4799416874868112</x:v>
      </x:c>
      <x:c r="I205" s="13" t="n">
        <x:v>1.5122857737041786</x:v>
      </x:c>
      <x:c r="J205" s="13" t="n">
        <x:v>0.7421047935246963</x:v>
      </x:c>
      <x:c r="K205" s="13" t="n">
        <x:v>0.7571589148739486</x:v>
      </x:c>
      <x:c r="L205" s="13" t="n">
        <x:v>2.9755594153106117</x:v>
      </x:c>
      <x:c r="M205" s="13" t="n">
        <x:v>0.23268934023442991</x:v>
      </x:c>
      <x:c r="N205" s="13" t="n">
        <x:v>0.26622475945092466</x:v>
      </x:c>
      <x:c r="O205" s="13" t="n">
        <x:v>-0.9244340334419899</x:v>
      </x:c>
      <x:c r="P205" s="13" t="n">
        <x:v>-1.2254468000902123</x:v>
      </x:c>
      <x:c r="Q205" s="13" t="n">
        <x:v>0.7053558609345592</x:v>
      </x:c>
      <x:c r="R205" s="13" t="n">
        <x:v>-0.8988111043998942</x:v>
      </x:c>
      <x:c r="S205" s="13" t="n">
        <x:v>-0.5683531639481074</x:v>
      </x:c>
      <x:c r="T205" s="13" t="n">
        <x:v>0.8241600270927416</x:v>
      </x:c>
      <x:c r="U205" s="13" t="n">
        <x:v>0.3255935846953902</x:v>
      </x:c>
      <x:c r="V205" s="13" t="n">
        <x:v>0.20431746428663133</x:v>
      </x:c>
      <x:c r="W205" s="13" t="n">
        <x:v>1.9198951854139943</x:v>
      </x:c>
      <x:c r="X205" s="13" t="n">
        <x:v>0.2915187476757096</x:v>
      </x:c>
      <x:c r="Y205" s="13" t="n">
        <x:v>0.41003647749960015</x:v>
      </x:c>
      <x:c r="Z205" s="13" t="n">
        <x:v>0.29865930380158134</x:v>
      </x:c>
      <x:c r="AA205" s="13" t="n">
        <x:v>0.5829677663677917</x:v>
      </x:c>
      <x:c r="AB205" s="13" t="n">
        <x:v>0.6560157250595915</x:v>
      </x:c>
      <x:c r="AC205" s="13" t="n">
        <x:v>0.12665969234098176</x:v>
      </x:c>
      <x:c r="AD205" s="13" t="n">
        <x:v>-0.913244378218417</x:v>
      </x:c>
      <x:c r="AE205" s="13" t="n">
        <x:v>-1.1558432861821561</x:v>
      </x:c>
      <x:c r="AF205" s="13" t="n">
        <x:v>0.3712532938723791</x:v>
      </x:c>
      <x:c r="AG205" s="13" t="n">
        <x:v>-0.7819580725469049</x:v>
      </x:c>
      <x:c r="AH205" s="13" t="n">
        <x:v>-0.3125674356644764</x:v>
      </x:c>
      <x:c r="AI205" s="13" t="n">
        <x:v>0.9582284477355555</x:v>
      </x:c>
      <x:c r="AJ205" s="13" t="n">
        <x:v>0.1729641564357378</x:v>
      </x:c>
      <x:c r="AK205" s="13" t="n">
        <x:v>-0.11777635721706385</x:v>
      </x:c>
      <x:c r="AL205" s="13" t="n">
        <x:v>0.0701887080652158</x:v>
      </x:c>
      <x:c r="AM205" s="13" t="n">
        <x:v>-0.05232897425798608</x:v>
      </x:c>
      <x:c r="AN205" s="13" t="n">
        <x:v>-1.206684152073725</x:v>
      </x:c>
      <x:c r="AO205" s="13" t="n">
        <x:v>-0.9784868806597564</x:v>
      </x:c>
      <x:c r="AP205" s="13" t="n">
        <x:v>-0.5095285416637524</x:v>
      </x:c>
    </x:row>
    <x:row r="206" ht="15" hidden="0" customHeight="1">
      <x:c r="A206" s="2" t="str">
        <x:v>E205</x:v>
      </x:c>
      <x:c r="B206" s="2" t="str">
        <x:v>个体经营E205 </x:v>
      </x:c>
      <x:c r="C206" s="2" t="str">
        <x:v>无信贷记录</x:v>
      </x:c>
      <x:c r="D206" s="2" t="str"/>
      <x:c r="E206" s="2" t="str"/>
      <x:c r="F206" s="13" t="n">
        <x:v>-0.5426561430406046</x:v>
      </x:c>
      <x:c r="G206" s="13" t="n">
        <x:v>-0.545806483542836</x:v>
      </x:c>
      <x:c r="H206" s="13" t="n">
        <x:v>-0.3698916169374013</x:v>
      </x:c>
      <x:c r="I206" s="13" t="n">
        <x:v>-0.4173966045728936</x:v>
      </x:c>
      <x:c r="J206" s="13" t="n">
        <x:v>-0.021734802138863092</x:v>
      </x:c>
      <x:c r="K206" s="13" t="n">
        <x:v>0.005490294016330448</x:v>
      </x:c>
      <x:c r="L206" s="13" t="n">
        <x:v>-0.6692856067542001</x:v>
      </x:c>
      <x:c r="M206" s="13" t="n">
        <x:v>2.4091853332892255</x:v>
      </x:c>
      <x:c r="N206" s="13" t="n">
        <x:v>0.06668175796503042</x:v>
      </x:c>
      <x:c r="O206" s="13" t="n">
        <x:v>0.4515534910291073</x:v>
      </x:c>
      <x:c r="P206" s="13" t="n">
        <x:v>0.7756695413849984</x:v>
      </x:c>
      <x:c r="Q206" s="13" t="n">
        <x:v>0.12719666494209106</x:v>
      </x:c>
      <x:c r="R206" s="13" t="n">
        <x:v>-0.8667766122224373</x:v>
      </x:c>
      <x:c r="S206" s="13" t="n">
        <x:v>0.19429663343527595</x:v>
      </x:c>
      <x:c r="T206" s="13" t="n">
        <x:v>-0.11767383016570207</x:v>
      </x:c>
      <x:c r="U206" s="13" t="n">
        <x:v>-0.028519223937265862</x:v>
      </x:c>
      <x:c r="V206" s="13" t="n">
        <x:v>-0.004387153231238953</x:v>
      </x:c>
      <x:c r="W206" s="13" t="n">
        <x:v>-0.32797377852891935</x:v>
      </x:c>
      <x:c r="X206" s="13" t="n">
        <x:v>-0.2049070472243266</x:v>
      </x:c>
      <x:c r="Y206" s="13" t="n">
        <x:v>0.24594258237305983</x:v>
      </x:c>
      <x:c r="Z206" s="13" t="n">
        <x:v>0.15281400191402356</x:v>
      </x:c>
      <x:c r="AA206" s="13" t="n">
        <x:v>-0.2324415578556212</x:v>
      </x:c>
      <x:c r="AB206" s="13" t="n">
        <x:v>-0.6837829428069307</x:v>
      </x:c>
      <x:c r="AC206" s="13" t="n">
        <x:v>-0.38661267172256847</x:v>
      </x:c>
      <x:c r="AD206" s="13" t="n">
        <x:v>-0.6726050123353643</x:v>
      </x:c>
      <x:c r="AE206" s="13" t="n">
        <x:v>-0.6200146225075801</x:v>
      </x:c>
      <x:c r="AF206" s="13" t="n">
        <x:v>0.23225674399919052</x:v>
      </x:c>
      <x:c r="AG206" s="13" t="n">
        <x:v>-1.177435291068964</x:v>
      </x:c>
      <x:c r="AH206" s="13" t="n">
        <x:v>-0.5071961248628379</x:v>
      </x:c>
      <x:c r="AI206" s="13" t="n">
        <x:v>0.857599070347957</x:v>
      </x:c>
      <x:c r="AJ206" s="13" t="n">
        <x:v>0.4899943113926204</x:v>
      </x:c>
      <x:c r="AK206" s="13" t="n">
        <x:v>-0.2224916418289348</x:v>
      </x:c>
      <x:c r="AL206" s="13" t="n">
        <x:v>-0.4305487662922077</x:v>
      </x:c>
      <x:c r="AM206" s="13" t="n">
        <x:v>-0.2491267524336968</x:v>
      </x:c>
      <x:c r="AN206" s="13" t="n">
        <x:v>-0.088403673419226</x:v>
      </x:c>
      <x:c r="AO206" s="13" t="n">
        <x:v>-1.1429746133352587</x:v>
      </x:c>
      <x:c r="AP206" s="13" t="n">
        <x:v>-0.1403445886543898</x:v>
      </x:c>
    </x:row>
    <x:row r="207" ht="15" hidden="0" customHeight="1">
      <x:c r="A207" s="2" t="str">
        <x:v>E206</x:v>
      </x:c>
      <x:c r="B207" s="2" t="str">
        <x:v>***建设工程有限公司</x:v>
      </x:c>
      <x:c r="C207" s="2" t="str">
        <x:v>无信贷记录</x:v>
      </x:c>
      <x:c r="D207" s="2" t="str"/>
      <x:c r="E207" s="2" t="str"/>
      <x:c r="F207" s="13" t="n">
        <x:v>1.092826737636204</x:v>
      </x:c>
      <x:c r="G207" s="13" t="n">
        <x:v>1.0940749893423836</x:v>
      </x:c>
      <x:c r="H207" s="13" t="n">
        <x:v>0.7782807789121099</x:v>
      </x:c>
      <x:c r="I207" s="13" t="n">
        <x:v>-0.20298745143099672</x:v>
      </x:c>
      <x:c r="J207" s="13" t="n">
        <x:v>0.9727138178190246</x:v>
      </x:c>
      <x:c r="K207" s="13" t="n">
        <x:v>0.953910967908947</x:v>
      </x:c>
      <x:c r="L207" s="13" t="n">
        <x:v>1.9958932240711549</x:v>
      </x:c>
      <x:c r="M207" s="13" t="n">
        <x:v>0.12229430992791185</x:v>
      </x:c>
      <x:c r="N207" s="13" t="n">
        <x:v>-0.5394446388486295</x:v>
      </x:c>
      <x:c r="O207" s="13" t="n">
        <x:v>-0.8709573832659655</x:v>
      </x:c>
      <x:c r="P207" s="13" t="n">
        <x:v>-1.1386094295706588</x:v>
      </x:c>
      <x:c r="Q207" s="13" t="n">
        <x:v>0.9322680173414933</x:v>
      </x:c>
      <x:c r="R207" s="13" t="n">
        <x:v>-0.45990903707939884</x:v>
      </x:c>
      <x:c r="S207" s="13" t="n">
        <x:v>0.27781069866191</x:v>
      </x:c>
      <x:c r="T207" s="13" t="n">
        <x:v>0.8241600270927416</x:v>
      </x:c>
      <x:c r="U207" s="13" t="n">
        <x:v>-0.05223213522963122</x:v>
      </x:c>
      <x:c r="V207" s="13" t="n">
        <x:v>-0.03468298480641367</x:v>
      </x:c>
      <x:c r="W207" s="13" t="n">
        <x:v>-0.26053770961063194</x:v>
      </x:c>
      <x:c r="X207" s="13" t="n">
        <x:v>-0.3703823121910053</x:v>
      </x:c>
      <x:c r="Y207" s="13" t="n">
        <x:v>0.4036093812075148</x:v>
      </x:c>
      <x:c r="Z207" s="13" t="n">
        <x:v>0.2644580783593946</x:v>
      </x:c>
      <x:c r="AA207" s="13" t="n">
        <x:v>0.3362300745999002</x:v>
      </x:c>
      <x:c r="AB207" s="13" t="n">
        <x:v>-0.5909433417671202</x:v>
      </x:c>
      <x:c r="AC207" s="13" t="n">
        <x:v>-0.6614124912830367</x:v>
      </x:c>
      <x:c r="AD207" s="13" t="n">
        <x:v>-0.6358742650393866</x:v>
      </x:c>
      <x:c r="AE207" s="13" t="n">
        <x:v>-0.3067364037586819</x:v>
      </x:c>
      <x:c r="AF207" s="13" t="n">
        <x:v>0.3649573714863232</x:v>
      </x:c>
      <x:c r="AG207" s="13" t="n">
        <x:v>-0.08479511013241856</x:v>
      </x:c>
      <x:c r="AH207" s="13" t="n">
        <x:v>0.13483537940222795</x:v>
      </x:c>
      <x:c r="AI207" s="13" t="n">
        <x:v>0.15319342863476768</x:v>
      </x:c>
      <x:c r="AJ207" s="13" t="n">
        <x:v>-0.015324982947440802</x:v>
      </x:c>
      <x:c r="AK207" s="13" t="n">
        <x:v>-0.07253935274528503</x:v>
      </x:c>
      <x:c r="AL207" s="13" t="n">
        <x:v>-0.608646538954216</x:v>
      </x:c>
      <x:c r="AM207" s="13" t="n">
        <x:v>-0.6895355761159423</x:v>
      </x:c>
      <x:c r="AN207" s="13" t="n">
        <x:v>-1.0186486526364098</x:v>
      </x:c>
      <x:c r="AO207" s="13" t="n">
        <x:v>-0.35263473964454245</x:v>
      </x:c>
      <x:c r="AP207" s="13" t="n">
        <x:v>0.23415410767284603</x:v>
      </x:c>
    </x:row>
    <x:row r="208" ht="15" hidden="0" customHeight="1">
      <x:c r="A208" s="2" t="str">
        <x:v>E207</x:v>
      </x:c>
      <x:c r="B208" s="2" t="str">
        <x:v>个体经营E207 </x:v>
      </x:c>
      <x:c r="C208" s="2" t="str">
        <x:v>无信贷记录</x:v>
      </x:c>
      <x:c r="D208" s="2" t="str"/>
      <x:c r="E208" s="2" t="str"/>
      <x:c r="F208" s="13" t="n">
        <x:v>0.9570000698248929</x:v>
      </x:c>
      <x:c r="G208" s="13" t="n">
        <x:v>0.9698851351092631</x:v>
      </x:c>
      <x:c r="H208" s="13" t="n">
        <x:v>0.41681909873726375</x:v>
      </x:c>
      <x:c r="I208" s="13" t="n">
        <x:v>0.09718536296765899</x:v>
      </x:c>
      <x:c r="J208" s="13" t="n">
        <x:v>0.9626253810980889</x:v>
      </x:c>
      <x:c r="K208" s="13" t="n">
        <x:v>0.947604486943503</x:v>
      </x:c>
      <x:c r="L208" s="13" t="n">
        <x:v>0.10045211493394464</x:v>
      </x:c>
      <x:c r="M208" s="13" t="n">
        <x:v>-0.15310534976961498</x:v>
      </x:c>
      <x:c r="N208" s="13" t="n">
        <x:v>-0.2959156222308456</x:v>
      </x:c>
      <x:c r="O208" s="13" t="n">
        <x:v>-0.718424537398501</x:v>
      </x:c>
      <x:c r="P208" s="13" t="n">
        <x:v>-0.7018463384204342</x:v>
      </x:c>
      <x:c r="Q208" s="13" t="n">
        <x:v>1.2142426086244111</x:v>
      </x:c>
      <x:c r="R208" s="13" t="n">
        <x:v>-0.32588647438572355</x:v>
      </x:c>
      <x:c r="S208" s="13" t="n">
        <x:v>-0.8390156569767949</x:v>
      </x:c>
      <x:c r="T208" s="13" t="n">
        <x:v>0.2590597127376754</x:v>
      </x:c>
      <x:c r="U208" s="13" t="n">
        <x:v>0.20860988898638774</x:v>
      </x:c>
      <x:c r="V208" s="13" t="n">
        <x:v>0.23461329586180604</x:v>
      </x:c>
      <x:c r="W208" s="13" t="n">
        <x:v>-0.14814426141348627</x:v>
      </x:c>
      <x:c r="X208" s="13" t="n">
        <x:v>-0.18422263910349174</x:v>
      </x:c>
      <x:c r="Y208" s="13" t="n">
        <x:v>0.6481047459417322</x:v>
      </x:c>
      <x:c r="Z208" s="13" t="n">
        <x:v>0.46668358108984836</x:v>
      </x:c>
      <x:c r="AA208" s="13" t="n">
        <x:v>-0.3593352279076797</x:v>
      </x:c>
      <x:c r="AB208" s="13" t="n">
        <x:v>-0.6515305525258007</x:v>
      </x:c>
      <x:c r="AC208" s="13" t="n">
        <x:v>-0.457836578298474</x:v>
      </x:c>
      <x:c r="AD208" s="13" t="n">
        <x:v>1.4466022015403377</x:v>
      </x:c>
      <x:c r="AE208" s="13" t="n">
        <x:v>1.579796334030525</x:v>
      </x:c>
      <x:c r="AF208" s="13" t="n">
        <x:v>0.6717136708461735</x:v>
      </x:c>
      <x:c r="AG208" s="13" t="n">
        <x:v>0.1388121952866982</x:v>
      </x:c>
      <x:c r="AH208" s="13" t="n">
        <x:v>-0.569012251339215</x:v>
      </x:c>
      <x:c r="AI208" s="13" t="n">
        <x:v>0.4550815607975631</x:v>
      </x:c>
      <x:c r="AJ208" s="13" t="n">
        <x:v>0.39685868939428187</x:v>
      </x:c>
      <x:c r="AK208" s="13" t="n">
        <x:v>-0.13129683811971612</x:v>
      </x:c>
      <x:c r="AL208" s="13" t="n">
        <x:v>-0.7022614084730838</x:v>
      </x:c>
      <x:c r="AM208" s="13" t="n">
        <x:v>-0.4933725277713747</x:v>
      </x:c>
      <x:c r="AN208" s="13" t="n">
        <x:v>0.37729543618535877</x:v>
      </x:c>
      <x:c r="AO208" s="13" t="n">
        <x:v>-0.15647669136467438</x:v>
      </x:c>
      <x:c r="AP208" s="13" t="n">
        <x:v>-0.8044872581697364</x:v>
      </x:c>
    </x:row>
    <x:row r="209" ht="15" hidden="0" customHeight="1">
      <x:c r="A209" s="2" t="str">
        <x:v>E208</x:v>
      </x:c>
      <x:c r="B209" s="2" t="str">
        <x:v>个体经营E208 </x:v>
      </x:c>
      <x:c r="C209" s="2" t="str">
        <x:v>无信贷记录</x:v>
      </x:c>
      <x:c r="D209" s="2" t="str"/>
      <x:c r="E209" s="2" t="str"/>
      <x:c r="F209" s="13" t="n">
        <x:v>-0.160209040841521</x:v>
      </x:c>
      <x:c r="G209" s="13" t="n">
        <x:v>-0.14974154301558704</x:v>
      </x:c>
      <x:c r="H209" s="13" t="n">
        <x:v>-0.38052284282489673</x:v>
      </x:c>
      <x:c r="I209" s="13" t="n">
        <x:v>-0.4173966045728936</x:v>
      </x:c>
      <x:c r="J209" s="13" t="n">
        <x:v>1.1824039246251212</x:v>
      </x:c>
      <x:c r="K209" s="13" t="n">
        <x:v>1.1495165760449622</x:v>
      </x:c>
      <x:c r="L209" s="13" t="n">
        <x:v>-0.581054800710895</x:v>
      </x:c>
      <x:c r="M209" s="13" t="n">
        <x:v>-0.6396249959121251</x:v>
      </x:c>
      <x:c r="N209" s="13" t="n">
        <x:v>-0.6094689275272789</x:v>
      </x:c>
      <x:c r="O209" s="13" t="n">
        <x:v>0.2061980439258216</x:v>
      </x:c>
      <x:c r="P209" s="13" t="n">
        <x:v>0.4867795512026086</x:v>
      </x:c>
      <x:c r="Q209" s="13" t="n">
        <x:v>1.1864969390604236</x:v>
      </x:c>
      <x:c r="R209" s="13" t="n">
        <x:v>-0.9283098526839462</x:v>
      </x:c>
      <x:c r="S209" s="13" t="n">
        <x:v>-0.4062101121828484</x:v>
      </x:c>
      <x:c r="T209" s="13" t="n">
        <x:v>0.7299766413668972</x:v>
      </x:c>
      <x:c r="U209" s="13" t="n">
        <x:v>-0.01798015225177015</x:v>
      </x:c>
      <x:c r="V209" s="13" t="n">
        <x:v>-0.04365952749535433</x:v>
      </x:c>
      <x:c r="W209" s="13" t="n">
        <x:v>0.34638691065395466</x:v>
      </x:c>
      <x:c r="X209" s="13" t="n">
        <x:v>0.02262144210485667</x:v>
      </x:c>
      <x:c r="Y209" s="13" t="n">
        <x:v>0.2600901507278317</x:v>
      </x:c>
      <x:c r="Z209" s="13" t="n">
        <x:v>0.18147634877391394</x:v>
      </x:c>
      <x:c r="AA209" s="13" t="n">
        <x:v>-0.18544390228078472</x:v>
      </x:c>
      <x:c r="AB209" s="13" t="n">
        <x:v>0.032398097128664385</x:v>
      </x:c>
      <x:c r="AC209" s="13" t="n">
        <x:v>0.048062731292824894</x:v>
      </x:c>
      <x:c r="AD209" s="13" t="n">
        <x:v>-0.8566390725979027</x:v>
      </x:c>
      <x:c r="AE209" s="13" t="n">
        <x:v>-1.0373833564235793</x:v>
      </x:c>
      <x:c r="AF209" s="13" t="n">
        <x:v>0.24650053468807448</x:v>
      </x:c>
      <x:c r="AG209" s="13" t="n">
        <x:v>-0.7829965739691188</x:v>
      </x:c>
      <x:c r="AH209" s="13" t="n">
        <x:v>-0.3879295121147353</x:v>
      </x:c>
      <x:c r="AI209" s="13" t="n">
        <x:v>0.7569696929603585</x:v>
      </x:c>
      <x:c r="AJ209" s="13" t="n">
        <x:v>-0.41425800013398034</x:v>
      </x:c>
      <x:c r="AK209" s="13" t="n">
        <x:v>0.0004976958084389897</x:v>
      </x:c>
      <x:c r="AL209" s="13" t="n">
        <x:v>-0.01274546091923594</x:v>
      </x:c>
      <x:c r="AM209" s="13" t="n">
        <x:v>-0.11790003809531674</x:v>
      </x:c>
      <x:c r="AN209" s="13" t="n">
        <x:v>-0.37884381534198175</x:v>
      </x:c>
      <x:c r="AO209" s="13" t="n">
        <x:v>-0.998977388826015</x:v>
      </x:c>
      <x:c r="AP209" s="13" t="n">
        <x:v>-0.44815267555031063</x:v>
      </x:c>
    </x:row>
    <x:row r="210" ht="15" hidden="0" customHeight="1">
      <x:c r="A210" s="2" t="str">
        <x:v>E209</x:v>
      </x:c>
      <x:c r="B210" s="2" t="str">
        <x:v>***工程检测有限公司</x:v>
      </x:c>
      <x:c r="C210" s="2" t="str">
        <x:v>无信贷记录</x:v>
      </x:c>
      <x:c r="D210" s="2" t="str"/>
      <x:c r="E210" s="2" t="str"/>
      <x:c r="F210" s="13" t="n">
        <x:v>3.26280841690155</x:v>
      </x:c>
      <x:c r="G210" s="13" t="n">
        <x:v>3.285858092429617</x:v>
      </x:c>
      <x:c r="H210" s="13" t="n">
        <x:v>1.947715626536612</x:v>
      </x:c>
      <x:c r="I210" s="13" t="n">
        <x:v>0.3115945161095559</x:v>
      </x:c>
      <x:c r="J210" s="13" t="n">
        <x:v>0.3536158975844188</x:v>
      </x:c>
      <x:c r="K210" s="13" t="n">
        <x:v>0.34085467908101447</x:v>
      </x:c>
      <x:c r="L210" s="13" t="n">
        <x:v>4.165154076101381</x:v>
      </x:c>
      <x:c r="M210" s="13" t="n">
        <x:v>-0.08545068499667001</x:v>
      </x:c>
      <x:c r="N210" s="13" t="n">
        <x:v>-0.48244916743899685</x:v>
      </x:c>
      <x:c r="O210" s="13" t="n">
        <x:v>-0.9208410297939948</x:v>
      </x:c>
      <x:c r="P210" s="13" t="n">
        <x:v>-1.0754553947392553</x:v>
      </x:c>
      <x:c r="Q210" s="13" t="n">
        <x:v>0.32309478772760963</x:v>
      </x:c>
      <x:c r="R210" s="13" t="n">
        <x:v>-0.5865259785647913</x:v>
      </x:c>
      <x:c r="S210" s="13" t="n">
        <x:v>0.4432751147179564</x:v>
      </x:c>
      <x:c r="T210" s="13" t="n">
        <x:v>0.8241600270927416</x:v>
      </x:c>
      <x:c r="U210" s="13" t="n">
        <x:v>0.2175680999190591</x:v>
      </x:c>
      <x:c r="V210" s="13" t="n">
        <x:v>0.13923752979181156</x:v>
      </x:c>
      <x:c r="W210" s="13" t="n">
        <x:v>1.2530273927775963</x:v>
      </x:c>
      <x:c r="X210" s="13" t="n">
        <x:v>0.8706821750590852</x:v>
      </x:c>
      <x:c r="Y210" s="13" t="n">
        <x:v>0.09419520125031576</x:v>
      </x:c>
      <x:c r="Z210" s="13" t="n">
        <x:v>0.08192096265885011</x:v>
      </x:c>
      <x:c r="AA210" s="13" t="n">
        <x:v>0.9495494798515162</x:v>
      </x:c>
      <x:c r="AB210" s="13" t="n">
        <x:v>0.390793220541271</x:v>
      </x:c>
      <x:c r="AC210" s="13" t="n">
        <x:v>0.9710222506235879</x:v>
      </x:c>
      <x:c r="AD210" s="13" t="n">
        <x:v>-0.9571156928069516</x:v>
      </x:c>
      <x:c r="AE210" s="13" t="n">
        <x:v>-1.2580417990063901</x:v>
      </x:c>
      <x:c r="AF210" s="13" t="n">
        <x:v>0.061858184291216145</x:v>
      </x:c>
      <x:c r="AG210" s="13" t="n">
        <x:v>-0.6656459209919446</x:v>
      </x:c>
      <x:c r="AH210" s="13" t="n">
        <x:v>0.5140480433850049</x:v>
      </x:c>
      <x:c r="AI210" s="13" t="n">
        <x:v>0.7569696929603585</x:v>
      </x:c>
      <x:c r="AJ210" s="13" t="n">
        <x:v>-0.05017145450033848</x:v>
      </x:c>
      <x:c r="AK210" s="13" t="n">
        <x:v>-0.12845098275199535</x:v>
      </x:c>
      <x:c r="AL210" s="13" t="n">
        <x:v>-0.40046039610153683</x:v>
      </x:c>
      <x:c r="AM210" s="13" t="n">
        <x:v>-0.2849660320770795</x:v>
      </x:c>
      <x:c r="AN210" s="13" t="n">
        <x:v>-1.206684152073725</x:v>
      </x:c>
      <x:c r="AO210" s="13" t="n">
        <x:v>-0.7119778829023026</x:v>
      </x:c>
      <x:c r="AP210" s="13" t="n">
        <x:v>0.5264959957843237</x:v>
      </x:c>
    </x:row>
    <x:row r="211" ht="15" hidden="0" customHeight="1">
      <x:c r="A211" s="2" t="str">
        <x:v>E210</x:v>
      </x:c>
      <x:c r="B211" s="2" t="str">
        <x:v>***建筑工程有限公司</x:v>
      </x:c>
      <x:c r="C211" s="2" t="str">
        <x:v>无信贷记录</x:v>
      </x:c>
      <x:c r="D211" s="2" t="str"/>
      <x:c r="E211" s="2" t="str"/>
      <x:c r="F211" s="13" t="n">
        <x:v>-0.3576908172497751</x:v>
      </x:c>
      <x:c r="G211" s="13" t="n">
        <x:v>-0.35448697837289367</x:v>
      </x:c>
      <x:c r="H211" s="13" t="n">
        <x:v>-0.3698916169374013</x:v>
      </x:c>
      <x:c r="I211" s="13" t="n">
        <x:v>-0.33163294331613485</x:v>
      </x:c>
      <x:c r="J211" s="13" t="n">
        <x:v>-0.44675642440420615</x:v>
      </x:c>
      <x:c r="K211" s="13" t="n">
        <x:v>-0.44644117654055404</x:v>
      </x:c>
      <x:c r="L211" s="13" t="n">
        <x:v>-0.24638622606387556</x:v>
      </x:c>
      <x:c r="M211" s="13" t="n">
        <x:v>-0.17364267534169084</x:v>
      </x:c>
      <x:c r="N211" s="13" t="n">
        <x:v>-0.11715610199245378</x:v>
      </x:c>
      <x:c r="O211" s="13" t="n">
        <x:v>-0.6048429911980397</x:v>
      </x:c>
      <x:c r="P211" s="13" t="n">
        <x:v>-0.5868620176507076</x:v>
      </x:c>
      <x:c r="Q211" s="13" t="n">
        <x:v>-0.4409561640582814</x:v>
      </x:c>
      <x:c r="R211" s="13" t="n">
        <x:v>-0.25278955552457305</x:v>
      </x:c>
      <x:c r="S211" s="13" t="n">
        <x:v>0.4811112049799939</x:v>
      </x:c>
      <x:c r="T211" s="13" t="n">
        <x:v>-0.023490444439857705</x:v>
      </x:c>
      <x:c r="U211" s="13" t="n">
        <x:v>-0.24509714707420283</x:v>
      </x:c>
      <x:c r="V211" s="13" t="n">
        <x:v>-0.2344110596353433</x:v>
      </x:c>
      <x:c r="W211" s="13" t="n">
        <x:v>-0.33546667507539574</x:v>
      </x:c>
      <x:c r="X211" s="13" t="n">
        <x:v>-0.3910667203118402</x:v>
      </x:c>
      <x:c r="Y211" s="13" t="n">
        <x:v>-0.03940181237955572</x:v>
      </x:c>
      <x:c r="Z211" s="13" t="n">
        <x:v>-0.07973198509260442</x:v>
      </x:c>
      <x:c r="AA211" s="13" t="n">
        <x:v>-0.3898837040313234</x:v>
      </x:c>
      <x:c r="AB211" s="13" t="n">
        <x:v>-0.46645311625967417</x:v>
      </x:c>
      <x:c r="AC211" s="13" t="n">
        <x:v>-0.6980651016988949</x:v>
      </x:c>
      <x:c r="AD211" s="13" t="n">
        <x:v>2.3197281404436767</x:v>
      </x:c>
      <x:c r="AE211" s="13" t="n">
        <x:v>2.1246544591543164</x:v>
      </x:c>
      <x:c r="AF211" s="13" t="n">
        <x:v>-0.06901217933759059</x:v>
      </x:c>
      <x:c r="AG211" s="13" t="n">
        <x:v>0.7308401456035235</x:v>
      </x:c>
      <x:c r="AH211" s="13" t="n">
        <x:v>0.8146529881086206</x:v>
      </x:c>
      <x:c r="AI211" s="13" t="n">
        <x:v>-0.9537297226288156</x:v>
      </x:c>
      <x:c r="AJ211" s="13" t="n">
        <x:v>0.34544693290402856</x:v>
      </x:c>
      <x:c r="AK211" s="13" t="n">
        <x:v>-0.30140519209045313</x:v>
      </x:c>
      <x:c r="AL211" s="13" t="n">
        <x:v>-0.43697575482144324</x:v>
      </x:c>
      <x:c r="AM211" s="13" t="n">
        <x:v>-0.6202442206239792</x:v>
      </x:c>
      <x:c r="AN211" s="13" t="n">
        <x:v>0.9983366205944428</x:v>
      </x:c>
      <x:c r="AO211" s="13" t="n">
        <x:v>0.17184007138472843</x:v>
      </x:c>
      <x:c r="AP211" s="13" t="n">
        <x:v>0.701064140246622</x:v>
      </x:c>
    </x:row>
    <x:row r="212" ht="15" hidden="0" customHeight="1">
      <x:c r="A212" s="2" t="str">
        <x:v>E211</x:v>
      </x:c>
      <x:c r="B212" s="2" t="str">
        <x:v>个体经营E211 </x:v>
      </x:c>
      <x:c r="C212" s="2" t="str">
        <x:v>无信贷记录</x:v>
      </x:c>
      <x:c r="D212" s="2" t="str"/>
      <x:c r="E212" s="2" t="str"/>
      <x:c r="F212" s="13" t="n">
        <x:v>-0.41888235360162845</x:v>
      </x:c>
      <x:c r="G212" s="13" t="n">
        <x:v>-0.41826014676287443</x:v>
      </x:c>
      <x:c r="H212" s="13" t="n">
        <x:v>-0.3592603910499058</x:v>
      </x:c>
      <x:c r="I212" s="13" t="n">
        <x:v>-0.33163294331613485</x:v>
      </x:c>
      <x:c r="J212" s="13" t="n">
        <x:v>-0.11955385128314482</x:v>
      </x:c>
      <x:c r="K212" s="13" t="n">
        <x:v>-0.12854545463786823</x:v>
      </x:c>
      <x:c r="L212" s="13" t="n">
        <x:v>-0.3863385390980837</x:v>
      </x:c>
      <x:c r="M212" s="13" t="n">
        <x:v>0.22689594747527878</x:v>
      </x:c>
      <x:c r="N212" s="13" t="n">
        <x:v>0.08233032855555536</x:v>
      </x:c>
      <x:c r="O212" s="13" t="n">
        <x:v>0.7198444051263972</x:v>
      </x:c>
      <x:c r="P212" s="13" t="n">
        <x:v>0.8818816758356112</x:v>
      </x:c>
      <x:c r="Q212" s="13" t="n">
        <x:v>-0.08875316986911486</x:v>
      </x:c>
      <x:c r="R212" s="13" t="n">
        <x:v>0.47288220438474526</x:v>
      </x:c>
      <x:c r="S212" s="13" t="n">
        <x:v>1.1209043899074915</x:v>
      </x:c>
      <x:c r="T212" s="13" t="n">
        <x:v>-0.023490444439857705</x:v>
      </x:c>
      <x:c r="U212" s="13" t="n">
        <x:v>0.3024076269872996</x:v>
      </x:c>
      <x:c r="V212" s="13" t="n">
        <x:v>0.27781290755233295</x:v>
      </x:c>
      <x:c r="W212" s="13" t="n">
        <x:v>0.608638289780628</x:v>
      </x:c>
      <x:c r="X212" s="13" t="n">
        <x:v>-0.08080059849931753</x:v>
      </x:c>
      <x:c r="Y212" s="13" t="n">
        <x:v>-0.06987062946496621</x:v>
      </x:c>
      <x:c r="Z212" s="13" t="n">
        <x:v>-0.09498207007878917</x:v>
      </x:c>
      <x:c r="AA212" s="13" t="n">
        <x:v>-0.20189308173197748</x:v>
      </x:c>
      <x:c r="AB212" s="13" t="n">
        <x:v>-0.18194211789647102</x:v>
      </x:c>
      <x:c r="AC212" s="13" t="n">
        <x:v>-0.35659741486543955</x:v>
      </x:c>
      <x:c r="AD212" s="13" t="n">
        <x:v>-0.8104368214539088</x:v>
      </x:c>
      <x:c r="AE212" s="13" t="n">
        <x:v>-0.9168669365111743</x:v>
      </x:c>
      <x:c r="AF212" s="13" t="n">
        <x:v>-0.08570441889476356</x:v>
      </x:c>
      <x:c r="AG212" s="13" t="n">
        <x:v>-0.9366209796774727</x:v>
      </x:c>
      <x:c r="AH212" s="13" t="n">
        <x:v>0.6335445464125993</x:v>
      </x:c>
      <x:c r="AI212" s="13" t="n">
        <x:v>0.857599070347957</x:v>
      </x:c>
      <x:c r="AJ212" s="13" t="n">
        <x:v>0.04297672565829545</x:v>
      </x:c>
      <x:c r="AK212" s="13" t="n">
        <x:v>-0.190607020872558</x:v>
      </x:c>
      <x:c r="AL212" s="13" t="n">
        <x:v>0.265734073397105</x:v>
      </x:c>
      <x:c r="AM212" s="13" t="n">
        <x:v>-0.2166614900735155</x:v>
      </x:c>
      <x:c r="AN212" s="13" t="n">
        <x:v>0.01979360702824779</x:v>
      </x:c>
      <x:c r="AO212" s="13" t="n">
        <x:v>-0.12123681181055636</x:v>
      </x:c>
      <x:c r="AP212" s="13" t="n">
        <x:v>1.0017946839259806</x:v>
      </x:c>
    </x:row>
    <x:row r="213" ht="15" hidden="0" customHeight="1">
      <x:c r="A213" s="2" t="str">
        <x:v>E212</x:v>
      </x:c>
      <x:c r="B213" s="2" t="str">
        <x:v>***建电管理咨询有限公司</x:v>
      </x:c>
      <x:c r="C213" s="2" t="str">
        <x:v>无信贷记录</x:v>
      </x:c>
      <x:c r="D213" s="2" t="str"/>
      <x:c r="E213" s="2" t="str"/>
      <x:c r="F213" s="13" t="n">
        <x:v>-0.5486825822267719</x:v>
      </x:c>
      <x:c r="G213" s="13" t="n">
        <x:v>-0.5477244735696023</x:v>
      </x:c>
      <x:c r="H213" s="13" t="n">
        <x:v>-0.4655726499248605</x:v>
      </x:c>
      <x:c r="I213" s="13" t="n">
        <x:v>-0.46027843520127304</x:v>
      </x:c>
      <x:c r="J213" s="13" t="n">
        <x:v>-0.5669605351313558</x:v>
      </x:c>
      <x:c r="K213" s="13" t="n">
        <x:v>-0.5694392597132719</x:v>
      </x:c>
      <x:c r="L213" s="13" t="n">
        <x:v>-0.5658425927723941</x:v>
      </x:c>
      <x:c r="M213" s="13" t="n">
        <x:v>0.2402099556795392</x:v>
      </x:c>
      <x:c r="N213" s="13" t="n">
        <x:v>-0.7216149855326618</x:v>
      </x:c>
      <x:c r="O213" s="13" t="n">
        <x:v>-0.40506133447140114</x:v>
      </x:c>
      <x:c r="P213" s="13" t="n">
        <x:v>-0.49310100187384154</x:v>
      </x:c>
      <x:c r="Q213" s="13" t="n">
        <x:v>-0.5824512121852804</x:v>
      </x:c>
      <x:c r="R213" s="13" t="n">
        <x:v>0.2686864233377694</x:v>
      </x:c>
      <x:c r="S213" s="13" t="n">
        <x:v>0.16569794290557616</x:v>
      </x:c>
      <x:c r="T213" s="13" t="n">
        <x:v>0.07069294128598666</x:v>
      </x:c>
      <x:c r="U213" s="13" t="n">
        <x:v>0.326120538279665</x:v>
      </x:c>
      <x:c r="V213" s="13" t="n">
        <x:v>0.29296082333992035</x:v>
      </x:c>
      <x:c r="W213" s="13" t="n">
        <x:v>0.7435104276172028</x:v>
      </x:c>
      <x:c r="X213" s="13" t="n">
        <x:v>0.02262144210485667</x:v>
      </x:c>
      <x:c r="Y213" s="13" t="n">
        <x:v>0.20419771732775888</x:v>
      </x:c>
      <x:c r="Z213" s="13" t="n">
        <x:v>0.12405525194738008</x:v>
      </x:c>
      <x:c r="AA213" s="13" t="n">
        <x:v>-0.10319800502482089</x:v>
      </x:c>
      <x:c r="AB213" s="13" t="n">
        <x:v>-0.11597098673485588</x:v>
      </x:c>
      <x:c r="AC213" s="13" t="n">
        <x:v>-0.25098650036718306</x:v>
      </x:c>
      <x:c r="AD213" s="13" t="n">
        <x:v>-0.7481760925630471</x:v>
      </x:c>
      <x:c r="AE213" s="13" t="n">
        <x:v>-0.9026041987611204</x:v>
      </x:c>
      <x:c r="AF213" s="13" t="n">
        <x:v>0.15008810777706874</x:v>
      </x:c>
      <x:c r="AG213" s="13" t="n">
        <x:v>-0.3097815816690672</x:v>
      </x:c>
      <x:c r="AH213" s="13" t="n">
        <x:v>0.2769082436938096</x:v>
      </x:c>
      <x:c r="AI213" s="13" t="n">
        <x:v>1.058857825123154</x:v>
      </x:c>
      <x:c r="AJ213" s="13" t="n">
        <x:v>0.8409805649677439</x:v>
      </x:c>
      <x:c r="AK213" s="13" t="n">
        <x:v>-0.3423632468531642</x:v>
      </x:c>
      <x:c r="AL213" s="13" t="n">
        <x:v>0.5359616882132964</x:v>
      </x:c>
      <x:c r="AM213" s="13" t="n">
        <x:v>-0.06031421689944898</x:v>
      </x:c>
      <x:c r="AN213" s="13" t="n">
        <x:v>-0.7523019619022853</x:v>
      </x:c>
      <x:c r="AO213" s="13" t="n">
        <x:v>0.035453307037407886</x:v>
      </x:c>
      <x:c r="AP213" s="13" t="n">
        <x:v>0.23702364535608353</x:v>
      </x:c>
    </x:row>
    <x:row r="214" ht="15" hidden="0" customHeight="1">
      <x:c r="A214" s="2" t="str">
        <x:v>E213</x:v>
      </x:c>
      <x:c r="B214" s="2" t="str">
        <x:v>***科技有限公司</x:v>
      </x:c>
      <x:c r="C214" s="2" t="str">
        <x:v>无信贷记录</x:v>
      </x:c>
      <x:c r="D214" s="2" t="str"/>
      <x:c r="E214" s="2" t="str"/>
      <x:c r="F214" s="13" t="n">
        <x:v>0.4034948091876737</x:v>
      </x:c>
      <x:c r="G214" s="13" t="n">
        <x:v>0.39688561461281946</x:v>
      </x:c>
      <x:c r="H214" s="13" t="n">
        <x:v>0.4274503246247592</x:v>
      </x:c>
      <x:c r="I214" s="13" t="n">
        <x:v>0.3115945161095559</x:v>
      </x:c>
      <x:c r="J214" s="13" t="n">
        <x:v>0.4516112980638142</x:v>
      </x:c>
      <x:c r="K214" s="13" t="n">
        <x:v>0.483604559543765</x:v>
      </x:c>
      <x:c r="L214" s="13" t="n">
        <x:v>1.0922880725242023</x:v>
      </x:c>
      <x:c r="M214" s="13" t="n">
        <x:v>0.4080308424870545</x:v>
      </x:c>
      <x:c r="N214" s="13" t="n">
        <x:v>0.20275009742754227</x:v>
      </x:c>
      <x:c r="O214" s="13" t="n">
        <x:v>-0.7615865281992995</x:v>
      </x:c>
      <x:c r="P214" s="13" t="n">
        <x:v>-0.8197091806321605</x:v>
      </x:c>
      <x:c r="Q214" s="13" t="n">
        <x:v>0.4195192347273954</x:v>
      </x:c>
      <x:c r="R214" s="13" t="n">
        <x:v>-0.6858037858411741</x:v>
      </x:c>
      <x:c r="S214" s="13" t="n">
        <x:v>0.11900391513398237</x:v>
      </x:c>
      <x:c r="T214" s="13" t="n">
        <x:v>0.8241600270927416</x:v>
      </x:c>
      <x:c r="U214" s="13" t="n">
        <x:v>0.109542615142728</x:v>
      </x:c>
      <x:c r="V214" s="13" t="n">
        <x:v>0.09715998593740224</x:v>
      </x:c>
      <x:c r="W214" s="13" t="n">
        <x:v>0.27895084173566725</x:v>
      </x:c>
      <x:c r="X214" s="13" t="n">
        <x:v>0.0846746664673612</x:v>
      </x:c>
      <x:c r="Y214" s="13" t="n">
        <x:v>0.053755040421821984</x:v>
      </x:c>
      <x:c r="Z214" s="13" t="n">
        <x:v>0.003816042263558244</x:v>
      </x:c>
      <x:c r="AA214" s="13" t="n">
        <x:v>0.218735935662809</x:v>
      </x:c>
      <x:c r="AB214" s="13" t="n">
        <x:v>-0.2265521112042912</x:v>
      </x:c>
      <x:c r="AC214" s="13" t="n">
        <x:v>-0.02762244828198859</x:v>
      </x:c>
      <x:c r="AD214" s="13" t="n">
        <x:v>-0.8559356126775358</x:v>
      </x:c>
      <x:c r="AE214" s="13" t="n">
        <x:v>-0.9075609451708132</x:v>
      </x:c>
      <x:c r="AF214" s="13" t="n">
        <x:v>0.022243387455300596</x:v>
      </x:c>
      <x:c r="AG214" s="13" t="n">
        <x:v>-0.8375938758443318</x:v>
      </x:c>
      <x:c r="AH214" s="13" t="n">
        <x:v>-0.0010335576068089256</x:v>
      </x:c>
      <x:c r="AI214" s="13" t="n">
        <x:v>0.9582284477355555</x:v>
      </x:c>
      <x:c r="AJ214" s="13" t="n">
        <x:v>-0.19255660661649654</x:v>
      </x:c>
      <x:c r="AK214" s="13" t="n">
        <x:v>-0.0547265608183261</x:v>
      </x:c>
      <x:c r="AL214" s="13" t="n">
        <x:v>-0.19952664719209232</x:v>
      </x:c>
      <x:c r="AM214" s="13" t="n">
        <x:v>-0.040235605952699774</x:v>
      </x:c>
      <x:c r="AN214" s="13" t="n">
        <x:v>-1.075741379408542</x:v>
      </x:c>
      <x:c r="AO214" s="13" t="n">
        <x:v>-0.8602537913289331</x:v>
      </x:c>
      <x:c r="AP214" s="13" t="n">
        <x:v>0.06844262766948274</x:v>
      </x:c>
    </x:row>
    <x:row r="215" ht="15" hidden="0" customHeight="1">
      <x:c r="A215" s="2" t="str">
        <x:v>E214</x:v>
      </x:c>
      <x:c r="B215" s="2" t="str">
        <x:v>***建筑工程有限公司</x:v>
      </x:c>
      <x:c r="C215" s="2" t="str">
        <x:v>无信贷记录</x:v>
      </x:c>
      <x:c r="D215" s="2" t="str"/>
      <x:c r="E215" s="2" t="str"/>
      <x:c r="F215" s="13" t="n">
        <x:v>-0.27007566292780316</x:v>
      </x:c>
      <x:c r="G215" s="13" t="n">
        <x:v>-0.2796853673290065</x:v>
      </x:c>
      <x:c r="H215" s="13" t="n">
        <x:v>-0.01906116265005067</x:v>
      </x:c>
      <x:c r="I215" s="13" t="n">
        <x:v>-0.37451477394451427</x:v>
      </x:c>
      <x:c r="J215" s="13" t="n">
        <x:v>0.18837627263432988</x:v>
      </x:c>
      <x:c r="K215" s="13" t="n">
        <x:v>0.17256628735514903</x:v>
      </x:c>
      <x:c r="L215" s="13" t="n">
        <x:v>-0.23421645971307484</x:v>
      </x:c>
      <x:c r="M215" s="13" t="n">
        <x:v>1.2911320059773697</x:v>
      </x:c>
      <x:c r="N215" s="13" t="n">
        <x:v>-0.40948592813617674</x:v>
      </x:c>
      <x:c r="O215" s="13" t="n">
        <x:v>-0.7684225240318555</x:v>
      </x:c>
      <x:c r="P215" s="13" t="n">
        <x:v>-0.7794442561192904</x:v>
      </x:c>
      <x:c r="Q215" s="13" t="n">
        <x:v>0.16050410101865142</x:v>
      </x:c>
      <x:c r="R215" s="13" t="n">
        <x:v>-0.37400571614622863</x:v>
      </x:c>
      <x:c r="S215" s="13" t="n">
        <x:v>0.3349665115277574</x:v>
      </x:c>
      <x:c r="T215" s="13" t="n">
        <x:v>0.7299766413668972</x:v>
      </x:c>
      <x:c r="U215" s="13" t="n">
        <x:v>-0.10229272573573588</x:v>
      </x:c>
      <x:c r="V215" s="13" t="n">
        <x:v>-0.1468897684181719</x:v>
      </x:c>
      <x:c r="W215" s="13" t="n">
        <x:v>0.5262164277693877</x:v>
      </x:c>
      <x:c r="X215" s="13" t="n">
        <x:v>-0.10148500662015238</x:v>
      </x:c>
      <x:c r="Y215" s="13" t="n">
        <x:v>0.09293525577205437</x:v>
      </x:c>
      <x:c r="Z215" s="13" t="n">
        <x:v>0.0349290536045601</x:v>
      </x:c>
      <x:c r="AA215" s="13" t="n">
        <x:v>0.18348769398168163</x:v>
      </x:c>
      <x:c r="AB215" s="13" t="n">
        <x:v>0.45455455617501667</x:v>
      </x:c>
      <x:c r="AC215" s="13" t="n">
        <x:v>-0.04099123587070302</x:v>
      </x:c>
      <x:c r="AD215" s="13" t="n">
        <x:v>-0.8576724070305696</x:v>
      </x:c>
      <x:c r="AE215" s="13" t="n">
        <x:v>-1.1089777107513528</x:v>
      </x:c>
      <x:c r="AF215" s="13" t="n">
        <x:v>0.06062395368671053</x:v>
      </x:c>
      <x:c r="AG215" s="13" t="n">
        <x:v>-0.3029299284652819</x:v>
      </x:c>
      <x:c r="AH215" s="13" t="n">
        <x:v>-0.05151146341989509</x:v>
      </x:c>
      <x:c r="AI215" s="13" t="n">
        <x:v>0.9582284477355555</x:v>
      </x:c>
      <x:c r="AJ215" s="13" t="n">
        <x:v>0.07504304091102064</x:v>
      </x:c>
      <x:c r="AK215" s="13" t="n">
        <x:v>-0.15196408574419726</x:v>
      </x:c>
      <x:c r="AL215" s="13" t="n">
        <x:v>0.909166250889335</x:v>
      </x:c>
      <x:c r="AM215" s="13" t="n">
        <x:v>-0.11216401916818954</x:v>
      </x:c>
      <x:c r="AN215" s="13" t="n">
        <x:v>-1.081739580278935</x:v>
      </x:c>
      <x:c r="AO215" s="13" t="n">
        <x:v>-0.39709603096208596</x:v>
      </x:c>
      <x:c r="AP215" s="13" t="n">
        <x:v>0.1753206309987763</x:v>
      </x:c>
    </x:row>
    <x:row r="216" ht="15" hidden="0" customHeight="1">
      <x:c r="A216" s="2" t="str">
        <x:v>E215</x:v>
      </x:c>
      <x:c r="B216" s="2" t="str">
        <x:v>***建筑工程有限公司</x:v>
      </x:c>
      <x:c r="C216" s="2" t="str">
        <x:v>无信贷记录</x:v>
      </x:c>
      <x:c r="D216" s="2" t="str"/>
      <x:c r="E216" s="2" t="str"/>
      <x:c r="F216" s="13" t="n">
        <x:v>-0.5310668369133597</x:v>
      </x:c>
      <x:c r="G216" s="13" t="n">
        <x:v>-0.5290240708086305</x:v>
      </x:c>
      <x:c r="H216" s="13" t="n">
        <x:v>-0.476203875812356</x:v>
      </x:c>
      <x:c r="I216" s="13" t="n">
        <x:v>-0.46027843520127304</x:v>
      </x:c>
      <x:c r="J216" s="13" t="n">
        <x:v>-0.5653339840021223</x:v>
      </x:c>
      <x:c r="K216" s="13" t="n">
        <x:v>-0.5678414635542031</x:v>
      </x:c>
      <x:c r="L216" s="13" t="n">
        <x:v>-0.5049937610183906</x:v>
      </x:c>
      <x:c r="M216" s="13" t="n">
        <x:v>-0.2783706638764031</x:v>
      </x:c>
      <x:c r="N216" s="13" t="n">
        <x:v>-0.7216149855326618</x:v>
      </x:c>
      <x:c r="O216" s="13" t="n">
        <x:v>-0.4685088182470241</x:v>
      </x:c>
      <x:c r="P216" s="13" t="n">
        <x:v>-0.5128081740987326</x:v>
      </x:c>
      <x:c r="Q216" s="13" t="n">
        <x:v>-0.5811235094477937</x:v>
      </x:c>
      <x:c r="R216" s="13" t="n">
        <x:v>0.20403026870520438</x:v>
      </x:c>
      <x:c r="S216" s="13" t="n">
        <x:v>0.4785906546100984</x:v>
      </x:c>
      <x:c r="T216" s="13" t="n">
        <x:v>-0.30604060161739083</x:v>
      </x:c>
      <x:c r="U216" s="13" t="n">
        <x:v>-0.12073610118535337</x:v>
      </x:c>
      <x:c r="V216" s="13" t="n">
        <x:v>-0.12276530994164388</x:v>
      </x:c>
      <x:c r="W216" s="13" t="n">
        <x:v>-0.058229502855769735</x:v>
      </x:c>
      <x:c r="X216" s="13" t="n">
        <x:v>-0.3910667203118402</x:v>
      </x:c>
      <x:c r="Y216" s="13" t="n">
        <x:v>0.09497995238962773</x:v>
      </x:c>
      <x:c r="Z216" s="13" t="n">
        <x:v>0.024521184554896377</x:v>
      </x:c>
      <x:c r="AA216" s="13" t="n">
        <x:v>-0.3804841729163561</x:v>
      </x:c>
      <x:c r="AB216" s="13" t="n">
        <x:v>-0.25648486341760046</x:v>
      </x:c>
      <x:c r="AC216" s="13" t="n">
        <x:v>-0.6980651016988949</x:v>
      </x:c>
      <x:c r="AD216" s="13" t="n">
        <x:v>0.1753580823409611</x:v>
      </x:c>
      <x:c r="AE216" s="13" t="n">
        <x:v>0.20165682853962333</x:v>
      </x:c>
      <x:c r="AF216" s="13" t="n">
        <x:v>0.26675210007739936</x:v>
      </x:c>
      <x:c r="AG216" s="13" t="n">
        <x:v>0.31339397631394633</x:v>
      </x:c>
      <x:c r="AH216" s="13" t="n">
        <x:v>-0.5792838112286431</x:v>
      </x:c>
      <x:c r="AI216" s="13" t="n">
        <x:v>-0.8531003452412171</x:v>
      </x:c>
      <x:c r="AJ216" s="13" t="n">
        <x:v>0.6590740105909728</x:v>
      </x:c>
      <x:c r="AK216" s="13" t="n">
        <x:v>-0.341811564038098</x:v>
      </x:c>
      <x:c r="AL216" s="13" t="n">
        <x:v>0.1314423641927202</x:v>
      </x:c>
      <x:c r="AM216" s="13" t="n">
        <x:v>-0.7815911692517314</x:v>
      </x:c>
      <x:c r="AN216" s="13" t="n">
        <x:v>-0.22768839284242512</x:v>
      </x:c>
      <x:c r="AO216" s="13" t="n">
        <x:v>0.2850327336472315</x:v>
      </x:c>
      <x:c r="AP216" s="13" t="n">
        <x:v>-0.002489536163969418</x:v>
      </x:c>
    </x:row>
    <x:row r="217" ht="15" hidden="0" customHeight="1">
      <x:c r="A217" s="2" t="str">
        <x:v>E216</x:v>
      </x:c>
      <x:c r="B217" s="2" t="str">
        <x:v>***建设工程有限公司</x:v>
      </x:c>
      <x:c r="C217" s="2" t="str">
        <x:v>无信贷记录</x:v>
      </x:c>
      <x:c r="D217" s="2" t="str"/>
      <x:c r="E217" s="2" t="str"/>
      <x:c r="F217" s="13" t="n">
        <x:v>0.984350832285191</x:v>
      </x:c>
      <x:c r="G217" s="13" t="n">
        <x:v>0.9900240303903096</x:v>
      </x:c>
      <x:c r="H217" s="13" t="n">
        <x:v>0.5975499388246868</x:v>
      </x:c>
      <x:c r="I217" s="13" t="n">
        <x:v>0.22583085485279714</x:v>
      </x:c>
      <x:c r="J217" s="13" t="n">
        <x:v>0.1496638961134891</x:v>
      </x:c>
      <x:c r="K217" s="13" t="n">
        <x:v>0.1467788244034559</x:v>
      </x:c>
      <x:c r="L217" s="13" t="n">
        <x:v>1.0253543575947983</x:v>
      </x:c>
      <x:c r="M217" s="13" t="n">
        <x:v>0.019295970202665352</x:v>
      </x:c>
      <x:c r="N217" s="13" t="n">
        <x:v>-0.20426574548866738</x:v>
      </x:c>
      <x:c r="O217" s="13" t="n">
        <x:v>-0.6701650599927496</x:v>
      </x:c>
      <x:c r="P217" s="13" t="n">
        <x:v>-0.46723540035661626</x:v>
      </x:c>
      <x:c r="Q217" s="13" t="n">
        <x:v>0.10377474637327737</x:v>
      </x:c>
      <x:c r="R217" s="13" t="n">
        <x:v>-0.7011259508537863</x:v>
      </x:c>
      <x:c r="S217" s="13" t="n">
        <x:v>0.11111485183442549</x:v>
      </x:c>
      <x:c r="T217" s="13" t="n">
        <x:v>0.8241600270927416</x:v>
      </x:c>
      <x:c r="U217" s="13" t="n">
        <x:v>-0.15182636265756574</x:v>
      </x:c>
      <x:c r="V217" s="13" t="n">
        <x:v>-0.16259871812381804</x:v>
      </x:c>
      <x:c r="W217" s="13" t="n">
        <x:v>0.0316852557019468</x:v>
      </x:c>
      <x:c r="X217" s="13" t="n">
        <x:v>-0.28764467970766594</x:v>
      </x:c>
      <x:c r="Y217" s="13" t="n">
        <x:v>0.04167032600311377</x:v>
      </x:c>
      <x:c r="Z217" s="13" t="n">
        <x:v>-0.012658606841100012</x:v>
      </x:c>
      <x:c r="AA217" s="13" t="n">
        <x:v>-0.328786751784036</x:v>
      </x:c>
      <x:c r="AB217" s="13" t="n">
        <x:v>-0.07033387400638656</x:v>
      </x:c>
      <x:c r="AC217" s="13" t="n">
        <x:v>-0.4538035446939414</x:v>
      </x:c>
      <x:c r="AD217" s="13" t="n">
        <x:v>-0.38640934813394445</x:v>
      </x:c>
      <x:c r="AE217" s="13" t="n">
        <x:v>-0.33678553653291576</x:v>
      </x:c>
      <x:c r="AF217" s="13" t="n">
        <x:v>0.06183189110711936</x:v>
      </x:c>
      <x:c r="AG217" s="13" t="n">
        <x:v>-0.20666456559069069</x:v>
      </x:c>
      <x:c r="AH217" s="13" t="n">
        <x:v>0.46130061869713024</x:v>
      </x:c>
      <x:c r="AI217" s="13" t="n">
        <x:v>0.4550815607975631</x:v>
      </x:c>
      <x:c r="AJ217" s="13" t="n">
        <x:v>0.020070950279210242</x:v>
      </x:c>
      <x:c r="AK217" s="13" t="n">
        <x:v>-0.13973040921693497</x:v>
      </x:c>
      <x:c r="AL217" s="13" t="n">
        <x:v>-0.45575645605618503</x:v>
      </x:c>
      <x:c r="AM217" s="13" t="n">
        <x:v>-0.47489166516454345</x:v>
      </x:c>
      <x:c r="AN217" s="13" t="n">
        <x:v>-0.7199112788793527</x:v>
      </x:c>
      <x:c r="AO217" s="13" t="n">
        <x:v>-0.5735727880015598</x:v>
      </x:c>
      <x:c r="AP217" s="13" t="n">
        <x:v>0.2964488789585545</x:v>
      </x:c>
    </x:row>
    <x:row r="218" ht="15" hidden="0" customHeight="1">
      <x:c r="A218" s="2" t="str">
        <x:v>E217</x:v>
      </x:c>
      <x:c r="B218" s="2" t="str">
        <x:v>个体经营E217 </x:v>
      </x:c>
      <x:c r="C218" s="2" t="str">
        <x:v>无信贷记录</x:v>
      </x:c>
      <x:c r="D218" s="2" t="str"/>
      <x:c r="E218" s="2" t="str"/>
      <x:c r="F218" s="13" t="n">
        <x:v>-0.5134510915999473</x:v>
      </x:c>
      <x:c r="G218" s="13" t="n">
        <x:v>-0.5146391456078829</x:v>
      </x:c>
      <x:c r="H218" s="13" t="n">
        <x:v>-0.3911540687123922</x:v>
      </x:c>
      <x:c r="I218" s="13" t="n">
        <x:v>-0.46027843520127304</x:v>
      </x:c>
      <x:c r="J218" s="13" t="n">
        <x:v>0.6505339561823644</x:v>
      </x:c>
      <x:c r="K218" s="13" t="n">
        <x:v>0.6265317656950458</x:v>
      </x:c>
      <x:c r="L218" s="13" t="n">
        <x:v>-0.06383973080186492</x:v>
      </x:c>
      <x:c r="M218" s="13" t="n">
        <x:v>1.002181843907851</x:v>
      </x:c>
      <x:c r="N218" s="13" t="n">
        <x:v>-0.7216149855326618</x:v>
      </x:c>
      <x:c r="O218" s="13" t="n">
        <x:v>-0.9635066084918955</x:v>
      </x:c>
      <x:c r="P218" s="13" t="n">
        <x:v>-1.321285115579228</x:v>
      </x:c>
      <x:c r="Q218" s="13" t="n">
        <x:v>1.1917658186590245</x:v>
      </x:c>
      <x:c r="R218" s="13" t="n">
        <x:v>-1.143528329315352</x:v>
      </x:c>
      <x:c r="S218" s="13" t="n">
        <x:v>-0.6665110485315143</x:v>
      </x:c>
      <x:c r="T218" s="13" t="n">
        <x:v>-0.30604060161739083</x:v>
      </x:c>
      <x:c r="U218" s="13" t="n">
        <x:v>-0.16500020226443537</x:v>
      </x:c>
      <x:c r="V218" s="13" t="n">
        <x:v>-0.527831798780091</x:v>
      </x:c>
      <x:c r="W218" s="13" t="n">
        <x:v>4.7222384937961595</x:v>
      </x:c>
      <x:c r="X218" s="13" t="n">
        <x:v>-0.3910667203118402</x:v>
      </x:c>
      <x:c r="Y218" s="13" t="n">
        <x:v>-0.5269021980724103</x:v>
      </x:c>
      <x:c r="Z218" s="13" t="n">
        <x:v>-0.45793404621417505</x:v>
      </x:c>
      <x:c r="AA218" s="13" t="n">
        <x:v>-0.2982382756603923</x:v>
      </x:c>
      <x:c r="AB218" s="13" t="n">
        <x:v>5.696892426590532</x:v>
      </x:c>
      <x:c r="AC218" s="13" t="n">
        <x:v>-0.6980651016988949</x:v>
      </x:c>
      <x:c r="AD218" s="13" t="n">
        <x:v>-0.3815376497091691</x:v>
      </x:c>
      <x:c r="AE218" s="13" t="n">
        <x:v>-0.2275017857556271</x:v>
      </x:c>
      <x:c r="AF218" s="13" t="n">
        <x:v>-0.516132001614732</x:v>
      </x:c>
      <x:c r="AG218" s="13" t="n">
        <x:v>1.0985350192975947</x:v>
      </x:c>
      <x:c r="AH218" s="13" t="n">
        <x:v>-3.3010844219728446</x:v>
      </x:c>
      <x:c r="AI218" s="13" t="n">
        <x:v>-1.658135364342005</x:v>
      </x:c>
      <x:c r="AJ218" s="13" t="n">
        <x:v>-1.3062499863328423</x:v>
      </x:c>
      <x:c r="AK218" s="13" t="n">
        <x:v>7.277012024670957</x:v>
      </x:c>
      <x:c r="AL218" s="13" t="n">
        <x:v>4.836049153918829</x:v>
      </x:c>
      <x:c r="AM218" s="13" t="n">
        <x:v>-0.7815911692517314</x:v>
      </x:c>
      <x:c r="AN218" s="13" t="n">
        <x:v>-0.9285267727674893</x:v>
      </x:c>
      <x:c r="AO218" s="13" t="n">
        <x:v>-0.2589951532948499</x:v>
      </x:c>
      <x:c r="AP218" s="13" t="n">
        <x:v>-2.176328528310125</x:v>
      </x:c>
    </x:row>
    <x:row r="219" ht="15" hidden="0" customHeight="1">
      <x:c r="A219" s="2" t="str">
        <x:v>E218</x:v>
      </x:c>
      <x:c r="B219" s="2" t="str">
        <x:v>***建设工程有限公司</x:v>
      </x:c>
      <x:c r="C219" s="2" t="str">
        <x:v>无信贷记录</x:v>
      </x:c>
      <x:c r="D219" s="2" t="str"/>
      <x:c r="E219" s="2" t="str"/>
      <x:c r="F219" s="13" t="n">
        <x:v>-0.10087179347002681</x:v>
      </x:c>
      <x:c r="G219" s="13" t="n">
        <x:v>-0.11953320009401722</x:v>
      </x:c>
      <x:c r="H219" s="13" t="n">
        <x:v>0.310506839862309</x:v>
      </x:c>
      <x:c r="I219" s="13" t="n">
        <x:v>-0.2887511126877555</x:v>
      </x:c>
      <x:c r="J219" s="13" t="n">
        <x:v>0.2988770499589015</x:v>
      </x:c>
      <x:c r="K219" s="13" t="n">
        <x:v>0.2857009363938606</x:v>
      </x:c>
      <x:c r="L219" s="13" t="n">
        <x:v>0.10653699810934499</x:v>
      </x:c>
      <x:c r="M219" s="13" t="n">
        <x:v>1.5619581201574892</x:v>
      </x:c>
      <x:c r="N219" s="13" t="n">
        <x:v>-0.3005753993370133</x:v>
      </x:c>
      <x:c r="O219" s="13" t="n">
        <x:v>-0.48596769884474783</x:v>
      </x:c>
      <x:c r="P219" s="13" t="n">
        <x:v>-0.5435503023955106</x:v>
      </x:c>
      <x:c r="Q219" s="13" t="n">
        <x:v>0.2692334525437628</x:v>
      </x:c>
      <x:c r="R219" s="13" t="n">
        <x:v>0.29022585979738014</x:v>
      </x:c>
      <x:c r="S219" s="13" t="n">
        <x:v>1.4956293946087642</x:v>
      </x:c>
      <x:c r="T219" s="13" t="n">
        <x:v>0.7299766413668972</x:v>
      </x:c>
      <x:c r="U219" s="13" t="n">
        <x:v>-0.43743520533449964</x:v>
      </x:c>
      <x:c r="V219" s="13" t="n">
        <x:v>-0.47004530522003557</x:v>
      </x:c>
      <x:c r="W219" s="13" t="n">
        <x:v>0.07664263498080506</x:v>
      </x:c>
      <x:c r="X219" s="13" t="n">
        <x:v>-0.3910667203118402</x:v>
      </x:c>
      <x:c r="Y219" s="13" t="n">
        <x:v>-0.15687755918877547</x:v>
      </x:c>
      <x:c r="Z219" s="13" t="n">
        <x:v>-0.17086949160328674</x:v>
      </x:c>
      <x:c r="AA219" s="13" t="n">
        <x:v>-0.2324415578556212</x:v>
      </x:c>
      <x:c r="AB219" s="13" t="n">
        <x:v>2.3607262550408428</x:v>
      </x:c>
      <x:c r="AC219" s="13" t="n">
        <x:v>-0.6980651016988949</x:v>
      </x:c>
      <x:c r="AD219" s="13" t="n">
        <x:v>1.2413788293509294</x:v>
      </x:c>
      <x:c r="AE219" s="13" t="n">
        <x:v>1.4520826111340446</x:v>
      </x:c>
      <x:c r="AF219" s="13" t="n">
        <x:v>-0.16189950927322858</x:v>
      </x:c>
      <x:c r="AG219" s="13" t="n">
        <x:v>1.8210028142961905</x:v>
      </x:c>
      <x:c r="AH219" s="13" t="n">
        <x:v>2.048865341337728</x:v>
      </x:c>
      <x:c r="AI219" s="13" t="n">
        <x:v>-1.054359100016414</x:v>
      </x:c>
      <x:c r="AJ219" s="13" t="n">
        <x:v>-0.4232924540121034</x:v>
      </x:c>
      <x:c r="AK219" s="13" t="n">
        <x:v>0.024320321575931426</x:v>
      </x:c>
      <x:c r="AL219" s="13" t="n">
        <x:v>0.9740748964119128</x:v>
      </x:c>
      <x:c r="AM219" s="13" t="n">
        <x:v>-0.5794103554367322</x:v>
      </x:c>
      <x:c r="AN219" s="13" t="n">
        <x:v>0.41805487559587556</x:v>
      </x:c>
      <x:c r="AO219" s="13" t="n">
        <x:v>1.0533280396772704</x:v>
      </x:c>
      <x:c r="AP219" s="13" t="n">
        <x:v>1.9441315609724874</x:v>
      </x:c>
    </x:row>
    <x:row r="220" ht="15" hidden="0" customHeight="1">
      <x:c r="A220" s="2" t="str">
        <x:v>E219</x:v>
      </x:c>
      <x:c r="B220" s="2" t="str">
        <x:v>***品牌营销策划有限公司</x:v>
      </x:c>
      <x:c r="C220" s="2" t="str">
        <x:v>无信贷记录</x:v>
      </x:c>
      <x:c r="D220" s="2" t="str"/>
      <x:c r="E220" s="2" t="str"/>
      <x:c r="F220" s="13" t="n">
        <x:v>1.4525587998258873</x:v>
      </x:c>
      <x:c r="G220" s="13" t="n">
        <x:v>1.4498621393075393</x:v>
      </x:c>
      <x:c r="H220" s="13" t="n">
        <x:v>1.139742459086956</x:v>
      </x:c>
      <x:c r="I220" s="13" t="n">
        <x:v>1.2978766205622818</x:v>
      </x:c>
      <x:c r="J220" s="13" t="n">
        <x:v>0.2317516675087573</x:v>
      </x:c>
      <x:c r="K220" s="13" t="n">
        <x:v>0.22649180613482908</x:v>
      </x:c>
      <x:c r="L220" s="13" t="n">
        <x:v>1.5973333760824318</x:v>
      </x:c>
      <x:c r="M220" s="13" t="n">
        <x:v>0.19355175359483104</x:v>
      </x:c>
      <x:c r="N220" s="13" t="n">
        <x:v>0.3083600803492962</x:v>
      </x:c>
      <x:c r="O220" s="13" t="n">
        <x:v>-0.8826226217015952</x:v>
      </x:c>
      <x:c r="P220" s="13" t="n">
        <x:v>-0.9659650156885446</x:v>
      </x:c>
      <x:c r="Q220" s="13" t="n">
        <x:v>0.20318414971178766</x:v>
      </x:c>
      <x:c r="R220" s="13" t="n">
        <x:v>-0.6943087787270972</x:v>
      </x:c>
      <x:c r="S220" s="13" t="n">
        <x:v>0.6059839806344398</x:v>
      </x:c>
      <x:c r="T220" s="13" t="n">
        <x:v>0.7299766413668972</x:v>
      </x:c>
      <x:c r="U220" s="13" t="n">
        <x:v>-0.23139635388305838</x:v>
      </x:c>
      <x:c r="V220" s="13" t="n">
        <x:v>-0.2714392982272235</x:v>
      </x:c>
      <x:c r="W220" s="13" t="n">
        <x:v>0.35387980720043105</x:v>
      </x:c>
      <x:c r="X220" s="13" t="n">
        <x:v>0.2915187476757096</x:v>
      </x:c>
      <x:c r="Y220" s="13" t="n">
        <x:v>-0.1803153501314433</x:v>
      </x:c>
      <x:c r="Z220" s="13" t="n">
        <x:v>-0.14831383210419902</x:v>
      </x:c>
      <x:c r="AA220" s="13" t="n">
        <x:v>-0.328786751784036</x:v>
      </x:c>
      <x:c r="AB220" s="13" t="n">
        <x:v>0.7295001908818357</x:v>
      </x:c>
      <x:c r="AC220" s="13" t="n">
        <x:v>1.5510316380554732</x:v>
      </x:c>
      <x:c r="AD220" s="13" t="n">
        <x:v>-0.6535819848242095</x:v>
      </x:c>
      <x:c r="AE220" s="13" t="n">
        <x:v>-0.8114972966681055</x:v>
      </x:c>
      <x:c r="AF220" s="13" t="n">
        <x:v>-0.1499591998712522</x:v>
      </x:c>
      <x:c r="AG220" s="13" t="n">
        <x:v>0.07880247599412614</x:v>
      </x:c>
      <x:c r="AH220" s="13" t="n">
        <x:v>0.7808230296551226</x:v>
      </x:c>
      <x:c r="AI220" s="13" t="n">
        <x:v>0.15319342863476768</x:v>
      </x:c>
      <x:c r="AJ220" s="13" t="n">
        <x:v>-0.41034757543257877</x:v>
      </x:c>
      <x:c r="AK220" s="13" t="n">
        <x:v>-0.02439309451878015</x:v>
      </x:c>
      <x:c r="AL220" s="13" t="n">
        <x:v>-0.27199004311249014</x:v>
      </x:c>
      <x:c r="AM220" s="13" t="n">
        <x:v>0.12655523985820913</x:v>
      </x:c>
      <x:c r="AN220" s="13" t="n">
        <x:v>-1.0379894142321797</x:v>
      </x:c>
      <x:c r="AO220" s="13" t="n">
        <x:v>-0.4345395884847035</x:v>
      </x:c>
      <x:c r="AP220" s="13" t="n">
        <x:v>0.760524353211529</x:v>
      </x:c>
    </x:row>
    <x:row r="221" ht="15" hidden="0" customHeight="1">
      <x:c r="A221" s="2" t="str">
        <x:v>E220</x:v>
      </x:c>
      <x:c r="B221" s="2" t="str">
        <x:v>***文化传播有限公司</x:v>
      </x:c>
      <x:c r="C221" s="2" t="str">
        <x:v>无信贷记录</x:v>
      </x:c>
      <x:c r="D221" s="2" t="str"/>
      <x:c r="E221" s="2" t="str"/>
      <x:c r="F221" s="13" t="n">
        <x:v>2.1400364392940583</x:v>
      </x:c>
      <x:c r="G221" s="13" t="n">
        <x:v>2.125474126235982</x:v>
      </x:c>
      <x:c r="H221" s="13" t="n">
        <x:v>1.926453174761621</x:v>
      </x:c>
      <x:c r="I221" s="13" t="n">
        <x:v>1.6838130962176963</x:v>
      </x:c>
      <x:c r="J221" s="13" t="n">
        <x:v>0.5954852607963954</x:v>
      </x:c>
      <x:c r="K221" s="13" t="n">
        <x:v>0.5911638955545411</x:v>
      </x:c>
      <x:c r="L221" s="13" t="n">
        <x:v>4.076923270058076</x:v>
      </x:c>
      <x:c r="M221" s="13" t="n">
        <x:v>0.33627574913045477</x:v>
      </x:c>
      <x:c r="N221" s="13" t="n">
        <x:v>0.22439634820230522</x:v>
      </x:c>
      <x:c r="O221" s="13" t="n">
        <x:v>-0.9623712501650091</x:v>
      </x:c>
      <x:c r="P221" s="13" t="n">
        <x:v>-1.2558049130973061</x:v>
      </x:c>
      <x:c r="Q221" s="13" t="n">
        <x:v>0.5610867697983275</x:v>
      </x:c>
      <x:c r="R221" s="13" t="n">
        <x:v>-1.047243915062584</x:v>
      </x:c>
      <x:c r="S221" s="13" t="n">
        <x:v>-0.2216334355039198</x:v>
      </x:c>
      <x:c r="T221" s="13" t="n">
        <x:v>0.8241600270927416</x:v>
      </x:c>
      <x:c r="U221" s="13" t="n">
        <x:v>0.12377036191814722</x:v>
      </x:c>
      <x:c r="V221" s="13" t="n">
        <x:v>0.14484786897239948</x:v>
      </x:c>
      <x:c r="W221" s="13" t="n">
        <x:v>-0.15563715795996266</x:v>
      </x:c>
      <x:c r="X221" s="13" t="n">
        <x:v>-0.1635382309826569</x:v>
      </x:c>
      <x:c r="Y221" s="13" t="n">
        <x:v>0.2376569072058817</x:v>
      </x:c>
      <x:c r="Z221" s="13" t="n">
        <x:v>0.13970788972239567</x:v>
      </x:c>
      <x:c r="AA221" s="13" t="n">
        <x:v>-0.05385046667124259</x:v>
      </x:c>
      <x:c r="AB221" s="13" t="n">
        <x:v>-0.612211826556589</x:v>
      </x:c>
      <x:c r="AC221" s="13" t="n">
        <x:v>-0.3995231986928406</x:v>
      </x:c>
      <x:c r="AD221" s="13" t="n">
        <x:v>0.5517476235563891</x:v>
      </x:c>
      <x:c r="AE221" s="13" t="n">
        <x:v>0.7471027168044687</x:v>
      </x:c>
      <x:c r="AF221" s="13" t="n">
        <x:v>0.20239190667837523</x:v>
      </x:c>
      <x:c r="AG221" s="13" t="n">
        <x:v>-0.7261142303999312</x:v>
      </x:c>
      <x:c r="AH221" s="13" t="n">
        <x:v>0.0014455423728091156</x:v>
      </x:c>
      <x:c r="AI221" s="13" t="n">
        <x:v>0.9582284477355555</x:v>
      </x:c>
      <x:c r="AJ221" s="13" t="n">
        <x:v>0.0007906752999885335</x:v>
      </x:c>
      <x:c r="AK221" s="13" t="n">
        <x:v>-0.09520290676263093</x:v>
      </x:c>
      <x:c r="AL221" s="13" t="n">
        <x:v>-0.5473018653995574</x:v>
      </x:c>
      <x:c r="AM221" s="13" t="n">
        <x:v>-0.2649756428694562</x:v>
      </x:c>
      <x:c r="AN221" s="13" t="n">
        <x:v>-0.3510982333997595</x:v>
      </x:c>
      <x:c r="AO221" s="13" t="n">
        <x:v>-1.0528374715233377</x:v>
      </x:c>
      <x:c r="AP221" s="13" t="n">
        <x:v>-0.13898459614880057</x:v>
      </x:c>
    </x:row>
    <x:row r="222" ht="15" hidden="0" customHeight="1">
      <x:c r="A222" s="2" t="str">
        <x:v>E221</x:v>
      </x:c>
      <x:c r="B222" s="2" t="str">
        <x:v>***测绘服务有限公司</x:v>
      </x:c>
      <x:c r="C222" s="2" t="str">
        <x:v>无信贷记录</x:v>
      </x:c>
      <x:c r="D222" s="2" t="str"/>
      <x:c r="E222" s="2" t="str"/>
      <x:c r="F222" s="13" t="n">
        <x:v>1.4706381173843894</x:v>
      </x:c>
      <x:c r="G222" s="13" t="n">
        <x:v>1.5121968151774452</x:v>
      </x:c>
      <x:c r="H222" s="13" t="n">
        <x:v>0.17230090332486786</x:v>
      </x:c>
      <x:c r="I222" s="13" t="n">
        <x:v>0.011421701710900218</x:v>
      </x:c>
      <x:c r="J222" s="13" t="n">
        <x:v>0.10944239407309199</x:v>
      </x:c>
      <x:c r="K222" s="13" t="n">
        <x:v>0.0959331550178398</x:v>
      </x:c>
      <x:c r="L222" s="13" t="n">
        <x:v>2.1966943688593665</x:v>
      </x:c>
      <x:c r="M222" s="13" t="n">
        <x:v>-0.5956928958629775</x:v>
      </x:c>
      <x:c r="N222" s="13" t="n">
        <x:v>-0.45339118954010765</x:v>
      </x:c>
      <x:c r="O222" s="13" t="n">
        <x:v>-0.6706801625152169</x:v>
      </x:c>
      <x:c r="P222" s="13" t="n">
        <x:v>-0.7388289100580152</x:v>
      </x:c>
      <x:c r="Q222" s="13" t="n">
        <x:v>0.26729105639389417</x:v>
      </x:c>
      <x:c r="R222" s="13" t="n">
        <x:v>-0.2822153555462899</x:v>
      </x:c>
      <x:c r="S222" s="13" t="n">
        <x:v>-0.5567118466425937</x:v>
      </x:c>
      <x:c r="T222" s="13" t="n">
        <x:v>0.07069294128598666</x:v>
      </x:c>
      <x:c r="U222" s="13" t="n">
        <x:v>-0.1939826493995486</x:v>
      </x:c>
      <x:c r="V222" s="13" t="n">
        <x:v>-0.18111283741975814</x:v>
      </x:c>
      <x:c r="W222" s="13" t="n">
        <x:v>-0.32048088198244296</x:v>
      </x:c>
      <x:c r="X222" s="13" t="n">
        <x:v>-0.10148500662015238</x:v>
      </x:c>
      <x:c r="Y222" s="13" t="n">
        <x:v>-0.10040354891194933</x:v>
      </x:c>
      <x:c r="Z222" s="13" t="n">
        <x:v>-0.11176343062645103</x:v>
      </x:c>
      <x:c r="AA222" s="13" t="n">
        <x:v>0.33388019182115836</x:v>
      </x:c>
      <x:c r="AB222" s="13" t="n">
        <x:v>-0.5199697738057552</x:v>
      </x:c>
      <x:c r="AC222" s="13" t="n">
        <x:v>0.020483466300339533</x:v>
      </x:c>
      <x:c r="AD222" s="13" t="n">
        <x:v>-0.8549822896773818</x:v>
      </x:c>
      <x:c r="AE222" s="13" t="n">
        <x:v>-0.9853527102993157</x:v>
      </x:c>
      <x:c r="AF222" s="13" t="n">
        <x:v>0.013836196173671572</x:v>
      </x:c>
      <x:c r="AG222" s="13" t="n">
        <x:v>-0.5243207835315451</x:v>
      </x:c>
      <x:c r="AH222" s="13" t="n">
        <x:v>-0.5222253458469316</x:v>
      </x:c>
      <x:c r="AI222" s="13" t="n">
        <x:v>0.05256405124716919</x:v>
      </x:c>
      <x:c r="AJ222" s="13" t="n">
        <x:v>-0.18394259107169508</x:v>
      </x:c>
      <x:c r="AK222" s="13" t="n">
        <x:v>-0.10303339401770525</x:v>
      </x:c>
      <x:c r="AL222" s="13" t="n">
        <x:v>-0.8899344825547323</x:v>
      </x:c>
      <x:c r="AM222" s="13" t="n">
        <x:v>-0.49235641420001414</x:v>
      </x:c>
      <x:c r="AN222" s="13" t="n">
        <x:v>-1.0096505583209276</x:v>
      </x:c>
      <x:c r="AO222" s="13" t="n">
        <x:v>-0.4390987231816473</x:v>
      </x:c>
      <x:c r="AP222" s="13" t="n">
        <x:v>-0.607984210063649</x:v>
      </x:c>
    </x:row>
    <x:row r="223" ht="15" hidden="0" customHeight="1">
      <x:c r="A223" s="2" t="str">
        <x:v>E222</x:v>
      </x:c>
      <x:c r="B223" s="2" t="str">
        <x:v>***数码科技有限公司</x:v>
      </x:c>
      <x:c r="C223" s="2" t="str">
        <x:v>无信贷记录</x:v>
      </x:c>
      <x:c r="D223" s="2" t="str"/>
      <x:c r="E223" s="2" t="str"/>
      <x:c r="F223" s="13" t="n">
        <x:v>1.5327567982264225</x:v>
      </x:c>
      <x:c r="G223" s="13" t="n">
        <x:v>1.4623290744815205</x:v>
      </x:c>
      <x:c r="H223" s="13" t="n">
        <x:v>2.7025326645487904</x:v>
      </x:c>
      <x:c r="I223" s="13" t="n">
        <x:v>3.656377305123148</x:v>
      </x:c>
      <x:c r="J223" s="13" t="n">
        <x:v>0.5749785785375072</x:v>
      </x:c>
      <x:c r="K223" s="13" t="n">
        <x:v>0.6819883967642378</x:v>
      </x:c>
      <x:c r="L223" s="13" t="n">
        <x:v>2.1267182123422623</x:v>
      </x:c>
      <x:c r="M223" s="13" t="n">
        <x:v>1.3630014410755835</x:v>
      </x:c>
      <x:c r="N223" s="13" t="n">
        <x:v>1.6755361752723437</x:v>
      </x:c>
      <x:c r="O223" s="13" t="n">
        <x:v>-0.9092448577178999</x:v>
      </x:c>
      <x:c r="P223" s="13" t="n">
        <x:v>-1.2129754594251512</x:v>
      </x:c>
      <x:c r="Q223" s="13" t="n">
        <x:v>0.5409088279057452</x:v>
      </x:c>
      <x:c r="R223" s="13" t="n">
        <x:v>-0.5196709746709209</x:v>
      </x:c>
      <x:c r="S223" s="13" t="n">
        <x:v>0.16928472444281126</x:v>
      </x:c>
      <x:c r="T223" s="13" t="n">
        <x:v>0.8241600270927416</x:v>
      </x:c>
      <x:c r="U223" s="13" t="n">
        <x:v>0.1653996950758553</x:v>
      </x:c>
      <x:c r="V223" s="13" t="n">
        <x:v>0.02703074618005335</x:v>
      </x:c>
      <x:c r="W223" s="13" t="n">
        <x:v>2.0098099439717108</x:v>
      </x:c>
      <x:c r="X223" s="13" t="n">
        <x:v>0.14672789082986573</x:v>
      </x:c>
      <x:c r="Y223" s="13" t="n">
        <x:v>0.08968815613803441</x:v>
      </x:c>
      <x:c r="Z223" s="13" t="n">
        <x:v>0.03845588351267815</x:v>
      </x:c>
      <x:c r="AA223" s="13" t="n">
        <x:v>-0.23714132341310484</x:v>
      </x:c>
      <x:c r="AB223" s="13" t="n">
        <x:v>1.09819042330058</x:v>
      </x:c>
      <x:c r="AC223" s="13" t="n">
        <x:v>0.15243310558521503</x:v>
      </x:c>
      <x:c r="AD223" s="13" t="n">
        <x:v>-0.7117315440329912</x:v>
      </x:c>
      <x:c r="AE223" s="13" t="n">
        <x:v>-0.6979216899628504</x:v>
      </x:c>
      <x:c r="AF223" s="13" t="n">
        <x:v>0.05744312577523892</x:v>
      </x:c>
      <x:c r="AG223" s="13" t="n">
        <x:v>-0.050282779634534557</x:v>
      </x:c>
      <x:c r="AH223" s="13" t="n">
        <x:v>0.49707602162141934</x:v>
      </x:c>
      <x:c r="AI223" s="13" t="n">
        <x:v>0.9582284477355555</x:v>
      </x:c>
      <x:c r="AJ223" s="13" t="n">
        <x:v>-0.22816143430676075</x:v>
      </x:c>
      <x:c r="AK223" s="13" t="n">
        <x:v>-0.023521540393255942</x:v>
      </x:c>
      <x:c r="AL223" s="13" t="n">
        <x:v>0.6276883742096807</x:v>
      </x:c>
      <x:c r="AM223" s="13" t="n">
        <x:v>0.5594067247719678</x:v>
      </x:c>
      <x:c r="AN223" s="13" t="n">
        <x:v>-1.0930822963283473</x:v>
      </x:c>
      <x:c r="AO223" s="13" t="n">
        <x:v>-0.37690616434218</x:v>
      </x:c>
      <x:c r="AP223" s="13" t="n">
        <x:v>0.35010104800640485</x:v>
      </x:c>
    </x:row>
    <x:row r="224" ht="15" hidden="0" customHeight="1">
      <x:c r="A224" s="2" t="str">
        <x:v>E223</x:v>
      </x:c>
      <x:c r="B224" s="2" t="str">
        <x:v>***科技有限公司</x:v>
      </x:c>
      <x:c r="C224" s="2" t="str">
        <x:v>无信贷记录</x:v>
      </x:c>
      <x:c r="D224" s="2" t="str"/>
      <x:c r="E224" s="2" t="str"/>
      <x:c r="F224" s="13" t="n">
        <x:v>0.6037580190664666</x:v>
      </x:c>
      <x:c r="G224" s="13" t="n">
        <x:v>0.5896436123028365</x:v>
      </x:c>
      <x:c r="H224" s="13" t="n">
        <x:v>0.7463871012496235</x:v>
      </x:c>
      <x:c r="I224" s="13" t="n">
        <x:v>0.3973581773663147</x:v>
      </x:c>
      <x:c r="J224" s="13" t="n">
        <x:v>0.2995064951279272</x:v>
      </x:c>
      <x:c r="K224" s="13" t="n">
        <x:v>0.2858304252309366</x:v>
      </x:c>
      <x:c r="L224" s="13" t="n">
        <x:v>1.6825217405380366</x:v>
      </x:c>
      <x:c r="M224" s="13" t="n">
        <x:v>0.5903714158132195</x:v>
      </x:c>
      <x:c r="N224" s="13" t="n">
        <x:v>0.14063374787399552</x:v>
      </x:c>
      <x:c r="O224" s="13" t="n">
        <x:v>-0.3394307264445188</x:v>
      </x:c>
      <x:c r="P224" s="13" t="n">
        <x:v>-0.11480879280030015</x:v>
      </x:c>
      <x:c r="Q224" s="13" t="n">
        <x:v>1.0804858612069532</x:v>
      </x:c>
      <x:c r="R224" s="13" t="n">
        <x:v>-0.9619282070097418</x:v>
      </x:c>
      <x:c r="S224" s="13" t="n">
        <x:v>0.984124481251036</x:v>
      </x:c>
      <x:c r="T224" s="13" t="n">
        <x:v>-0.871140915972457</x:v>
      </x:c>
      <x:c r="U224" s="13" t="n">
        <x:v>-0.28092999080488823</x:v>
      </x:c>
      <x:c r="V224" s="13" t="n">
        <x:v>-0.2792937730800466</x:v>
      </x:c>
      <x:c r="W224" s="13" t="n">
        <x:v>-0.2455519165176792</x:v>
      </x:c>
      <x:c r="X224" s="13" t="n">
        <x:v>0.043305850225691514</x:v>
      </x:c>
      <x:c r="Y224" s="13" t="n">
        <x:v>-0.22288030887851845</x:v>
      </x:c>
      <x:c r="Z224" s="13" t="n">
        <x:v>-0.2001392224372587</x:v>
      </x:c>
      <x:c r="AA224" s="13" t="n">
        <x:v>-0.27238956509423223</x:v>
      </x:c>
      <x:c r="AB224" s="13" t="n">
        <x:v>-0.20809654752849996</x:v>
      </x:c>
      <x:c r="AC224" s="13" t="n">
        <x:v>0.7751854213687177</x:v>
      </x:c>
      <x:c r="AD224" s="13" t="n">
        <x:v>0.055547483945506196</x:v>
      </x:c>
      <x:c r="AE224" s="13" t="n">
        <x:v>0.44536657808852165</x:v>
      </x:c>
      <x:c r="AF224" s="13" t="n">
        <x:v>0.13205783174117805</x:v>
      </x:c>
      <x:c r="AG224" s="13" t="n">
        <x:v>-0.9113289820221403</x:v>
      </x:c>
      <x:c r="AH224" s="13" t="n">
        <x:v>1.1320128618536192</x:v>
      </x:c>
      <x:c r="AI224" s="13" t="n">
        <x:v>-1.054359100016414</x:v>
      </x:c>
      <x:c r="AJ224" s="13" t="n">
        <x:v>-0.5329503281606872</x:v>
      </x:c>
      <x:c r="AK224" s="13" t="n">
        <x:v>0.06302061209923206</x:v>
      </x:c>
      <x:c r="AL224" s="13" t="n">
        <x:v>-0.3144727326802296</x:v>
      </x:c>
      <x:c r="AM224" s="13" t="n">
        <x:v>0.0266405330571726</x:v>
      </x:c>
      <x:c r="AN224" s="13" t="n">
        <x:v>-0.2086711319703801</x:v>
      </x:c>
      <x:c r="AO224" s="13" t="n">
        <x:v>-1.0821969306680586</x:v>
      </x:c>
      <x:c r="AP224" s="13" t="n">
        <x:v>1.1690396608542588</x:v>
      </x:c>
    </x:row>
    <x:row r="225" ht="15" hidden="0" customHeight="1">
      <x:c r="A225" s="2" t="str">
        <x:v>E224</x:v>
      </x:c>
      <x:c r="B225" s="2" t="str">
        <x:v>***纸业有限公司</x:v>
      </x:c>
      <x:c r="C225" s="2" t="str">
        <x:v>无信贷记录</x:v>
      </x:c>
      <x:c r="D225" s="2" t="str"/>
      <x:c r="E225" s="2" t="str"/>
      <x:c r="F225" s="13" t="n">
        <x:v>-0.26080421802600723</x:v>
      </x:c>
      <x:c r="G225" s="13" t="n">
        <x:v>-0.26482094462156736</x:v>
      </x:c>
      <x:c r="H225" s="13" t="n">
        <x:v>-0.13600464741250087</x:v>
      </x:c>
      <x:c r="I225" s="13" t="n">
        <x:v>-0.2458692820593761</x:v>
      </x:c>
      <x:c r="J225" s="13" t="n">
        <x:v>1.7104329322059089</x:v>
      </x:c>
      <x:c r="K225" s="13" t="n">
        <x:v>1.6850946552726325</x:v>
      </x:c>
      <x:c r="L225" s="13" t="n">
        <x:v>-0.3985083054488844</x:v>
      </x:c>
      <x:c r="M225" s="13" t="n">
        <x:v>0.6702524206771497</x:v>
      </x:c>
      <x:c r="N225" s="13" t="n">
        <x:v>0.025249840602772734</x:v>
      </x:c>
      <x:c r="O225" s="13" t="n">
        <x:v>-0.6178347832829433</x:v>
      </x:c>
      <x:c r="P225" s="13" t="n">
        <x:v>-0.7190138779738172</x:v>
      </x:c>
      <x:c r="Q225" s="13" t="n">
        <x:v>1.6581608377997712</x:v>
      </x:c>
      <x:c r="R225" s="13" t="n">
        <x:v>-0.9324589554751076</x:v>
      </x:c>
      <x:c r="S225" s="13" t="n">
        <x:v>-0.6329011194903346</x:v>
      </x:c>
      <x:c r="T225" s="13" t="n">
        <x:v>0.8241600270927416</x:v>
      </x:c>
      <x:c r="U225" s="13" t="n">
        <x:v>0.03418825259143364</x:v>
      </x:c>
      <x:c r="V225" s="13" t="n">
        <x:v>0.07584069705116818</x:v>
      </x:c>
      <x:c r="W225" s="13" t="n">
        <x:v>-0.5078032956443524</x:v>
      </x:c>
      <x:c r="X225" s="13" t="n">
        <x:v>-0.10148500662015238</x:v>
      </x:c>
      <x:c r="Y225" s="13" t="n">
        <x:v>0.4827852702483883</x:v>
      </x:c>
      <x:c r="Z225" s="13" t="n">
        <x:v>0.34407900928679375</x:v>
      </x:c>
      <x:c r="AA225" s="13" t="n">
        <x:v>-0.3005881584391341</x:v>
      </x:c>
      <x:c r="AB225" s="13" t="n">
        <x:v>-0.8950307927230139</x:v>
      </x:c>
      <x:c r="AC225" s="13" t="n">
        <x:v>-0.2759987356308762</x:v>
      </x:c>
      <x:c r="AD225" s="13" t="n">
        <x:v>-0.48955843387931597</x:v>
      </x:c>
      <x:c r="AE225" s="13" t="n">
        <x:v>-0.5050796188313874</x:v>
      </x:c>
      <x:c r="AF225" s="13" t="n">
        <x:v>0.44251731918186293</x:v>
      </x:c>
      <x:c r="AG225" s="13" t="n">
        <x:v>-0.9757370432246193</x:v>
      </x:c>
      <x:c r="AH225" s="13" t="n">
        <x:v>-0.6886494096687189</x:v>
      </x:c>
      <x:c r="AI225" s="13" t="n">
        <x:v>0.9582284477355555</x:v>
      </x:c>
      <x:c r="AJ225" s="13" t="n">
        <x:v>-0.45269230283272044</x:v>
      </x:c>
      <x:c r="AK225" s="13" t="n">
        <x:v>0.018304622697118644</x:v>
      </x:c>
      <x:c r="AL225" s="13" t="n">
        <x:v>-0.7619086094438704</x:v>
      </x:c>
      <x:c r="AM225" s="13" t="n">
        <x:v>-0.1722636402187203</x:v>
      </x:c>
      <x:c r="AN225" s="13" t="n">
        <x:v>-0.745904895563668</x:v>
      </x:c>
      <x:c r="AO225" s="13" t="n">
        <x:v>-1.0925416342097187</x:v>
      </x:c>
      <x:c r="AP225" s="13" t="n">
        <x:v>-0.7384719542369922</x:v>
      </x:c>
    </x:row>
    <x:row r="226" ht="15" hidden="0" customHeight="1">
      <x:c r="A226" s="2" t="str">
        <x:v>E225</x:v>
      </x:c>
      <x:c r="B226" s="2" t="str">
        <x:v>***物业服务有限责任公司***分公司</x:v>
      </x:c>
      <x:c r="C226" s="2" t="str">
        <x:v>无信贷记录</x:v>
      </x:c>
      <x:c r="D226" s="2" t="str"/>
      <x:c r="E226" s="2" t="str"/>
      <x:c r="F226" s="13" t="n">
        <x:v>1.3955394136798422</x:v>
      </x:c>
      <x:c r="G226" s="13" t="n">
        <x:v>1.3894454534643996</x:v>
      </x:c>
      <x:c r="H226" s="13" t="n">
        <x:v>1.1716361367494423</x:v>
      </x:c>
      <x:c r="I226" s="13" t="n">
        <x:v>1.5980494349609373</x:v>
      </x:c>
      <x:c r="J226" s="13" t="n">
        <x:v>0.3892357257507056</x:v>
      </x:c>
      <x:c r="K226" s="13" t="n">
        <x:v>0.38340894405965104</x:v>
      </x:c>
      <x:c r="L226" s="13" t="n">
        <x:v>1.3691502570049183</x:v>
      </x:c>
      <x:c r="M226" s="13" t="n">
        <x:v>0.2583240142100725</x:v>
      </x:c>
      <x:c r="N226" s="13" t="n">
        <x:v>0.5206182723731193</x:v>
      </x:c>
      <x:c r="O226" s="13" t="n">
        <x:v>-0.2540763883395056</x:v>
      </x:c>
      <x:c r="P226" s="13" t="n">
        <x:v>0.15104817148386382</x:v>
      </x:c>
      <x:c r="Q226" s="13" t="n">
        <x:v>0.3333025716401608</x:v>
      </x:c>
      <x:c r="R226" s="13" t="n">
        <x:v>-1.1930625693694832</x:v>
      </x:c>
      <x:c r="S226" s="13" t="n">
        <x:v>-0.17583971382067468</x:v>
      </x:c>
      <x:c r="T226" s="13" t="n">
        <x:v>0.918343412818586</x:v>
      </x:c>
      <x:c r="U226" s="13" t="n">
        <x:v>4.115443762799649</x:v>
      </x:c>
      <x:c r="V226" s="13" t="n">
        <x:v>4.118090076664758</x:v>
      </x:c>
      <x:c r="W226" s="13" t="n">
        <x:v>3.538360839452892</x:v>
      </x:c>
      <x:c r="X226" s="13" t="n">
        <x:v>1.677374091771644</x:v>
      </x:c>
      <x:c r="Y226" s="13" t="n">
        <x:v>0.1423770414262725</x:v>
      </x:c>
      <x:c r="Z226" s="13" t="n">
        <x:v>0.07694640980753403</x:v>
      </x:c>
      <x:c r="AA226" s="13" t="n">
        <x:v>0.7192609675348174</x:v>
      </x:c>
      <x:c r="AB226" s="13" t="n">
        <x:v>-0.5012882809990873</x:v>
      </x:c>
      <x:c r="AC226" s="13" t="n">
        <x:v>-0.29561370891863475</x:v>
      </x:c>
      <x:c r="AD226" s="13" t="n">
        <x:v>-0.9249491749465921</x:v>
      </x:c>
      <x:c r="AE226" s="13" t="n">
        <x:v>-1.1903519559795115</x:v>
      </x:c>
      <x:c r="AF226" s="13" t="n">
        <x:v>0.09112281824467847</x:v>
      </x:c>
      <x:c r="AG226" s="13" t="n">
        <x:v>-0.743777420853654</x:v>
      </x:c>
      <x:c r="AH226" s="13" t="n">
        <x:v>-0.17775463797299207</x:v>
      </x:c>
      <x:c r="AI226" s="13" t="n">
        <x:v>1.058857825123154</x:v>
      </x:c>
      <x:c r="AJ226" s="13" t="n">
        <x:v>0.002083460337263435</x:v>
      </x:c>
      <x:c r="AK226" s="13" t="n">
        <x:v>-0.11644176077615517</x:v>
      </x:c>
      <x:c r="AL226" s="13" t="n">
        <x:v>-0.3146109185460529</x:v>
      </x:c>
      <x:c r="AM226" s="13" t="n">
        <x:v>-0.08491895598513705</x:v>
      </x:c>
      <x:c r="AN226" s="13" t="n">
        <x:v>-0.7526771265492932</x:v>
      </x:c>
      <x:c r="AO226" s="13" t="n">
        <x:v>-1.1600259883592074</x:v>
      </x:c>
      <x:c r="AP226" s="13" t="n">
        <x:v>-0.20117935602128995</x:v>
      </x:c>
    </x:row>
    <x:row r="227" ht="15" hidden="0" customHeight="1">
      <x:c r="A227" s="2" t="str">
        <x:v>E226</x:v>
      </x:c>
      <x:c r="B227" s="2" t="str">
        <x:v>***建设工程有限公司</x:v>
      </x:c>
      <x:c r="C227" s="2" t="str">
        <x:v>无信贷记录</x:v>
      </x:c>
      <x:c r="D227" s="2" t="str"/>
      <x:c r="E227" s="2" t="str"/>
      <x:c r="F227" s="13" t="n">
        <x:v>-0.1272954114401453</x:v>
      </x:c>
      <x:c r="G227" s="13" t="n">
        <x:v>-0.12145119012078355</x:v>
      </x:c>
      <x:c r="H227" s="13" t="n">
        <x:v>-0.2529481321749511</x:v>
      </x:c>
      <x:c r="I227" s="13" t="n">
        <x:v>0.7832946530217291</x:v>
      </x:c>
      <x:c r="J227" s="13" t="n">
        <x:v>0.4622405674697352</x:v>
      </x:c>
      <x:c r="K227" s="13" t="n">
        <x:v>0.5311417650312699</x:v>
      </x:c>
      <x:c r="L227" s="13" t="n">
        <x:v>-0.04558508127566386</x:v>
      </x:c>
      <x:c r="M227" s="13" t="n">
        <x:v>-0.23419219052126344</x:v>
      </x:c>
      <x:c r="N227" s="13" t="n">
        <x:v>2.342869321626175</x:v>
      </x:c>
      <x:c r="O227" s="13" t="n">
        <x:v>-0.6702881298535882</x:v>
      </x:c>
      <x:c r="P227" s="13" t="n">
        <x:v>-0.8894528665228552</x:v>
      </x:c>
      <x:c r="Q227" s="13" t="n">
        <x:v>0.5531045952513005</x:v>
      </x:c>
      <x:c r="R227" s="13" t="n">
        <x:v>-0.32388053099938274</x:v>
      </x:c>
      <x:c r="S227" s="13" t="n">
        <x:v>0.24639286917925615</x:v>
      </x:c>
      <x:c r="T227" s="13" t="n">
        <x:v>0.35324309846351976</x:v>
      </x:c>
      <x:c r="U227" s="13" t="n">
        <x:v>-0.2677561511980186</x:v>
      </x:c>
      <x:c r="V227" s="13" t="n">
        <x:v>-0.25741345027575374</x:v>
      </x:c>
      <x:c r="W227" s="13" t="n">
        <x:v>-0.35045246816834846</x:v>
      </x:c>
      <x:c r="X227" s="13" t="n">
        <x:v>-0.2669602715868311</x:v>
      </x:c>
      <x:c r="Y227" s="13" t="n">
        <x:v>-0.09494360505230603</x:v>
      </x:c>
      <x:c r="Z227" s="13" t="n">
        <x:v>-0.11587041471423279</x:v>
      </x:c>
      <x:c r="AA227" s="13" t="n">
        <x:v>-0.3193872206690687</x:v>
      </x:c>
      <x:c r="AB227" s="13" t="n">
        <x:v>-0.45332451607227936</x:v>
      </x:c>
      <x:c r="AC227" s="13" t="n">
        <x:v>-0.3089507608886783</x:v>
      </x:c>
      <x:c r="AD227" s="13" t="n">
        <x:v>0.8226278337384327</x:v>
      </x:c>
      <x:c r="AE227" s="13" t="n">
        <x:v>1.1677045100619021</x:v>
      </x:c>
      <x:c r="AF227" s="13" t="n">
        <x:v>-0.12342039106466296</x:v>
      </x:c>
      <x:c r="AG227" s="13" t="n">
        <x:v>0.14774788994429966</x:v>
      </x:c>
      <x:c r="AH227" s="13" t="n">
        <x:v>0.6079896749100075</x:v>
      </x:c>
      <x:c r="AI227" s="13" t="n">
        <x:v>0.15319342863476768</x:v>
      </x:c>
      <x:c r="AJ227" s="13" t="n">
        <x:v>-0.44670275600610004</x:v>
      </x:c>
      <x:c r="AK227" s="13" t="n">
        <x:v>0.05771332969645866</x:v>
      </x:c>
      <x:c r="AL227" s="13" t="n">
        <x:v>-0.5693103173362488</x:v>
      </x:c>
      <x:c r="AM227" s="13" t="n">
        <x:v>0.5561477817137338</x:v>
      </x:c>
      <x:c r="AN227" s="13" t="n">
        <x:v>0.026643290662632768</x:v>
      </x:c>
      <x:c r="AO227" s="13" t="n">
        <x:v>-0.15090923715720003</x:v>
      </x:c>
      <x:c r="AP227" s="13" t="n">
        <x:v>0.45319573771442656</x:v>
      </x:c>
    </x:row>
    <x:row r="228" ht="15" hidden="0" customHeight="1">
      <x:c r="A228" s="2" t="str">
        <x:v>E227</x:v>
      </x:c>
      <x:c r="B228" s="2" t="str">
        <x:v>***安全技术有限公司</x:v>
      </x:c>
      <x:c r="C228" s="2" t="str">
        <x:v>无信贷记录</x:v>
      </x:c>
      <x:c r="D228" s="2" t="str"/>
      <x:c r="E228" s="2" t="str"/>
      <x:c r="F228" s="13" t="n">
        <x:v>0.7511739930050224</x:v>
      </x:c>
      <x:c r="G228" s="13" t="n">
        <x:v>0.720546431629639</x:v>
      </x:c>
      <x:c r="H228" s="13" t="n">
        <x:v>1.2247922661869197</x:v>
      </x:c>
      <x:c r="I228" s="13" t="n">
        <x:v>0.3115945161095559</x:v>
      </x:c>
      <x:c r="J228" s="13" t="n">
        <x:v>0.5333459744721781</x:v>
      </x:c>
      <x:c r="K228" s="13" t="n">
        <x:v>0.52791671556108</x:v>
      </x:c>
      <x:c r="L228" s="13" t="n">
        <x:v>0.9766752921915955</x:v>
      </x:c>
      <x:c r="M228" s="13" t="n">
        <x:v>0.9894953654612361</x:v>
      </x:c>
      <x:c r="N228" s="13" t="n">
        <x:v>-0.021852649512032186</x:v>
      </x:c>
      <x:c r="O228" s="13" t="n">
        <x:v>-0.9156274850246929</x:v>
      </x:c>
      <x:c r="P228" s="13" t="n">
        <x:v>-1.2337429867688974</x:v>
      </x:c>
      <x:c r="Q228" s="13" t="n">
        <x:v>0.561987005712226</x:v>
      </x:c>
      <x:c r="R228" s="13" t="n">
        <x:v>-0.9247760387604098</x:v>
      </x:c>
      <x:c r="S228" s="13" t="n">
        <x:v>0.11073881601679281</x:v>
      </x:c>
      <x:c r="T228" s="13" t="n">
        <x:v>0.6357932556410528</x:v>
      </x:c>
      <x:c r="U228" s="13" t="n">
        <x:v>-0.1686888773543589</x:v>
      </x:c>
      <x:c r="V228" s="13" t="n">
        <x:v>-0.16147665028770047</x:v>
      </x:c>
      <x:c r="W228" s="13" t="n">
        <x:v>-0.22307322687825004</x:v>
      </x:c>
      <x:c r="X228" s="13" t="n">
        <x:v>-0.2669602715868311</x:v>
      </x:c>
      <x:c r="Y228" s="13" t="n">
        <x:v>0.007620421338824705</x:v>
      </x:c>
      <x:c r="Z228" s="13" t="n">
        <x:v>-0.03731875104059387</x:v>
      </x:c>
      <x:c r="AA228" s="13" t="n">
        <x:v>-0.19719331617449384</x:v>
      </x:c>
      <x:c r="AB228" s="13" t="n">
        <x:v>-0.4076584537773746</x:v>
      </x:c>
      <x:c r="AC228" s="13" t="n">
        <x:v>-0.40580454877593747</x:v>
      </x:c>
      <x:c r="AD228" s="13" t="n">
        <x:v>-0.7840826204500843</x:v>
      </x:c>
      <x:c r="AE228" s="13" t="n">
        <x:v>-0.9712616929233949</x:v>
      </x:c>
      <x:c r="AF228" s="13" t="n">
        <x:v>-0.02294964651472186</x:v>
      </x:c>
      <x:c r="AG228" s="13" t="n">
        <x:v>-0.5029194287325714</x:v>
      </x:c>
      <x:c r="AH228" s="13" t="n">
        <x:v>0.20590197484722156</x:v>
      </x:c>
      <x:c r="AI228" s="13" t="n">
        <x:v>0.5557109381851616</x:v>
      </x:c>
      <x:c r="AJ228" s="13" t="n">
        <x:v>-0.33183371575279186</x:v>
      </x:c>
      <x:c r="AK228" s="13" t="n">
        <x:v>-0.014615357493417124</x:v>
      </x:c>
      <x:c r="AL228" s="13" t="n">
        <x:v>-0.22522972923919643</x:v>
      </x:c>
      <x:c r="AM228" s="13" t="n">
        <x:v>-0.37442876844334344</x:v>
      </x:c>
      <x:c r="AN228" s="13" t="n">
        <x:v>-1.1423618112143277</x:v>
      </x:c>
      <x:c r="AO228" s="13" t="n">
        <x:v>-0.8647082679162222</x:v>
      </x:c>
      <x:c r="AP228" s="13" t="n">
        <x:v>0.16759554584732794</x:v>
      </x:c>
    </x:row>
    <x:row r="229" ht="15" hidden="0" customHeight="1">
      <x:c r="A229" s="2" t="str">
        <x:v>E228</x:v>
      </x:c>
      <x:c r="B229" s="2" t="str">
        <x:v>***文化发展有限公司</x:v>
      </x:c>
      <x:c r="C229" s="2" t="str">
        <x:v>无信贷记录</x:v>
      </x:c>
      <x:c r="D229" s="2" t="str"/>
      <x:c r="E229" s="2" t="str"/>
      <x:c r="F229" s="13" t="n">
        <x:v>0.6589231162321526</x:v>
      </x:c>
      <x:c r="G229" s="13" t="n">
        <x:v>0.66636321337349</x:v>
      </x:c>
      <x:c r="H229" s="13" t="n">
        <x:v>0.310506839862309</x:v>
      </x:c>
      <x:c r="I229" s="13" t="n">
        <x:v>-0.031460128917479166</x:v>
      </x:c>
      <x:c r="J229" s="13" t="n">
        <x:v>0.08390493269453435</x:v>
      </x:c>
      <x:c r="K229" s="13" t="n">
        <x:v>0.07500670512702329</x:v>
      </x:c>
      <x:c r="L229" s="13" t="n">
        <x:v>1.1318398131643046</x:v>
      </x:c>
      <x:c r="M229" s="13" t="n">
        <x:v>-0.05915331030848259</x:v>
      </x:c>
      <x:c r="N229" s="13" t="n">
        <x:v>-0.3163742581060808</x:v>
      </x:c>
      <x:c r="O229" s="13" t="n">
        <x:v>-0.873533714600405</x:v>
      </x:c>
      <x:c r="P229" s="13" t="n">
        <x:v>-1.0289242020268912</x:v>
      </x:c>
      <x:c r="Q229" s="13" t="n">
        <x:v>0.05770752963120672</x:v>
      </x:c>
      <x:c r="R229" s="13" t="n">
        <x:v>-0.7686846622173558</x:v>
      </x:c>
      <x:c r="S229" s="13" t="n">
        <x:v>-0.035735932376565804</x:v>
      </x:c>
      <x:c r="T229" s="13" t="n">
        <x:v>0.8241600270927416</x:v>
      </x:c>
      <x:c r="U229" s="13" t="n">
        <x:v>0.060008978220898145</x:v>
      </x:c>
      <x:c r="V229" s="13" t="n">
        <x:v>0.010199728638289616</x:v>
      </x:c>
      <x:c r="W229" s="13" t="n">
        <x:v>0.7360175310707263</x:v>
      </x:c>
      <x:c r="X229" s="13" t="n">
        <x:v>1.7601117242549835</x:v>
      </x:c>
      <x:c r="Y229" s="13" t="n">
        <x:v>0.04010318034763575</x:v>
      </x:c>
      <x:c r="Z229" s="13" t="n">
        <x:v>0.11912880439082973</x:v>
      </x:c>
      <x:c r="AA229" s="13" t="n">
        <x:v>-0.0021530455389224606</x:v>
      </x:c>
      <x:c r="AB229" s="13" t="n">
        <x:v>0.26502662725921455</x:v>
      </x:c>
      <x:c r="AC229" s="13" t="n">
        <x:v>2.8067069669884948</x:v>
      </x:c>
      <x:c r="AD229" s="13" t="n">
        <x:v>-0.8825386361861185</x:v>
      </x:c>
      <x:c r="AE229" s="13" t="n">
        <x:v>-1.08073150308281</x:v>
      </x:c>
      <x:c r="AF229" s="13" t="n">
        <x:v>0.008870155198267116</x:v>
      </x:c>
      <x:c r="AG229" s="13" t="n">
        <x:v>-0.980788184317752</x:v>
      </x:c>
      <x:c r="AH229" s="13" t="n">
        <x:v>0.01162318342263574</x:v>
      </x:c>
      <x:c r="AI229" s="13" t="n">
        <x:v>0.9582284477355555</x:v>
      </x:c>
      <x:c r="AJ229" s="13" t="n">
        <x:v>0.06813866525903434</x:v>
      </x:c>
      <x:c r="AK229" s="13" t="n">
        <x:v>-0.20038116641968512</x:v>
      </x:c>
      <x:c r="AL229" s="13" t="n">
        <x:v>-0.10276706991905318</x:v>
      </x:c>
      <x:c r="AM229" s="13" t="n">
        <x:v>1.0503891927780815</x:v>
      </x:c>
      <x:c r="AN229" s="13" t="n">
        <x:v>-1.1728330731966243</x:v>
      </x:c>
      <x:c r="AO229" s="13" t="n">
        <x:v>-0.9838732902287899</x:v>
      </x:c>
      <x:c r="AP229" s="13" t="n">
        <x:v>-0.019977449102381337</x:v>
      </x:c>
    </x:row>
    <x:row r="230" ht="15" hidden="0" customHeight="1">
      <x:c r="A230" s="2" t="str">
        <x:v>E229</x:v>
      </x:c>
      <x:c r="B230" s="2" t="str">
        <x:v>***家贸易有限公司</x:v>
      </x:c>
      <x:c r="C230" s="2" t="str">
        <x:v>无信贷记录</x:v>
      </x:c>
      <x:c r="D230" s="2" t="str"/>
      <x:c r="E230" s="2" t="str"/>
      <x:c r="F230" s="13" t="n">
        <x:v>0.1387950572413989</x:v>
      </x:c>
      <x:c r="G230" s="13" t="n">
        <x:v>0.14131344354620481</x:v>
      </x:c>
      <x:c r="H230" s="13" t="n">
        <x:v>0.023463740899931224</x:v>
      </x:c>
      <x:c r="I230" s="13" t="n">
        <x:v>-0.11722379017423794</x:v>
      </x:c>
      <x:c r="J230" s="13" t="n">
        <x:v>0.7213749393498489</x:v>
      </x:c>
      <x:c r="K230" s="13" t="n">
        <x:v>0.705500356761149</x:v>
      </x:c>
      <x:c r="L230" s="13" t="n">
        <x:v>-0.021245548574062446</x:v>
      </x:c>
      <x:c r="M230" s="13" t="n">
        <x:v>0.05704747748245845</x:v>
      </x:c>
      <x:c r="N230" s="13" t="n">
        <x:v>-0.17131356459414546</x:v>
      </x:c>
      <x:c r="O230" s="13" t="n">
        <x:v>-0.6597199857754811</x:v>
      </x:c>
      <x:c r="P230" s="13" t="n">
        <x:v>-0.5808140586085436</x:v>
      </x:c>
      <x:c r="Q230" s="13" t="n">
        <x:v>0.6849583247704389</x:v>
      </x:c>
      <x:c r="R230" s="13" t="n">
        <x:v>-1.134518221515237</x:v>
      </x:c>
      <x:c r="S230" s="13" t="n">
        <x:v>-0.25963102414527234</x:v>
      </x:c>
      <x:c r="T230" s="13" t="n">
        <x:v>0.8241600270927416</x:v>
      </x:c>
      <x:c r="U230" s="13" t="n">
        <x:v>-0.10545444724138459</x:v>
      </x:c>
      <x:c r="V230" s="13" t="n">
        <x:v>-0.11322773333464442</x:v>
      </x:c>
      <x:c r="W230" s="13" t="n">
        <x:v>0.0316852557019468</x:v>
      </x:c>
      <x:c r="X230" s="13" t="n">
        <x:v>-0.3703823121910053</x:v>
      </x:c>
      <x:c r="Y230" s="13" t="n">
        <x:v>0.03702522539743142</x:v>
      </x:c>
      <x:c r="Z230" s="13" t="n">
        <x:v>-0.019698443271907895</x:v>
      </x:c>
      <x:c r="AA230" s="13" t="n">
        <x:v>-0.32173710344781054</x:v>
      </x:c>
      <x:c r="AB230" s="13" t="n">
        <x:v>-0.16723776746058475</x:v>
      </x:c>
      <x:c r="AC230" s="13" t="n">
        <x:v>-0.6547742436009925</x:v>
      </x:c>
      <x:c r="AD230" s="13" t="n">
        <x:v>1.9041877712470552</x:v>
      </x:c>
      <x:c r="AE230" s="13" t="n">
        <x:v>1.8974318048616983</x:v>
      </x:c>
      <x:c r="AF230" s="13" t="n">
        <x:v>0.00585501980996941</x:v>
      </x:c>
      <x:c r="AG230" s="13" t="n">
        <x:v>-1.3552683545731719</x:v>
      </x:c>
      <x:c r="AH230" s="13" t="n">
        <x:v>-0.14902045350600332</x:v>
      </x:c>
      <x:c r="AI230" s="13" t="n">
        <x:v>0.9582284477355555</x:v>
      </x:c>
      <x:c r="AJ230" s="13" t="n">
        <x:v>-0.42805135570438824</x:v>
      </x:c>
      <x:c r="AK230" s="13" t="n">
        <x:v>0.0237326212872867</x:v>
      </x:c>
      <x:c r="AL230" s="13" t="n">
        <x:v>-0.2776717142527777</x:v>
      </x:c>
      <x:c r="AM230" s="13" t="n">
        <x:v>-0.5557880772541219</x:v>
      </x:c>
      <x:c r="AN230" s="13" t="n">
        <x:v>0.7021775386403702</x:v>
      </x:c>
      <x:c r="AO230" s="13" t="n">
        <x:v>-1.4082478552252564</x:v>
      </x:c>
      <x:c r="AP230" s="13" t="n">
        <x:v>-0.2380392226060207</x:v>
      </x:c>
    </x:row>
    <x:row r="231" ht="15" hidden="0" customHeight="1">
      <x:c r="A231" s="2" t="str">
        <x:v>E230</x:v>
      </x:c>
      <x:c r="B231" s="2" t="str">
        <x:v>***建筑劳务有限公司</x:v>
      </x:c>
      <x:c r="C231" s="2" t="str">
        <x:v>无信贷记录</x:v>
      </x:c>
      <x:c r="D231" s="2" t="str"/>
      <x:c r="E231" s="2" t="str"/>
      <x:c r="F231" s="13" t="n">
        <x:v>-0.573715483461621</x:v>
      </x:c>
      <x:c r="G231" s="13" t="n">
        <x:v>-0.5716993489041815</x:v>
      </x:c>
      <x:c r="H231" s="13" t="n">
        <x:v>-0.5080975534748424</x:v>
      </x:c>
      <x:c r="I231" s="13" t="n">
        <x:v>-0.46027843520127304</x:v>
      </x:c>
      <x:c r="J231" s="13" t="n">
        <x:v>-0.5675974373105065</x:v>
      </x:c>
      <x:c r="K231" s="13" t="n">
        <x:v>-0.5700649024227199</x:v>
      </x:c>
      <x:c r="L231" s="13" t="n">
        <x:v>-0.6632007235787998</x:v>
      </x:c>
      <x:c r="M231" s="13" t="n">
        <x:v>-0.6939579199665311</x:v>
      </x:c>
      <x:c r="N231" s="13" t="n">
        <x:v>-0.7216149855326618</x:v>
      </x:c>
      <x:c r="O231" s="13" t="n">
        <x:v>1.3744355973346059</x:v>
      </x:c>
      <x:c r="P231" s="13" t="n">
        <x:v>1.5142502286666255</x:v>
      </x:c>
      <x:c r="Q231" s="13" t="n">
        <x:v>-0.5833506775853092</x:v>
      </x:c>
      <x:c r="R231" s="13" t="n">
        <x:v>0.5725805696607045</x:v>
      </x:c>
      <x:c r="S231" s="13" t="n">
        <x:v>1.0243073681856936</x:v>
      </x:c>
      <x:c r="T231" s="13" t="n">
        <x:v>-0.21185721589154644</x:v>
      </x:c>
      <x:c r="U231" s="13" t="n">
        <x:v>-0.20346781391649474</x:v>
      </x:c>
      <x:c r="V231" s="13" t="n">
        <x:v>-0.2147748725032856</x:v>
      </x:c>
      <x:c r="W231" s="13" t="n">
        <x:v>-0.00577922703043509</x:v>
      </x:c>
      <x:c r="X231" s="13" t="n">
        <x:v>0.02262144210485667</x:v>
      </x:c>
      <x:c r="Y231" s="13" t="n">
        <x:v>-0.08547980847040133</x:v>
      </x:c>
      <x:c r="Z231" s="13" t="n">
        <x:v>-0.08663769340531628</x:v>
      </x:c>
      <x:c r="AA231" s="13" t="n">
        <x:v>-0.23479144063436302</x:v>
      </x:c>
      <x:c r="AB231" s="13" t="n">
        <x:v>0.00621695706978579</x:v>
      </x:c>
      <x:c r="AC231" s="13" t="n">
        <x:v>0.43246980741186974</x:v>
      </x:c>
      <x:c r="AD231" s="13" t="n">
        <x:v>-0.7361442666478605</x:v>
      </x:c>
      <x:c r="AE231" s="13" t="n">
        <x:v>-0.7705809547558606</x:v>
      </x:c>
      <x:c r="AF231" s="13" t="n">
        <x:v>-0.10141976113615633</x:v>
      </x:c>
      <x:c r="AG231" s="13" t="n">
        <x:v>0.15604035286767695</x:v>
      </x:c>
      <x:c r="AH231" s="13" t="n">
        <x:v>-0.010542646037983413</x:v>
      </x:c>
      <x:c r="AI231" s="13" t="n">
        <x:v>0.3544521834099646</x:v>
      </x:c>
      <x:c r="AJ231" s="13" t="n">
        <x:v>0.36232524592484894</x:v>
      </x:c>
      <x:c r="AK231" s="13" t="n">
        <x:v>-0.34221081030648015</x:v>
      </x:c>
      <x:c r="AL231" s="13" t="n">
        <x:v>0.6718906721573983</x:v>
      </x:c>
      <x:c r="AM231" s="13" t="n">
        <x:v>0.9601591008730395</x:v>
      </x:c>
      <x:c r="AN231" s="13" t="n">
        <x:v>0.5373352933411678</x:v>
      </x:c>
      <x:c r="AO231" s="13" t="n">
        <x:v>0.460837893162323</x:v>
      </x:c>
      <x:c r="AP231" s="13" t="n">
        <x:v>0.6182460400813721</x:v>
      </x:c>
    </x:row>
    <x:row r="232" ht="15" hidden="0" customHeight="1">
      <x:c r="A232" s="2" t="str">
        <x:v>E231</x:v>
      </x:c>
      <x:c r="B232" s="2" t="str">
        <x:v>***建筑科技有限公司</x:v>
      </x:c>
      <x:c r="C232" s="2" t="str">
        <x:v>无信贷记录</x:v>
      </x:c>
      <x:c r="D232" s="2" t="str"/>
      <x:c r="E232" s="2" t="str"/>
      <x:c r="F232" s="13" t="n">
        <x:v>-0.2904728417117543</x:v>
      </x:c>
      <x:c r="G232" s="13" t="n">
        <x:v>-0.2849598399026139</x:v>
      </x:c>
      <x:c r="H232" s="13" t="n">
        <x:v>-0.3698916169374013</x:v>
      </x:c>
      <x:c r="I232" s="13" t="n">
        <x:v>-0.46027843520127304</x:v>
      </x:c>
      <x:c r="J232" s="13" t="n">
        <x:v>0.1783703816570397</x:v>
      </x:c>
      <x:c r="K232" s="13" t="n">
        <x:v>0.16271533086569048</x:v>
      </x:c>
      <x:c r="L232" s="13" t="n">
        <x:v>-0.31027749940557925</x:v>
      </x:c>
      <x:c r="M232" s="13" t="n">
        <x:v>-0.37757343479057903</x:v>
      </x:c>
      <x:c r="N232" s="13" t="n">
        <x:v>-0.7216149855326618</x:v>
      </x:c>
      <x:c r="O232" s="13" t="n">
        <x:v>-0.42032933720156235</x:v>
      </x:c>
      <x:c r="P232" s="13" t="n">
        <x:v>-0.41310627404908257</x:v>
      </x:c>
      <x:c r="Q232" s="13" t="n">
        <x:v>0.15065861337835917</x:v>
      </x:c>
      <x:c r="R232" s="13" t="n">
        <x:v>0.19726697175136076</x:v>
      </x:c>
      <x:c r="S232" s="13" t="n">
        <x:v>1.3643156718480174</x:v>
      </x:c>
      <x:c r="T232" s="13" t="n">
        <x:v>0.7299766413668972</x:v>
      </x:c>
      <x:c r="U232" s="13" t="n">
        <x:v>-0.3446913745021373</x:v>
      </x:c>
      <x:c r="V232" s="13" t="n">
        <x:v>-0.33932440231233724</x:v>
      </x:c>
      <x:c r="W232" s="13" t="n">
        <x:v>-0.35045246816834846</x:v>
      </x:c>
      <x:c r="X232" s="13" t="n">
        <x:v>-0.3910667203118402</x:v>
      </x:c>
      <x:c r="Y232" s="13" t="n">
        <x:v>-0.21782735679169687</x:v>
      </x:c>
      <x:c r="Z232" s="13" t="n">
        <x:v>-0.21815425230271873</x:v>
      </x:c>
      <x:c r="AA232" s="13" t="n">
        <x:v>-0.3804841729163561</x:v>
      </x:c>
      <x:c r="AB232" s="13" t="n">
        <x:v>-0.25070405512822963</x:v>
      </x:c>
      <x:c r="AC232" s="13" t="n">
        <x:v>-0.6980651016988949</x:v>
      </x:c>
      <x:c r="AD232" s="13" t="n">
        <x:v>0.261799945864832</x:v>
      </x:c>
      <x:c r="AE232" s="13" t="n">
        <x:v>0.18264081451385006</x:v>
      </x:c>
      <x:c r="AF232" s="13" t="n">
        <x:v>-0.24379614526198787</x:v>
      </x:c>
      <x:c r="AG232" s="13" t="n">
        <x:v>0.2518747446321093</x:v>
      </x:c>
      <x:c r="AH232" s="13" t="n">
        <x:v>1.51347500080792</x:v>
      </x:c>
      <x:c r="AI232" s="13" t="n">
        <x:v>-0.3499534583032247</x:v>
      </x:c>
      <x:c r="AJ232" s="13" t="n">
        <x:v>-0.4312706691283206</x:v>
      </x:c>
      <x:c r="AK232" s="13" t="n">
        <x:v>0.0288543590873006</x:v>
      </x:c>
      <x:c r="AL232" s="13" t="n">
        <x:v>-0.4358659956188286</x:v>
      </x:c>
      <x:c r="AM232" s="13" t="n">
        <x:v>-0.7815911692517314</x:v>
      </x:c>
      <x:c r="AN232" s="13" t="n">
        <x:v>-0.13959058619030976</x:v>
      </x:c>
      <x:c r="AO232" s="13" t="n">
        <x:v>0.25148085526700364</x:v>
      </x:c>
      <x:c r="AP232" s="13" t="n">
        <x:v>1.5940568622916877</x:v>
      </x:c>
    </x:row>
    <x:row r="233" ht="15" hidden="0" customHeight="1">
      <x:c r="A233" s="2" t="str">
        <x:v>E232</x:v>
      </x:c>
      <x:c r="B233" s="2" t="str">
        <x:v>***投资发展有限责任公司</x:v>
      </x:c>
      <x:c r="C233" s="2" t="str">
        <x:v>无信贷记录</x:v>
      </x:c>
      <x:c r="D233" s="2" t="str"/>
      <x:c r="E233" s="2" t="str"/>
      <x:c r="F233" s="13" t="n">
        <x:v>-0.22881773311481113</x:v>
      </x:c>
      <x:c r="G233" s="13" t="n">
        <x:v>-0.23653059172676386</x:v>
      </x:c>
      <x:c r="H233" s="13" t="n">
        <x:v>-0.029692388537546143</x:v>
      </x:c>
      <x:c r="I233" s="13" t="n">
        <x:v>1.2121129593055229</x:v>
      </x:c>
      <x:c r="J233" s="13" t="n">
        <x:v>0.17791621284350423</x:v>
      </x:c>
      <x:c r="K233" s="13" t="n">
        <x:v>0.2534779825237025</x:v>
      </x:c>
      <x:c r="L233" s="13" t="n">
        <x:v>-0.24942866765157573</x:v>
      </x:c>
      <x:c r="M233" s="13" t="n">
        <x:v>0.9822440129303183</x:v>
      </x:c>
      <x:c r="N233" s="13" t="n">
        <x:v>4.5203208139493745</x:v>
      </x:c>
      <x:c r="O233" s="13" t="n">
        <x:v>1.2979259404952375</x:v>
      </x:c>
      <x:c r="P233" s="13" t="n">
        <x:v>1.4620855515911273</x:v>
      </x:c>
      <x:c r="Q233" s="13" t="n">
        <x:v>0.13084258998248363</x:v>
      </x:c>
      <x:c r="R233" s="13" t="n">
        <x:v>0.7287370081347465</x:v>
      </x:c>
      <x:c r="S233" s="13" t="n">
        <x:v>-0.7460526529786332</x:v>
      </x:c>
      <x:c r="T233" s="13" t="n">
        <x:v>0.918343412818586</x:v>
      </x:c>
      <x:c r="U233" s="13" t="n">
        <x:v>-0.4975079139418252</x:v>
      </x:c>
      <x:c r="V233" s="13" t="n">
        <x:v>-0.48351011925344656</x:v>
      </x:c>
      <x:c r="W233" s="13" t="n">
        <x:v>-0.5977180542020689</x:v>
      </x:c>
      <x:c r="X233" s="13" t="n">
        <x:v>-0.2049070472243266</x:v>
      </x:c>
      <x:c r="Y233" s="13" t="n">
        <x:v>-0.08070981510977829</x:v>
      </x:c>
      <x:c r="Z233" s="13" t="n">
        <x:v>0.014666545610709876</x:v>
      </x:c>
      <x:c r="AA233" s="13" t="n">
        <x:v>-0.38753382125258157</x:v>
      </x:c>
      <x:c r="AB233" s="13" t="n">
        <x:v>-0.6697636662068605</x:v>
      </x:c>
      <x:c r="AC233" s="13" t="n">
        <x:v>1.9671959583640048</x:v>
      </x:c>
      <x:c r="AD233" s="13" t="n">
        <x:v>1.1136623982650682</x:v>
      </x:c>
      <x:c r="AE233" s="13" t="n">
        <x:v>0.9798983952132079</x:v>
      </x:c>
      <x:c r="AF233" s="13" t="n">
        <x:v>0.08638724157077303</x:v>
      </x:c>
      <x:c r="AG233" s="13" t="n">
        <x:v>2.144358507161495</x:v>
      </x:c>
      <x:c r="AH233" s="13" t="n">
        <x:v>-1.4073224116477763</x:v>
      </x:c>
      <x:c r="AI233" s="13" t="n">
        <x:v>-1.8593941191172019</x:v>
      </x:c>
      <x:c r="AJ233" s="13" t="n">
        <x:v>-0.2041192086813781</x:v>
      </x:c>
      <x:c r="AK233" s="13" t="n">
        <x:v>-0.12251036166244797</x:v>
      </x:c>
      <x:c r="AL233" s="13" t="n">
        <x:v>-0.32000069422241884</x:v>
      </x:c>
      <x:c r="AM233" s="13" t="n">
        <x:v>2.371074124158468</x:v>
      </x:c>
      <x:c r="AN233" s="13" t="n">
        <x:v>1.6245583488620499</x:v>
      </x:c>
      <x:c r="AO233" s="13" t="n">
        <x:v>1.5029096940992268</x:v>
      </x:c>
      <x:c r="AP233" s="13" t="n">
        <x:v>-1.1697245997351868</x:v>
      </x:c>
    </x:row>
    <x:row r="234" ht="15" hidden="0" customHeight="1">
      <x:c r="A234" s="2" t="str">
        <x:v>E233</x:v>
      </x:c>
      <x:c r="B234" s="2" t="str">
        <x:v>***劳务有限公司</x:v>
      </x:c>
      <x:c r="C234" s="2" t="str">
        <x:v>无信贷记录</x:v>
      </x:c>
      <x:c r="D234" s="2" t="str"/>
      <x:c r="E234" s="2" t="str"/>
      <x:c r="F234" s="13" t="n">
        <x:v>-0.27563852986888077</x:v>
      </x:c>
      <x:c r="G234" s="13" t="n">
        <x:v>-0.2672184321550253</x:v>
      </x:c>
      <x:c r="H234" s="13" t="n">
        <x:v>-0.42304774637487863</x:v>
      </x:c>
      <x:c r="I234" s="13" t="n">
        <x:v>-0.46027843520127304</x:v>
      </x:c>
      <x:c r="J234" s="13" t="n">
        <x:v>-0.5614405331243572</x:v>
      </x:c>
      <x:c r="K234" s="13" t="n">
        <x:v>-0.5640168430143326</x:v>
      </x:c>
      <x:c r="L234" s="13" t="n">
        <x:v>-0.12468856255586847</x:v>
      </x:c>
      <x:c r="M234" s="13" t="n">
        <x:v>-0.6757223856208981</x:v>
      </x:c>
      <x:c r="N234" s="13" t="n">
        <x:v>-0.7216149855326618</x:v>
      </x:c>
      <x:c r="O234" s="13" t="n">
        <x:v>-0.9029737611745682</x:v>
      </x:c>
      <x:c r="P234" s="13" t="n">
        <x:v>-1.1708050761509894</x:v>
      </x:c>
      <x:c r="Q234" s="13" t="n">
        <x:v>-0.5736866137508205</x:v>
      </x:c>
      <x:c r="R234" s="13" t="n">
        <x:v>-0.49462242893207886</x:v>
      </x:c>
      <x:c r="S234" s="13" t="n">
        <x:v>1.569055492747593</x:v>
      </x:c>
      <x:c r="T234" s="13" t="n">
        <x:v>-0.21185721589154644</x:v>
      </x:c>
      <x:c r="U234" s="13" t="n">
        <x:v>-0.4342734838288509</x:v>
      </x:c>
      <x:c r="V234" s="13" t="n">
        <x:v>-0.4217963882669795</x:v>
      </x:c>
      <x:c r="W234" s="13" t="n">
        <x:v>-0.5227890887373051</x:v>
      </x:c>
      <x:c r="X234" s="13" t="n">
        <x:v>-0.3910667203118402</x:v>
      </x:c>
      <x:c r="Y234" s="13" t="n">
        <x:v>-0.35418125740233397</x:v>
      </x:c>
      <x:c r="Z234" s="13" t="n">
        <x:v>-0.32393740195011106</x:v>
      </x:c>
      <x:c r="AA234" s="13" t="n">
        <x:v>-0.39223358681006526</x:v>
      </x:c>
      <x:c r="AB234" s="13" t="n">
        <x:v>-0.4992788115711771</x:v>
      </x:c>
      <x:c r="AC234" s="13" t="n">
        <x:v>-0.6980651016988949</x:v>
      </x:c>
      <x:c r="AD234" s="13" t="n">
        <x:v>2.642249927342177</x:v>
      </x:c>
      <x:c r="AE234" s="13" t="n">
        <x:v>2.304389030764751</x:v>
      </x:c>
      <x:c r="AF234" s="13" t="n">
        <x:v>-0.2717085075838303</x:v>
      </x:c>
      <x:c r="AG234" s="13" t="n">
        <x:v>2.0350253321679843</x:v>
      </x:c>
      <x:c r="AH234" s="13" t="n">
        <x:v>2.162681905068597</x:v>
      </x:c>
      <x:c r="AI234" s="13" t="n">
        <x:v>-1.8593941191172019</x:v>
      </x:c>
      <x:c r="AJ234" s="13" t="n">
        <x:v>-0.08686810361090838</x:v>
      </x:c>
      <x:c r="AK234" s="13" t="n">
        <x:v>-0.3357867896693002</x:v>
      </x:c>
      <x:c r="AL234" s="13" t="n">
        <x:v>-0.8172354678594371</x:v>
      </x:c>
      <x:c r="AM234" s="13" t="n">
        <x:v>-0.7815911692517314</x:v>
      </x:c>
      <x:c r="AN234" s="13" t="n">
        <x:v>0.9826940444036841</x:v>
      </x:c>
      <x:c r="AO234" s="13" t="n">
        <x:v>0.6219356107215361</x:v>
      </x:c>
      <x:c r="AP234" s="13" t="n">
        <x:v>2.0464325685074405</x:v>
      </x:c>
    </x:row>
    <x:row r="235" ht="15" hidden="0" customHeight="1">
      <x:c r="A235" s="2" t="str">
        <x:v>E234</x:v>
      </x:c>
      <x:c r="B235" s="2" t="str">
        <x:v>***机电设备商贸有限公司</x:v>
      </x:c>
      <x:c r="C235" s="2" t="str">
        <x:v>无信贷记录</x:v>
      </x:c>
      <x:c r="D235" s="2" t="str"/>
      <x:c r="E235" s="2" t="str"/>
      <x:c r="F235" s="13" t="n">
        <x:v>-0.17411620819421494</x:v>
      </x:c>
      <x:c r="G235" s="13" t="n">
        <x:v>-0.17083943331001678</x:v>
      </x:c>
      <x:c r="H235" s="13" t="n">
        <x:v>-0.23168568039996013</x:v>
      </x:c>
      <x:c r="I235" s="13" t="n">
        <x:v>-0.4173966045728936</x:v>
      </x:c>
      <x:c r="J235" s="13" t="n">
        <x:v>-0.4702601075481158</x:v>
      </x:c>
      <x:c r="K235" s="13" t="n">
        <x:v>-0.47444196142054446</x:v>
      </x:c>
      <x:c r="L235" s="13" t="n">
        <x:v>-0.09122170509116652</x:v>
      </x:c>
      <x:c r="M235" s="13" t="n">
        <x:v>-0.055113323976822726</x:v>
      </x:c>
      <x:c r="N235" s="13" t="n">
        <x:v>-0.6040995841624944</x:v>
      </x:c>
      <x:c r="O235" s="13" t="n">
        <x:v>-0.49520798788425635</x:v>
      </x:c>
      <x:c r="P235" s="13" t="n">
        <x:v>-0.3086334775080829</x:v>
      </x:c>
      <x:c r="Q235" s="13" t="n">
        <x:v>-0.4604726029493442</x:v>
      </x:c>
      <x:c r="R235" s="13" t="n">
        <x:v>-0.6147278000938557</x:v>
      </x:c>
      <x:c r="S235" s="13" t="n">
        <x:v>0.01880558476517314</x:v>
      </x:c>
      <x:c r="T235" s="13" t="n">
        <x:v>0.07069294128598666</x:v>
      </x:c>
      <x:c r="U235" s="13" t="n">
        <x:v>-0.2414084719842793</x:v>
      </x:c>
      <x:c r="V235" s="13" t="n">
        <x:v>-0.2215072795199911</x:v>
      </x:c>
      <x:c r="W235" s="13" t="n">
        <x:v>-0.45535301981901777</x:v>
      </x:c>
      <x:c r="X235" s="13" t="n">
        <x:v>-0.3083290878285008</x:v>
      </x:c>
      <x:c r="Y235" s="13" t="n">
        <x:v>-0.12831539038402823</x:v>
      </x:c>
      <x:c r="Z235" s="13" t="n">
        <x:v>-0.1429500526214808</x:v>
      </x:c>
      <x:c r="AA235" s="13" t="n">
        <x:v>-0.07734929445866083</x:v>
      </x:c>
      <x:c r="AB235" s="13" t="n">
        <x:v>-0.6915385415660148</x:v>
      </x:c>
      <x:c r="AC235" s="13" t="n">
        <x:v>-0.4672800443907664</x:v>
      </x:c>
      <x:c r="AD235" s="13" t="n">
        <x:v>-0.9317343198832533</x:v>
      </x:c>
      <x:c r="AE235" s="13" t="n">
        <x:v>-1.2336375752112894</x:v>
      </x:c>
      <x:c r="AF235" s="13" t="n">
        <x:v>-0.04126469513260072</x:v>
      </x:c>
      <x:c r="AG235" s="13" t="n">
        <x:v>-0.7660538049655056</x:v>
      </x:c>
      <x:c r="AH235" s="13" t="n">
        <x:v>0.021960623410726916</x:v>
      </x:c>
      <x:c r="AI235" s="13" t="n">
        <x:v>0.15319342863476768</x:v>
      </x:c>
      <x:c r="AJ235" s="13" t="n">
        <x:v>0.21648487670643515</x:v>
      </x:c>
      <x:c r="AK235" s="13" t="n">
        <x:v>-0.30454774291063574</x:v>
      </x:c>
      <x:c r="AL235" s="13" t="n">
        <x:v>-0.6796987688686265</x:v>
      </x:c>
      <x:c r="AM235" s="13" t="n">
        <x:v>-0.5855135454468248</x:v>
      </x:c>
      <x:c r="AN235" s="13" t="n">
        <x:v>-0.930613387740837</x:v>
      </x:c>
      <x:c r="AO235" s="13" t="n">
        <x:v>-0.7783766284195786</x:v>
      </x:c>
      <x:c r="AP235" s="13" t="n">
        <x:v>0.0186409975933999</x:v>
      </x:c>
    </x:row>
    <x:row r="236" ht="15" hidden="0" customHeight="1">
      <x:c r="A236" s="2" t="str">
        <x:v>E235</x:v>
      </x:c>
      <x:c r="B236" s="2" t="str">
        <x:v>个体经营E235 </x:v>
      </x:c>
      <x:c r="C236" s="2" t="str">
        <x:v>无信贷记录</x:v>
      </x:c>
      <x:c r="D236" s="2" t="str"/>
      <x:c r="E236" s="2" t="str"/>
      <x:c r="F236" s="13" t="n">
        <x:v>-0.32894933805420756</x:v>
      </x:c>
      <x:c r="G236" s="13" t="n">
        <x:v>-0.32715562049147334</x:v>
      </x:c>
      <x:c r="H236" s="13" t="n">
        <x:v>-0.3167354874999239</x:v>
      </x:c>
      <x:c r="I236" s="13" t="n">
        <x:v>-0.46027843520127304</x:v>
      </x:c>
      <x:c r="J236" s="13" t="n">
        <x:v>-0.2471071026095321</x:v>
      </x:c>
      <x:c r="K236" s="13" t="n">
        <x:v>-0.25524035335047907</x:v>
      </x:c>
      <x:c r="L236" s="13" t="n">
        <x:v>-0.3437443568702812</x:v>
      </x:c>
      <x:c r="M236" s="13" t="n">
        <x:v>0.04106110943208743</x:v>
      </x:c>
      <x:c r="N236" s="13" t="n">
        <x:v>-0.7216149855326618</x:v>
      </x:c>
      <x:c r="O236" s="13" t="n">
        <x:v>1.1348437246823442</x:v>
      </x:c>
      <x:c r="P236" s="13" t="n">
        <x:v>1.359337501481668</x:v>
      </x:c>
      <x:c r="Q236" s="13" t="n">
        <x:v>-0.19384071153569532</x:v>
      </x:c>
      <x:c r="R236" s="13" t="n">
        <x:v>-0.714616558043673</x:v>
      </x:c>
      <x:c r="S236" s="13" t="n">
        <x:v>-0.08426904292237813</x:v>
      </x:c>
      <x:c r="T236" s="13" t="n">
        <x:v>0.07069294128598666</x:v>
      </x:c>
      <x:c r="U236" s="13" t="n">
        <x:v>-0.02535750243161715</x:v>
      </x:c>
      <x:c r="V236" s="13" t="n">
        <x:v>-0.01729093334659115</x:v>
      </x:c>
      <x:c r="W236" s="13" t="n">
        <x:v>-0.11067977868110439</x:v>
      </x:c>
      <x:c r="X236" s="13" t="n">
        <x:v>-0.3083290878285008</x:v>
      </x:c>
      <x:c r="Y236" s="13" t="n">
        <x:v>-0.12450059532786899</x:v>
      </x:c>
      <x:c r="Z236" s="13" t="n">
        <x:v>-0.1409438972094949</x:v>
      </x:c>
      <x:c r="AA236" s="13" t="n">
        <x:v>0.05189425837213949</x:v>
      </x:c>
      <x:c r="AB236" s="13" t="n">
        <x:v>-0.44968016056769916</x:v>
      </x:c>
      <x:c r="AC236" s="13" t="n">
        <x:v>-0.5562691978443245</x:v>
      </x:c>
      <x:c r="AD236" s="13" t="n">
        <x:v>-0.5897589805181103</x:v>
      </x:c>
      <x:c r="AE236" s="13" t="n">
        <x:v>-0.6383516772235978</x:v>
      </x:c>
      <x:c r="AF236" s="13" t="n">
        <x:v>-0.1283709911496836</x:v>
      </x:c>
      <x:c r="AG236" s="13" t="n">
        <x:v>-0.7706035403038157</x:v>
      </x:c>
      <x:c r="AH236" s="13" t="n">
        <x:v>0.3760481865090678</x:v>
      </x:c>
      <x:c r="AI236" s="13" t="n">
        <x:v>0.7569696929603585</x:v>
      </x:c>
      <x:c r="AJ236" s="13" t="n">
        <x:v>0.05088053341726156</x:v>
      </x:c>
      <x:c r="AK236" s="13" t="n">
        <x:v>-0.2192689759678235</x:v>
      </x:c>
      <x:c r="AL236" s="13" t="n">
        <x:v>-0.30588632711833874</x:v>
      </x:c>
      <x:c r="AM236" s="13" t="n">
        <x:v>-0.6286072483234008</x:v>
      </x:c>
      <x:c r="AN236" s="13" t="n">
        <x:v>0.45509916965805525</x:v>
      </x:c>
      <x:c r="AO236" s="13" t="n">
        <x:v>-0.8482481120796914</x:v>
      </x:c>
      <x:c r="AP236" s="13" t="n">
        <x:v>0.13382142838879701</x:v>
      </x:c>
    </x:row>
    <x:row r="237" ht="15" hidden="0" customHeight="1">
      <x:c r="A237" s="2" t="str">
        <x:v>E236</x:v>
      </x:c>
      <x:c r="B237" s="2" t="str">
        <x:v>个体经营E236 </x:v>
      </x:c>
      <x:c r="C237" s="2" t="str">
        <x:v>无信贷记录</x:v>
      </x:c>
      <x:c r="D237" s="2" t="str"/>
      <x:c r="E237" s="2" t="str"/>
      <x:c r="F237" s="13" t="n">
        <x:v>-0.5180868140508452</x:v>
      </x:c>
      <x:c r="G237" s="13" t="n">
        <x:v>-0.5170366331413409</x:v>
      </x:c>
      <x:c r="H237" s="13" t="n">
        <x:v>-0.4443101981498696</x:v>
      </x:c>
      <x:c r="I237" s="13" t="n">
        <x:v>-0.4173966045728936</x:v>
      </x:c>
      <x:c r="J237" s="13" t="n">
        <x:v>-0.4641015820125253</x:v>
      </x:c>
      <x:c r="K237" s="13" t="n">
        <x:v>-0.4681687627989036</x:v>
      </x:c>
      <x:c r="L237" s="13" t="n">
        <x:v>-0.5049937610183906</x:v>
      </x:c>
      <x:c r="M237" s="13" t="n">
        <x:v>0.16655216323185165</x:v>
      </x:c>
      <x:c r="N237" s="13" t="n">
        <x:v>-0.1734086207652312</x:v>
      </x:c>
      <x:c r="O237" s="13" t="n">
        <x:v>-0.23034023566685424</x:v>
      </x:c>
      <x:c r="P237" s="13" t="n">
        <x:v>-0.0065349092653286265</x:v>
      </x:c>
      <x:c r="Q237" s="13" t="n">
        <x:v>-0.4571769447721581</x:v>
      </x:c>
      <x:c r="R237" s="13" t="n">
        <x:v>1.6960238825174825</x:v>
      </x:c>
      <x:c r="S237" s="13" t="n">
        <x:v>-0.2154506362017664</x:v>
      </x:c>
      <x:c r="T237" s="13" t="n">
        <x:v>0.07069294128598666</x:v>
      </x:c>
      <x:c r="U237" s="13" t="n">
        <x:v>-0.2082103961749678</x:v>
      </x:c>
      <x:c r="V237" s="13" t="n">
        <x:v>-0.2562913824396362</x:v>
      </x:c>
      <x:c r="W237" s="13" t="n">
        <x:v>0.4812590484905295</x:v>
      </x:c>
      <x:c r="X237" s="13" t="n">
        <x:v>-0.12216941474098722</x:v>
      </x:c>
      <x:c r="Y237" s="13" t="n">
        <x:v>-0.1132852099668668</x:v>
      </x:c>
      <x:c r="Z237" s="13" t="n">
        <x:v>-0.1190246560214158</x:v>
      </x:c>
      <x:c r="AA237" s="13" t="n">
        <x:v>-0.328786751784036</x:v>
      </x:c>
      <x:c r="AB237" s="13" t="n">
        <x:v>0.8245176198157579</x:v>
      </x:c>
      <x:c r="AC237" s="13" t="n">
        <x:v>0.1417608307833873</x:v>
      </x:c>
      <x:c r="AD237" s="13" t="n">
        <x:v>-0.06399837926599194</x:v>
      </x:c>
      <x:c r="AE237" s="13" t="n">
        <x:v>0.05390061103844664</x:v>
      </x:c>
      <x:c r="AF237" s="13" t="n">
        <x:v>-0.10335457507838076</x:v>
      </x:c>
      <x:c r="AG237" s="13" t="n">
        <x:v>0.13866367528559428</x:v>
      </x:c>
      <x:c r="AH237" s="13" t="n">
        <x:v>-0.41976414268175066</x:v>
      </x:c>
      <x:c r="AI237" s="13" t="n">
        <x:v>-0.3499534583032247</x:v>
      </x:c>
      <x:c r="AJ237" s="13" t="n">
        <x:v>0.23660134861625823</x:v>
      </x:c>
      <x:c r="AK237" s="13" t="n">
        <x:v>-0.30481222437069705</x:v>
      </x:c>
      <x:c r="AL237" s="13" t="n">
        <x:v>1.823555262162568</x:v>
      </x:c>
      <x:c r="AM237" s="13" t="n">
        <x:v>0.36942561764890397</x:v>
      </x:c>
      <x:c r="AN237" s="13" t="n">
        <x:v>-0.20389234217929741</x:v>
      </x:c>
      <x:c r="AO237" s="13" t="n">
        <x:v>1.2144034106748631</x:v>
      </x:c>
      <x:c r="AP237" s="13" t="n">
        <x:v>-0.34732513875601523</x:v>
      </x:c>
    </x:row>
    <x:row r="238" ht="15" hidden="0" customHeight="1">
      <x:c r="A238" s="2" t="str">
        <x:v>E237</x:v>
      </x:c>
      <x:c r="B238" s="2" t="str">
        <x:v>个体经营E237 </x:v>
      </x:c>
      <x:c r="C238" s="2" t="str">
        <x:v>无信贷记录</x:v>
      </x:c>
      <x:c r="D238" s="2" t="str"/>
      <x:c r="E238" s="2" t="str"/>
      <x:c r="F238" s="13" t="n">
        <x:v>0.28528388668977517</x:v>
      </x:c>
      <x:c r="G238" s="13" t="n">
        <x:v>0.29954762075442776</x:v>
      </x:c>
      <x:c r="H238" s="13" t="n">
        <x:v>-0.1253734215250054</x:v>
      </x:c>
      <x:c r="I238" s="13" t="n">
        <x:v>3.9994319501501834</x:v>
      </x:c>
      <x:c r="J238" s="13" t="n">
        <x:v>-0.197297062498452</x:v>
      </x:c>
      <x:c r="K238" s="13" t="n">
        <x:v>-0.028700669259521975</x:v>
      </x:c>
      <x:c r="L238" s="13" t="n">
        <x:v>0.2738712854328547</x:v>
      </x:c>
      <x:c r="M238" s="13" t="n">
        <x:v>-0.4175934674266788</x:v>
      </x:c>
      <x:c r="N238" s="13" t="n">
        <x:v>4.5203208139493745</x:v>
      </x:c>
      <x:c r="O238" s="13" t="n">
        <x:v>-0.052090841413817736</x:v>
      </x:c>
      <x:c r="P238" s="13" t="n">
        <x:v>0.2932434493834954</x:v>
      </x:c>
      <x:c r="Q238" s="13" t="n">
        <x:v>-0.10107726792198614</x:v>
      </x:c>
      <x:c r="R238" s="13" t="n">
        <x:v>-0.23374378073461471</x:v>
      </x:c>
      <x:c r="S238" s="13" t="n">
        <x:v>1.2304106284462548</x:v>
      </x:c>
      <x:c r="T238" s="13" t="n">
        <x:v>-0.11767383016570207</x:v>
      </x:c>
      <x:c r="U238" s="13" t="n">
        <x:v>-0.4042371295251881</x:v>
      </x:c>
      <x:c r="V238" s="13" t="n">
        <x:v>-0.42291845610309714</x:v>
      </x:c>
      <x:c r="W238" s="13" t="n">
        <x:v>-0.08070819249519887</x:v>
      </x:c>
      <x:c r="X238" s="13" t="n">
        <x:v>-0.3910667203118402</x:v>
      </x:c>
      <x:c r="Y238" s="13" t="n">
        <x:v>-0.35207020096855823</x:v>
      </x:c>
      <x:c r="Z238" s="13" t="n">
        <x:v>-0.3222996475650285</x:v>
      </x:c>
      <x:c r="AA238" s="13" t="n">
        <x:v>-0.31703733789032684</x:v>
      </x:c>
      <x:c r="AB238" s="13" t="n">
        <x:v>1.0511927595189992</x:v>
      </x:c>
      <x:c r="AC238" s="13" t="n">
        <x:v>-0.6980651016988949</x:v>
      </x:c>
      <x:c r="AD238" s="13" t="n">
        <x:v>0.2969940498188267</x:v>
      </x:c>
      <x:c r="AE238" s="13" t="n">
        <x:v>0.30190916586809685</x:v>
      </x:c>
      <x:c r="AF238" s="13" t="n">
        <x:v>-0.1433814626041887</x:v>
      </x:c>
      <x:c r="AG238" s="13" t="n">
        <x:v>-0.14998291061077532</x:v>
      </x:c>
      <x:c r="AH238" s="13" t="n">
        <x:v>0.8274375445672296</x:v>
      </x:c>
      <x:c r="AI238" s="13" t="n">
        <x:v>-1.456876609566808</x:v>
      </x:c>
      <x:c r="AJ238" s="13" t="n">
        <x:v>-0.3639078264148408</x:v>
      </x:c>
      <x:c r="AK238" s="13" t="n">
        <x:v>0.11553134543066162</x:v>
      </x:c>
      <x:c r="AL238" s="13" t="n">
        <x:v>-0.3915709269579634</x:v>
      </x:c>
      <x:c r="AM238" s="13" t="n">
        <x:v>2.100796123599728</x:v>
      </x:c>
      <x:c r="AN238" s="13" t="n">
        <x:v>0.1474758754367088</x:v>
      </x:c>
      <x:c r="AO238" s="13" t="n">
        <x:v>-0.2299774652267868</x:v>
      </x:c>
      <x:c r="AP238" s="13" t="n">
        <x:v>1.166526336959899</x:v>
      </x:c>
    </x:row>
    <x:row r="239" ht="15" hidden="0" customHeight="1">
      <x:c r="A239" s="2" t="str">
        <x:v>E238</x:v>
      </x:c>
      <x:c r="B239" s="2" t="str">
        <x:v>个体经营E238 </x:v>
      </x:c>
      <x:c r="C239" s="2" t="str">
        <x:v>无信贷记录</x:v>
      </x:c>
      <x:c r="D239" s="2" t="str"/>
      <x:c r="E239" s="2" t="str"/>
      <x:c r="F239" s="13" t="n">
        <x:v>1.1948126315559595</x:v>
      </x:c>
      <x:c r="G239" s="13" t="n">
        <x:v>1.2144288635219713</x:v>
      </x:c>
      <x:c r="H239" s="13" t="n">
        <x:v>0.44871277639975016</x:v>
      </x:c>
      <x:c r="I239" s="13" t="n">
        <x:v>0.5260036692514528</x:v>
      </x:c>
      <x:c r="J239" s="13" t="n">
        <x:v>-0.22953602148064514</x:v>
      </x:c>
      <x:c r="K239" s="13" t="n">
        <x:v>-0.23069721876733743</x:v>
      </x:c>
      <x:c r="L239" s="13" t="n">
        <x:v>1.603418259257832</x:v>
      </x:c>
      <x:c r="M239" s="13" t="n">
        <x:v>-0.25486797345119844</x:v>
      </x:c>
      <x:c r="N239" s="13" t="n">
        <x:v>-0.0693242715722552</x:v>
      </x:c>
      <x:c r="O239" s="13" t="n">
        <x:v>-0.5752839487983398</x:v>
      </x:c>
      <x:c r="P239" s="13" t="n">
        <x:v>-0.3572800224767024</x:v>
      </x:c>
      <x:c r="Q239" s="13" t="n">
        <x:v>-0.18584932010936342</x:v>
      </x:c>
      <x:c r="R239" s="13" t="n">
        <x:v>-0.7898258920559892</x:v>
      </x:c>
      <x:c r="S239" s="13" t="n">
        <x:v>0.22923825710190693</x:v>
      </x:c>
      <x:c r="T239" s="13" t="n">
        <x:v>0.2590597127376754</x:v>
      </x:c>
      <x:c r="U239" s="13" t="n">
        <x:v>5.476902121275351</x:v>
      </x:c>
      <x:c r="V239" s="13" t="n">
        <x:v>5.468925103209986</x:v>
      </x:c>
      <x:c r="W239" s="13" t="n">
        <x:v>5.432265370540256</x:v>
      </x:c>
      <x:c r="X239" s="13" t="n">
        <x:v>6.907219841043514</x:v>
      </x:c>
      <x:c r="Y239" s="13" t="n">
        <x:v>0.002624426275689249</x:v>
      </x:c>
      <x:c r="Z239" s="13" t="n">
        <x:v>0.017586145774835027</x:v>
      </x:c>
      <x:c r="AA239" s="13" t="n">
        <x:v>4.90910196203149</x:v>
      </x:c>
      <x:c r="AB239" s="13" t="n">
        <x:v>-0.4539164013401854</x:v>
      </x:c>
      <x:c r="AC239" s="13" t="n">
        <x:v>0.9578832950220538</x:v>
      </x:c>
      <x:c r="AD239" s="13" t="n">
        <x:v>-0.9940326344087347</x:v>
      </x:c>
      <x:c r="AE239" s="13" t="n">
        <x:v>-1.3120639401541287</x:v>
      </x:c>
      <x:c r="AF239" s="13" t="n">
        <x:v>-0.012716300084892565</x:v>
      </x:c>
      <x:c r="AG239" s="13" t="n">
        <x:v>-1.12928754075662</x:v>
      </x:c>
      <x:c r="AH239" s="13" t="n">
        <x:v>-0.41429099070792264</x:v>
      </x:c>
      <x:c r="AI239" s="13" t="n">
        <x:v>0.857599070347957</x:v>
      </x:c>
      <x:c r="AJ239" s="13" t="n">
        <x:v>0.2476172721597571</x:v>
      </x:c>
      <x:c r="AK239" s="13" t="n">
        <x:v>-0.25231313506478376</x:v>
      </x:c>
      <x:c r="AL239" s="13" t="n">
        <x:v>-0.25857754422204127</x:v>
      </x:c>
      <x:c r="AM239" s="13" t="n">
        <x:v>1.4817360703720333</x:v>
      </x:c>
      <x:c r="AN239" s="13" t="n">
        <x:v>-1.0295956203777175</x:v>
      </x:c>
      <x:c r="AO239" s="13" t="n">
        <x:v>-1.0681282710390707</x:v>
      </x:c>
      <x:c r="AP239" s="13" t="n">
        <x:v>-0.07215065793701778</x:v>
      </x:c>
    </x:row>
    <x:row r="240" ht="15" hidden="0" customHeight="1">
      <x:c r="A240" s="2" t="str">
        <x:v>E239</x:v>
      </x:c>
      <x:c r="B240" s="2" t="str">
        <x:v>个体经营E239 </x:v>
      </x:c>
      <x:c r="C240" s="2" t="str">
        <x:v>无信贷记录</x:v>
      </x:c>
      <x:c r="D240" s="2" t="str"/>
      <x:c r="E240" s="2" t="str"/>
      <x:c r="F240" s="13" t="n">
        <x:v>-0.43696167116013057</x:v>
      </x:c>
      <x:c r="G240" s="13" t="n">
        <x:v>-0.4355220570037715</x:v>
      </x:c>
      <x:c r="H240" s="13" t="n">
        <x:v>-0.3911540687123922</x:v>
      </x:c>
      <x:c r="I240" s="13" t="n">
        <x:v>-0.2458692820593761</x:v>
      </x:c>
      <x:c r="J240" s="13" t="n">
        <x:v>0.012489553412002601</x:v>
      </x:c>
      <x:c r="K240" s="13" t="n">
        <x:v>0.0022477349925921104</x:v>
      </x:c>
      <x:c r="L240" s="13" t="n">
        <x:v>-0.5749699175354946</x:v>
      </x:c>
      <x:c r="M240" s="13" t="n">
        <x:v>0.06473554306449682</x:v>
      </x:c>
      <x:c r="N240" s="13" t="n">
        <x:v>0.7497290724943659</x:v>
      </x:c>
      <x:c r="O240" s="13" t="n">
        <x:v>-0.4253656601926332</x:v>
      </x:c>
      <x:c r="P240" s="13" t="n">
        <x:v>-0.4607534717094015</x:v>
      </x:c>
      <x:c r="Q240" s="13" t="n">
        <x:v>0.05692214413302447</x:v>
      </x:c>
      <x:c r="R240" s="13" t="n">
        <x:v>-0.203128640698822</x:v>
      </x:c>
      <x:c r="S240" s="13" t="n">
        <x:v>0.8505632658511233</x:v>
      </x:c>
      <x:c r="T240" s="13" t="n">
        <x:v>-0.11767383016570207</x:v>
      </x:c>
      <x:c r="U240" s="13" t="n">
        <x:v>-0.37630858955862445</x:v>
      </x:c>
      <x:c r="V240" s="13" t="n">
        <x:v>-0.37523057306809987</x:v>
      </x:c>
      <x:c r="W240" s="13" t="n">
        <x:v>-0.32048088198244296</x:v>
      </x:c>
      <x:c r="X240" s="13" t="n">
        <x:v>-0.32901349594933565</x:v>
      </x:c>
      <x:c r="Y240" s="13" t="n">
        <x:v>-0.2743538586277958</x:v>
      </x:c>
      <x:c r="Z240" s="13" t="n">
        <x:v>-0.25786866710317763</x:v>
      </x:c>
      <x:c r="AA240" s="13" t="n">
        <x:v>-0.3193872206690687</x:v>
      </x:c>
      <x:c r="AB240" s="13" t="n">
        <x:v>-0.023259149674017047</x:v>
      </x:c>
      <x:c r="AC240" s="13" t="n">
        <x:v>-0.36998830454518283</x:v>
      </x:c>
      <x:c r="AD240" s="13" t="n">
        <x:v>-0.6236196208921166</x:v>
      </x:c>
      <x:c r="AE240" s="13" t="n">
        <x:v>-0.6264063786340676</x:v>
      </x:c>
      <x:c r="AF240" s="13" t="n">
        <x:v>-0.15115301025000072</x:v>
      </x:c>
      <x:c r="AG240" s="13" t="n">
        <x:v>-0.3376311661501818</x:v>
      </x:c>
      <x:c r="AH240" s="13" t="n">
        <x:v>0.8378336018981424</x:v>
      </x:c>
      <x:c r="AI240" s="13" t="n">
        <x:v>-0.3499534583032247</x:v>
      </x:c>
      <x:c r="AJ240" s="13" t="n">
        <x:v>-0.39697677522992086</x:v>
      </x:c>
      <x:c r="AK240" s="13" t="n">
        <x:v>0.00003915315033301375</x:v>
      </x:c>
      <x:c r="AL240" s="13" t="n">
        <x:v>0.028716542339894548</x:v>
      </x:c>
      <x:c r="AM240" s="13" t="n">
        <x:v>-0.08282062997433452</x:v>
      </x:c>
      <x:c r="AN240" s="13" t="n">
        <x:v>-0.690012045334021</x:v>
      </x:c>
      <x:c r="AO240" s="13" t="n">
        <x:v>-0.29757227854024687</x:v>
      </x:c>
      <x:c r="AP240" s="13" t="n">
        <x:v>0.9390660207345848</x:v>
      </x:c>
    </x:row>
    <x:row r="241" ht="15" hidden="0" customHeight="1">
      <x:c r="A241" s="2" t="str">
        <x:v>E240</x:v>
      </x:c>
      <x:c r="B241" s="2" t="str">
        <x:v>个体经营E240 </x:v>
      </x:c>
      <x:c r="C241" s="2" t="str">
        <x:v>无信贷记录</x:v>
      </x:c>
      <x:c r="D241" s="2" t="str"/>
      <x:c r="E241" s="2" t="str"/>
      <x:c r="F241" s="13" t="n">
        <x:v>-0.09252749305841045</x:v>
      </x:c>
      <x:c r="G241" s="13" t="n">
        <x:v>-0.09124284719921372</x:v>
      </x:c>
      <x:c r="H241" s="13" t="n">
        <x:v>-0.1253734215250054</x:v>
      </x:c>
      <x:c r="I241" s="13" t="n">
        <x:v>-0.4173966045728936</x:v>
      </x:c>
      <x:c r="J241" s="13" t="n">
        <x:v>0.0579229120659721</x:v>
      </x:c>
      <x:c r="K241" s="13" t="n">
        <x:v>0.04439728492205869</x:v>
      </x:c>
      <x:c r="L241" s="13" t="n">
        <x:v>2.6986972308298958</x:v>
      </x:c>
      <x:c r="M241" s="13" t="n">
        <x:v>0.11521491395012974</x:v>
      </x:c>
      <x:c r="N241" s="13" t="n">
        <x:v>-0.6220788990265016</x:v>
      </x:c>
      <x:c r="O241" s="13" t="n">
        <x:v>-0.9635066084918955</x:v>
      </x:c>
      <x:c r="P241" s="13" t="n">
        <x:v>-1.321285115579228</x:v>
      </x:c>
      <x:c r="Q241" s="13" t="n">
        <x:v>0.3287615953555338</x:v>
      </x:c>
      <x:c r="R241" s="13" t="n">
        <x:v>-0.37872814311092107</x:v>
      </x:c>
      <x:c r="S241" s="13" t="n">
        <x:v>-0.5814545957384158</x:v>
      </x:c>
      <x:c r="T241" s="13" t="n">
        <x:v>-0.30604060161739083</x:v>
      </x:c>
      <x:c r="U241" s="13" t="n">
        <x:v>-0.4943461924361765</x:v>
      </x:c>
      <x:c r="V241" s="13" t="n">
        <x:v>-0.5356862736329141</x:v>
      </x:c>
      <x:c r="W241" s="13" t="n">
        <x:v>0.14407870389909247</x:v>
      </x:c>
      <x:c r="X241" s="13" t="n">
        <x:v>-0.3910667203118402</x:v>
      </x:c>
      <x:c r="Y241" s="13" t="n">
        <x:v>-0.3904044098930291</x:v>
      </x:c>
      <x:c r="Z241" s="13" t="n">
        <x:v>-0.3520392688088036</x:v>
      </x:c>
      <x:c r="AA241" s="13" t="n">
        <x:v>-0.38518393847383975</x:v>
      </x:c>
      <x:c r="AB241" s="13" t="n">
        <x:v>5.696892426590532</x:v>
      </x:c>
      <x:c r="AC241" s="13" t="n">
        <x:v>-0.6980651016988949</x:v>
      </x:c>
      <x:c r="AD241" s="13" t="n">
        <x:v>3.062522791450493</x:v>
      </x:c>
      <x:c r="AE241" s="13" t="n">
        <x:v>2.523997669743305</x:v>
      </x:c>
      <x:c r="AF241" s="13" t="n">
        <x:v>-0.29126758283111576</x:v>
      </x:c>
      <x:c r="AG241" s="13" t="n">
        <x:v>2.099649766205756</x:v>
      </x:c>
      <x:c r="AH241" s="13" t="n">
        <x:v>2.48443817769158</x:v>
      </x:c>
      <x:c r="AI241" s="13" t="n">
        <x:v>-2.161282251279997</x:v>
      </x:c>
      <x:c r="AJ241" s="13" t="n">
        <x:v>-0.6239334283855582</x:v>
      </x:c>
      <x:c r="AK241" s="13" t="n">
        <x:v>0.2995844603832087</x:v>
      </x:c>
      <x:c r="AL241" s="13" t="n">
        <x:v>0.6944919092636849</x:v>
      </x:c>
      <x:c r="AM241" s="13" t="n">
        <x:v>-0.7283929143949793</x:v>
      </x:c>
      <x:c r="AN241" s="13" t="n">
        <x:v>1.1966045666083305</x:v>
      </x:c>
      <x:c r="AO241" s="13" t="n">
        <x:v>0.7309454870258495</x:v>
      </x:c>
      <x:c r="AP241" s="13" t="n">
        <x:v>1.019502190783427</x:v>
      </x:c>
    </x:row>
    <x:row r="242" ht="15" hidden="0" customHeight="1">
      <x:c r="A242" s="2" t="str">
        <x:v>E241</x:v>
      </x:c>
      <x:c r="B242" s="2" t="str">
        <x:v>个体经营E241 </x:v>
      </x:c>
      <x:c r="C242" s="2" t="str">
        <x:v>无信贷记录</x:v>
      </x:c>
      <x:c r="D242" s="2" t="str"/>
      <x:c r="E242" s="2" t="str"/>
      <x:c r="F242" s="13" t="n">
        <x:v>-0.41471020339582026</x:v>
      </x:c>
      <x:c r="G242" s="13" t="n">
        <x:v>-0.41250617668257544</x:v>
      </x:c>
      <x:c r="H242" s="13" t="n">
        <x:v>-0.3911540687123922</x:v>
      </x:c>
      <x:c r="I242" s="13" t="n">
        <x:v>-0.4173966045728936</x:v>
      </x:c>
      <x:c r="J242" s="13" t="n">
        <x:v>-0.43516084310351805</x:v>
      </x:c>
      <x:c r="K242" s="13" t="n">
        <x:v>-0.4388248134092803</x:v>
      </x:c>
      <x:c r="L242" s="13" t="n">
        <x:v>-0.374168772747283</x:v>
      </x:c>
      <x:c r="M242" s="13" t="n">
        <x:v>-0.07193961699884775</x:v>
      </x:c>
      <x:c r="N242" s="13" t="n">
        <x:v>-0.46138208466715863</x:v>
      </x:c>
      <x:c r="O242" s="13" t="n">
        <x:v>-0.6424158072960144</x:v>
      </x:c>
      <x:c r="P242" s="13" t="n">
        <x:v>-0.7288360315824386</x:v>
      </x:c>
      <x:c r="Q242" s="13" t="n">
        <x:v>-0.4322905572283336</x:v>
      </x:c>
      <x:c r="R242" s="13" t="n">
        <x:v>-0.596786377843025</x:v>
      </x:c>
      <x:c r="S242" s="13" t="n">
        <x:v>-0.31653438965299874</x:v>
      </x:c>
      <x:c r="T242" s="13" t="n">
        <x:v>0.07069294128598666</x:v>
      </x:c>
      <x:c r="U242" s="13" t="n">
        <x:v>-0.14128729097207002</x:v>
      </x:c>
      <x:c r="V242" s="13" t="n">
        <x:v>-0.14240149707370156</x:v>
      </x:c>
      <x:c r="W242" s="13" t="n">
        <x:v>-0.08820108904167524</x:v>
      </x:c>
      <x:c r="X242" s="13" t="n">
        <x:v>-0.28764467970766594</x:v>
      </x:c>
      <x:c r="Y242" s="13" t="n">
        <x:v>-0.14583960228917053</x:v>
      </x:c>
      <x:c r="Z242" s="13" t="n">
        <x:v>-0.15945051280563288</x:v>
      </x:c>
      <x:c r="AA242" s="13" t="n">
        <x:v>-0.3123375723328432</x:v>
      </x:c>
      <x:c r="AB242" s="13" t="n">
        <x:v>-0.260591130262947</x:v>
      </x:c>
      <x:c r="AC242" s="13" t="n">
        <x:v>-0.465999683462566</x:v>
      </x:c>
      <x:c r="AD242" s="13" t="n">
        <x:v>1.3888831715368828</x:v>
      </x:c>
      <x:c r="AE242" s="13" t="n">
        <x:v>1.4953686691632495</x:v>
      </x:c>
      <x:c r="AF242" s="13" t="n">
        <x:v>-0.16219008205768373</x:v>
      </x:c>
      <x:c r="AG242" s="13" t="n">
        <x:v>-1.0844913796309192</x:v>
      </x:c>
      <x:c r="AH242" s="13" t="n">
        <x:v>-0.210307291754909</x:v>
      </x:c>
      <x:c r="AI242" s="13" t="n">
        <x:v>0.857599070347957</x:v>
      </x:c>
      <x:c r="AJ242" s="13" t="n">
        <x:v>0.1604586274516235</x:v>
      </x:c>
      <x:c r="AK242" s="13" t="n">
        <x:v>-0.287856751320359</x:v>
      </x:c>
      <x:c r="AL242" s="13" t="n">
        <x:v>-0.051119533974137335</x:v>
      </x:c>
      <x:c r="AM242" s="13" t="n">
        <x:v>-0.4711119177550183</x:v>
      </x:c>
      <x:c r="AN242" s="13" t="n">
        <x:v>0.39641862087029456</x:v>
      </x:c>
      <x:c r="AO242" s="13" t="n">
        <x:v>-0.9161463631023362</x:v>
      </x:c>
      <x:c r="AP242" s="13" t="n">
        <x:v>-0.3037635044457794</x:v>
      </x:c>
    </x:row>
    <x:row r="243" ht="15" hidden="0" customHeight="1">
      <x:c r="A243" s="2" t="str">
        <x:v>E242</x:v>
      </x:c>
      <x:c r="B243" s="2" t="str">
        <x:v>个体经营E242 </x:v>
      </x:c>
      <x:c r="C243" s="2" t="str">
        <x:v>无信贷记录</x:v>
      </x:c>
      <x:c r="D243" s="2" t="str"/>
      <x:c r="E243" s="2" t="str"/>
      <x:c r="F243" s="13" t="n">
        <x:v>-0.3748429903180976</x:v>
      </x:c>
      <x:c r="G243" s="13" t="n">
        <x:v>-0.37031039609371597</x:v>
      </x:c>
      <x:c r="H243" s="13" t="n">
        <x:v>-0.4124165204873832</x:v>
      </x:c>
      <x:c r="I243" s="13" t="n">
        <x:v>-0.46027843520127304</x:v>
      </x:c>
      <x:c r="J243" s="13" t="n">
        <x:v>-0.15076219515285894</x:v>
      </x:c>
      <x:c r="K243" s="13" t="n">
        <x:v>-0.16059867851259607</x:v>
      </x:c>
      <x:c r="L243" s="13" t="n">
        <x:v>0.8458503039204879</x:v>
      </x:c>
      <x:c r="M243" s="13" t="n">
        <x:v>-0.40256077373725424</x:v>
      </x:c>
      <x:c r="N243" s="13" t="n">
        <x:v>-0.7216149855326618</x:v>
      </x:c>
      <x:c r="O243" s="13" t="n">
        <x:v>-0.9635066084918955</x:v>
      </x:c>
      <x:c r="P243" s="13" t="n">
        <x:v>-1.321285115579228</x:v>
      </x:c>
      <x:c r="Q243" s="13" t="n">
        <x:v>0.024858840490538235</x:v>
      </x:c>
      <x:c r="R243" s="13" t="n">
        <x:v>-0.40318917246390773</x:v>
      </x:c>
      <x:c r="S243" s="13" t="n">
        <x:v>1.4012228707773007</x:v>
      </x:c>
      <x:c r="T243" s="13" t="n">
        <x:v>-0.30604060161739083</x:v>
      </x:c>
      <x:c r="U243" s="13" t="n">
        <x:v>-0.42109964422198126</x:v>
      </x:c>
      <x:c r="V243" s="13" t="n">
        <x:v>-0.5368083414690317</x:v>
      </x:c>
      <x:c r="W243" s="13" t="n">
        <x:v>1.2005771169522619</x:v>
      </x:c>
      <x:c r="X243" s="13" t="n">
        <x:v>-0.3910667203118402</x:v>
      </x:c>
      <x:c r="Y243" s="13" t="n">
        <x:v>-0.5371645195291124</x:v>
      </x:c>
      <x:c r="Z243" s="13" t="n">
        <x:v>-0.4658955396626379</x:v>
      </x:c>
      <x:c r="AA243" s="13" t="n">
        <x:v>-0.31703733789032684</x:v>
      </x:c>
      <x:c r="AB243" s="13" t="n">
        <x:v>5.696892426590532</x:v>
      </x:c>
      <x:c r="AC243" s="13" t="n">
        <x:v>-0.6980651016988949</x:v>
      </x:c>
      <x:c r="AD243" s="13" t="n">
        <x:v>-0.16457119713401996</x:v>
      </x:c>
      <x:c r="AE243" s="13" t="n">
        <x:v>0.11266295780574609</x:v>
      </x:c>
      <x:c r="AF243" s="13" t="n">
        <x:v>-0.5480501961281958</x:v>
      </x:c>
      <x:c r="AG243" s="13" t="n">
        <x:v>0.7894047063924259</x:v>
      </x:c>
      <x:c r="AH243" s="13" t="n">
        <x:v>0.6115674324016688</x:v>
      </x:c>
      <x:c r="AI243" s="13" t="n">
        <x:v>-1.658135364342005</x:v>
      </x:c>
      <x:c r="AJ243" s="13" t="n">
        <x:v>-0.7059160718055564</x:v>
      </x:c>
      <x:c r="AK243" s="13" t="n">
        <x:v>3.9870136521457935</x:v>
      </x:c>
      <x:c r="AL243" s="13" t="n">
        <x:v>4.383354920588236</x:v>
      </x:c>
      <x:c r="AM243" s="13" t="n">
        <x:v>-0.7815911692517314</x:v>
      </x:c>
      <x:c r="AN243" s="13" t="n">
        <x:v>-0.8046869472044446</x:v>
      </x:c>
      <x:c r="AO243" s="13" t="n">
        <x:v>0.09743693143731054</x:v>
      </x:c>
      <x:c r="AP243" s="13" t="n">
        <x:v>1.1624508165327123</x:v>
      </x:c>
    </x:row>
    <x:row r="244" ht="15" hidden="0" customHeight="1">
      <x:c r="A244" s="2" t="str">
        <x:v>E243</x:v>
      </x:c>
      <x:c r="B244" s="2" t="str">
        <x:v>***科技有限公司</x:v>
      </x:c>
      <x:c r="C244" s="2" t="str">
        <x:v>无信贷记录</x:v>
      </x:c>
      <x:c r="D244" s="2" t="str"/>
      <x:c r="E244" s="2" t="str"/>
      <x:c r="F244" s="13" t="n">
        <x:v>-0.2895456972215747</x:v>
      </x:c>
      <x:c r="G244" s="13" t="n">
        <x:v>-0.2849598399026139</x:v>
      </x:c>
      <x:c r="H244" s="13" t="n">
        <x:v>-0.3486291651624103</x:v>
      </x:c>
      <x:c r="I244" s="13" t="n">
        <x:v>-0.37451477394451427</x:v>
      </x:c>
      <x:c r="J244" s="13" t="n">
        <x:v>-0.4724347079138658</x:v>
      </x:c>
      <x:c r="K244" s="13" t="n">
        <x:v>-0.4763454761409329</x:v>
      </x:c>
      <x:c r="L244" s="13" t="n">
        <x:v>-0.3163623825809796</x:v>
      </x:c>
      <x:c r="M244" s="13" t="n">
        <x:v>-0.26960576765757255</x:v>
      </x:c>
      <x:c r="N244" s="13" t="n">
        <x:v>-0.4044441959315345</x:v>
      </x:c>
      <x:c r="O244" s="13" t="n">
        <x:v>-0.10661495495625513</x:v>
      </x:c>
      <x:c r="P244" s="13" t="n">
        <x:v>0.025750027000191474</x:v>
      </x:c>
      <x:c r="Q244" s="13" t="n">
        <x:v>-0.4780647732294405</x:v>
      </x:c>
      <x:c r="R244" s="13" t="n">
        <x:v>-0.3814633642068208</x:v>
      </x:c>
      <x:c r="S244" s="13" t="n">
        <x:v>0.0944074645473314</x:v>
      </x:c>
      <x:c r="T244" s="13" t="n">
        <x:v>0.44742648418936415</x:v>
      </x:c>
      <x:c r="U244" s="13" t="n">
        <x:v>-0.18502443846687724</x:v>
      </x:c>
      <x:c r="V244" s="13" t="n">
        <x:v>-0.16708698946828837</x:v>
      </x:c>
      <x:c r="W244" s="13" t="n">
        <x:v>-0.38042405435425397</x:v>
      </x:c>
      <x:c r="X244" s="13" t="n">
        <x:v>-0.3910667203118402</x:v>
      </x:c>
      <x:c r="Y244" s="13" t="n">
        <x:v>-0.2086406125074959</x:v>
      </x:c>
      <x:c r="Z244" s="13" t="n">
        <x:v>-0.21102718999620673</x:v>
      </x:c>
      <x:c r="AA244" s="13" t="n">
        <x:v>-0.31703733789032684</x:v>
      </x:c>
      <x:c r="AB244" s="13" t="n">
        <x:v>-0.6247979653986139</x:v>
      </x:c>
      <x:c r="AC244" s="13" t="n">
        <x:v>-0.6980651016988949</x:v>
      </x:c>
      <x:c r="AD244" s="13" t="n">
        <x:v>-0.13209840046366972</x:v>
      </x:c>
      <x:c r="AE244" s="13" t="n">
        <x:v>-0.08289489540283415</x:v>
      </x:c>
      <x:c r="AF244" s="13" t="n">
        <x:v>-0.205005812504541</x:v>
      </x:c>
      <x:c r="AG244" s="13" t="n">
        <x:v>-0.4757849808985267</x:v>
      </x:c>
      <x:c r="AH244" s="13" t="n">
        <x:v>-0.33922737861865454</x:v>
      </x:c>
      <x:c r="AI244" s="13" t="n">
        <x:v>0.6563403155727601</x:v>
      </x:c>
      <x:c r="AJ244" s="13" t="n">
        <x:v>0.08529687771846849</x:v>
      </x:c>
      <x:c r="AK244" s="13" t="n">
        <x:v>-0.2956854987596482</x:v>
      </x:c>
      <x:c r="AL244" s="13" t="n">
        <x:v>-0.6350423007769687</x:v>
      </x:c>
      <x:c r="AM244" s="13" t="n">
        <x:v>-0.6950166896984015</x:v>
      </x:c>
      <x:c r="AN244" s="13" t="n">
        <x:v>-0.1567980538285443</x:v>
      </x:c>
      <x:c r="AO244" s="13" t="n">
        <x:v>-0.4835406685768107</x:v>
      </x:c>
      <x:c r="AP244" s="13" t="n">
        <x:v>-0.11694524152389792</x:v>
      </x:c>
    </x:row>
    <x:row r="245" ht="15" hidden="0" customHeight="1">
      <x:c r="A245" s="2" t="str">
        <x:v>E244</x:v>
      </x:c>
      <x:c r="B245" s="2" t="str">
        <x:v>个体经营E244 </x:v>
      </x:c>
      <x:c r="C245" s="2" t="str">
        <x:v>无信贷记录</x:v>
      </x:c>
      <x:c r="D245" s="2" t="str"/>
      <x:c r="E245" s="2" t="str"/>
      <x:c r="F245" s="13" t="n">
        <x:v>-0.0790838979508063</x:v>
      </x:c>
      <x:c r="G245" s="13" t="n">
        <x:v>-0.08165289706538202</x:v>
      </x:c>
      <x:c r="H245" s="13" t="n">
        <x:v>-0.029692388537546143</x:v>
      </x:c>
      <x:c r="I245" s="13" t="n">
        <x:v>-0.16010562080261734</x:v>
      </x:c>
      <x:c r="J245" s="13" t="n">
        <x:v>-0.251634677721147</x:v>
      </x:c>
      <x:c r="K245" s="13" t="n">
        <x:v>-0.2579787096036963</x:v>
      </x:c>
      <x:c r="L245" s="13" t="n">
        <x:v>-0.24942866765157573</x:v>
      </x:c>
      <x:c r="M245" s="13" t="n">
        <x:v>0.3835720959759266</x:v>
      </x:c>
      <x:c r="N245" s="13" t="n">
        <x:v>-0.037473286877198565</x:v>
      </x:c>
      <x:c r="O245" s="13" t="n">
        <x:v>-0.7887948104297561</x:v>
      </x:c>
      <x:c r="P245" s="13" t="n">
        <x:v>-1.0064162097217388</x:v>
      </x:c>
      <x:c r="Q245" s="13" t="n">
        <x:v>-0.26374857293184595</x:v>
      </x:c>
      <x:c r="R245" s="13" t="n">
        <x:v>-0.7549831779049084</x:v>
      </x:c>
      <x:c r="S245" s="13" t="n">
        <x:v>-0.2917171246764778</x:v>
      </x:c>
      <x:c r="T245" s="13" t="n">
        <x:v>0.7299766413668972</x:v>
      </x:c>
      <x:c r="U245" s="13" t="n">
        <x:v>-0.27724131571496474</x:v>
      </x:c>
      <x:c r="V245" s="13" t="n">
        <x:v>-0.2983689262940455</x:v>
      </x:c>
      <x:c r="W245" s="13" t="n">
        <x:v>0.06165684188785231</x:v>
      </x:c>
      <x:c r="X245" s="13" t="n">
        <x:v>-0.12216941474098722</x:v>
      </x:c>
      <x:c r="Y245" s="13" t="n">
        <x:v>-0.1881544342453978</x:v>
      </x:c>
      <x:c r="Z245" s="13" t="n">
        <x:v>-0.17706074824634635</x:v>
      </x:c>
      <x:c r="AA245" s="13" t="n">
        <x:v>-0.35228557957145423</x:v>
      </x:c>
      <x:c r="AB245" s="13" t="n">
        <x:v>0.41275154697799893</x:v>
      </x:c>
      <x:c r="AC245" s="13" t="n">
        <x:v>0.2839435507295977</x:v>
      </x:c>
      <x:c r="AD245" s="13" t="n">
        <x:v>0.34467737674782994</x:v>
      </x:c>
      <x:c r="AE245" s="13" t="n">
        <x:v>0.7476658271719343</x:v>
      </x:c>
      <x:c r="AF245" s="13" t="n">
        <x:v>-0.18316703551874947</x:v>
      </x:c>
      <x:c r="AG245" s="13" t="n">
        <x:v>-0.413892996514015</x:v>
      </x:c>
      <x:c r="AH245" s="13" t="n">
        <x:v>-0.3543353092784912</x:v>
      </x:c>
      <x:c r="AI245" s="13" t="n">
        <x:v>0.5557109381851616</x:v>
      </x:c>
      <x:c r="AJ245" s="13" t="n">
        <x:v>-0.05091918180585909</x:v>
      </x:c>
      <x:c r="AK245" s="13" t="n">
        <x:v>-0.20563191226052863</x:v>
      </x:c>
      <x:c r="AL245" s="13" t="n">
        <x:v>0.16769439718074516</x:v>
      </x:c>
      <x:c r="AM245" s="13" t="n">
        <x:v>-0.02210703983686044</x:v>
      </x:c>
      <x:c r="AN245" s="13" t="n">
        <x:v>-0.35390529080679517</x:v>
      </x:c>
      <x:c r="AO245" s="13" t="n">
        <x:v>-0.7076630623026707</x:v>
      </x:c>
      <x:c r="AP245" s="13" t="n">
        <x:v>-0.3610952399795739</x:v>
      </x:c>
    </x:row>
    <x:row r="246" ht="15" hidden="0" customHeight="1">
      <x:c r="A246" s="2" t="str">
        <x:v>E245</x:v>
      </x:c>
      <x:c r="B246" s="2" t="str">
        <x:v>***建筑劳务有限公司</x:v>
      </x:c>
      <x:c r="C246" s="2" t="str">
        <x:v>无信贷记录</x:v>
      </x:c>
      <x:c r="D246" s="2" t="str"/>
      <x:c r="E246" s="2" t="str"/>
      <x:c r="F246" s="13" t="n">
        <x:v>-0.48980890710036756</x:v>
      </x:c>
      <x:c r="G246" s="13" t="n">
        <x:v>-0.4849103001930047</x:v>
      </x:c>
      <x:c r="H246" s="13" t="n">
        <x:v>-0.5080975534748424</x:v>
      </x:c>
      <x:c r="I246" s="13" t="n">
        <x:v>-0.46027843520127304</x:v>
      </x:c>
      <x:c r="J246" s="13" t="n">
        <x:v>-0.5671512008368645</x:v>
      </x:c>
      <x:c r="K246" s="13" t="n">
        <x:v>-0.5696265547367438</x:v>
      </x:c>
      <x:c r="L246" s="13" t="n">
        <x:v>-0.5202059689568915</x:v>
      </x:c>
      <x:c r="M246" s="13" t="n">
        <x:v>-1.0061972508629253</x:v>
      </x:c>
      <x:c r="N246" s="13" t="n">
        <x:v>-0.7216149855326618</x:v>
      </x:c>
      <x:c r="O246" s="13" t="n">
        <x:v>-0.5287343059012932</x:v>
      </x:c>
      <x:c r="P246" s="13" t="n">
        <x:v>-0.514289693021085</x:v>
      </x:c>
      <x:c r="Q246" s="13" t="n">
        <x:v>-0.5826553750996639</x:v>
      </x:c>
      <x:c r="R246" s="13" t="n">
        <x:v>-0.4775100722236966</x:v>
      </x:c>
      <x:c r="S246" s="13" t="n">
        <x:v>0.7818721495484118</x:v>
      </x:c>
      <x:c r="T246" s="13" t="n">
        <x:v>0.16487632701183103</x:v>
      </x:c>
      <x:c r="U246" s="13" t="n">
        <x:v>-0.37367382163725055</x:v>
      </x:c>
      <x:c r="V246" s="13" t="n">
        <x:v>-0.3735474713139235</x:v>
      </x:c>
      <x:c r="W246" s="13" t="n">
        <x:v>-0.30549508888949023</x:v>
      </x:c>
      <x:c r="X246" s="13" t="n">
        <x:v>-0.018747374136813013</x:v>
      </x:c>
      <x:c r="Y246" s="13" t="n">
        <x:v>-0.31234994362039853</x:v>
      </x:c>
      <x:c r="Z246" s="13" t="n">
        <x:v>-0.26696943045596816</x:v>
      </x:c>
      <x:c r="AA246" s="13" t="n">
        <x:v>-0.3099876895541014</x:v>
      </x:c>
      <x:c r="AB246" s="13" t="n">
        <x:v>0.009399565438562223</x:v>
      </x:c>
      <x:c r="AC246" s="13" t="n">
        <x:v>1.251284411486268</x:v>
      </x:c>
      <x:c r="AD246" s="13" t="n">
        <x:v>-0.3398295993865524</x:v>
      </x:c>
      <x:c r="AE246" s="13" t="n">
        <x:v>-0.21790682163702516</x:v>
      </x:c>
      <x:c r="AF246" s="13" t="n">
        <x:v>-0.27127519208264905</x:v>
      </x:c>
      <x:c r="AG246" s="13" t="n">
        <x:v>0.2219879610446767</x:v>
      </x:c>
      <x:c r="AH246" s="13" t="n">
        <x:v>0.15839540060079116</x:v>
      </x:c>
      <x:c r="AI246" s="13" t="n">
        <x:v>-0.6518415904660202</x:v>
      </x:c>
      <x:c r="AJ246" s="13" t="n">
        <x:v>-0.013276889343092598</x:v>
      </x:c>
      <x:c r="AK246" s="13" t="n">
        <x:v>-0.3412327769470351</x:v>
      </x:c>
      <x:c r="AL246" s="13" t="n">
        <x:v>0.0036787336549301605</x:v>
      </x:c>
      <x:c r="AM246" s="13" t="n">
        <x:v>1.065028881535002</x:v>
      </x:c>
      <x:c r="AN246" s="13" t="n">
        <x:v>-0.5892386931386193</x:v>
      </x:c>
      <x:c r="AO246" s="13" t="n">
        <x:v>-0.22012167564465107</x:v>
      </x:c>
      <x:c r="AP246" s="13" t="n">
        <x:v>0.5548092894373434</x:v>
      </x:c>
    </x:row>
    <x:row r="247" ht="15" hidden="0" customHeight="1">
      <x:c r="A247" s="2" t="str">
        <x:v>E246</x:v>
      </x:c>
      <x:c r="B247" s="2" t="str">
        <x:v>***物业服务有限公司</x:v>
      </x:c>
      <x:c r="C247" s="2" t="str">
        <x:v>无信贷记录</x:v>
      </x:c>
      <x:c r="D247" s="2" t="str"/>
      <x:c r="E247" s="2" t="str"/>
      <x:c r="F247" s="13" t="n">
        <x:v>0.02151127923367994</x:v>
      </x:c>
      <x:c r="G247" s="13" t="n">
        <x:v>0.010890121726093807</x:v>
      </x:c>
      <x:c r="H247" s="13" t="n">
        <x:v>0.22545703276234522</x:v>
      </x:c>
      <x:c r="I247" s="13" t="n">
        <x:v>0.011421701710900218</x:v>
      </x:c>
      <x:c r="J247" s="13" t="n">
        <x:v>-0.4283521303008948</x:v>
      </x:c>
      <x:c r="K247" s="13" t="n">
        <x:v>-0.4317544600381675</x:v>
      </x:c>
      <x:c r="L247" s="13" t="n">
        <x:v>0.5416061451504703</x:v>
      </x:c>
      <x:c r="M247" s="13" t="n">
        <x:v>0.8138218091464243</x:v>
      </x:c>
      <x:c r="N247" s="13" t="n">
        <x:v>0.1936108946299131</x:v>
      </x:c>
      <x:c r="O247" s="13" t="n">
        <x:v>-0.6541805201355629</x:v>
      </x:c>
      <x:c r="P247" s="13" t="n">
        <x:v>-0.5420312673020085</x:v>
      </x:c>
      <x:c r="Q247" s="13" t="n">
        <x:v>-0.4245441874204847</x:v>
      </x:c>
      <x:c r="R247" s="13" t="n">
        <x:v>-0.32908086736615055</x:v>
      </x:c>
      <x:c r="S247" s="13" t="n">
        <x:v>0.512002933596714</x:v>
      </x:c>
      <x:c r="T247" s="13" t="n">
        <x:v>0.2590597127376754</x:v>
      </x:c>
      <x:c r="U247" s="13" t="n">
        <x:v>-0.12284391552245251</x:v>
      </x:c>
      <x:c r="V247" s="13" t="n">
        <x:v>-0.1266925473680554</x:v>
      </x:c>
      <x:c r="W247" s="13" t="n">
        <x:v>-0.035750813216340604</x:v>
      </x:c>
      <x:c r="X247" s="13" t="n">
        <x:v>-0.10148500662015238</x:v>
      </x:c>
      <x:c r="Y247" s="13" t="n">
        <x:v>-0.24430547506386963</x:v>
      </x:c>
      <x:c r="Z247" s="13" t="n">
        <x:v>-0.22833675629472194</x:v>
      </x:c>
      <x:c r="AA247" s="13" t="n">
        <x:v>-0.09849823946733724</x:v>
      </x:c>
      <x:c r="AB247" s="13" t="n">
        <x:v>-0.22292967706241038</x:v>
      </x:c>
      <x:c r="AC247" s="13" t="n">
        <x:v>-0.0725728903030327</x:v>
      </x:c>
      <x:c r="AD247" s="13" t="n">
        <x:v>-0.35000147689191075</x:v>
      </x:c>
      <x:c r="AE247" s="13" t="n">
        <x:v>-0.42018709385657715</x:v>
      </x:c>
      <x:c r="AF247" s="13" t="n">
        <x:v>-0.2697338580321707</x:v>
      </x:c>
      <x:c r="AG247" s="13" t="n">
        <x:v>-1.1446477344787684</x:v>
      </x:c>
      <x:c r="AH247" s="13" t="n">
        <x:v>0.17661934406372057</x:v>
      </x:c>
      <x:c r="AI247" s="13" t="n">
        <x:v>0.9582284477355555</x:v>
      </x:c>
      <x:c r="AJ247" s="13" t="n">
        <x:v>-0.007655851168232955</x:v>
      </x:c>
      <x:c r="AK247" s="13" t="n">
        <x:v>-0.26893508574384356</x:v>
      </x:c>
      <x:c r="AL247" s="13" t="n">
        <x:v>-0.074065534905989</x:v>
      </x:c>
      <x:c r="AM247" s="13" t="n">
        <x:v>-0.06366161848584212</x:v>
      </x:c>
      <x:c r="AN247" s="13" t="n">
        <x:v>-0.685909953140392</x:v>
      </x:c>
      <x:c r="AO247" s="13" t="n">
        <x:v>-0.7629538155856798</x:v>
      </x:c>
      <x:c r="AP247" s="13" t="n">
        <x:v>0.3986642577209957</x:v>
      </x:c>
    </x:row>
    <x:row r="248" ht="15" hidden="0" customHeight="1">
      <x:c r="A248" s="2" t="str">
        <x:v>E247</x:v>
      </x:c>
      <x:c r="B248" s="2" t="str">
        <x:v>***石化有限公司</x:v>
      </x:c>
      <x:c r="C248" s="2" t="str">
        <x:v>无信贷记录</x:v>
      </x:c>
      <x:c r="D248" s="2" t="str"/>
      <x:c r="E248" s="2" t="str"/>
      <x:c r="F248" s="13" t="n">
        <x:v>-0.17550692492948433</x:v>
      </x:c>
      <x:c r="G248" s="13" t="n">
        <x:v>-0.17275742333678312</x:v>
      </x:c>
      <x:c r="H248" s="13" t="n">
        <x:v>-0.22105445451246467</x:v>
      </x:c>
      <x:c r="I248" s="13" t="n">
        <x:v>-0.16010562080261734</x:v>
      </x:c>
      <x:c r="J248" s="13" t="n">
        <x:v>-0.29509123046409785</x:v>
      </x:c>
      <x:c r="K248" s="13" t="n">
        <x:v>-0.30235260363564004</x:v>
      </x:c>
      <x:c r="L248" s="13" t="n">
        <x:v>-0.14902809525746988</x:v>
      </x:c>
      <x:c r="M248" s="13" t="n">
        <x:v>-0.010905228329108662</x:v>
      </x:c>
      <x:c r="N248" s="13" t="n">
        <x:v>0.10458892377256974</x:v>
      </x:c>
      <x:c r="O248" s="13" t="n">
        <x:v>-0.7943965313004392</x:v>
      </x:c>
      <x:c r="P248" s="13" t="n">
        <x:v>-1.063293318051985</x:v>
      </x:c>
      <x:c r="Q248" s="13" t="n">
        <x:v>-0.32233410429683756</x:v>
      </x:c>
      <x:c r="R248" s="13" t="n">
        <x:v>-0.734808443757143</x:v>
      </x:c>
      <x:c r="S248" s="13" t="n">
        <x:v>0.2740722225939871</x:v>
      </x:c>
      <x:c r="T248" s="13" t="n">
        <x:v>0.918343412818586</x:v>
      </x:c>
      <x:c r="U248" s="13" t="n">
        <x:v>-0.37051210013160185</x:v>
      </x:c>
      <x:c r="V248" s="13" t="n">
        <x:v>-0.36008265728051253</x:v>
      </x:c>
      <x:c r="W248" s="13" t="n">
        <x:v>-0.44036722672606504</x:v>
      </x:c>
      <x:c r="X248" s="13" t="n">
        <x:v>-0.3910667203118402</x:v>
      </x:c>
      <x:c r="Y248" s="13" t="n">
        <x:v>-0.3215726386758434</x:v>
      </x:c>
      <x:c r="Z248" s="13" t="n">
        <x:v>-0.29863968491311116</x:v>
      </x:c>
      <x:c r="AA248" s="13" t="n">
        <x:v>-0.3757844073588725</x:v>
      </x:c>
      <x:c r="AB248" s="13" t="n">
        <x:v>-0.4216968217712081</x:v>
      </x:c>
      <x:c r="AC248" s="13" t="n">
        <x:v>-0.6980651016988949</x:v>
      </x:c>
      <x:c r="AD248" s="13" t="n">
        <x:v>1.5392699555168126</x:v>
      </x:c>
      <x:c r="AE248" s="13" t="n">
        <x:v>1.5822690704624158</x:v>
      </x:c>
      <x:c r="AF248" s="13" t="n">
        <x:v>-0.3391183374754774</x:v>
      </x:c>
      <x:c r="AG248" s="13" t="n">
        <x:v>-0.3216753094750105</x:v>
      </x:c>
      <x:c r="AH248" s="13" t="n">
        <x:v>0.6695161590242356</x:v>
      </x:c>
      <x:c r="AI248" s="13" t="n">
        <x:v>0.857599070347957</x:v>
      </x:c>
      <x:c r="AJ248" s="13" t="n">
        <x:v>-0.23812342352129845</x:v>
      </x:c>
      <x:c r="AK248" s="13" t="n">
        <x:v>-0.14520199352293273</x:v>
      </x:c>
      <x:c r="AL248" s="13" t="n">
        <x:v>-0.5329389917931815</x:v>
      </x:c>
      <x:c r="AM248" s="13" t="n">
        <x:v>-0.4518728188374869</x:v>
      </x:c>
      <x:c r="AN248" s="13" t="n">
        <x:v>0.3797813735644146</x:v>
      </x:c>
      <x:c r="AO248" s="13" t="n">
        <x:v>-0.6505633748034217</x:v>
      </x:c>
      <x:c r="AP248" s="13" t="n">
        <x:v>0.5011379679593131</x:v>
      </x:c>
    </x:row>
    <x:row r="249" ht="15" hidden="0" customHeight="1">
      <x:c r="A249" s="2" t="str">
        <x:v>E248</x:v>
      </x:c>
      <x:c r="B249" s="2" t="str">
        <x:v>***智能科技有限公司</x:v>
      </x:c>
      <x:c r="C249" s="2" t="str">
        <x:v>无信贷记录</x:v>
      </x:c>
      <x:c r="D249" s="2" t="str"/>
      <x:c r="E249" s="2" t="str"/>
      <x:c r="F249" s="13" t="n">
        <x:v>0.0878021102815211</x:v>
      </x:c>
      <x:c r="G249" s="13" t="n">
        <x:v>0.09144570285028003</x:v>
      </x:c>
      <x:c r="H249" s="13" t="n">
        <x:v>-0.040323614425041614</x:v>
      </x:c>
      <x:c r="I249" s="13" t="n">
        <x:v>-0.07434195954585855</x:v>
      </x:c>
      <x:c r="J249" s="13" t="n">
        <x:v>-0.2701904669247738</x:v>
      </x:c>
      <x:c r="K249" s="13" t="n">
        <x:v>-0.2708421008441228</x:v>
      </x:c>
      <x:c r="L249" s="13" t="n">
        <x:v>0.0913247901708441</x:v>
      </x:c>
      <x:c r="M249" s="13" t="n">
        <x:v>-0.007482584112559987</x:v>
      </x:c>
      <x:c r="N249" s="13" t="n">
        <x:v>-0.05860687862089198</x:v>
      </x:c>
      <x:c r="O249" s="13" t="n">
        <x:v>-0.8344623813130657</x:v>
      </x:c>
      <x:c r="P249" s="13" t="n">
        <x:v>-0.9040457089003048</x:v>
      </x:c>
      <x:c r="Q249" s="13" t="n">
        <x:v>-0.2907114056089108</x:v>
      </x:c>
      <x:c r="R249" s="13" t="n">
        <x:v>-0.4165384545707281</x:v>
      </x:c>
      <x:c r="S249" s="13" t="n">
        <x:v>0.448919355276452</x:v>
      </x:c>
      <x:c r="T249" s="13" t="n">
        <x:v>0.8241600270927416</x:v>
      </x:c>
      <x:c r="U249" s="13" t="n">
        <x:v>-0.3462722352549617</x:v>
      </x:c>
      <x:c r="V249" s="13" t="n">
        <x:v>-0.3488619789193367</x:v>
      </x:c>
      <x:c r="W249" s="13" t="n">
        <x:v>-0.2455519165176792</x:v>
      </x:c>
      <x:c r="X249" s="13" t="n">
        <x:v>-0.2669602715868311</x:v>
      </x:c>
      <x:c r="Y249" s="13" t="n">
        <x:v>-0.3455501627720345</x:v>
      </x:c>
      <x:c r="Z249" s="13" t="n">
        <x:v>-0.31379484881462816</x:v>
      </x:c>
      <x:c r="AA249" s="13" t="n">
        <x:v>-0.10554788780356271</x:v>
      </x:c>
      <x:c r="AB249" s="13" t="n">
        <x:v>0.04034893704105793</x:v>
      </x:c>
      <x:c r="AC249" s="13" t="n">
        <x:v>-0.12927473382900312</x:v>
      </x:c>
      <x:c r="AD249" s="13" t="n">
        <x:v>-0.6393077693761624</x:v>
      </x:c>
      <x:c r="AE249" s="13" t="n">
        <x:v>-0.49168157942920576</x:v>
      </x:c>
      <x:c r="AF249" s="13" t="n">
        <x:v>-0.3689121909592916</x:v>
      </x:c>
      <x:c r="AG249" s="13" t="n">
        <x:v>0.6071625937172556</x:v>
      </x:c>
      <x:c r="AH249" s="13" t="n">
        <x:v>0.30436886879538105</x:v>
      </x:c>
      <x:c r="AI249" s="13" t="n">
        <x:v>0.857599070347957</x:v>
      </x:c>
      <x:c r="AJ249" s="13" t="n">
        <x:v>-0.2969670854078958</x:v>
      </x:c>
      <x:c r="AK249" s="13" t="n">
        <x:v>-0.10179153778065776</x:v>
      </x:c>
      <x:c r="AL249" s="13" t="n">
        <x:v>-0.3762446712519362</x:v>
      </x:c>
      <x:c r="AM249" s="13" t="n">
        <x:v>-0.2968407161177758</x:v>
      </x:c>
      <x:c r="AN249" s="13" t="n">
        <x:v>-0.9944727417903639</x:v>
      </x:c>
      <x:c r="AO249" s="13" t="n">
        <x:v>0.002577635743359693</x:v>
      </x:c>
      <x:c r="AP249" s="13" t="n">
        <x:v>0.4243557862024311</x:v>
      </x:c>
    </x:row>
    <x:row r="250" ht="15" hidden="0" customHeight="1">
      <x:c r="A250" s="2" t="str">
        <x:v>E249</x:v>
      </x:c>
      <x:c r="B250" s="2" t="str">
        <x:v>***建筑工程有限公司</x:v>
      </x:c>
      <x:c r="C250" s="2" t="str">
        <x:v>无信贷记录</x:v>
      </x:c>
      <x:c r="D250" s="2" t="str"/>
      <x:c r="E250" s="2" t="str"/>
      <x:c r="F250" s="13" t="n">
        <x:v>-0.27934710782959915</x:v>
      </x:c>
      <x:c r="G250" s="13" t="n">
        <x:v>-0.3142091878108006</x:v>
      </x:c>
      <x:c r="H250" s="13" t="n">
        <x:v>0.533762583499714</x:v>
      </x:c>
      <x:c r="I250" s="13" t="n">
        <x:v>-0.4173966045728936</x:v>
      </x:c>
      <x:c r="J250" s="13" t="n">
        <x:v>-0.0032971585238410995</x:v>
      </x:c>
      <x:c r="K250" s="13" t="n">
        <x:v>-0.014529179466043209</x:v>
      </x:c>
      <x:c r="L250" s="13" t="n">
        <x:v>-0.39242342227348403</x:v>
      </x:c>
      <x:c r="M250" s="13" t="n">
        <x:v>3.7424680070460514</x:v>
      </x:c>
      <x:c r="N250" s="13" t="n">
        <x:v>-0.5474268341468814</x:v>
      </x:c>
      <x:c r="O250" s="13" t="n">
        <x:v>-0.4587855457066358</x:v>
      </x:c>
      <x:c r="P250" s="13" t="n">
        <x:v>-0.4838144168589891</x:v>
      </x:c>
      <x:c r="Q250" s="13" t="n">
        <x:v>-0.028096634460399388</x:v>
      </x:c>
      <x:c r="R250" s="13" t="n">
        <x:v>0.7062204286299505</x:v>
      </x:c>
      <x:c r="S250" s="13" t="n">
        <x:v>0.2954859131161667</x:v>
      </x:c>
      <x:c r="T250" s="13" t="n">
        <x:v>0.6357932556410528</x:v>
      </x:c>
      <x:c r="U250" s="13" t="n">
        <x:v>-0.31096634510855103</x:v>
      </x:c>
      <x:c r="V250" s="13" t="n">
        <x:v>-0.28322101050645815</x:v>
      </x:c>
      <x:c r="W250" s="13" t="n">
        <x:v>-0.620196743841498</x:v>
      </x:c>
      <x:c r="X250" s="13" t="n">
        <x:v>-0.3910667203118402</x:v>
      </x:c>
      <x:c r="Y250" s="13" t="n">
        <x:v>-0.054963470333914924</x:v>
      </x:c>
      <x:c r="Z250" s="13" t="n">
        <x:v>-0.09180469577250039</x:v>
      </x:c>
      <x:c r="AA250" s="13" t="n">
        <x:v>-0.39223358681006526</x:v>
      </x:c>
      <x:c r="AB250" s="13" t="n">
        <x:v>-0.9845727684737859</x:v>
      </x:c>
      <x:c r="AC250" s="13" t="n">
        <x:v>-0.6980651016988949</x:v>
      </x:c>
      <x:c r="AD250" s="13" t="n">
        <x:v>3.1283541920698337</x:v>
      </x:c>
      <x:c r="AE250" s="13" t="n">
        <x:v>2.5566642159797284</x:v>
      </x:c>
      <x:c r="AF250" s="13" t="n">
        <x:v>-0.007979205132200469</x:v>
      </x:c>
      <x:c r="AG250" s="13" t="n">
        <x:v>1.0141756261136845</x:v>
      </x:c>
      <x:c r="AH250" s="13" t="n">
        <x:v>-1.6553386747029029</x:v>
      </x:c>
      <x:c r="AI250" s="13" t="n">
        <x:v>-1.658135364342005</x:v>
      </x:c>
      <x:c r="AJ250" s="13" t="n">
        <x:v>-0.02192853155833069</x:v>
      </x:c>
      <x:c r="AK250" s="13" t="n">
        <x:v>-0.15303654602921854</x:v>
      </x:c>
      <x:c r="AL250" s="13" t="n">
        <x:v>0.20892245277352095</x:v>
      </x:c>
      <x:c r="AM250" s="13" t="n">
        <x:v>-0.727660828318969</x:v>
      </x:c>
      <x:c r="AN250" s="13" t="n">
        <x:v>1.6029461102327767</x:v>
      </x:c>
      <x:c r="AO250" s="13" t="n">
        <x:v>0.9555010113397543</x:v>
      </x:c>
      <x:c r="AP250" s="13" t="n">
        <x:v>-0.6565791872131125</x:v>
      </x:c>
    </x:row>
    <x:row r="251" ht="15" hidden="0" customHeight="1">
      <x:c r="A251" s="2" t="str">
        <x:v>E250</x:v>
      </x:c>
      <x:c r="B251" s="2" t="str">
        <x:v>***塑料厂</x:v>
      </x:c>
      <x:c r="C251" s="2" t="str">
        <x:v>无信贷记录</x:v>
      </x:c>
      <x:c r="D251" s="2" t="str"/>
      <x:c r="E251" s="2" t="str"/>
      <x:c r="F251" s="13" t="n">
        <x:v>-0.40914733645474266</x:v>
      </x:c>
      <x:c r="G251" s="13" t="n">
        <x:v>-0.4067522066022764</x:v>
      </x:c>
      <x:c r="H251" s="13" t="n">
        <x:v>-0.3911540687123922</x:v>
      </x:c>
      <x:c r="I251" s="13" t="n">
        <x:v>-0.07434195954585855</x:v>
      </x:c>
      <x:c r="J251" s="13" t="n">
        <x:v>-0.378638967664766</x:v>
      </x:c>
      <x:c r="K251" s="13" t="n">
        <x:v>-0.3836426125030026</x:v>
      </x:c>
      <x:c r="L251" s="13" t="n">
        <x:v>-0.32853214893178034</x:v>
      </x:c>
      <x:c r="M251" s="13" t="n">
        <x:v>-0.10143841293507072</x:v>
      </x:c>
      <x:c r="N251" s="13" t="n">
        <x:v>1.5546610911246088</x:v>
      </x:c>
      <x:c r="O251" s="13" t="n">
        <x:v>-0.36898989357911555</x:v>
      </x:c>
      <x:c r="P251" s="13" t="n">
        <x:v>-0.1632615889224651</x:v>
      </x:c>
      <x:c r="Q251" s="13" t="n">
        <x:v>-0.40237911816460925</x:v>
      </x:c>
      <x:c r="R251" s="13" t="n">
        <x:v>-0.6834598855761687</x:v>
      </x:c>
      <x:c r="S251" s="13" t="n">
        <x:v>-0.31947374573701126</x:v>
      </x:c>
      <x:c r="T251" s="13" t="n">
        <x:v>0.918343412818586</x:v>
      </x:c>
      <x:c r="U251" s="13" t="n">
        <x:v>-0.14971854832046658</x:v>
      </x:c>
      <x:c r="V251" s="13" t="n">
        <x:v>-0.17662456607528781</x:v>
      </x:c>
      <x:c r="W251" s="13" t="n">
        <x:v>0.24897925554976177</x:v>
      </x:c>
      <x:c r="X251" s="13" t="n">
        <x:v>0.06399025834652636</x:v>
      </x:c>
      <x:c r="Y251" s="13" t="n">
        <x:v>-0.20530283920487427</x:v>
      </x:c>
      <x:c r="Z251" s="13" t="n">
        <x:v>-0.18692747085479358</x:v>
      </x:c>
      <x:c r="AA251" s="13" t="n">
        <x:v>-0.15489542615714103</x:v>
      </x:c>
      <x:c r="AB251" s="13" t="n">
        <x:v>0.2324912701388497</x:v>
      </x:c>
      <x:c r="AC251" s="13" t="n">
        <x:v>0.4173960086237261</x:v>
      </x:c>
      <x:c r="AD251" s="13" t="n">
        <x:v>-0.7555936162792182</x:v>
      </x:c>
      <x:c r="AE251" s="13" t="n">
        <x:v>-0.8799813960409493</x:v>
      </x:c>
      <x:c r="AF251" s="13" t="n">
        <x:v>-0.24049835100089384</x:v>
      </x:c>
      <x:c r="AG251" s="13" t="n">
        <x:v>-1.1949041826155464</x:v>
      </x:c>
      <x:c r="AH251" s="13" t="n">
        <x:v>-0.20080924410073706</x:v>
      </x:c>
      <x:c r="AI251" s="13" t="n">
        <x:v>1.058857825123154</x:v>
      </x:c>
      <x:c r="AJ251" s="13" t="n">
        <x:v>0.018558718812151483</x:v>
      </x:c>
      <x:c r="AK251" s="13" t="n">
        <x:v>-0.25773363962029827</x:v>
      </x:c>
      <x:c r="AL251" s="13" t="n">
        <x:v>0.5859031605958922</x:v>
      </x:c>
      <x:c r="AM251" s="13" t="n">
        <x:v>0.894863495070294</x:v>
      </x:c>
      <x:c r="AN251" s="13" t="n">
        <x:v>-0.7308915845713211</x:v>
      </x:c>
      <x:c r="AO251" s="13" t="n">
        <x:v>-1.026902423554933</x:v>
      </x:c>
      <x:c r="AP251" s="13" t="n">
        <x:v>-0.3007807916332425</x:v>
      </x:c>
    </x:row>
    <x:row r="252" ht="15" hidden="0" customHeight="1">
      <x:c r="A252" s="2" t="str">
        <x:v>E251</x:v>
      </x:c>
      <x:c r="B252" s="2" t="str">
        <x:v>***医疗器械有限责任公司</x:v>
      </x:c>
      <x:c r="C252" s="2" t="str">
        <x:v>无信贷记录</x:v>
      </x:c>
      <x:c r="D252" s="2" t="str"/>
      <x:c r="E252" s="2" t="str"/>
      <x:c r="F252" s="13" t="n">
        <x:v>0.06276920904667199</x:v>
      </x:c>
      <x:c r="G252" s="13" t="n">
        <x:v>0.03822147960751413</x:v>
      </x:c>
      <x:c r="H252" s="13" t="n">
        <x:v>0.5656562611622004</x:v>
      </x:c>
      <x:c r="I252" s="13" t="n">
        <x:v>0.5260036692514528</x:v>
      </x:c>
      <x:c r="J252" s="13" t="n">
        <x:v>-0.3673534358702876</x:v>
      </x:c>
      <x:c r="K252" s="13" t="n">
        <x:v>-0.3527070238389932</x:v>
      </x:c>
      <x:c r="L252" s="13" t="n">
        <x:v>0.36210209147615985</x:v>
      </x:c>
      <x:c r="M252" s="13" t="n">
        <x:v>1.5371780277771816</x:v>
      </x:c>
      <x:c r="N252" s="13" t="n">
        <x:v>1.111538548608466</x:v>
      </x:c>
      <x:c r="O252" s="13" t="n">
        <x:v>-0.832776059189694</x:v>
      </x:c>
      <x:c r="P252" s="13" t="n">
        <x:v>-0.9926514981065735</x:v>
      </x:c>
      <x:c r="Q252" s="13" t="n">
        <x:v>-0.33976708048527776</x:v>
      </x:c>
      <x:c r="R252" s="13" t="n">
        <x:v>-0.37199236003551556</x:v>
      </x:c>
      <x:c r="S252" s="13" t="n">
        <x:v>0.9435659259715776</x:v>
      </x:c>
      <x:c r="T252" s="13" t="n">
        <x:v>0.16487632701183103</x:v>
      </x:c>
      <x:c r="U252" s="13" t="n">
        <x:v>-0.3936980578396924</x:v>
      </x:c>
      <x:c r="V252" s="13" t="n">
        <x:v>-0.3931836584459812</x:v>
      </x:c>
      <x:c r="W252" s="13" t="n">
        <x:v>-0.32797377852891935</x:v>
      </x:c>
      <x:c r="X252" s="13" t="n">
        <x:v>-0.10148500662015238</x:v>
      </x:c>
      <x:c r="Y252" s="13" t="n">
        <x:v>-0.41784547202337</x:v>
      </x:c>
      <x:c r="Z252" s="13" t="n">
        <x:v>-0.35858277039028746</x:v>
      </x:c>
      <x:c r="AA252" s="13" t="n">
        <x:v>-0.074999411679919</x:v>
      </x:c>
      <x:c r="AB252" s="13" t="n">
        <x:v>0.05490800976984382</x:v>
      </x:c>
      <x:c r="AC252" s="13" t="n">
        <x:v>1.0117657973357796</x:v>
      </x:c>
      <x:c r="AD252" s="13" t="n">
        <x:v>-0.5118081959803582</x:v>
      </x:c>
      <x:c r="AE252" s="13" t="n">
        <x:v>-0.10262683083070731</x:v>
      </x:c>
      <x:c r="AF252" s="13" t="n">
        <x:v>-0.43973198814870884</x:v>
      </x:c>
      <x:c r="AG252" s="13" t="n">
        <x:v>1.2340986690702678</x:v>
      </x:c>
      <x:c r="AH252" s="13" t="n">
        <x:v>1.7604374494470267</x:v>
      </x:c>
      <x:c r="AI252" s="13" t="n">
        <x:v>-0.4505828356908232</x:v>
      </x:c>
      <x:c r="AJ252" s="13" t="n">
        <x:v>-0.34169522723272566</x:v>
      </x:c>
      <x:c r="AK252" s="13" t="n">
        <x:v>-0.10155920690448447</x:v>
      </x:c>
      <x:c r="AL252" s="13" t="n">
        <x:v>0.13867249077585472</x:v>
      </x:c>
      <x:c r="AM252" s="13" t="n">
        <x:v>0.5535903223494397</x:v>
      </x:c>
      <x:c r="AN252" s="13" t="n">
        <x:v>-0.9145200636106074</x:v>
      </x:c>
      <x:c r="AO252" s="13" t="n">
        <x:v>0.3279719301480861</x:v>
      </x:c>
      <x:c r="AP252" s="13" t="n">
        <x:v>1.4606783291005143</x:v>
      </x:c>
    </x:row>
    <x:row r="253" ht="15" hidden="0" customHeight="1">
      <x:c r="A253" s="2" t="str">
        <x:v>E252</x:v>
      </x:c>
      <x:c r="B253" s="2" t="str">
        <x:v>***印务有限公司</x:v>
      </x:c>
      <x:c r="C253" s="2" t="str">
        <x:v>无信贷记录</x:v>
      </x:c>
      <x:c r="D253" s="2" t="str"/>
      <x:c r="E253" s="2" t="str"/>
      <x:c r="F253" s="13" t="n">
        <x:v>-0.16855334125313737</x:v>
      </x:c>
      <x:c r="G253" s="13" t="n">
        <x:v>-0.17755239840369896</x:v>
      </x:c>
      <x:c r="H253" s="13" t="n">
        <x:v>0.04472619267492217</x:v>
      </x:c>
      <x:c r="I253" s="13" t="n">
        <x:v>-0.2887511126877555</x:v>
      </x:c>
      <x:c r="J253" s="13" t="n">
        <x:v>0.034646457903312694</x:v>
      </x:c>
      <x:c r="K253" s="13" t="n">
        <x:v>0.023169343116664663</x:v>
      </x:c>
      <x:c r="L253" s="13" t="n">
        <x:v>-0.37721121433498317</x:v>
      </x:c>
      <x:c r="M253" s="13" t="n">
        <x:v>0.973336505980022</x:v>
      </x:c>
      <x:c r="N253" s="13" t="n">
        <x:v>-0.24428170880698735</x:v>
      </x:c>
      <x:c r="O253" s="13" t="n">
        <x:v>-0.8032307231089096</x:v>
      </x:c>
      <x:c r="P253" s="13" t="n">
        <x:v>-1.101621235213303</x:v>
      </x:c>
      <x:c r="Q253" s="13" t="n">
        <x:v>0.009238712027924383</x:v>
      </x:c>
      <x:c r="R253" s="13" t="n">
        <x:v>-0.9100661724018223</x:v>
      </x:c>
      <x:c r="S253" s="13" t="n">
        <x:v>-0.6399772735327084</x:v>
      </x:c>
      <x:c r="T253" s="13" t="n">
        <x:v>0.8241600270927416</x:v>
      </x:c>
      <x:c r="U253" s="13" t="n">
        <x:v>-0.27460654779359084</x:v>
      </x:c>
      <x:c r="V253" s="13" t="n">
        <x:v>-0.25685241635769496</x:v>
      </x:c>
      <x:c r="W253" s="13" t="n">
        <x:v>-0.45535301981901777</x:v>
      </x:c>
      <x:c r="X253" s="13" t="n">
        <x:v>-0.18422263910349174</x:v>
      </x:c>
      <x:c r="Y253" s="13" t="n">
        <x:v>-0.13678272535753025</x:v>
      </x:c>
      <x:c r="Z253" s="13" t="n">
        <x:v>-0.14270651465916187</x:v>
      </x:c>
      <x:c r="AA253" s="13" t="n">
        <x:v>-0.30293804121787593</x:v>
      </x:c>
      <x:c r="AB253" s="13" t="n">
        <x:v>-0.6533410923773678</x:v>
      </x:c>
      <x:c r="AC253" s="13" t="n">
        <x:v>-0.05079559861033334</x:v>
      </x:c>
      <x:c r="AD253" s="13" t="n">
        <x:v>-0.4479861699072839</x:v>
      </x:c>
      <x:c r="AE253" s="13" t="n">
        <x:v>-0.6236967790360728</x:v>
      </x:c>
      <x:c r="AF253" s="13" t="n">
        <x:v>-0.16440559529552895</x:v>
      </x:c>
      <x:c r="AG253" s="13" t="n">
        <x:v>-0.02318552376974617</x:v>
      </x:c>
      <x:c r="AH253" s="13" t="n">
        <x:v>-0.5303093866659621</x:v>
      </x:c>
      <x:c r="AI253" s="13" t="n">
        <x:v>0.9582284477355555</x:v>
      </x:c>
      <x:c r="AJ253" s="13" t="n">
        <x:v>-0.1864943305640475</x:v>
      </x:c>
      <x:c r="AK253" s="13" t="n">
        <x:v>-0.10944508722282822</x:v>
      </x:c>
      <x:c r="AL253" s="13" t="n">
        <x:v>-0.36355260422699676</x:v>
      </x:c>
      <x:c r="AM253" s="13" t="n">
        <x:v>-0.20284503519128536</x:v>
      </x:c>
      <x:c r="AN253" s="13" t="n">
        <x:v>-0.8538179145596575</x:v>
      </x:c>
      <x:c r="AO253" s="13" t="n">
        <x:v>-0.6288537968591118</x:v>
      </x:c>
      <x:c r="AP253" s="13" t="n">
        <x:v>-0.6630641843529393</x:v>
      </x:c>
    </x:row>
    <x:row r="254" ht="15" hidden="0" customHeight="1">
      <x:c r="A254" s="2" t="str">
        <x:v>E253</x:v>
      </x:c>
      <x:c r="B254" s="2" t="str">
        <x:v>***钢结构工程有限公司</x:v>
      </x:c>
      <x:c r="C254" s="2" t="str">
        <x:v>无信贷记录</x:v>
      </x:c>
      <x:c r="D254" s="2" t="str"/>
      <x:c r="E254" s="2" t="str"/>
      <x:c r="F254" s="13" t="n">
        <x:v>-0.039216684873083635</x:v>
      </x:c>
      <x:c r="G254" s="13" t="n">
        <x:v>-0.038018623956447825</x:v>
      </x:c>
      <x:c r="H254" s="13" t="n">
        <x:v>-0.0828485179750235</x:v>
      </x:c>
      <x:c r="I254" s="13" t="n">
        <x:v>-0.2458692820593761</x:v>
      </x:c>
      <x:c r="J254" s="13" t="n">
        <x:v>-0.17274351977206326</x:v>
      </x:c>
      <x:c r="K254" s="13" t="n">
        <x:v>-0.1807486775974023</x:v>
      </x:c>
      <x:c r="L254" s="13" t="n">
        <x:v>0.25865907749435385</x:v>
      </x:c>
      <x:c r="M254" s="13" t="n">
        <x:v>0.12166146694535537</x:v>
      </x:c>
      <x:c r="N254" s="13" t="n">
        <x:v>-0.2701239576932645</x:v>
      </x:c>
      <x:c r="O254" s="13" t="n">
        <x:v>-0.665752371631936</x:v>
      </x:c>
      <x:c r="P254" s="13" t="n">
        <x:v>-0.4652912632605084</x:v>
      </x:c>
      <x:c r="Q254" s="13" t="n">
        <x:v>-0.1839658198285891</x:v>
      </x:c>
      <x:c r="R254" s="13" t="n">
        <x:v>-0.6026582195665883</x:v>
      </x:c>
      <x:c r="S254" s="13" t="n">
        <x:v>0.4798987054996835</x:v>
      </x:c>
      <x:c r="T254" s="13" t="n">
        <x:v>0.44742648418936415</x:v>
      </x:c>
      <x:c r="U254" s="13" t="n">
        <x:v>-0.35891912127755654</x:v>
      </x:c>
      <x:c r="V254" s="13" t="n">
        <x:v>-0.3684981660513944</x:v>
      </x:c>
      <x:c r="W254" s="13" t="n">
        <x:v>-0.16313005450643903</x:v>
      </x:c>
      <x:c r="X254" s="13" t="n">
        <x:v>-0.32901349594933565</x:v>
      </x:c>
      <x:c r="Y254" s="13" t="n">
        <x:v>-0.317990128907054</x:v>
      </x:c>
      <x:c r="Z254" s="13" t="n">
        <x:v>-0.29363700046479735</x:v>
      </x:c>
      <x:c r="AA254" s="13" t="n">
        <x:v>-0.1337464811484646</x:v>
      </x:c>
      <x:c r="AB254" s="13" t="n">
        <x:v>0.34544748948507986</x:v>
      </x:c>
      <x:c r="AC254" s="13" t="n">
        <x:v>-0.38236856104154937</x:v>
      </x:c>
      <x:c r="AD254" s="13" t="n">
        <x:v>-0.8701143174764537</x:v>
      </x:c>
      <x:c r="AE254" s="13" t="n">
        <x:v>-1.1136931530707073</x:v>
      </x:c>
      <x:c r="AF254" s="13" t="n">
        <x:v>-0.3419146439667759</x:v>
      </x:c>
      <x:c r="AG254" s="13" t="n">
        <x:v>-0.3357394175568672</x:v>
      </x:c>
      <x:c r="AH254" s="13" t="n">
        <x:v>0.5754066003470625</x:v>
      </x:c>
      <x:c r="AI254" s="13" t="n">
        <x:v>0.857599070347957</x:v>
      </x:c>
      <x:c r="AJ254" s="13" t="n">
        <x:v>-0.32645285099078614</x:v>
      </x:c>
      <x:c r="AK254" s="13" t="n">
        <x:v>-0.0639236837180781</x:v>
      </x:c>
      <x:c r="AL254" s="13" t="n">
        <x:v>-0.14251979137782306</x:v>
      </x:c>
      <x:c r="AM254" s="13" t="n">
        <x:v>-0.47097520298113155</x:v>
      </x:c>
      <x:c r="AN254" s="13" t="n">
        <x:v>-1.0154446780021542</x:v>
      </x:c>
      <x:c r="AO254" s="13" t="n">
        <x:v>-0.5675813463941218</x:v>
      </x:c>
      <x:c r="AP254" s="13" t="n">
        <x:v>0.5798329290496484</x:v>
      </x:c>
    </x:row>
    <x:row r="255" ht="15" hidden="0" customHeight="1">
      <x:c r="A255" s="2" t="str">
        <x:v>E254</x:v>
      </x:c>
      <x:c r="B255" s="2" t="str">
        <x:v>***设备安装工程有限公司</x:v>
      </x:c>
      <x:c r="C255" s="2" t="str">
        <x:v>无信贷记录</x:v>
      </x:c>
      <x:c r="D255" s="2" t="str"/>
      <x:c r="E255" s="2" t="str"/>
      <x:c r="F255" s="13" t="n">
        <x:v>-0.5027889299628819</x:v>
      </x:c>
      <x:c r="G255" s="13" t="n">
        <x:v>-0.49833623038036906</x:v>
      </x:c>
      <x:c r="H255" s="13" t="n">
        <x:v>-0.5080975534748424</x:v>
      </x:c>
      <x:c r="I255" s="13" t="n">
        <x:v>-0.46027843520127304</x:v>
      </x:c>
      <x:c r="J255" s="13" t="n">
        <x:v>-0.49798443786903757</x:v>
      </x:c>
      <x:c r="K255" s="13" t="n">
        <x:v>-0.5016825557938437</x:v>
      </x:c>
      <x:c r="L255" s="13" t="n">
        <x:v>-0.5962670086493959</x:v>
      </x:c>
      <x:c r="M255" s="13" t="n">
        <x:v>-0.9890774777723055</x:v>
      </x:c>
      <x:c r="N255" s="13" t="n">
        <x:v>-0.7216149855326618</x:v>
      </x:c>
      <x:c r="O255" s="13" t="n">
        <x:v>-0.11308902142008544</x:v>
      </x:c>
      <x:c r="P255" s="13" t="n">
        <x:v>-0.12563098416683083</x:v>
      </x:c>
      <x:c r="Q255" s="13" t="n">
        <x:v>-0.5128824759176619</x:v>
      </x:c>
      <x:c r="R255" s="13" t="n">
        <x:v>1.2719972766475076</x:v>
      </x:c>
      <x:c r="S255" s="13" t="n">
        <x:v>1.4608954761244517</x:v>
      </x:c>
      <x:c r="T255" s="13" t="n">
        <x:v>-0.023490444439857705</x:v>
      </x:c>
      <x:c r="U255" s="13" t="n">
        <x:v>-0.2999003198387805</x:v>
      </x:c>
      <x:c r="V255" s="13" t="n">
        <x:v>-0.2910754853592812</x:v>
      </x:c>
      <x:c r="W255" s="13" t="n">
        <x:v>-0.35794536471482485</x:v>
      </x:c>
      <x:c r="X255" s="13" t="n">
        <x:v>-0.3496979040701705</x:v>
      </x:c>
      <x:c r="Y255" s="13" t="n">
        <x:v>-0.19718954345538003</x:v>
      </x:c>
      <x:c r="Z255" s="13" t="n">
        <x:v>-0.20001640503038498</x:v>
      </x:c>
      <x:c r="AA255" s="13" t="n">
        <x:v>-0.3452359312352288</x:v>
      </x:c>
      <x:c r="AB255" s="13" t="n">
        <x:v>-0.400008379567498</x:v>
      </x:c>
      <x:c r="AC255" s="13" t="n">
        <x:v>-0.5512939029722342</x:v>
      </x:c>
      <x:c r="AD255" s="13" t="n">
        <x:v>0.08984732132238883</x:v>
      </x:c>
      <x:c r="AE255" s="13" t="n">
        <x:v>0.3270271358955534</x:v>
      </x:c>
      <x:c r="AF255" s="13" t="n">
        <x:v>-0.2235795396475094</x:v>
      </x:c>
      <x:c r="AG255" s="13" t="n">
        <x:v>-0.3284319211471986</x:v>
      </x:c>
      <x:c r="AH255" s="13" t="n">
        <x:v>-0.27090225999182505</x:v>
      </x:c>
      <x:c r="AI255" s="13" t="n">
        <x:v>0.5557109381851616</x:v>
      </x:c>
      <x:c r="AJ255" s="13" t="n">
        <x:v>0.12392090166051187</x:v>
      </x:c>
      <x:c r="AK255" s="13" t="n">
        <x:v>-0.3095390674885566</x:v>
      </x:c>
      <x:c r="AL255" s="13" t="n">
        <x:v>-0.3517861074372779</x:v>
      </x:c>
      <x:c r="AM255" s="13" t="n">
        <x:v>-0.6116950085097921</x:v>
      </x:c>
      <x:c r="AN255" s="13" t="n">
        <x:v>-0.024399898556636195</x:v>
      </x:c>
      <x:c r="AO255" s="13" t="n">
        <x:v>0.7069636859921522</x:v>
      </x:c>
      <x:c r="AP255" s="13" t="n">
        <x:v>0.7545801806874907</x:v>
      </x:c>
    </x:row>
    <x:row r="256" ht="15" hidden="0" customHeight="1">
      <x:c r="A256" s="2" t="str">
        <x:v>E255</x:v>
      </x:c>
      <x:c r="B256" s="2" t="str">
        <x:v>个体经营E255 </x:v>
      </x:c>
      <x:c r="C256" s="2" t="str">
        <x:v>无信贷记录</x:v>
      </x:c>
      <x:c r="D256" s="2" t="str"/>
      <x:c r="E256" s="2" t="str"/>
      <x:c r="F256" s="13" t="n">
        <x:v>0.025683429439488124</x:v>
      </x:c>
      <x:c r="G256" s="13" t="n">
        <x:v>0.0267135394469161</x:v>
      </x:c>
      <x:c r="H256" s="13" t="n">
        <x:v>-0.029692388537546143</x:v>
      </x:c>
      <x:c r="I256" s="13" t="n">
        <x:v>-0.16010562080261734</x:v>
      </x:c>
      <x:c r="J256" s="13" t="n">
        <x:v>-0.3139458348686007</x:v>
      </x:c>
      <x:c r="K256" s="13" t="n">
        <x:v>-0.3093734051505523</x:v>
      </x:c>
      <x:c r="L256" s="13" t="n">
        <x:v>0.23431954479275244</x:v>
      </x:c>
      <x:c r="M256" s="13" t="n">
        <x:v>0.1316935371763614</x:v>
      </x:c>
      <x:c r="N256" s="13" t="n">
        <x:v>-0.1536385940869166</x:v>
      </x:c>
      <x:c r="O256" s="13" t="n">
        <x:v>-0.5061349321892742</x:v>
      </x:c>
      <x:c r="P256" s="13" t="n">
        <x:v>-0.4521492989255649</x:v>
      </x:c>
      <x:c r="Q256" s="13" t="n">
        <x:v>-0.31152562307803316</x:v>
      </x:c>
      <x:c r="R256" s="13" t="n">
        <x:v>-0.3277139380399724</x:v>
      </x:c>
      <x:c r="S256" s="13" t="n">
        <x:v>-0.39735250423554963</x:v>
      </x:c>
      <x:c r="T256" s="13" t="n">
        <x:v>0.5416098699152085</x:v>
      </x:c>
      <x:c r="U256" s="13" t="n">
        <x:v>-0.22296509653466182</x:v>
      </x:c>
      <x:c r="V256" s="13" t="n">
        <x:v>-0.21084763507687407</x:v>
      </x:c>
      <x:c r="W256" s="13" t="n">
        <x:v>-0.33546667507539574</x:v>
      </x:c>
      <x:c r="X256" s="13" t="n">
        <x:v>0.2294655233132051</x:v>
      </x:c>
      <x:c r="Y256" s="13" t="n">
        <x:v>-0.13739544486602576</x:v>
      </x:c>
      <x:c r="Z256" s="13" t="n">
        <x:v>-0.12937723549507696</x:v>
      </x:c>
      <x:c r="AA256" s="13" t="n">
        <x:v>-0.35228557957145423</x:v>
      </x:c>
      <x:c r="AB256" s="13" t="n">
        <x:v>-0.5028070044238447</x:v>
      </x:c>
      <x:c r="AC256" s="13" t="n">
        <x:v>0.9779198720746594</x:v>
      </x:c>
      <x:c r="AD256" s="13" t="n">
        <x:v>0.8280031412085374</x:v>
      </x:c>
      <x:c r="AE256" s="13" t="n">
        <x:v>1.048281428200536</x:v>
      </x:c>
      <x:c r="AF256" s="13" t="n">
        <x:v>-0.1536884931016784</x:v>
      </x:c>
      <x:c r="AG256" s="13" t="n">
        <x:v>-0.21233718054439288</x:v>
      </x:c>
      <x:c r="AH256" s="13" t="n">
        <x:v>-0.3976887031408173</x:v>
      </x:c>
      <x:c r="AI256" s="13" t="n">
        <x:v>0.6563403155727601</x:v>
      </x:c>
      <x:c r="AJ256" s="13" t="n">
        <x:v>0.0810433097306854</x:v>
      </x:c>
      <x:c r="AK256" s="13" t="n">
        <x:v>-0.24378726187964525</x:v>
      </x:c>
      <x:c r="AL256" s="13" t="n">
        <x:v>-0.512665277068751</x:v>
      </x:c>
      <x:c r="AM256" s="13" t="n">
        <x:v>0.34535735397018974</x:v>
      </x:c>
      <x:c r="AN256" s="13" t="n">
        <x:v>0.14824252905502588</x:v>
      </x:c>
      <x:c r="AO256" s="13" t="n">
        <x:v>-0.3230528580702714</x:v>
      </x:c>
      <x:c r="AP256" s="13" t="n">
        <x:v>-0.4476413608234949</x:v>
      </x:c>
    </x:row>
    <x:row r="257" ht="15" hidden="0" customHeight="1">
      <x:c r="A257" s="2" t="str">
        <x:v>E256</x:v>
      </x:c>
      <x:c r="B257" s="2" t="str">
        <x:v>***物资有限公司</x:v>
      </x:c>
      <x:c r="C257" s="2" t="str">
        <x:v>无信贷记录</x:v>
      </x:c>
      <x:c r="D257" s="2" t="str"/>
      <x:c r="E257" s="2" t="str"/>
      <x:c r="F257" s="13" t="n">
        <x:v>-0.4828553234240206</x:v>
      </x:c>
      <x:c r="G257" s="13" t="n">
        <x:v>-0.4820333151528552</x:v>
      </x:c>
      <x:c r="H257" s="13" t="n">
        <x:v>-0.4124165204873832</x:v>
      </x:c>
      <x:c r="I257" s="13" t="n">
        <x:v>-0.33163294331613485</x:v>
      </x:c>
      <x:c r="J257" s="13" t="n">
        <x:v>-0.3323633104929808</x:v>
      </x:c>
      <x:c r="K257" s="13" t="n">
        <x:v>-0.33850330160060527</x:v>
      </x:c>
      <x:c r="L257" s="13" t="n">
        <x:v>-0.5506303848338933</x:v>
      </x:c>
      <x:c r="M257" s="13" t="n">
        <x:v>0.22033404343175036</x:v>
      </x:c>
      <x:c r="N257" s="13" t="n">
        <x:v>0.47834783512493645</x:v>
      </x:c>
      <x:c r="O257" s="13" t="n">
        <x:v>-0.7174457301435053</x:v>
      </x:c>
      <x:c r="P257" s="13" t="n">
        <x:v>-0.7665042832908635</x:v>
      </x:c>
      <x:c r="Q257" s="13" t="n">
        <x:v>-0.35188756316468356</x:v>
      </x:c>
      <x:c r="R257" s="13" t="n">
        <x:v>-0.7451256595113974</x:v>
      </x:c>
      <x:c r="S257" s="13" t="n">
        <x:v>-0.8125259184967357</x:v>
      </x:c>
      <x:c r="T257" s="13" t="n">
        <x:v>0.8241600270927416</x:v>
      </x:c>
      <x:c r="U257" s="13" t="n">
        <x:v>-0.0754180929377218</x:v>
      </x:c>
      <x:c r="V257" s="13" t="n">
        <x:v>-0.046464697085648286</x:v>
      </x:c>
      <x:c r="W257" s="13" t="n">
        <x:v>-0.43287433017958865</x:v>
      </x:c>
      <x:c r="X257" s="13" t="n">
        <x:v>-0.22559145534516142</x:v>
      </x:c>
      <x:c r="Y257" s="13" t="n">
        <x:v>-0.23145788067132989</x:v>
      </x:c>
      <x:c r="Z257" s="13" t="n">
        <x:v>-0.22692701000522733</x:v>
      </x:c>
      <x:c r="AA257" s="13" t="n">
        <x:v>0.09889191394697597</x:v>
      </x:c>
      <x:c r="AB257" s="13" t="n">
        <x:v>-0.7770218030933549</x:v>
      </x:c>
      <x:c r="AC257" s="13" t="n">
        <x:v>-0.39794103614123905</x:v>
      </x:c>
      <x:c r="AD257" s="13" t="n">
        <x:v>-0.8299262711099702</x:v>
      </x:c>
      <x:c r="AE257" s="13" t="n">
        <x:v>-0.9773230370659687</x:v>
      </x:c>
      <x:c r="AF257" s="13" t="n">
        <x:v>-0.25714847678581065</x:v>
      </x:c>
      <x:c r="AG257" s="13" t="n">
        <x:v>-1.3618772862157669</x:v>
      </x:c>
      <x:c r="AH257" s="13" t="n">
        <x:v>-0.3640721241016312</x:v>
      </x:c>
      <x:c r="AI257" s="13" t="n">
        <x:v>0.9582284477355555</x:v>
      </x:c>
      <x:c r="AJ257" s="13" t="n">
        <x:v>-0.06035365157603944</x:v>
      </x:c>
      <x:c r="AK257" s="13" t="n">
        <x:v>-0.22053779601692977</x:v>
      </x:c>
      <x:c r="AL257" s="13" t="n">
        <x:v>-0.7146991074282444</x:v>
      </x:c>
      <x:c r="AM257" s="13" t="n">
        <x:v>-0.22511544826737584</x:v>
      </x:c>
      <x:c r="AN257" s="13" t="n">
        <x:v>-1.0278738447984164</x:v>
      </x:c>
      <x:c r="AO257" s="13" t="n">
        <x:v>-1.1483158929014299</x:v>
      </x:c>
      <x:c r="AP257" s="13" t="n">
        <x:v>-0.685048312996287</x:v>
      </x:c>
    </x:row>
    <x:row r="258" ht="15" hidden="0" customHeight="1">
      <x:c r="A258" s="2" t="str">
        <x:v>E257</x:v>
      </x:c>
      <x:c r="B258" s="2" t="str">
        <x:v>***门窗安装有限公司</x:v>
      </x:c>
      <x:c r="C258" s="2" t="str">
        <x:v>无信贷记录</x:v>
      </x:c>
      <x:c r="D258" s="2" t="str"/>
      <x:c r="E258" s="2" t="str"/>
      <x:c r="F258" s="13" t="n">
        <x:v>-0.44947812177755514</x:v>
      </x:c>
      <x:c r="G258" s="13" t="n">
        <x:v>-0.449906982204519</x:v>
      </x:c>
      <x:c r="H258" s="13" t="n">
        <x:v>-0.3592603910499058</x:v>
      </x:c>
      <x:c r="I258" s="13" t="n">
        <x:v>-0.37451477394451427</x:v>
      </x:c>
      <x:c r="J258" s="13" t="n">
        <x:v>-0.2221860597302751</x:v>
      </x:c>
      <x:c r="K258" s="13" t="n">
        <x:v>-0.2266273462759541</x:v>
      </x:c>
      <x:c r="L258" s="13" t="n">
        <x:v>-0.4167629549750855</x:v>
      </x:c>
      <x:c r="M258" s="13" t="n">
        <x:v>0.4852709191892069</x:v>
      </x:c>
      <x:c r="N258" s="13" t="n">
        <x:v>-0.08068528903898915</x:v>
      </x:c>
      <x:c r="O258" s="13" t="n">
        <x:v>-0.8039774943400398</x:v>
      </x:c>
      <x:c r="P258" s="13" t="n">
        <x:v>-0.9780485724762493</x:v>
      </x:c>
      <x:c r="Q258" s="13" t="n">
        <x:v>-0.1635974833291377</x:v>
      </x:c>
      <x:c r="R258" s="13" t="n">
        <x:v>-0.5114450620011255</x:v>
      </x:c>
      <x:c r="S258" s="13" t="n">
        <x:v>-0.39239210482537634</x:v>
      </x:c>
      <x:c r="T258" s="13" t="n">
        <x:v>0.07069294128598666</x:v>
      </x:c>
      <x:c r="U258" s="13" t="n">
        <x:v>-0.36945819296305227</x:v>
      </x:c>
      <x:c r="V258" s="13" t="n">
        <x:v>-0.3690591999694532</x:v>
      </x:c>
      <x:c r="W258" s="13" t="n">
        <x:v>-0.30549508888949023</x:v>
      </x:c>
      <x:c r="X258" s="13" t="n">
        <x:v>-0.1635382309826569</x:v>
      </x:c>
      <x:c r="Y258" s="13" t="n">
        <x:v>-0.30682847736060803</x:v>
      </x:c>
      <x:c r="Z258" s="13" t="n">
        <x:v>-0.27446044044064066</x:v>
      </x:c>
      <x:c r="AA258" s="13" t="n">
        <x:v>-0.3005881584391341</x:v>
      </x:c>
      <x:c r="AB258" s="13" t="n">
        <x:v>-0.01340267551552342</x:v>
      </x:c>
      <x:c r="AC258" s="13" t="n">
        <x:v>0.46314047056124685</x:v>
      </x:c>
      <x:c r="AD258" s="13" t="n">
        <x:v>-0.5804360099864672</x:v>
      </x:c>
      <x:c r="AE258" s="13" t="n">
        <x:v>-0.6403210567799852</x:v>
      </x:c>
      <x:c r="AF258" s="13" t="n">
        <x:v>-0.27464283549088025</x:v>
      </x:c>
      <x:c r="AG258" s="13" t="n">
        <x:v>-0.4551962260868962</x:v>
      </x:c>
      <x:c r="AH258" s="13" t="n">
        <x:v>-0.6105947834893976</x:v>
      </x:c>
      <x:c r="AI258" s="13" t="n">
        <x:v>0.2538228060223661</x:v>
      </x:c>
      <x:c r="AJ258" s="13" t="n">
        <x:v>-0.26990082253050535</x:v>
      </x:c>
      <x:c r="AK258" s="13" t="n">
        <x:v>-0.11977871420349492</x:v>
      </x:c>
      <x:c r="AL258" s="13" t="n">
        <x:v>0.17375839197357107</x:v>
      </x:c>
      <x:c r="AM258" s="13" t="n">
        <x:v>0.3868995509581206</x:v>
      </x:c>
      <x:c r="AN258" s="13" t="n">
        <x:v>-0.9361506511306072</x:v>
      </x:c>
      <x:c r="AO258" s="13" t="n">
        <x:v>-0.5619802346475419</x:v>
      </x:c>
      <x:c r="AP258" s="13" t="n">
        <x:v>-0.5518256170965835</x:v>
      </x:c>
    </x:row>
    <x:row r="259" ht="15" hidden="0" customHeight="1">
      <x:c r="A259" s="2" t="str">
        <x:v>E258</x:v>
      </x:c>
      <x:c r="B259" s="2" t="str">
        <x:v>***国际货运有限公司</x:v>
      </x:c>
      <x:c r="C259" s="2" t="str">
        <x:v>无信贷记录</x:v>
      </x:c>
      <x:c r="D259" s="2" t="str"/>
      <x:c r="E259" s="2" t="str"/>
      <x:c r="F259" s="13" t="n">
        <x:v>0.4619049120689883</x:v>
      </x:c>
      <x:c r="G259" s="13" t="n">
        <x:v>0.45922029048272545</x:v>
      </x:c>
      <x:c r="H259" s="13" t="n">
        <x:v>0.38492542107477734</x:v>
      </x:c>
      <x:c r="I259" s="13" t="n">
        <x:v>0.5260036692514528</x:v>
      </x:c>
      <x:c r="J259" s="13" t="n">
        <x:v>-0.2575468764752517</x:v>
      </x:c>
      <x:c r="K259" s="13" t="n">
        <x:v>-0.25524395860448534</x:v>
      </x:c>
      <x:c r="L259" s="13" t="n">
        <x:v>0.04264572476764127</x:v>
      </x:c>
      <x:c r="M259" s="13" t="n">
        <x:v>0.25701616275704814</x:v>
      </x:c>
      <x:c r="N259" s="13" t="n">
        <x:v>0.39075538560984974</x:v>
      </x:c>
      <x:c r="O259" s="13" t="n">
        <x:v>-0.7398025319604565</x:v>
      </x:c>
      <x:c r="P259" s="13" t="n">
        <x:v>-0.7762297218925192</x:v>
      </x:c>
      <x:c r="Q259" s="13" t="n">
        <x:v>-0.2863637903615167</x:v>
      </x:c>
      <x:c r="R259" s="13" t="n">
        <x:v>-0.9359711969019089</x:v>
      </x:c>
      <x:c r="S259" s="13" t="n">
        <x:v>-0.6359034240110837</x:v>
      </x:c>
      <x:c r="T259" s="13" t="n">
        <x:v>0.918343412818586</x:v>
      </x:c>
      <x:c r="U259" s="13" t="n">
        <x:v>0.7550607558793405</x:v>
      </x:c>
      <x:c r="V259" s="13" t="n">
        <x:v>0.7883537729858328</x:v>
      </x:c>
      <x:c r="W259" s="13" t="n">
        <x:v>0.22650056591033263</x:v>
      </x:c>
      <x:c r="X259" s="13" t="n">
        <x:v>0.6845225019715716</x:v>
      </x:c>
      <x:c r="Y259" s="13" t="n">
        <x:v>0.11144513014089266</x:v>
      </x:c>
      <x:c r="Z259" s="13" t="n">
        <x:v>0.0505316073394518</x:v>
      </x:c>
      <x:c r="AA259" s="13" t="n">
        <x:v>0.06129378948710679</x:v>
      </x:c>
      <x:c r="AB259" s="13" t="n">
        <x:v>-0.639060841269672</x:v>
      </x:c>
      <x:c r="AC259" s="13" t="n">
        <x:v>0.03307747481509195</x:v>
      </x:c>
      <x:c r="AD259" s="13" t="n">
        <x:v>-0.3305032552356906</x:v>
      </x:c>
      <x:c r="AE259" s="13" t="n">
        <x:v>0.023131908115688764</x:v>
      </x:c>
      <x:c r="AF259" s="13" t="n">
        <x:v>0.061619596577559985</x:v>
      </x:c>
      <x:c r="AG259" s="13" t="n">
        <x:v>-0.4864226278135752</x:v>
      </x:c>
      <x:c r="AH259" s="13" t="n">
        <x:v>-1.4917569500136154</x:v>
      </x:c>
      <x:c r="AI259" s="13" t="n">
        <x:v>1.058857825123154</x:v>
      </x:c>
      <x:c r="AJ259" s="13" t="n">
        <x:v>0.4491931969475895</x:v>
      </x:c>
      <x:c r="AK259" s="13" t="n">
        <x:v>-0.2640730265963001</x:v>
      </x:c>
      <x:c r="AL259" s="13" t="n">
        <x:v>-0.5315783107638387</x:v>
      </x:c>
      <x:c r="AM259" s="13" t="n">
        <x:v>0.1741437909159092</x:v>
      </x:c>
      <x:c r="AN259" s="13" t="n">
        <x:v>-0.7355632704696978</x:v>
      </x:c>
      <x:c r="AO259" s="13" t="n">
        <x:v>-0.8645316676245036</x:v>
      </x:c>
      <x:c r="AP259" s="13" t="n">
        <x:v>-1.1447693892162834</x:v>
      </x:c>
    </x:row>
    <x:row r="260" ht="15" hidden="0" customHeight="1">
      <x:c r="A260" s="2" t="str">
        <x:v>E259</x:v>
      </x:c>
      <x:c r="B260" s="2" t="str">
        <x:v>***文化传媒有限公司</x:v>
      </x:c>
      <x:c r="C260" s="2" t="str">
        <x:v>无信贷记录</x:v>
      </x:c>
      <x:c r="D260" s="2" t="str"/>
      <x:c r="E260" s="2" t="str"/>
      <x:c r="F260" s="13" t="n">
        <x:v>0.5286593153619192</x:v>
      </x:c>
      <x:c r="G260" s="13" t="n">
        <x:v>0.5014160710715849</x:v>
      </x:c>
      <x:c r="H260" s="13" t="n">
        <x:v>0.9802740707745239</x:v>
      </x:c>
      <x:c r="I260" s="13" t="n">
        <x:v>0.48312183862307345</x:v>
      </x:c>
      <x:c r="J260" s="13" t="n">
        <x:v>-0.17576259036590194</x:v>
      </x:c>
      <x:c r="K260" s="13" t="n">
        <x:v>-0.17914860835626212</x:v>
      </x:c>
      <x:c r="L260" s="13" t="n">
        <x:v>0.8793171613851899</x:v>
      </x:c>
      <x:c r="M260" s="13" t="n">
        <x:v>1.0480987820242644</x:v>
      </x:c>
      <x:c r="N260" s="13" t="n">
        <x:v>0.3020499799572325</x:v>
      </x:c>
      <x:c r="O260" s="13" t="n">
        <x:v>-0.9447543868322555</x:v>
      </x:c>
      <x:c r="P260" s="13" t="n">
        <x:v>-1.2608425291070806</x:v>
      </x:c>
      <x:c r="Q260" s="13" t="n">
        <x:v>-0.19779729194632434</x:v>
      </x:c>
      <x:c r="R260" s="13" t="n">
        <x:v>-0.8586324349190325</x:v>
      </x:c>
      <x:c r="S260" s="13" t="n">
        <x:v>0.17815779643350801</x:v>
      </x:c>
      <x:c r="T260" s="13" t="n">
        <x:v>0.8241600270927416</x:v>
      </x:c>
      <x:c r="U260" s="13" t="n">
        <x:v>-0.12864040494947515</x:v>
      </x:c>
      <x:c r="V260" s="13" t="n">
        <x:v>-0.15025597192652465</x:v>
      </x:c>
      <x:c r="W260" s="13" t="n">
        <x:v>0.19652897972442712</x:v>
      </x:c>
      <x:c r="X260" s="13" t="n">
        <x:v>-0.060116190378482696</x:v>
      </x:c>
      <x:c r="Y260" s="13" t="n">
        <x:v>-0.24075313557348005</x:v>
      </x:c>
      <x:c r="Z260" s="13" t="n">
        <x:v>-0.22318293717517917</x:v>
      </x:c>
      <x:c r="AA260" s="13" t="n">
        <x:v>0.12474062451313603</x:v>
      </x:c>
      <x:c r="AB260" s="13" t="n">
        <x:v>0.10062492200842488</x:v>
      </x:c>
      <x:c r="AC260" s="13" t="n">
        <x:v>0.05924937207035278</x:v>
      </x:c>
      <x:c r="AD260" s="13" t="n">
        <x:v>-0.9526982164120849</x:v>
      </x:c>
      <x:c r="AE260" s="13" t="n">
        <x:v>-1.2186643029657331</x:v>
      </x:c>
      <x:c r="AF260" s="13" t="n">
        <x:v>-0.2662540200611795</x:v>
      </x:c>
      <x:c r="AG260" s="13" t="n">
        <x:v>-0.9546688845726011</x:v>
      </x:c>
      <x:c r="AH260" s="13" t="n">
        <x:v>-0.08666204930486693</x:v>
      </x:c>
      <x:c r="AI260" s="13" t="n">
        <x:v>0.9582284477355555</x:v>
      </x:c>
      <x:c r="AJ260" s="13" t="n">
        <x:v>-0.19637184993578324</x:v>
      </x:c>
      <x:c r="AK260" s="13" t="n">
        <x:v>-0.1401435478682099</x:v>
      </x:c>
      <x:c r="AL260" s="13" t="n">
        <x:v>0.07240178815805419</x:v>
      </x:c>
      <x:c r="AM260" s="13" t="n">
        <x:v>-0.04387824935905683</x:v>
      </x:c>
      <x:c r="AN260" s="13" t="n">
        <x:v>-1.206684152073725</x:v>
      </x:c>
      <x:c r="AO260" s="13" t="n">
        <x:v>-1.0325639463230412</x:v>
      </x:c>
      <x:c r="AP260" s="13" t="n">
        <x:v>0.06155659921369904</x:v>
      </x:c>
    </x:row>
    <x:row r="261" ht="15" hidden="0" customHeight="1">
      <x:c r="A261" s="2" t="str">
        <x:v>E260</x:v>
      </x:c>
      <x:c r="B261" s="2" t="str">
        <x:v>***广告有限公司</x:v>
      </x:c>
      <x:c r="C261" s="2" t="str">
        <x:v>无信贷记录</x:v>
      </x:c>
      <x:c r="D261" s="2" t="str"/>
      <x:c r="E261" s="2" t="str"/>
      <x:c r="F261" s="13" t="n">
        <x:v>0.020120562498410544</x:v>
      </x:c>
      <x:c r="G261" s="13" t="n">
        <x:v>0.03246750952721512</x:v>
      </x:c>
      <x:c r="H261" s="13" t="n">
        <x:v>-0.2848418098374375</x:v>
      </x:c>
      <x:c r="I261" s="13" t="n">
        <x:v>-0.07434195954585855</x:v>
      </x:c>
      <x:c r="J261" s="13" t="n">
        <x:v>-0.1643710847773433</x:v>
      </x:c>
      <x:c r="K261" s="13" t="n">
        <x:v>-0.1712970745375193</x:v>
      </x:c>
      <x:c r="L261" s="13" t="n">
        <x:v>0.07307014064464304</x:v>
      </x:c>
      <x:c r="M261" s="13" t="n">
        <x:v>-0.5321985725960658</x:v>
      </x:c>
      <x:c r="N261" s="13" t="n">
        <x:v>0.002115382846083177</x:v>
      </x:c>
      <x:c r="O261" s="13" t="n">
        <x:v>-0.8447793573250497</x:v>
      </x:c>
      <x:c r="P261" s="13" t="n">
        <x:v>-1.0435927856485503</x:v>
      </x:c>
      <x:c r="Q261" s="13" t="n">
        <x:v>-0.1865884023300949</x:v>
      </x:c>
      <x:c r="R261" s="13" t="n">
        <x:v>-0.8145475165701622</x:v>
      </x:c>
      <x:c r="S261" s="13" t="n">
        <x:v>0.453086062786832</x:v>
      </x:c>
      <x:c r="T261" s="13" t="n">
        <x:v>0.8241600270927416</x:v>
      </x:c>
      <x:c r="U261" s="13" t="n">
        <x:v>0.2771138549421099</x:v>
      </x:c>
      <x:c r="V261" s="13" t="n">
        <x:v>0.24134570287851154</x:v>
      </x:c>
      <x:c r="W261" s="13" t="n">
        <x:v>0.7360175310707263</x:v>
      </x:c>
      <x:c r="X261" s="13" t="n">
        <x:v>0.10535907458819604</x:v>
      </x:c>
      <x:c r="Y261" s="13" t="n">
        <x:v>-0.3180471259885007</x:v>
      </x:c>
      <x:c r="Z261" s="13" t="n">
        <x:v>-0.2893087397506231</x:v>
      </x:c>
      <x:c r="AA261" s="13" t="n">
        <x:v>0.3268305434849329</x:v>
      </x:c>
      <x:c r="AB261" s="13" t="n">
        <x:v>-0.06825184387932028</x:v>
      </x:c>
      <x:c r="AC261" s="13" t="n">
        <x:v>-0.12644090281470474</x:v>
      </x:c>
      <x:c r="AD261" s="13" t="n">
        <x:v>-0.8258429599309884</x:v>
      </x:c>
      <x:c r="AE261" s="13" t="n">
        <x:v>-0.9656429878210673</x:v>
      </x:c>
      <x:c r="AF261" s="13" t="n">
        <x:v>-0.3419704777655416</x:v>
      </x:c>
      <x:c r="AG261" s="13" t="n">
        <x:v>-0.34173357207939364</x:v>
      </x:c>
      <x:c r="AH261" s="13" t="n">
        <x:v>0.8306723901118507</x:v>
      </x:c>
      <x:c r="AI261" s="13" t="n">
        <x:v>0.9582284477355555</x:v>
      </x:c>
      <x:c r="AJ261" s="13" t="n">
        <x:v>-0.3329971466197685</x:v>
      </x:c>
      <x:c r="AK261" s="13" t="n">
        <x:v>-0.06373239914177942</x:v>
      </x:c>
      <x:c r="AL261" s="13" t="n">
        <x:v>-0.05444362388464498</x:v>
      </x:c>
      <x:c r="AM261" s="13" t="n">
        <x:v>-0.07566891184581308</x:v>
      </x:c>
      <x:c r="AN261" s="13" t="n">
        <x:v>-1.1171017507794023</x:v>
      </x:c>
      <x:c r="AO261" s="13" t="n">
        <x:v>-0.714074545481142</x:v>
      </x:c>
      <x:c r="AP261" s="13" t="n">
        <x:v>0.691963466542152</x:v>
      </x:c>
    </x:row>
    <x:row r="262" ht="15" hidden="0" customHeight="1">
      <x:c r="A262" s="2" t="str">
        <x:v>E261</x:v>
      </x:c>
      <x:c r="B262" s="2" t="str">
        <x:v>***医疗器械有限公司</x:v>
      </x:c>
      <x:c r="C262" s="2" t="str">
        <x:v>无信贷记录</x:v>
      </x:c>
      <x:c r="D262" s="2" t="str"/>
      <x:c r="E262" s="2" t="str"/>
      <x:c r="F262" s="13" t="n">
        <x:v>0.02985557964529631</x:v>
      </x:c>
      <x:c r="G262" s="13" t="n">
        <x:v>0.030070021993757193</x:v>
      </x:c>
      <x:c r="H262" s="13" t="n">
        <x:v>-0.008429936762555197</x:v>
      </x:c>
      <x:c r="I262" s="13" t="n">
        <x:v>-0.07434195954585855</x:v>
      </x:c>
      <x:c r="J262" s="13" t="n">
        <x:v>-0.37367587833774557</x:v>
      </x:c>
      <x:c r="K262" s="13" t="n">
        <x:v>-0.37940572787432303</x:v>
      </x:c>
      <x:c r="L262" s="13" t="n">
        <x:v>0.6876433413600788</x:v>
      </x:c>
      <x:c r="M262" s="13" t="n">
        <x:v>0.17877531782273764</x:v>
      </x:c>
      <x:c r="N262" s="13" t="n">
        <x:v>0.004819905896825936</x:v>
      </x:c>
      <x:c r="O262" s="13" t="n">
        <x:v>1.0296046207440488</x:v>
      </x:c>
      <x:c r="P262" s="13" t="n">
        <x:v>1.2940361273042287</x:v>
      </x:c>
      <x:c r="Q262" s="13" t="n">
        <x:v>-0.39253785378123296</x:v>
      </x:c>
      <x:c r="R262" s="13" t="n">
        <x:v>-0.8870324672055405</x:v>
      </x:c>
      <x:c r="S262" s="13" t="n">
        <x:v>0.450653769002734</x:v>
      </x:c>
      <x:c r="T262" s="13" t="n">
        <x:v>0.8241600270927416</x:v>
      </x:c>
      <x:c r="U262" s="13" t="n">
        <x:v>0.25603571157111843</x:v>
      </x:c>
      <x:c r="V262" s="13" t="n">
        <x:v>0.2200264139922775</x:v>
      </x:c>
      <x:c r="W262" s="13" t="n">
        <x:v>0.7210317379777735</x:v>
      </x:c>
      <x:c r="X262" s="13" t="n">
        <x:v>0.10535907458819604</x:v>
      </x:c>
      <x:c r="Y262" s="13" t="n">
        <x:v>-0.38242864368132856</x:v>
      </x:c>
      <x:c r="Z262" s="13" t="n">
        <x:v>-0.34207788245425164</x:v>
      </x:c>
      <x:c r="AA262" s="13" t="n">
        <x:v>-0.07029964612243536</x:v>
      </x:c>
      <x:c r="AB262" s="13" t="n">
        <x:v>-0.05433582315905784</x:v>
      </x:c>
      <x:c r="AC262" s="13" t="n">
        <x:v>-0.11055083730073317</x:v>
      </x:c>
      <x:c r="AD262" s="13" t="n">
        <x:v>-0.7946154383488621</x:v>
      </x:c>
      <x:c r="AE262" s="13" t="n">
        <x:v>-0.8909644653413064</x:v>
      </x:c>
      <x:c r="AF262" s="13" t="n">
        <x:v>-0.4050380000290101</x:v>
      </x:c>
      <x:c r="AG262" s="13" t="n">
        <x:v>-0.8247532242661022</x:v>
      </x:c>
      <x:c r="AH262" s="13" t="n">
        <x:v>0.8243687920350607</x:v>
      </x:c>
      <x:c r="AI262" s="13" t="n">
        <x:v>0.9582284477355555</x:v>
      </x:c>
      <x:c r="AJ262" s="13" t="n">
        <x:v>-0.27824269684303005</x:v>
      </x:c>
      <x:c r="AK262" s="13" t="n">
        <x:v>-0.15657051658699067</x:v>
      </x:c>
      <x:c r="AL262" s="13" t="n">
        <x:v>0.0933107111254896</x:v>
      </x:c>
      <x:c r="AM262" s="13" t="n">
        <x:v>-0.06444722716246581</x:v>
      </x:c>
      <x:c r="AN262" s="13" t="n">
        <x:v>0.2527601960852149</x:v>
      </x:c>
      <x:c r="AO262" s="13" t="n">
        <x:v>-0.990650311721202</x:v>
      </x:c>
      <x:c r="AP262" s="13" t="n">
        <x:v>0.6872988380724017</x:v>
      </x:c>
    </x:row>
    <x:row r="263" ht="15" hidden="0" customHeight="1">
      <x:c r="A263" s="2" t="str">
        <x:v>E262</x:v>
      </x:c>
      <x:c r="B263" s="2" t="str">
        <x:v>个体经营E262 </x:v>
      </x:c>
      <x:c r="C263" s="2" t="str">
        <x:v>无信贷记录</x:v>
      </x:c>
      <x:c r="D263" s="2" t="str"/>
      <x:c r="E263" s="2" t="str"/>
      <x:c r="F263" s="13" t="n">
        <x:v>-0.4601402834146205</x:v>
      </x:c>
      <x:c r="G263" s="13" t="n">
        <x:v>-0.458058439818276</x:v>
      </x:c>
      <x:c r="H263" s="13" t="n">
        <x:v>-0.42304774637487863</x:v>
      </x:c>
      <x:c r="I263" s="13" t="n">
        <x:v>-0.46027843520127304</x:v>
      </x:c>
      <x:c r="J263" s="13" t="n">
        <x:v>-0.1937721562219213</x:v>
      </x:c>
      <x:c r="K263" s="13" t="n">
        <x:v>-0.20284828835439023</x:v>
      </x:c>
      <x:c r="L263" s="13" t="n">
        <x:v>-0.5871396838862953</x:v>
      </x:c>
      <x:c r="M263" s="13" t="n">
        <x:v>-0.10064079478253987</x:v>
      </x:c>
      <x:c r="N263" s="13" t="n">
        <x:v>-0.7216149855326618</x:v>
      </x:c>
      <x:c r="O263" s="13" t="n">
        <x:v>-0.660011688436211</x:v>
      </x:c>
      <x:c r="P263" s="13" t="n">
        <x:v>-0.8569188721416872</x:v>
      </x:c>
      <x:c r="Q263" s="13" t="n">
        <x:v>-0.2052321132078797</x:v>
      </x:c>
      <x:c r="R263" s="13" t="n">
        <x:v>-0.4101226568547632</x:v>
      </x:c>
      <x:c r="S263" s="13" t="n">
        <x:v>-0.02173576073191534</x:v>
      </x:c>
      <x:c r="T263" s="13" t="n">
        <x:v>0.35324309846351976</x:v>
      </x:c>
      <x:c r="U263" s="13" t="n">
        <x:v>-0.19503655656809815</x:v>
      </x:c>
      <x:c r="V263" s="13" t="n">
        <x:v>-0.17886870174752298</x:v>
      </x:c>
      <x:c r="W263" s="13" t="n">
        <x:v>-0.36543826126130124</x:v>
      </x:c>
      <x:c r="X263" s="13" t="n">
        <x:v>-0.2049070472243266</x:v>
      </x:c>
      <x:c r="Y263" s="13" t="n">
        <x:v>-0.29059006361754436</x:v>
      </x:c>
      <x:c r="Z263" s="13" t="n">
        <x:v>-0.27296170072219683</x:v>
      </x:c>
      <x:c r="AA263" s="13" t="n">
        <x:v>0.07539308615955773</x:v>
      </x:c>
      <x:c r="AB263" s="13" t="n">
        <x:v>-0.5901009903602523</x:v>
      </x:c>
      <x:c r="AC263" s="13" t="n">
        <x:v>-0.23895763251123078</x:v>
      </x:c>
      <x:c r="AD263" s="13" t="n">
        <x:v>-0.02001301237784886</x:v>
      </x:c>
      <x:c r="AE263" s="13" t="n">
        <x:v>0.24202128300168588</x:v>
      </x:c>
      <x:c r="AF263" s="13" t="n">
        <x:v>-0.30792503958381584</x:v>
      </x:c>
      <x:c r="AG263" s="13" t="n">
        <x:v>0.10801110051681463</x:v>
      </x:c>
      <x:c r="AH263" s="13" t="n">
        <x:v>0.13670408307539028</x:v>
      </x:c>
      <x:c r="AI263" s="13" t="n">
        <x:v>0.2538228060223661</x:v>
      </x:c>
      <x:c r="AJ263" s="13" t="n">
        <x:v>-0.26493111534018843</x:v>
      </x:c>
      <x:c r="AK263" s="13" t="n">
        <x:v>-0.10617114914266225</x:v>
      </x:c>
      <x:c r="AL263" s="13" t="n">
        <x:v>-0.4884255843202968</x:v>
      </x:c>
      <x:c r="AM263" s="13" t="n">
        <x:v>-0.23952493508124048</x:v>
      </x:c>
      <x:c r="AN263" s="13" t="n">
        <x:v>-0.48632655659051166</x:v>
      </x:c>
      <x:c r="AO263" s="13" t="n">
        <x:v>-0.22809532613805353</x:v>
      </x:c>
      <x:c r="AP263" s="13" t="n">
        <x:v>0.05159191481196724</x:v>
      </x:c>
    </x:row>
    <x:row r="264" ht="15" hidden="0" customHeight="1">
      <x:c r="A264" s="2" t="str">
        <x:v>E263</x:v>
      </x:c>
      <x:c r="B264" s="2" t="str">
        <x:v>***通信工程有限公司</x:v>
      </x:c>
      <x:c r="C264" s="2" t="str">
        <x:v>无信贷记录</x:v>
      </x:c>
      <x:c r="D264" s="2" t="str"/>
      <x:c r="E264" s="2" t="str"/>
      <x:c r="F264" s="13" t="n">
        <x:v>-0.38272371848462416</x:v>
      </x:c>
      <x:c r="G264" s="13" t="n">
        <x:v>-0.3765438636807066</x:v>
      </x:c>
      <x:c r="H264" s="13" t="n">
        <x:v>-0.4549414240373651</x:v>
      </x:c>
      <x:c r="I264" s="13" t="n">
        <x:v>-0.4173966045728936</x:v>
      </x:c>
      <x:c r="J264" s="13" t="n">
        <x:v>-0.26979567102979424</x:v>
      </x:c>
      <x:c r="K264" s="13" t="n">
        <x:v>-0.277512140273229</x:v>
      </x:c>
      <x:c r="L264" s="13" t="n">
        <x:v>-0.2646408755900766</x:v>
      </x:c>
      <x:c r="M264" s="13" t="n">
        <x:v>-0.6865845976810611</x:v>
      </x:c>
      <x:c r="N264" s="13" t="n">
        <x:v>-0.5012136511261641</x:v>
      </x:c>
      <x:c r="O264" s="13" t="n">
        <x:v>-0.26380382039188005</x:v>
      </x:c>
      <x:c r="P264" s="13" t="n">
        <x:v>-0.2988072187582281</x:v>
      </x:c>
      <x:c r="Q264" s="13" t="n">
        <x:v>-0.29032293864347214</x:v>
      </x:c>
      <x:c r="R264" s="13" t="n">
        <x:v>0.8638155866609972</x:v>
      </x:c>
      <x:c r="S264" s="13" t="n">
        <x:v>1.166807905030614</x:v>
      </x:c>
      <x:c r="T264" s="13" t="n">
        <x:v>0.8241600270927416</x:v>
      </x:c>
      <x:c r="U264" s="13" t="n">
        <x:v>-0.2983194590859562</x:v>
      </x:c>
      <x:c r="V264" s="13" t="n">
        <x:v>-0.32024924909833835</x:v>
      </x:c>
      <x:c r="W264" s="13" t="n">
        <x:v>0.05416394534137593</x:v>
      </x:c>
      <x:c r="X264" s="13" t="n">
        <x:v>-0.018747374136813013</x:v>
      </x:c>
      <x:c r="Y264" s="13" t="n">
        <x:v>-0.28877284256783464</x:v>
      </x:c>
      <x:c r="Z264" s="13" t="n">
        <x:v>-0.26114029257746607</x:v>
      </x:c>
      <x:c r="AA264" s="13" t="n">
        <x:v>-0.3593352279076797</x:v>
      </x:c>
      <x:c r="AB264" s="13" t="n">
        <x:v>0.5116167283217098</x:v>
      </x:c>
      <x:c r="AC264" s="13" t="n">
        <x:v>0.7928977685343114</x:v>
      </x:c>
      <x:c r="AD264" s="13" t="n">
        <x:v>0.08659752408579804</x:v>
      </x:c>
      <x:c r="AE264" s="13" t="n">
        <x:v>0.2560552513650167</x:v>
      </x:c>
      <x:c r="AF264" s="13" t="n">
        <x:v>-0.31329366821612</x:v>
      </x:c>
      <x:c r="AG264" s="13" t="n">
        <x:v>-0.12991378043227456</x:v>
      </x:c>
      <x:c r="AH264" s="13" t="n">
        <x:v>0.23427233568023073</x:v>
      </x:c>
      <x:c r="AI264" s="13" t="n">
        <x:v>0.857599070347957</x:v>
      </x:c>
      <x:c r="AJ264" s="13" t="n">
        <x:v>-0.20335775039908865</x:v>
      </x:c>
      <x:c r="AK264" s="13" t="n">
        <x:v>-0.16429545019058636</x:v>
      </x:c>
      <x:c r="AL264" s="13" t="n">
        <x:v>0.4484183885164139</x:v>
      </x:c>
      <x:c r="AM264" s="13" t="n">
        <x:v>0.4677347375911203</x:v>
      </x:c>
      <x:c r="AN264" s="13" t="n">
        <x:v>-0.13500355783730683</x:v>
      </x:c>
      <x:c r="AO264" s="13" t="n">
        <x:v>0.5236687090468556</x:v>
      </x:c>
      <x:c r="AP264" s="13" t="n">
        <x:v>0.8288352773670801</x:v>
      </x:c>
    </x:row>
    <x:row r="265" ht="15" hidden="0" customHeight="1">
      <x:c r="A265" s="2" t="str">
        <x:v>E264</x:v>
      </x:c>
      <x:c r="B265" s="2" t="str">
        <x:v>个体经营E264 </x:v>
      </x:c>
      <x:c r="C265" s="2" t="str">
        <x:v>无信贷记录</x:v>
      </x:c>
      <x:c r="D265" s="2" t="str"/>
      <x:c r="E265" s="2" t="str"/>
      <x:c r="F265" s="13" t="n">
        <x:v>0.13369576254541113</x:v>
      </x:c>
      <x:c r="G265" s="13" t="n">
        <x:v>0.10870761309117707</x:v>
      </x:c>
      <x:c r="H265" s="13" t="n">
        <x:v>0.6294436164871732</x:v>
      </x:c>
      <x:c r="I265" s="13" t="n">
        <x:v>0.011421701710900218</x:v>
      </x:c>
      <x:c r="J265" s="13" t="n">
        <x:v>-0.029647198735744854</x:v>
      </x:c>
      <x:c r="K265" s="13" t="n">
        <x:v>-0.022914249908926886</x:v>
      </x:c>
      <x:c r="L265" s="13" t="n">
        <x:v>4.179027609741294</x:v>
      </x:c>
      <x:c r="M265" s="13" t="n">
        <x:v>1.424814325647747</x:v>
      </x:c>
      <x:c r="N265" s="13" t="n">
        <x:v>0.06930591490077509</x:v>
      </x:c>
      <x:c r="O265" s="13" t="n">
        <x:v>-0.9635066084918955</x:v>
      </x:c>
      <x:c r="P265" s="13" t="n">
        <x:v>-1.321285115579228</x:v>
      </x:c>
      <x:c r="Q265" s="13" t="n">
        <x:v>0.20123549504513658</x:v>
      </x:c>
      <x:c r="R265" s="13" t="n">
        <x:v>-0.603249959542973</x:v>
      </x:c>
      <x:c r="S265" s="13" t="n">
        <x:v>-0.999100730698917</x:v>
      </x:c>
      <x:c r="T265" s="13" t="n">
        <x:v>-0.30604060161739083</x:v>
      </x:c>
      <x:c r="U265" s="13" t="n">
        <x:v>-0.33678707073801556</x:v>
      </x:c>
      <x:c r="V265" s="13" t="n">
        <x:v>-0.533442137960679</x:v>
      </x:c>
      <x:c r="W265" s="13" t="n">
        <x:v>2.354483185109624</x:v>
      </x:c>
      <x:c r="X265" s="13" t="n">
        <x:v>-0.3910667203118402</x:v>
      </x:c>
      <x:c r="Y265" s="13" t="n">
        <x:v>-0.5406172667832849</x:v>
      </x:c>
      <x:c r="Z265" s="13" t="n">
        <x:v>-0.46857417575480026</x:v>
      </x:c>
      <x:c r="AA265" s="13" t="n">
        <x:v>-0.3640349934651633</x:v>
      </x:c>
      <x:c r="AB265" s="13" t="n">
        <x:v>5.696892426590532</x:v>
      </x:c>
      <x:c r="AC265" s="13" t="n">
        <x:v>-0.6980651016988949</x:v>
      </x:c>
      <x:c r="AD265" s="13" t="n">
        <x:v>1.2491557107745657</x:v>
      </x:c>
      <x:c r="AE265" s="13" t="n">
        <x:v>1.392083537834913</x:v>
      </x:c>
      <x:c r="AF265" s="13" t="n">
        <x:v>-0.5515223003212499</x:v>
      </x:c>
      <x:c r="AG265" s="13" t="n">
        <x:v>0.13158467408434837</x:v>
      </x:c>
      <x:c r="AH265" s="13" t="n">
        <x:v>-2.378254382645332</x:v>
      </x:c>
      <x:c r="AI265" s="13" t="n">
        <x:v>-1.456876609566808</x:v>
      </x:c>
      <x:c r="AJ265" s="13" t="n">
        <x:v>-0.8049326168253765</x:v>
      </x:c>
      <x:c r="AK265" s="13" t="n">
        <x:v>7.0062198168877226</x:v>
      </x:c>
      <x:c r="AL265" s="13" t="n">
        <x:v>3.0268990231415698</x:v>
      </x:c>
      <x:c r="AM265" s="13" t="n">
        <x:v>-0.35785277620859823</x:v>
      </x:c>
      <x:c r="AN265" s="13" t="n">
        <x:v>0.06881955385814784</x:v>
      </x:c>
      <x:c r="AO265" s="13" t="n">
        <x:v>-0.347945185190792</x:v>
      </x:c>
      <x:c r="AP265" s="13" t="n">
        <x:v>-1.8137201815780062</x:v>
      </x:c>
    </x:row>
    <x:row r="266" ht="15" hidden="0" customHeight="1">
      <x:c r="A266" s="2" t="str">
        <x:v>E265</x:v>
      </x:c>
      <x:c r="B266" s="2" t="str">
        <x:v>***净化工程有限公司</x:v>
      </x:c>
      <x:c r="C266" s="2" t="str">
        <x:v>无信贷记录</x:v>
      </x:c>
      <x:c r="D266" s="2" t="str"/>
      <x:c r="E266" s="2" t="str"/>
      <x:c r="F266" s="13" t="n">
        <x:v>0.3307139667085754</x:v>
      </x:c>
      <x:c r="G266" s="13" t="n">
        <x:v>0.3321534512094555</x:v>
      </x:c>
      <x:c r="H266" s="13" t="n">
        <x:v>0.1935633550998588</x:v>
      </x:c>
      <x:c r="I266" s="13" t="n">
        <x:v>0.09718536296765899</x:v>
      </x:c>
      <x:c r="J266" s="13" t="n">
        <x:v>-0.0967760084691691</x:v>
      </x:c>
      <x:c r="K266" s="13" t="n">
        <x:v>-0.10331662963650515</x:v>
      </x:c>
      <x:c r="L266" s="13" t="n">
        <x:v>0.7484921731140823</x:v>
      </x:c>
      <x:c r="M266" s="13" t="n">
        <x:v>0.11317992388851215</x:v>
      </x:c>
      <x:c r="N266" s="13" t="n">
        <x:v>-0.008222454958784781</x:v>
      </x:c>
      <x:c r="O266" s="13" t="n">
        <x:v>-0.5837092234616322</x:v>
      </x:c>
      <x:c r="P266" s="13" t="n">
        <x:v>-0.37313106572068405</x:v>
      </x:c>
      <x:c r="Q266" s="13" t="n">
        <x:v>-0.06362378599812155</x:v>
      </x:c>
      <x:c r="R266" s="13" t="n">
        <x:v>-0.6549267802990719</x:v>
      </x:c>
      <x:c r="S266" s="13" t="n">
        <x:v>-0.25224148902519516</x:v>
      </x:c>
      <x:c r="T266" s="13" t="n">
        <x:v>0.44742648418936415</x:v>
      </x:c>
      <x:c r="U266" s="13" t="n">
        <x:v>-0.30938548435572666</x:v>
      </x:c>
      <x:c r="V266" s="13" t="n">
        <x:v>-0.3219323508525147</x:v>
      </x:c>
      <x:c r="W266" s="13" t="n">
        <x:v>-0.08070819249519887</x:v>
      </x:c>
      <x:c r="X266" s="13" t="n">
        <x:v>-0.060116190378482696</x:v>
      </x:c>
      <x:c r="Y266" s="13" t="n">
        <x:v>-0.3079836041337307</x:v>
      </x:c>
      <x:c r="Z266" s="13" t="n">
        <x:v>-0.26812657251988664</x:v>
      </x:c>
      <x:c r="AA266" s="13" t="n">
        <x:v>-0.2418410889705885</x:v>
      </x:c>
      <x:c r="AB266" s="13" t="n">
        <x:v>0.2664896498683892</x:v>
      </x:c>
      <x:c r="AC266" s="13" t="n">
        <x:v>0.6371501924528709</x:v>
      </x:c>
      <x:c r="AD266" s="13" t="n">
        <x:v>-0.6132894036219442</x:v>
      </x:c>
      <x:c r="AE266" s="13" t="n">
        <x:v>-0.6650753794074438</x:v>
      </x:c>
      <x:c r="AF266" s="13" t="n">
        <x:v>-0.30298303206855537</x:v>
      </x:c>
      <x:c r="AG266" s="13" t="n">
        <x:v>-0.27899553238732727</x:v>
      </x:c>
      <x:c r="AH266" s="13" t="n">
        <x:v>0.02508799273072732</x:v>
      </x:c>
      <x:c r="AI266" s="13" t="n">
        <x:v>0.4550815607975631</x:v>
      </x:c>
      <x:c r="AJ266" s="13" t="n">
        <x:v>-0.36842580602259467</x:v>
      </x:c>
      <x:c r="AK266" s="13" t="n">
        <x:v>-0.049309810848755534</x:v>
      </x:c>
      <x:c r="AL266" s="13" t="n">
        <x:v>-0.2812349402481597</x:v>
      </x:c>
      <x:c r="AM266" s="13" t="n">
        <x:v>-0.061988772930659485</x:v>
      </x:c>
      <x:c r="AN266" s="13" t="n">
        <x:v>-0.7977262056586988</x:v>
      </x:c>
      <x:c r="AO266" s="13" t="n">
        <x:v>-0.576304285440523</x:v>
      </x:c>
      <x:c r="AP266" s="13" t="n">
        <x:v>-0.14582847821669467</x:v>
      </x:c>
    </x:row>
    <x:row r="267" ht="15" hidden="0" customHeight="1">
      <x:c r="A267" s="2" t="str">
        <x:v>E266</x:v>
      </x:c>
      <x:c r="B267" s="2" t="str">
        <x:v>***煤矿机械有限公司</x:v>
      </x:c>
      <x:c r="C267" s="2" t="str">
        <x:v>无信贷记录</x:v>
      </x:c>
      <x:c r="D267" s="2" t="str"/>
      <x:c r="E267" s="2" t="str"/>
      <x:c r="F267" s="13" t="n">
        <x:v>-0.47590173974767364</x:v>
      </x:c>
      <x:c r="G267" s="13" t="n">
        <x:v>-0.4729228625257151</x:v>
      </x:c>
      <x:c r="H267" s="13" t="n">
        <x:v>-0.4549414240373651</x:v>
      </x:c>
      <x:c r="I267" s="13" t="n">
        <x:v>-0.37451477394451427</x:v>
      </x:c>
      <x:c r="J267" s="13" t="n">
        <x:v>-0.5435308108649005</x:v>
      </x:c>
      <x:c r="K267" s="13" t="n">
        <x:v>-0.546259903608693</x:v>
      </x:c>
      <x:c r="L267" s="13" t="n">
        <x:v>-0.46239957879058813</x:v>
      </x:c>
      <x:c r="M267" s="13" t="n">
        <x:v>-0.37008161428815683</x:v>
      </x:c>
      <x:c r="N267" s="13" t="n">
        <x:v>0.025766702074146792</x:v>
      </x:c>
      <x:c r="O267" s="13" t="n">
        <x:v>0.14187022676107122</x:v>
      </x:c>
      <x:c r="P267" s="13" t="n">
        <x:v>0.47130041749866425</x:v>
      </x:c>
      <x:c r="Q267" s="13" t="n">
        <x:v>-0.5589435951348882</x:v>
      </x:c>
      <x:c r="R267" s="13" t="n">
        <x:v>0.33318047951389</x:v>
      </x:c>
      <x:c r="S267" s="13" t="n">
        <x:v>-0.6344612870663593</x:v>
      </x:c>
      <x:c r="T267" s="13" t="n">
        <x:v>0.5416098699152085</x:v>
      </x:c>
      <x:c r="U267" s="13" t="n">
        <x:v>-0.3046429020972536</x:v>
      </x:c>
      <x:c r="V267" s="13" t="n">
        <x:v>-0.29444168886763394</x:v>
      </x:c>
      <x:c r="W267" s="13" t="n">
        <x:v>-0.38042405435425397</x:v>
      </x:c>
      <x:c r="X267" s="13" t="n">
        <x:v>-0.2049070472243266</x:v>
      </x:c>
      <x:c r="Y267" s="13" t="n">
        <x:v>-0.27024136433309665</x:v>
      </x:c>
      <x:c r="Z267" s="13" t="n">
        <x:v>-0.24737292879535047</x:v>
      </x:c>
      <x:c r="AA267" s="13" t="n">
        <x:v>-0.3616851106864215</x:v>
      </x:c>
      <x:c r="AB267" s="13" t="n">
        <x:v>-0.4396552682229552</x:v>
      </x:c>
      <x:c r="AC267" s="13" t="n">
        <x:v>-0.028788435505322275</x:v>
      </x:c>
      <x:c r="AD267" s="13" t="n">
        <x:v>1.8596205364040042</x:v>
      </x:c>
      <x:c r="AE267" s="13" t="n">
        <x:v>1.8709258539534674</x:v>
      </x:c>
      <x:c r="AF267" s="13" t="n">
        <x:v>-0.27067375037293895</x:v>
      </x:c>
      <x:c r="AG267" s="13" t="n">
        <x:v>-0.4355496790670311</x:v>
      </x:c>
      <x:c r="AH267" s="13" t="n">
        <x:v>-0.8365657206914218</x:v>
      </x:c>
      <x:c r="AI267" s="13" t="n">
        <x:v>0.05256405124716919</x:v>
      </x:c>
      <x:c r="AJ267" s="13" t="n">
        <x:v>0.038176662550630486</x:v>
      </x:c>
      <x:c r="AK267" s="13" t="n">
        <x:v>-0.3280721071791926</x:v>
      </x:c>
      <x:c r="AL267" s="13" t="n">
        <x:v>-0.3638898469432099</x:v>
      </x:c>
      <x:c r="AM267" s="13" t="n">
        <x:v>0.09340854358158553</x:v>
      </x:c>
      <x:c r="AN267" s="13" t="n">
        <x:v>1.252236488614351</x:v>
      </x:c>
      <x:c r="AO267" s="13" t="n">
        <x:v>0.019965973954744996</x:v>
      </x:c>
      <x:c r="AP267" s="13" t="n">
        <x:v>-0.8139208142795927</x:v>
      </x:c>
    </x:row>
    <x:row r="268" ht="15" hidden="0" customHeight="1">
      <x:c r="A268" s="2" t="str">
        <x:v>E267</x:v>
      </x:c>
      <x:c r="B268" s="2" t="str">
        <x:v>***林园艺场</x:v>
      </x:c>
      <x:c r="C268" s="2" t="str">
        <x:v>无信贷记录</x:v>
      </x:c>
      <x:c r="D268" s="2" t="str"/>
      <x:c r="E268" s="2" t="str"/>
      <x:c r="F268" s="13" t="n">
        <x:v>-0.5236496809919229</x:v>
      </x:c>
      <x:c r="G268" s="13" t="n">
        <x:v>-0.5208726131948735</x:v>
      </x:c>
      <x:c r="H268" s="13" t="n">
        <x:v>-0.4868351016998515</x:v>
      </x:c>
      <x:c r="I268" s="13" t="n">
        <x:v>-0.46027843520127304</x:v>
      </x:c>
      <x:c r="J268" s="13" t="n">
        <x:v>-0.5493170512213766</x:v>
      </x:c>
      <x:c r="K268" s="13" t="n">
        <x:v>-0.5521076859820231</x:v>
      </x:c>
      <x:c r="L268" s="13" t="n">
        <x:v>-0.5871396838862953</x:v>
      </x:c>
      <x:c r="M268" s="13" t="n">
        <x:v>-0.5510998006855495</x:v>
      </x:c>
      <x:c r="N268" s="13" t="n">
        <x:v>-0.7216149855326618</x:v>
      </x:c>
      <x:c r="O268" s="13" t="n">
        <x:v>0.23120210585828924</x:v>
      </x:c>
      <x:c r="P268" s="13" t="n">
        <x:v>0.47651787632371073</x:v>
      </x:c>
      <x:c r="Q268" s="13" t="n">
        <x:v>-0.5459876930828653</x:v>
      </x:c>
      <x:c r="R268" s="13" t="n">
        <x:v>1.4842295441270488</x:v>
      </x:c>
      <x:c r="S268" s="13" t="n">
        <x:v>-1.7954249667180853</x:v>
      </x:c>
      <x:c r="T268" s="13" t="n">
        <x:v>-0.871140915972457</x:v>
      </x:c>
      <x:c r="U268" s="13" t="n">
        <x:v>-0.44006997325587355</x:v>
      </x:c>
      <x:c r="V268" s="13" t="n">
        <x:v>-0.43357810054621415</x:v>
      </x:c>
      <x:c r="W268" s="13" t="n">
        <x:v>-0.4478601232725414</x:v>
      </x:c>
      <x:c r="X268" s="13" t="n">
        <x:v>-0.28764467970766594</x:v>
      </x:c>
      <x:c r="Y268" s="13" t="n">
        <x:v>-0.3884626040033687</x:v>
      </x:c>
      <x:c r="Z268" s="13" t="n">
        <x:v>-0.34618553472820957</x:v>
      </x:c>
      <x:c r="AA268" s="13" t="n">
        <x:v>-0.37343452458013066</x:v>
      </x:c>
      <x:c r="AB268" s="13" t="n">
        <x:v>-0.11041122311878417</x:v>
      </x:c>
      <x:c r="AC268" s="13" t="n">
        <x:v>0.13024760398621976</x:v>
      </x:c>
      <x:c r="AD268" s="13" t="n">
        <x:v>-0.2652288643824581</x:v>
      </x:c>
      <x:c r="AE268" s="13" t="n">
        <x:v>-0.2633530731900499</x:v>
      </x:c>
      <x:c r="AF268" s="13" t="n">
        <x:v>-0.2404972878278927</x:v>
      </x:c>
      <x:c r="AG268" s="13" t="n">
        <x:v>-0.08048400053549698</x:v>
      </x:c>
      <x:c r="AH268" s="13" t="n">
        <x:v>-1.228408471362835</x:v>
      </x:c>
      <x:c r="AI268" s="13" t="n">
        <x:v>-1.3562472321792094</x:v>
      </x:c>
      <x:c r="AJ268" s="13" t="n">
        <x:v>-0.15291151918286783</x:v>
      </x:c>
      <x:c r="AK268" s="13" t="n">
        <x:v>-0.32271074654568227</x:v>
      </x:c>
      <x:c r="AL268" s="13" t="n">
        <x:v>-0.0988777525921899</x:v>
      </x:c>
      <x:c r="AM268" s="13" t="n">
        <x:v>-0.029876698449800267</x:v>
      </x:c>
      <x:c r="AN268" s="13" t="n">
        <x:v>0.004399243854842073</x:v>
      </x:c>
      <x:c r="AO268" s="13" t="n">
        <x:v>0.9676122476370989</x:v>
      </x:c>
      <x:c r="AP268" s="13" t="n">
        <x:v>-1.7224700661361405</x:v>
      </x:c>
    </x:row>
    <x:row r="269" ht="15" hidden="0" customHeight="1">
      <x:c r="A269" s="2" t="str">
        <x:v>E268</x:v>
      </x:c>
      <x:c r="B269" s="2" t="str">
        <x:v>***建筑劳务有限公司</x:v>
      </x:c>
      <x:c r="C269" s="2" t="str">
        <x:v>无信贷记录</x:v>
      </x:c>
      <x:c r="D269" s="2" t="str"/>
      <x:c r="E269" s="2" t="str"/>
      <x:c r="F269" s="13" t="n">
        <x:v>-0.5908676565299436</x:v>
      </x:c>
      <x:c r="G269" s="13" t="n">
        <x:v>-0.5913587466785365</x:v>
      </x:c>
      <x:c r="H269" s="13" t="n">
        <x:v>-0.4655726499248605</x:v>
      </x:c>
      <x:c r="I269" s="13" t="n">
        <x:v>-0.46027843520127304</x:v>
      </x:c>
      <x:c r="J269" s="13" t="n">
        <x:v>-0.4497786874101506</x:v>
      </x:c>
      <x:c r="K269" s="13" t="n">
        <x:v>-0.4543290102803168</x:v>
      </x:c>
      <x:c r="L269" s="13" t="n">
        <x:v>-0.6540733988156993</x:v>
      </x:c>
      <x:c r="M269" s="13" t="n">
        <x:v>2.9340304028798414</x:v>
      </x:c>
      <x:c r="N269" s="13" t="n">
        <x:v>-0.7216149855326618</x:v>
      </x:c>
      <x:c r="O269" s="13" t="n">
        <x:v>-0.34997170047135445</x:v>
      </x:c>
      <x:c r="P269" s="13" t="n">
        <x:v>-0.2711481109680104</x:v>
      </x:c>
      <x:c r="Q269" s="13" t="n">
        <x:v>-0.4235707598801299</x:v>
      </x:c>
      <x:c r="R269" s="13" t="n">
        <x:v>0.48785990475672886</x:v>
      </x:c>
      <x:c r="S269" s="13" t="n">
        <x:v>1.1074087645988817</x:v>
      </x:c>
      <x:c r="T269" s="13" t="n">
        <x:v>-1.5304246160533677</x:v>
      </x:c>
      <x:c r="U269" s="13" t="n">
        <x:v>-0.36998514654732706</x:v>
      </x:c>
      <x:c r="V269" s="13" t="n">
        <x:v>-0.3550333520179834</x:v>
      </x:c>
      <x:c r="W269" s="13" t="n">
        <x:v>-0.500310399097876</x:v>
      </x:c>
      <x:c r="X269" s="13" t="n">
        <x:v>-0.2049070472243266</x:v>
      </x:c>
      <x:c r="Y269" s="13" t="n">
        <x:v>-0.3017536476024052</x:v>
      </x:c>
      <x:c r="Z269" s="13" t="n">
        <x:v>-0.27064881548073133</x:v>
      </x:c>
      <x:c r="AA269" s="13" t="n">
        <x:v>-0.37343452458013066</x:v>
      </x:c>
      <x:c r="AB269" s="13" t="n">
        <x:v>-0.6068018457534753</x:v>
      </x:c>
      <x:c r="AC269" s="13" t="n">
        <x:v>0.18256209066106902</x:v>
      </x:c>
      <x:c r="AD269" s="13" t="n">
        <x:v>0.24577785985570844</x:v>
      </x:c>
      <x:c r="AE269" s="13" t="n">
        <x:v>0.3019005830326194</x:v>
      </x:c>
      <x:c r="AF269" s="13" t="n">
        <x:v>-0.32600954134016596</x:v>
      </x:c>
      <x:c r="AG269" s="13" t="n">
        <x:v>0.1999127274441603</x:v>
      </x:c>
      <x:c r="AH269" s="13" t="n">
        <x:v>-0.15554437283846995</x:v>
      </x:c>
      <x:c r="AI269" s="13" t="n">
        <x:v>-0.7524709678536187</x:v>
      </x:c>
      <x:c r="AJ269" s="13" t="n">
        <x:v>-0.08617221636157132</x:v>
      </x:c>
      <x:c r="AK269" s="13" t="n">
        <x:v>-0.2681476073025347</x:v>
      </x:c>
      <x:c r="AL269" s="13" t="n">
        <x:v>-0.27548610553364933</x:v>
      </x:c>
      <x:c r="AM269" s="13" t="n">
        <x:v>0.596160509264933</x:v>
      </x:c>
      <x:c r="AN269" s="13" t="n">
        <x:v>-0.09878923825100393</x:v>
      </x:c>
      <x:c r="AO269" s="13" t="n">
        <x:v>0.4240504144933828</x:v>
      </x:c>
      <x:c r="AP269" s="13" t="n">
        <x:v>0.5961290095781883</x:v>
      </x:c>
    </x:row>
    <x:row r="270" ht="15" hidden="0" customHeight="1">
      <x:c r="A270" s="2" t="str">
        <x:v>E269</x:v>
      </x:c>
      <x:c r="B270" s="2" t="str">
        <x:v>***节能服务有限公司</x:v>
      </x:c>
      <x:c r="C270" s="2" t="str">
        <x:v>无信贷记录</x:v>
      </x:c>
      <x:c r="D270" s="2" t="str"/>
      <x:c r="E270" s="2" t="str"/>
      <x:c r="F270" s="13" t="n">
        <x:v>-0.5338482703838984</x:v>
      </x:c>
      <x:c r="G270" s="13" t="n">
        <x:v>-0.5304625633287052</x:v>
      </x:c>
      <x:c r="H270" s="13" t="n">
        <x:v>-0.5080975534748424</x:v>
      </x:c>
      <x:c r="I270" s="13" t="n">
        <x:v>-0.46027843520127304</x:v>
      </x:c>
      <x:c r="J270" s="13" t="n">
        <x:v>-0.5494427432188201</x:v>
      </x:c>
      <x:c r="K270" s="13" t="n">
        <x:v>-0.5522311559345696</x:v>
      </x:c>
      <x:c r="L270" s="13" t="n">
        <x:v>-0.5049937610183906</x:v>
      </x:c>
      <x:c r="M270" s="13" t="n">
        <x:v>-0.9252200048260963</x:v>
      </x:c>
      <x:c r="N270" s="13" t="n">
        <x:v>-0.7216149855326618</x:v>
      </x:c>
      <x:c r="O270" s="13" t="n">
        <x:v>-0.39437425232715717</x:v>
      </x:c>
      <x:c r="P270" s="13" t="n">
        <x:v>-0.3244324346158118</x:v>
      </x:c>
      <x:c r="Q270" s="13" t="n">
        <x:v>-0.5623107073359556</x:v>
      </x:c>
      <x:c r="R270" s="13" t="n">
        <x:v>0.47915088082164237</x:v>
      </x:c>
      <x:c r="S270" s="13" t="n">
        <x:v>-1.764353692111446</x:v>
      </x:c>
      <x:c r="T270" s="13" t="n">
        <x:v>0.16487632701183103</x:v>
      </x:c>
      <x:c r="U270" s="13" t="n">
        <x:v>-0.4421777875929727</x:v>
      </x:c>
      <x:c r="V270" s="13" t="n">
        <x:v>-0.4380663718906845</x:v>
      </x:c>
      <x:c r="W270" s="13" t="n">
        <x:v>-0.41788853708663587</x:v>
      </x:c>
      <x:c r="X270" s="13" t="n">
        <x:v>-0.2049070472243266</x:v>
      </x:c>
      <x:c r="Y270" s="13" t="n">
        <x:v>-0.23232070587296633</x:v>
      </x:c>
      <x:c r="Z270" s="13" t="n">
        <x:v>-0.22168752995146823</x:v>
      </x:c>
      <x:c r="AA270" s="13" t="n">
        <x:v>-0.3499356967927124</x:v>
      </x:c>
      <x:c r="AB270" s="13" t="n">
        <x:v>0.05396787233802966</x:v>
      </x:c>
      <x:c r="AC270" s="13" t="n">
        <x:v>0.8543807734923818</x:v>
      </x:c>
      <x:c r="AD270" s="13" t="n">
        <x:v>2.044134668078916</x:v>
      </x:c>
      <x:c r="AE270" s="13" t="n">
        <x:v>1.977081741367646</x:v>
      </x:c>
      <x:c r="AF270" s="13" t="n">
        <x:v>-0.2492593724899004</x:v>
      </x:c>
      <x:c r="AG270" s="13" t="n">
        <x:v>0.9205995192201918</x:v>
      </x:c>
      <x:c r="AH270" s="13" t="n">
        <x:v>-1.3146395061594829</x:v>
      </x:c>
      <x:c r="AI270" s="13" t="n">
        <x:v>0.7569696929603585</x:v>
      </x:c>
      <x:c r="AJ270" s="13" t="n">
        <x:v>0.10545444340187743</x:v>
      </x:c>
      <x:c r="AK270" s="13" t="n">
        <x:v>-0.33263125579456515</x:v>
      </x:c>
      <x:c r="AL270" s="13" t="n">
        <x:v>0.06395397004612753</x:v>
      </x:c>
      <x:c r="AM270" s="13" t="n">
        <x:v>0.6758651518237484</x:v>
      </x:c>
      <x:c r="AN270" s="13" t="n">
        <x:v>0.9797954613321925</x:v>
      </x:c>
      <x:c r="AO270" s="13" t="n">
        <x:v>0.7574773329007504</x:v>
      </x:c>
      <x:c r="AP270" s="13" t="n">
        <x:v>-1.7468630571494368</x:v>
      </x:c>
    </x:row>
    <x:row r="271" ht="15" hidden="0" customHeight="1">
      <x:c r="A271" s="2" t="str">
        <x:v>E270</x:v>
      </x:c>
      <x:c r="B271" s="2" t="str">
        <x:v>个体经营E270 </x:v>
      </x:c>
      <x:c r="C271" s="2" t="str">
        <x:v>无信贷记录</x:v>
      </x:c>
      <x:c r="D271" s="2" t="str"/>
      <x:c r="E271" s="2" t="str"/>
      <x:c r="F271" s="13" t="n">
        <x:v>-0.3525915225537873</x:v>
      </x:c>
      <x:c r="G271" s="13" t="n">
        <x:v>-0.3487330082925947</x:v>
      </x:c>
      <x:c r="H271" s="13" t="n">
        <x:v>-0.38052284282489673</x:v>
      </x:c>
      <x:c r="I271" s="13" t="n">
        <x:v>-0.2887511126877555</x:v>
      </x:c>
      <x:c r="J271" s="13" t="n">
        <x:v>-0.43555781908989993</x:v>
      </x:c>
      <x:c r="K271" s="13" t="n">
        <x:v>-0.43910499860983987</x:v>
      </x:c>
      <x:c r="L271" s="13" t="n">
        <x:v>-0.44110248767668686</x:v>
      </x:c>
      <x:c r="M271" s="13" t="n">
        <x:v>-0.2612582474491625</x:v>
      </x:c>
      <x:c r="N271" s="13" t="n">
        <x:v>0.06668175796503042</x:v>
      </x:c>
      <x:c r="O271" s="13" t="n">
        <x:v>-0.04756209206275547</x:v>
      </x:c>
      <x:c r="P271" s="13" t="n">
        <x:v>0.34567568977040036</x:v>
      </x:c>
      <x:c r="Q271" s="13" t="n">
        <x:v>-0.4497503373788725</x:v>
      </x:c>
      <x:c r="R271" s="13" t="n">
        <x:v>-0.6184113828350523</x:v>
      </x:c>
      <x:c r="S271" s="13" t="n">
        <x:v>-0.4980595969046359</x:v>
      </x:c>
      <x:c r="T271" s="13" t="n">
        <x:v>0.7299766413668972</x:v>
      </x:c>
      <x:c r="U271" s="13" t="n">
        <x:v>-0.34100269941221384</x:v>
      </x:c>
      <x:c r="V271" s="13" t="n">
        <x:v>-0.3589605894443949</x:v>
      </x:c>
      <x:c r="W271" s="13" t="n">
        <x:v>-0.035750813216340604</x:v>
      </x:c>
      <x:c r="X271" s="13" t="n">
        <x:v>-0.18422263910349174</x:v>
      </x:c>
      <x:c r="Y271" s="13" t="n">
        <x:v>-0.3385018387402949</x:v>
      </x:c>
      <x:c r="Z271" s="13" t="n">
        <x:v>-0.3051260644719018</x:v>
      </x:c>
      <x:c r="AA271" s="13" t="n">
        <x:v>-0.30528792399661775</x:v>
      </x:c>
      <x:c r="AB271" s="13" t="n">
        <x:v>0.5717726326932236</x:v>
      </x:c>
      <x:c r="AC271" s="13" t="n">
        <x:v>0.30085529560494484</x:v>
      </x:c>
      <x:c r="AD271" s="13" t="n">
        <x:v>0.41508094193960043</x:v>
      </x:c>
      <x:c r="AE271" s="13" t="n">
        <x:v>0.8158075098106374</x:v>
      </x:c>
      <x:c r="AF271" s="13" t="n">
        <x:v>-0.3499836352209299</x:v>
      </x:c>
      <x:c r="AG271" s="13" t="n">
        <x:v>-0.6064397329983496</x:v>
      </x:c>
      <x:c r="AH271" s="13" t="n">
        <x:v>0.200507797479315</x:v>
      </x:c>
      <x:c r="AI271" s="13" t="n">
        <x:v>0.4550815607975631</x:v>
      </x:c>
      <x:c r="AJ271" s="13" t="n">
        <x:v>-0.15791175772686794</x:v>
      </x:c>
      <x:c r="AK271" s="13" t="n">
        <x:v>-0.2416828532216072</x:v>
      </x:c>
      <x:c r="AL271" s="13" t="n">
        <x:v>0.3884326255878597</x:v>
      </x:c>
      <x:c r="AM271" s="13" t="n">
        <x:v>0.15043261629068555</x:v>
      </x:c>
      <x:c r="AN271" s="13" t="n">
        <x:v>0.22366382982124447</x:v>
      </x:c>
      <x:c r="AO271" s="13" t="n">
        <x:v>-0.7057207221701594</x:v>
      </x:c>
      <x:c r="AP271" s="13" t="n">
        <x:v>-0.20807327934688952</x:v>
      </x:c>
    </x:row>
    <x:row r="272" ht="15" hidden="0" customHeight="1">
      <x:c r="A272" s="2" t="str">
        <x:v>E271</x:v>
      </x:c>
      <x:c r="B272" s="2" t="str">
        <x:v>***科技有限公司</x:v>
      </x:c>
      <x:c r="C272" s="2" t="str">
        <x:v>无信贷记录</x:v>
      </x:c>
      <x:c r="D272" s="2" t="str"/>
      <x:c r="E272" s="2" t="str"/>
      <x:c r="F272" s="13" t="n">
        <x:v>0.17449012011331339</x:v>
      </x:c>
      <x:c r="G272" s="13" t="n">
        <x:v>0.17391927400123258</x:v>
      </x:c>
      <x:c r="H272" s="13" t="n">
        <x:v>0.11914477388739048</x:v>
      </x:c>
      <x:c r="I272" s="13" t="n">
        <x:v>-0.11722379017423794</x:v>
      </x:c>
      <x:c r="J272" s="13" t="n">
        <x:v>0.03081407851966556</x:v>
      </x:c>
      <x:c r="K272" s="13" t="n">
        <x:v>0.038086280531133505</x:v>
      </x:c>
      <x:c r="L272" s="13" t="n">
        <x:v>0.8367229791573874</x:v>
      </x:c>
      <x:c r="M272" s="13" t="n">
        <x:v>0.20579583199962234</x:v>
      </x:c>
      <x:c r="N272" s="13" t="n">
        <x:v>-0.19415880062822302</x:v>
      </x:c>
      <x:c r="O272" s="13" t="n">
        <x:v>-0.8282672643556109</x:v>
      </x:c>
      <x:c r="P272" s="13" t="n">
        <x:v>-1.0944530059256934</x:v>
      </x:c>
      <x:c r="Q272" s="13" t="n">
        <x:v>0.005467769096380944</x:v>
      </x:c>
      <x:c r="R272" s="13" t="n">
        <x:v>-0.2966860256873516</x:v>
      </x:c>
      <x:c r="S272" s="13" t="n">
        <x:v>-0.8875413193546282</x:v>
      </x:c>
      <x:c r="T272" s="13" t="n">
        <x:v>0.8241600270927416</x:v>
      </x:c>
      <x:c r="U272" s="13" t="n">
        <x:v>-0.2661752904451942</x:v>
      </x:c>
      <x:c r="V272" s="13" t="n">
        <x:v>-0.30005202804822184</x:v>
      </x:c>
      <x:c r="W272" s="13" t="n">
        <x:v>0.24148635900328538</x:v>
      </x:c>
      <x:c r="X272" s="13" t="n">
        <x:v>-0.08080059849931753</x:v>
      </x:c>
      <x:c r="Y272" s="13" t="n">
        <x:v>-0.22785310399240966</x:v>
      </x:c>
      <x:c r="Z272" s="13" t="n">
        <x:v>-0.18732603399460104</x:v>
      </x:c>
      <x:c r="AA272" s="13" t="n">
        <x:v>-0.16664484005085015</x:v>
      </x:c>
      <x:c r="AB272" s="13" t="n">
        <x:v>0.714441845895189</x:v>
      </x:c>
      <x:c r="AC272" s="13" t="n">
        <x:v>0.4427473974946947</x:v>
      </x:c>
      <x:c r="AD272" s="13" t="n">
        <x:v>-0.7437186556136549</x:v>
      </x:c>
      <x:c r="AE272" s="13" t="n">
        <x:v>-0.9462969857791814</x:v>
      </x:c>
      <x:c r="AF272" s="13" t="n">
        <x:v>-0.2536172718437755</x:v>
      </x:c>
      <x:c r="AG272" s="13" t="n">
        <x:v>0.15807481871462914</x:v>
      </x:c>
      <x:c r="AH272" s="13" t="n">
        <x:v>-0.8094175533803938</x:v>
      </x:c>
      <x:c r="AI272" s="13" t="n">
        <x:v>0.9582284477355555</x:v>
      </x:c>
      <x:c r="AJ272" s="13" t="n">
        <x:v>-0.3341784041741555</x:v>
      </x:c>
      <x:c r="AK272" s="13" t="n">
        <x:v>-0.06689334593264089</x:v>
      </x:c>
      <x:c r="AL272" s="13" t="n">
        <x:v>0.10087513736892213</x:v>
      </x:c>
      <x:c r="AM272" s="13" t="n">
        <x:v>-0.1309493756115229</x:v>
      </x:c>
      <x:c r="AN272" s="13" t="n">
        <x:v>-1.054488027927505</x:v>
      </x:c>
      <x:c r="AO272" s="13" t="n">
        <x:v>-0.1276077006876431</x:v>
      </x:c>
      <x:c r="AP272" s="13" t="n">
        <x:v>-0.9552863416696233</x:v>
      </x:c>
    </x:row>
    <x:row r="273" ht="15" hidden="0" customHeight="1">
      <x:c r="A273" s="2" t="str">
        <x:v>E272</x:v>
      </x:c>
      <x:c r="B273" s="2" t="str">
        <x:v>个体经营E272 </x:v>
      </x:c>
      <x:c r="C273" s="2" t="str">
        <x:v>无信贷记录</x:v>
      </x:c>
      <x:c r="D273" s="2" t="str"/>
      <x:c r="E273" s="2" t="str"/>
      <x:c r="F273" s="13" t="n">
        <x:v>-0.05358742447086738</x:v>
      </x:c>
      <x:c r="G273" s="13" t="n">
        <x:v>-0.051444554143812195</x:v>
      </x:c>
      <x:c r="H273" s="13" t="n">
        <x:v>-0.11474219563750993</x:v>
      </x:c>
      <x:c r="I273" s="13" t="n">
        <x:v>0.14006719359603836</x:v>
      </x:c>
      <x:c r="J273" s="13" t="n">
        <x:v>-0.4737037811246103</x:v>
      </x:c>
      <x:c r="K273" s="13" t="n">
        <x:v>-0.4724761880485848</x:v>
      </x:c>
      <x:c r="L273" s="13" t="n">
        <x:v>0.14913118033714748</x:v>
      </x:c>
      <x:c r="M273" s="13" t="n">
        <x:v>0.05885461706041225</x:v>
      </x:c>
      <x:c r="N273" s="13" t="n">
        <x:v>0.5728654545602951</x:v>
      </x:c>
      <x:c r="O273" s="13" t="n">
        <x:v>-0.6914137573315994</x:v>
      </x:c>
      <x:c r="P273" s="13" t="n">
        <x:v>-0.5847246213295872</x:v>
      </x:c>
      <x:c r="Q273" s="13" t="n">
        <x:v>-0.48832740925891394</x:v>
      </x:c>
      <x:c r="R273" s="13" t="n">
        <x:v>-0.8171446850897724</x:v>
      </x:c>
      <x:c r="S273" s="13" t="n">
        <x:v>0.1530540033909152</x:v>
      </x:c>
      <x:c r="T273" s="13" t="n">
        <x:v>0.7299766413668972</x:v>
      </x:c>
      <x:c r="U273" s="13" t="n">
        <x:v>-0.24615105424275238</x:v>
      </x:c>
      <x:c r="V273" s="13" t="n">
        <x:v>-0.24282656840622516</x:v>
      </x:c>
      <x:c r="W273" s="13" t="n">
        <x:v>-0.2380590199712028</x:v>
      </x:c>
      <x:c r="X273" s="13" t="n">
        <x:v>0.2915187476757096</x:v>
      </x:c>
      <x:c r="Y273" s="13" t="n">
        <x:v>-0.4049910143702133</x:v>
      </x:c>
      <x:c r="Z273" s="13" t="n">
        <x:v>-0.3396775385859245</x:v>
      </x:c>
      <x:c r="AA273" s="13" t="n">
        <x:v>-0.22539190951939572</x:v>
      </x:c>
      <x:c r="AB273" s="13" t="n">
        <x:v>-0.28423274320658065</x:v>
      </x:c>
      <x:c r="AC273" s="13" t="n">
        <x:v>1.339400764019546</x:v>
      </x:c>
      <x:c r="AD273" s="13" t="n">
        <x:v>-0.37808255923469075</x:v>
      </x:c>
      <x:c r="AE273" s="13" t="n">
        <x:v>-0.5005545171673634</x:v>
      </x:c>
      <x:c r="AF273" s="13" t="n">
        <x:v>-0.4231040693837109</x:v>
      </x:c>
      <x:c r="AG273" s="13" t="n">
        <x:v>-0.2512593407777844</x:v>
      </x:c>
      <x:c r="AH273" s="13" t="n">
        <x:v>0.5226001347120877</x:v>
      </x:c>
      <x:c r="AI273" s="13" t="n">
        <x:v>0.857599070347957</x:v>
      </x:c>
      <x:c r="AJ273" s="13" t="n">
        <x:v>-0.23850212671383988</x:v>
      </x:c>
      <x:c r="AK273" s="13" t="n">
        <x:v>-0.24810614494065333</x:v>
      </x:c>
      <x:c r="AL273" s="13" t="n">
        <x:v>-0.3779366659368996</x:v>
      </x:c>
      <x:c r="AM273" s="13" t="n">
        <x:v>0.8341113839561153</x:v>
      </x:c>
      <x:c r="AN273" s="13" t="n">
        <x:v>-0.730079689307769</x:v>
      </x:c>
      <x:c r="AO273" s="13" t="n">
        <x:v>-0.6732361738705963</x:v>
      </x:c>
      <x:c r="AP273" s="13" t="n">
        <x:v>0.3530124110216198</x:v>
      </x:c>
    </x:row>
    <x:row r="274" ht="15" hidden="0" customHeight="1">
      <x:c r="A274" s="2" t="str">
        <x:v>E273</x:v>
      </x:c>
      <x:c r="B274" s="2" t="str">
        <x:v>个体经营E273 </x:v>
      </x:c>
      <x:c r="C274" s="2" t="str">
        <x:v>无信贷记录</x:v>
      </x:c>
      <x:c r="D274" s="2" t="str"/>
      <x:c r="E274" s="2" t="str"/>
      <x:c r="F274" s="13" t="n">
        <x:v>0.10402713885966404</x:v>
      </x:c>
      <x:c r="G274" s="13" t="n">
        <x:v>0.08856871781013052</x:v>
      </x:c>
      <x:c r="H274" s="13" t="n">
        <x:v>0.3955566469622728</x:v>
      </x:c>
      <x:c r="I274" s="13" t="n">
        <x:v>0.3115945161095559</x:v>
      </x:c>
      <x:c r="J274" s="13" t="n">
        <x:v>-0.36064154865943343</x:v>
      </x:c>
      <x:c r="K274" s="13" t="n">
        <x:v>-0.34334489172796645</x:v>
      </x:c>
      <x:c r="L274" s="13" t="n">
        <x:v>0.2738712854328547</x:v>
      </x:c>
      <x:c r="M274" s="13" t="n">
        <x:v>0.9850038420565744</x:v>
      </x:c>
      <x:c r="N274" s="13" t="n">
        <x:v>0.6098506099915225</x:v>
      </x:c>
      <x:c r="O274" s="13" t="n">
        <x:v>0.39462272061379433</x:v>
      </x:c>
      <x:c r="P274" s="13" t="n">
        <x:v>0.7867572590841225</x:v>
      </x:c>
      <x:c r="Q274" s="13" t="n">
        <x:v>-0.3228564924001307</x:v>
      </x:c>
      <x:c r="R274" s="13" t="n">
        <x:v>-0.27211376115253233</x:v>
      </x:c>
      <x:c r="S274" s="13" t="n">
        <x:v>-0.6845605231557087</x:v>
      </x:c>
      <x:c r="T274" s="13" t="n">
        <x:v>0.07069294128598666</x:v>
      </x:c>
      <x:c r="U274" s="13" t="n">
        <x:v>3.680180102188676</x:v>
      </x:c>
      <x:c r="V274" s="13" t="n">
        <x:v>3.9194840696719457</x:v>
      </x:c>
      <x:c r="W274" s="13" t="n">
        <x:v>0.0017136695160412882</x:v>
      </x:c>
      <x:c r="X274" s="13" t="n">
        <x:v>-0.12216941474098722</x:v>
      </x:c>
      <x:c r="Y274" s="13" t="n">
        <x:v>-0.3318793212676119</x:v>
      </x:c>
      <x:c r="Z274" s="13" t="n">
        <x:v>-0.3057905367961888</x:v>
      </x:c>
      <x:c r="AA274" s="13" t="n">
        <x:v>5.931958937962228</x:v>
      </x:c>
      <x:c r="AB274" s="13" t="n">
        <x:v>-0.9323436890881031</x:v>
      </x:c>
      <x:c r="AC274" s="13" t="n">
        <x:v>-0.6434199775906395</x:v>
      </x:c>
      <x:c r="AD274" s="13" t="n">
        <x:v>-0.9940326344087347</x:v>
      </x:c>
      <x:c r="AE274" s="13" t="n">
        <x:v>-1.3120639401541287</x:v>
      </x:c>
      <x:c r="AF274" s="13" t="n">
        <x:v>-0.34312557409882294</x:v>
      </x:c>
      <x:c r="AG274" s="13" t="n">
        <x:v>-1.0220370081949213</x:v>
      </x:c>
      <x:c r="AH274" s="13" t="n">
        <x:v>-0.45387991939090677</x:v>
      </x:c>
      <x:c r="AI274" s="13" t="n">
        <x:v>0.7569696929603585</x:v>
      </x:c>
      <x:c r="AJ274" s="13" t="n">
        <x:v>-0.20467222416276268</x:v>
      </x:c>
      <x:c r="AK274" s="13" t="n">
        <x:v>-0.16826721237592454</x:v>
      </x:c>
      <x:c r="AL274" s="13" t="n">
        <x:v>-0.9378274173757951</x:v>
      </x:c>
      <x:c r="AM274" s="13" t="n">
        <x:v>-0.5881609367798026</x:v>
      </x:c>
      <x:c r="AN274" s="13" t="n">
        <x:v>-0.3383245634953298</x:v>
      </x:c>
      <x:c r="AO274" s="13" t="n">
        <x:v>-0.6665967525265972</x:v>
      </x:c>
      <x:c r="AP274" s="13" t="n">
        <x:v>-0.6518849119099407</x:v>
      </x:c>
    </x:row>
    <x:row r="275" ht="15" hidden="0" customHeight="1">
      <x:c r="A275" s="2" t="str">
        <x:v>E274</x:v>
      </x:c>
      <x:c r="B275" s="2" t="str">
        <x:v>***建筑劳务有限公司</x:v>
      </x:c>
      <x:c r="C275" s="2" t="str">
        <x:v>无信贷记录</x:v>
      </x:c>
      <x:c r="D275" s="2" t="str"/>
      <x:c r="E275" s="2" t="str"/>
      <x:c r="F275" s="13" t="n">
        <x:v>-0.6070926851080866</x:v>
      </x:c>
      <x:c r="G275" s="13" t="n">
        <x:v>-0.605743671879284</x:v>
      </x:c>
      <x:c r="H275" s="13" t="n">
        <x:v>-0.518728779362338</x:v>
      </x:c>
      <x:c r="I275" s="13" t="n">
        <x:v>-0.46027843520127304</x:v>
      </x:c>
      <x:c r="J275" s="13" t="n">
        <x:v>-0.5693682248833266</x:v>
      </x:c>
      <x:c r="K275" s="13" t="n">
        <x:v>-0.5718043851426465</x:v>
      </x:c>
      <x:c r="L275" s="13" t="n">
        <x:v>-0.6875402562804012</x:v>
      </x:c>
      <x:c r="M275" s="13" t="n">
        <x:v>-1.151103901665672</x:v>
      </x:c>
      <x:c r="N275" s="13" t="n">
        <x:v>-0.7216149855326618</x:v>
      </x:c>
      <x:c r="O275" s="13" t="n">
        <x:v>0.750878466485925</x:v>
      </x:c>
      <x:c r="P275" s="13" t="n">
        <x:v>0.8931289289749154</x:v>
      </x:c>
      <x:c r="Q275" s="13" t="n">
        <x:v>-0.5845427245420854</x:v>
      </x:c>
      <x:c r="R275" s="13" t="n">
        <x:v>1.5715032448221273</x:v>
      </x:c>
      <x:c r="S275" s="13" t="n">
        <x:v>2.5808657046323797</x:v>
      </x:c>
      <x:c r="T275" s="13" t="n">
        <x:v>-2.0013415446825893</x:v>
      </x:c>
      <x:c r="U275" s="13" t="n">
        <x:v>-0.4785375849079329</x:v>
      </x:c>
      <x:c r="V275" s="13" t="n">
        <x:v>-0.47060633913809435</x:v>
      </x:c>
      <x:c r="W275" s="13" t="n">
        <x:v>-0.500310399097876</x:v>
      </x:c>
      <x:c r="X275" s="13" t="n">
        <x:v>-0.3496979040701705</x:v>
      </x:c>
      <x:c r="Y275" s="13" t="n">
        <x:v>-0.4409811455702774</x:v>
      </x:c>
      <x:c r="Z275" s="13" t="n">
        <x:v>-0.38983495271902757</x:v>
      </x:c>
      <x:c r="AA275" s="13" t="n">
        <x:v>-0.3593352279076797</x:v>
      </x:c>
      <x:c r="AB275" s="13" t="n">
        <x:v>-0.05468210131592648</x:v>
      </x:c>
      <x:c r="AC275" s="13" t="n">
        <x:v>-0.20594990596832682</x:v>
      </x:c>
      <x:c r="AD275" s="13" t="n">
        <x:v>-0.3974497531184981</x:v>
      </x:c>
      <x:c r="AE275" s="13" t="n">
        <x:v>-0.3466869409687315</x:v>
      </x:c>
      <x:c r="AF275" s="13" t="n">
        <x:v>-0.37856025415083694</x:v>
      </x:c>
      <x:c r="AG275" s="13" t="n">
        <x:v>0.32838534518824086</x:v>
      </x:c>
      <x:c r="AH275" s="13" t="n">
        <x:v>1.3470758345592377</x:v>
      </x:c>
      <x:c r="AI275" s="13" t="n">
        <x:v>-1.255617854791611</x:v>
      </x:c>
      <x:c r="AJ275" s="13" t="n">
        <x:v>-0.22433352352418803</x:v>
      </x:c>
      <x:c r="AK275" s="13" t="n">
        <x:v>-0.3419659469583819</x:v>
      </x:c>
      <x:c r="AL275" s="13" t="n">
        <x:v>0.6135326441245974</x:v>
      </x:c>
      <x:c r="AM275" s="13" t="n">
        <x:v>0.012788176920039128</x:v>
      </x:c>
      <x:c r="AN275" s="13" t="n">
        <x:v>0.2971959953477043</x:v>
      </x:c>
      <x:c r="AO275" s="13" t="n">
        <x:v>1.2193021507937611</x:v>
      </x:c>
      <x:c r="AP275" s="13" t="n">
        <x:v>2.257951748893811</x:v>
      </x:c>
    </x:row>
    <x:row r="276" ht="15" hidden="0" customHeight="1">
      <x:c r="A276" s="2" t="str">
        <x:v>E275</x:v>
      </x:c>
      <x:c r="B276" s="2" t="str">
        <x:v>***网络工程有限公司</x:v>
      </x:c>
      <x:c r="C276" s="2" t="str">
        <x:v>无信贷记录</x:v>
      </x:c>
      <x:c r="D276" s="2" t="str"/>
      <x:c r="E276" s="2" t="str"/>
      <x:c r="F276" s="13" t="n">
        <x:v>-0.43696167116013057</x:v>
      </x:c>
      <x:c r="G276" s="13" t="n">
        <x:v>-0.4369605495238462</x:v>
      </x:c>
      <x:c r="H276" s="13" t="n">
        <x:v>-0.3592603910499058</x:v>
      </x:c>
      <x:c r="I276" s="13" t="n">
        <x:v>-0.20298745143099672</x:v>
      </x:c>
      <x:c r="J276" s="13" t="n">
        <x:v>-0.5344910138730123</x:v>
      </x:c>
      <x:c r="K276" s="13" t="n">
        <x:v>-0.5373570818773916</x:v>
      </x:c>
      <x:c r="L276" s="13" t="n">
        <x:v>-0.41980539656278565</x:v>
      </x:c>
      <x:c r="M276" s="13" t="n">
        <x:v>0.36869540424703895</x:v>
      </x:c>
      <x:c r="N276" s="13" t="n">
        <x:v>1.0585496385198192</x:v>
      </x:c>
      <x:c r="O276" s="13" t="n">
        <x:v>-0.5177760562391537</x:v>
      </x:c>
      <x:c r="P276" s="13" t="n">
        <x:v>-0.5212745099516303</x:v>
      </x:c>
      <x:c r="Q276" s="13" t="n">
        <x:v>-0.5487726688921778</x:v>
      </x:c>
      <x:c r="R276" s="13" t="n">
        <x:v>0.10905765810217809</x:v>
      </x:c>
      <x:c r="S276" s="13" t="n">
        <x:v>-0.48144309469258717</x:v>
      </x:c>
      <x:c r="T276" s="13" t="n">
        <x:v>0.5416098699152085</x:v>
      </x:c>
      <x:c r="U276" s="13" t="n">
        <x:v>-0.3273019062210694</x:v>
      </x:c>
      <x:c r="V276" s="13" t="n">
        <x:v>-0.34661784324710154</x:v>
      </x:c>
      <x:c r="W276" s="13" t="n">
        <x:v>-0.00577922703043509</x:v>
      </x:c>
      <x:c r="X276" s="13" t="n">
        <x:v>0.10535907458819604</x:v>
      </x:c>
      <x:c r="Y276" s="13" t="n">
        <x:v>-0.3466907293392089</x:v>
      </x:c>
      <x:c r="Z276" s="13" t="n">
        <x:v>-0.2883211849533417</x:v>
      </x:c>
      <x:c r="AA276" s="13" t="n">
        <x:v>-0.28648886176668314</x:v>
      </x:c>
      <x:c r="AB276" s="13" t="n">
        <x:v>0.5528282970943214</x:v>
      </x:c>
      <x:c r="AC276" s="13" t="n">
        <x:v>1.5516043644979878</x:v>
      </x:c>
      <x:c r="AD276" s="13" t="n">
        <x:v>-0.7022813823281709</x:v>
      </x:c>
      <x:c r="AE276" s="13" t="n">
        <x:v>-0.7336219012653314</x:v>
      </x:c>
      <x:c r="AF276" s="13" t="n">
        <x:v>-0.3753557875554559</x:v>
      </x:c>
      <x:c r="AG276" s="13" t="n">
        <x:v>-0.19215230265722827</x:v>
      </x:c>
      <x:c r="AH276" s="13" t="n">
        <x:v>-0.2515086234100636</x:v>
      </x:c>
      <x:c r="AI276" s="13" t="n">
        <x:v>0.6563403155727601</x:v>
      </x:c>
      <x:c r="AJ276" s="13" t="n">
        <x:v>-0.0952398405457412</x:v>
      </x:c>
      <x:c r="AK276" s="13" t="n">
        <x:v>-0.3186831639312388</x:v>
      </x:c>
      <x:c r="AL276" s="13" t="n">
        <x:v>0.8240982073249677</x:v>
      </x:c>
      <x:c r="AM276" s="13" t="n">
        <x:v>1.6643480103617645</x:v>
      </x:c>
      <x:c r="AN276" s="13" t="n">
        <x:v>-0.8051755836859403</x:v>
      </x:c>
      <x:c r="AO276" s="13" t="n">
        <x:v>-0.017397278633747026</x:v>
      </x:c>
      <x:c r="AP276" s="13" t="n">
        <x:v>-0.4255368763791106</x:v>
      </x:c>
    </x:row>
    <x:row r="277" ht="15" hidden="0" customHeight="1">
      <x:c r="A277" s="2" t="str">
        <x:v>E276</x:v>
      </x:c>
      <x:c r="B277" s="2" t="str">
        <x:v>***体育设施工程有限公司</x:v>
      </x:c>
      <x:c r="C277" s="2" t="str">
        <x:v>无信贷记录</x:v>
      </x:c>
      <x:c r="D277" s="2" t="str"/>
      <x:c r="E277" s="2" t="str"/>
      <x:c r="F277" s="13" t="n">
        <x:v>-0.13054041715577389</x:v>
      </x:c>
      <x:c r="G277" s="13" t="n">
        <x:v>-0.12145119012078355</x:v>
      </x:c>
      <x:c r="H277" s="13" t="n">
        <x:v>-0.3273667133874194</x:v>
      </x:c>
      <x:c r="I277" s="13" t="n">
        <x:v>-0.4173966045728936</x:v>
      </x:c>
      <x:c r="J277" s="13" t="n">
        <x:v>-0.4844816094418403</x:v>
      </x:c>
      <x:c r="K277" s="13" t="n">
        <x:v>-0.48834947613090907</x:v>
      </x:c>
      <x:c r="L277" s="13" t="n">
        <x:v>0.030475958416840563</x:v>
      </x:c>
      <x:c r="M277" s="13" t="n">
        <x:v>-0.48648397442615177</x:v>
      </x:c>
      <x:c r="N277" s="13" t="n">
        <x:v>-0.6159431128720123</x:v>
      </x:c>
      <x:c r="O277" s="13" t="n">
        <x:v>-0.20228358239602098</x:v>
      </x:c>
      <x:c r="P277" s="13" t="n">
        <x:v>0.1662825177087244</x:v>
      </x:c>
      <x:c r="Q277" s="13" t="n">
        <x:v>-0.49135537389891143</x:v>
      </x:c>
      <x:c r="R277" s="13" t="n">
        <x:v>0.6584417173011287</x:v>
      </x:c>
      <x:c r="S277" s="13" t="n">
        <x:v>0.8332427552706074</x:v>
      </x:c>
      <x:c r="T277" s="13" t="n">
        <x:v>0.35324309846351976</x:v>
      </x:c>
      <x:c r="U277" s="13" t="n">
        <x:v>-0.4479742770199953</x:v>
      </x:c>
      <x:c r="V277" s="13" t="n">
        <x:v>-0.45209221984215425</x:v>
      </x:c>
      <x:c r="W277" s="13" t="n">
        <x:v>-0.31298798543596656</x:v>
      </x:c>
      <x:c r="X277" s="13" t="n">
        <x:v>-0.22559145534516142</x:v>
      </x:c>
      <x:c r="Y277" s="13" t="n">
        <x:v>-0.4308091501811926</x:v>
      </x:c>
      <x:c r="Z277" s="13" t="n">
        <x:v>-0.3737899172583485</x:v>
      </x:c>
      <x:c r="AA277" s="13" t="n">
        <x:v>-0.3452359312352288</x:v>
      </x:c>
      <x:c r="AB277" s="13" t="n">
        <x:v>0.654810481067185</x:v>
      </x:c>
      <x:c r="AC277" s="13" t="n">
        <x:v>0.8860216821912178</x:v>
      </x:c>
      <x:c r="AD277" s="13" t="n">
        <x:v>-0.34907787570184196</x:v>
      </x:c>
      <x:c r="AE277" s="13" t="n">
        <x:v>-0.2729909095055127</x:v>
      </x:c>
      <x:c r="AF277" s="13" t="n">
        <x:v>-0.45243108394722253</x:v>
      </x:c>
      <x:c r="AG277" s="13" t="n">
        <x:v>0.8954387330303989</x:v>
      </x:c>
      <x:c r="AH277" s="13" t="n">
        <x:v>0.09988722334202638</x:v>
      </x:c>
      <x:c r="AI277" s="13" t="n">
        <x:v>-0.3499534583032247</x:v>
      </x:c>
      <x:c r="AJ277" s="13" t="n">
        <x:v>-0.2729039447860016</x:v>
      </x:c>
      <x:c r="AK277" s="13" t="n">
        <x:v>-0.23712731370055845</x:v>
      </x:c>
      <x:c r="AL277" s="13" t="n">
        <x:v>-0.4088493627001384</x:v>
      </x:c>
      <x:c r="AM277" s="13" t="n">
        <x:v>-0.33737904116575396</x:v>
      </x:c>
      <x:c r="AN277" s="13" t="n">
        <x:v>-0.35972766466349543</x:v>
      </x:c>
      <x:c r="AO277" s="13" t="n">
        <x:v>0.8671980873266599</x:v>
      </x:c>
      <x:c r="AP277" s="13" t="n">
        <x:v>0.5568134346383146</x:v>
      </x:c>
    </x:row>
    <x:row r="278" ht="15" hidden="0" customHeight="1">
      <x:c r="A278" s="2" t="str">
        <x:v>E277</x:v>
      </x:c>
      <x:c r="B278" s="2" t="str">
        <x:v>***消防设备制造有限公司</x:v>
      </x:c>
      <x:c r="C278" s="2" t="str">
        <x:v>无信贷记录</x:v>
      </x:c>
      <x:c r="D278" s="2" t="str"/>
      <x:c r="E278" s="2" t="str"/>
      <x:c r="F278" s="13" t="n">
        <x:v>-0.4578224221891715</x:v>
      </x:c>
      <x:c r="G278" s="13" t="n">
        <x:v>-0.45853793732496756</x:v>
      </x:c>
      <x:c r="H278" s="13" t="n">
        <x:v>-0.3592603910499058</x:v>
      </x:c>
      <x:c r="I278" s="13" t="n">
        <x:v>-0.37451477394451427</x:v>
      </x:c>
      <x:c r="J278" s="13" t="n">
        <x:v>-0.2883547462348053</x:v>
      </x:c>
      <x:c r="K278" s="13" t="n">
        <x:v>-0.2943655148537622</x:v>
      </x:c>
      <x:c r="L278" s="13" t="n">
        <x:v>-0.4684844619659885</x:v>
      </x:c>
      <x:c r="M278" s="13" t="n">
        <x:v>0.5734587837861765</x:v>
      </x:c>
      <x:c r="N278" s="13" t="n">
        <x:v>-0.04451997701113306</x:v>
      </x:c>
      <x:c r="O278" s="13" t="n">
        <x:v>-0.6919607880313895</x:v>
      </x:c>
      <x:c r="P278" s="13" t="n">
        <x:v>-0.721739175811233</x:v>
      </x:c>
      <x:c r="Q278" s="13" t="n">
        <x:v>-0.24389728040345438</x:v>
      </x:c>
      <x:c r="R278" s="13" t="n">
        <x:v>-1.109252816518363</x:v>
      </x:c>
      <x:c r="S278" s="13" t="n">
        <x:v>-0.09736567813412288</x:v>
      </x:c>
      <x:c r="T278" s="13" t="n">
        <x:v>0.16487632701183103</x:v>
      </x:c>
      <x:c r="U278" s="13" t="n">
        <x:v>-0.416884015547783</x:v>
      </x:c>
      <x:c r="V278" s="13" t="n">
        <x:v>-0.404404336807157</x:v>
      </x:c>
      <x:c r="W278" s="13" t="n">
        <x:v>-0.5078032956443524</x:v>
      </x:c>
      <x:c r="X278" s="13" t="n">
        <x:v>-0.3703823121910053</x:v>
      </x:c>
      <x:c r="Y278" s="13" t="n">
        <x:v>-0.35863113999740587</x:v>
      </x:c>
      <x:c r="Z278" s="13" t="n">
        <x:v>-0.325866781277906</x:v>
      </x:c>
      <x:c r="AA278" s="13" t="n">
        <x:v>-0.314687455111585</x:v>
      </x:c>
      <x:c r="AB278" s="13" t="n">
        <x:v>-0.5017105907039752</x:v>
      </x:c>
      <x:c r="AC278" s="13" t="n">
        <x:v>-0.5663177264639397</x:v>
      </x:c>
      <x:c r="AD278" s="13" t="n">
        <x:v>2.1768682335386766</x:v>
      </x:c>
      <x:c r="AE278" s="13" t="n">
        <x:v>2.0626833887948126</x:v>
      </x:c>
      <x:c r="AF278" s="13" t="n">
        <x:v>-0.3372288232922286</x:v>
      </x:c>
      <x:c r="AG278" s="13" t="n">
        <x:v>-1.2871423893236018</x:v>
      </x:c>
      <x:c r="AH278" s="13" t="n">
        <x:v>-0.513615187930221</x:v>
      </x:c>
      <x:c r="AI278" s="13" t="n">
        <x:v>0.2538228060223661</x:v>
      </x:c>
      <x:c r="AJ278" s="13" t="n">
        <x:v>-0.3046103632634926</x:v>
      </x:c>
      <x:c r="AK278" s="13" t="n">
        <x:v>-0.1030004488104782</x:v>
      </x:c>
      <x:c r="AL278" s="13" t="n">
        <x:v>-0.33744187472565096</x:v>
      </x:c>
      <x:c r="AM278" s="13" t="n">
        <x:v>-0.4738211607872758</x:v>
      </x:c>
      <x:c r="AN278" s="13" t="n">
        <x:v>0.8473409475121849</x:v>
      </x:c>
      <x:c r="AO278" s="13" t="n">
        <x:v>-1.359039930038723</x:v>
      </x:c>
      <x:c r="AP278" s="13" t="n">
        <x:v>-0.3222507786159289</x:v>
      </x:c>
    </x:row>
    <x:row r="279" ht="15" hidden="0" customHeight="1">
      <x:c r="A279" s="2" t="str">
        <x:v>E278</x:v>
      </x:c>
      <x:c r="B279" s="2" t="str">
        <x:v>***贸易有限公司</x:v>
      </x:c>
      <x:c r="C279" s="2" t="str">
        <x:v>无信贷记录</x:v>
      </x:c>
      <x:c r="D279" s="2" t="str"/>
      <x:c r="E279" s="2" t="str"/>
      <x:c r="F279" s="13" t="n">
        <x:v>-0.4249087927877958</x:v>
      </x:c>
      <x:c r="G279" s="13" t="n">
        <x:v>-0.4249731118565566</x:v>
      </x:c>
      <x:c r="H279" s="13" t="n">
        <x:v>-0.3486291651624103</x:v>
      </x:c>
      <x:c r="I279" s="13" t="n">
        <x:v>-0.37451477394451427</x:v>
      </x:c>
      <x:c r="J279" s="13" t="n">
        <x:v>-0.317068299065963</x:v>
      </x:c>
      <x:c r="K279" s="13" t="n">
        <x:v>-0.32387680158274773</x:v>
      </x:c>
      <x:c r="L279" s="13" t="n">
        <x:v>-0.4167629549750855</x:v>
      </x:c>
      <x:c r="M279" s="13" t="n">
        <x:v>0.3659435042692545</x:v>
      </x:c>
      <x:c r="N279" s="13" t="n">
        <x:v>-0.16636226646230792</x:v>
      </x:c>
      <x:c r="O279" s="13" t="n">
        <x:v>-0.7921741647414324</x:v>
      </x:c>
      <x:c r="P279" s="13" t="n">
        <x:v>-1.0160991994592978</x:v>
      </x:c>
      <x:c r="Q279" s="13" t="n">
        <x:v>-0.33683774438246744</x:v>
      </x:c>
      <x:c r="R279" s="13" t="n">
        <x:v>-0.32417421960234566</x:v>
      </x:c>
      <x:c r="S279" s="13" t="n">
        <x:v>0.30162463371310566</x:v>
      </x:c>
      <x:c r="T279" s="13" t="n">
        <x:v>0.7299766413668972</x:v>
      </x:c>
      <x:c r="U279" s="13" t="n">
        <x:v>-0.4342734838288509</x:v>
      </x:c>
      <x:c r="V279" s="13" t="n">
        <x:v>-0.4223574221850383</x:v>
      </x:c>
      <x:c r="W279" s="13" t="n">
        <x:v>-0.5152961921908288</x:v>
      </x:c>
      <x:c r="X279" s="13" t="n">
        <x:v>-0.3496979040701705</x:v>
      </x:c>
      <x:c r="Y279" s="13" t="n">
        <x:v>-0.41422065335944475</x:v>
      </x:c>
      <x:c r="Z279" s="13" t="n">
        <x:v>-0.3675978610559376</x:v>
      </x:c>
      <x:c r="AA279" s="13" t="n">
        <x:v>-0.30763780677535957</x:v>
      </x:c>
      <x:c r="AB279" s="13" t="n">
        <x:v>-0.4645939618349519</x:v>
      </x:c>
      <x:c r="AC279" s="13" t="n">
        <x:v>-0.39658912593602436</x:v>
      </x:c>
      <x:c r="AD279" s="13" t="n">
        <x:v>-0.43000813043718167</x:v>
      </x:c>
      <x:c r="AE279" s="13" t="n">
        <x:v>-0.1688674924861272</x:v>
      </x:c>
      <x:c r="AF279" s="13" t="n">
        <x:v>-0.4361811502688245</x:v>
      </x:c>
      <x:c r="AG279" s="13" t="n">
        <x:v>-0.07744706992858252</x:v>
      </x:c>
      <x:c r="AH279" s="13" t="n">
        <x:v>0.5995176130124967</x:v>
      </x:c>
      <x:c r="AI279" s="13" t="n">
        <x:v>0.857599070347957</x:v>
      </x:c>
      <x:c r="AJ279" s="13" t="n">
        <x:v>-0.3744385721249403</x:v>
      </x:c>
      <x:c r="AK279" s="13" t="n">
        <x:v>-0.047668026381637925</x:v>
      </x:c>
      <x:c r="AL279" s="13" t="n">
        <x:v>-0.390962485433301</x:v>
      </x:c>
      <x:c r="AM279" s="13" t="n">
        <x:v>-0.39675272986246124</x:v>
      </x:c>
      <x:c r="AN279" s="13" t="n">
        <x:v>-0.83474879768133</x:v>
      </x:c>
      <x:c r="AO279" s="13" t="n">
        <x:v>-0.257140377843821</x:v>
      </x:c>
      <x:c r="AP279" s="13" t="n">
        <x:v>0.4827642570126238</x:v>
      </x:c>
    </x:row>
    <x:row r="280" ht="15" hidden="0" customHeight="1">
      <x:c r="A280" s="2" t="str">
        <x:v>E279</x:v>
      </x:c>
      <x:c r="B280" s="2" t="str">
        <x:v>***环保包装有限公司</x:v>
      </x:c>
      <x:c r="C280" s="2" t="str">
        <x:v>无信贷记录</x:v>
      </x:c>
      <x:c r="D280" s="2" t="str"/>
      <x:c r="E280" s="2" t="str"/>
      <x:c r="F280" s="13" t="n">
        <x:v>-0.325704332338579</x:v>
      </x:c>
      <x:c r="G280" s="13" t="n">
        <x:v>-0.3237991379446323</x:v>
      </x:c>
      <x:c r="H280" s="13" t="n">
        <x:v>-0.3167354874999239</x:v>
      </x:c>
      <x:c r="I280" s="13" t="n">
        <x:v>-0.2887511126877555</x:v>
      </x:c>
      <x:c r="J280" s="13" t="n">
        <x:v>-0.19463503699763307</x:v>
      </x:c>
      <x:c r="K280" s="13" t="n">
        <x:v>-0.19145570725691965</x:v>
      </x:c>
      <x:c r="L280" s="13" t="n">
        <x:v>-0.4380600460889867</x:v>
      </x:c>
      <x:c r="M280" s="13" t="n">
        <x:v>0.027579437254891367</x:v>
      </x:c>
      <x:c r="N280" s="13" t="n">
        <x:v>-0.001637293138102834</x:v>
      </x:c>
      <x:c r="O280" s="13" t="n">
        <x:v>-0.5643676135097135</x:v>
      </x:c>
      <x:c r="P280" s="13" t="n">
        <x:v>-0.6545106797610968</x:v>
      </x:c>
      <x:c r="Q280" s="13" t="n">
        <x:v>-0.1301626117684097</x:v>
      </x:c>
      <x:c r="R280" s="13" t="n">
        <x:v>-0.9321368209903449</x:v>
      </x:c>
      <x:c r="S280" s="13" t="n">
        <x:v>-0.806969052157799</x:v>
      </x:c>
      <x:c r="T280" s="13" t="n">
        <x:v>0.16487632701183103</x:v>
      </x:c>
      <x:c r="U280" s="13" t="n">
        <x:v>-0.2825108515577126</x:v>
      </x:c>
      <x:c r="V280" s="13" t="n">
        <x:v>-0.2663899929646944</x:v>
      </x:c>
      <x:c r="W280" s="13" t="n">
        <x:v>-0.44036722672606504</x:v>
      </x:c>
      <x:c r="X280" s="13" t="n">
        <x:v>0.2915187476757096</x:v>
      </x:c>
      <x:c r="Y280" s="13" t="n">
        <x:v>-0.3368512281401636</x:v>
      </x:c>
      <x:c r="Z280" s="13" t="n">
        <x:v>-0.27856006409753337</x:v>
      </x:c>
      <x:c r="AA280" s="13" t="n">
        <x:v>-0.38283405569509793</x:v>
      </x:c>
      <x:c r="AB280" s="13" t="n">
        <x:v>-0.6115100173716624</x:v>
      </x:c>
      <x:c r="AC280" s="13" t="n">
        <x:v>1.5105478967398949</x:v>
      </x:c>
      <x:c r="AD280" s="13" t="n">
        <x:v>2.5781370541031787</x:v>
      </x:c>
      <x:c r="AE280" s="13" t="n">
        <x:v>2.2697783785182097</x:v>
      </x:c>
      <x:c r="AF280" s="13" t="n">
        <x:v>-0.3109151701240703</x:v>
      </x:c>
      <x:c r="AG280" s="13" t="n">
        <x:v>-0.790148324244905</x:v>
      </x:c>
      <x:c r="AH280" s="13" t="n">
        <x:v>-0.9905855162238597</x:v>
      </x:c>
      <x:c r="AI280" s="13" t="n">
        <x:v>0.15319342863476768</x:v>
      </x:c>
      <x:c r="AJ280" s="13" t="n">
        <x:v>-0.3407854195807318</x:v>
      </x:c>
      <x:c r="AK280" s="13" t="n">
        <x:v>-0.09203201059188776</x:v>
      </x:c>
      <x:c r="AL280" s="13" t="n">
        <x:v>-0.5701509369595149</x:v>
      </x:c>
      <x:c r="AM280" s="13" t="n">
        <x:v>1.195691239674003</x:v>
      </x:c>
      <x:c r="AN280" s="13" t="n">
        <x:v>1.187081860817286</x:v>
      </x:c>
      <x:c r="AO280" s="13" t="n">
        <x:v>-1.0049396213524409</x:v>
      </x:c>
      <x:c r="AP280" s="13" t="n">
        <x:v>-0.9971666397295258</x:v>
      </x:c>
    </x:row>
    <x:row r="281" ht="15" hidden="0" customHeight="1">
      <x:c r="A281" s="2" t="str">
        <x:v>E280</x:v>
      </x:c>
      <x:c r="B281" s="2" t="str">
        <x:v>个体经营E280 </x:v>
      </x:c>
      <x:c r="C281" s="2" t="str">
        <x:v>无信贷记录</x:v>
      </x:c>
      <x:c r="D281" s="2" t="str"/>
      <x:c r="E281" s="2" t="str"/>
      <x:c r="F281" s="13" t="n">
        <x:v>-0.35537295602432606</x:v>
      </x:c>
      <x:c r="G281" s="13" t="n">
        <x:v>-0.35065099831936103</x:v>
      </x:c>
      <x:c r="H281" s="13" t="n">
        <x:v>-0.4017852945998877</x:v>
      </x:c>
      <x:c r="I281" s="13" t="n">
        <x:v>-0.46027843520127304</x:v>
      </x:c>
      <x:c r="J281" s="13" t="n">
        <x:v>-0.2884927321518019</x:v>
      </x:c>
      <x:c r="K281" s="13" t="n">
        <x:v>-0.29589434739642273</x:v>
      </x:c>
      <x:c r="L281" s="13" t="n">
        <x:v>-0.3985083054488844</x:v>
      </x:c>
      <x:c r="M281" s="13" t="n">
        <x:v>-0.3900176186206159</x:v>
      </x:c>
      <x:c r="N281" s="13" t="n">
        <x:v>-0.7216149855326618</x:v>
      </x:c>
      <x:c r="O281" s="13" t="n">
        <x:v>-0.6668944406087203</x:v>
      </x:c>
      <x:c r="P281" s="13" t="n">
        <x:v>-0.7659946356446605</x:v>
      </x:c>
      <x:c r="Q281" s="13" t="n">
        <x:v>-0.23228022858889158</x:v>
      </x:c>
      <x:c r="R281" s="13" t="n">
        <x:v>-0.987083662475889</x:v>
      </x:c>
      <x:c r="S281" s="13" t="n">
        <x:v>-0.4813376583447999</x:v>
      </x:c>
      <x:c r="T281" s="13" t="n">
        <x:v>0.07069294128598666</x:v>
      </x:c>
      <x:c r="U281" s="13" t="n">
        <x:v>-0.2498397293326759</x:v>
      </x:c>
      <x:c r="V281" s="13" t="n">
        <x:v>-0.23889933097981364</x:v>
      </x:c>
      <x:c r="W281" s="13" t="n">
        <x:v>-0.3429595716218721</x:v>
      </x:c>
      <x:c r="X281" s="13" t="n">
        <x:v>-0.3083290878285008</x:v>
      </x:c>
      <x:c r="Y281" s="13" t="n">
        <x:v>-0.3698193422178813</x:v>
      </x:c>
      <x:c r="Z281" s="13" t="n">
        <x:v>-0.3338922582214598</x:v>
      </x:c>
      <x:c r="AA281" s="13" t="n">
        <x:v>-0.10084812224607907</x:v>
      </x:c>
      <x:c r="AB281" s="13" t="n">
        <x:v>-0.4720264296355715</x:v>
      </x:c>
      <x:c r="AC281" s="13" t="n">
        <x:v>-0.4542484655628029</x:v>
      </x:c>
      <x:c r="AD281" s="13" t="n">
        <x:v>-0.8672457513443232</x:v>
      </x:c>
      <x:c r="AE281" s="13" t="n">
        <x:v>-1.0251182165153065</x:v>
      </x:c>
      <x:c r="AF281" s="13" t="n">
        <x:v>-0.38769318295057464</x:v>
      </x:c>
      <x:c r="AG281" s="13" t="n">
        <x:v>-0.963497448333778</x:v>
      </x:c>
      <x:c r="AH281" s="13" t="n">
        <x:v>0.07355501240512534</x:v>
      </x:c>
      <x:c r="AI281" s="13" t="n">
        <x:v>0.857599070347957</x:v>
      </x:c>
      <x:c r="AJ281" s="13" t="n">
        <x:v>-0.3230100945831497</x:v>
      </x:c>
      <x:c r="AK281" s="13" t="n">
        <x:v>-0.09106391451663788</x:v>
      </x:c>
      <x:c r="AL281" s="13" t="n">
        <x:v>-0.4940742073203852</x:v>
      </x:c>
      <x:c r="AM281" s="13" t="n">
        <x:v>-0.5664619044147285</x:v>
      </x:c>
      <x:c r="AN281" s="13" t="n">
        <x:v>-1.0144961011276283</x:v>
      </x:c>
      <x:c r="AO281" s="13" t="n">
        <x:v>-1.123816790295072</x:v>
      </x:c>
      <x:c r="AP281" s="13" t="n">
        <x:v>-0.2617648738315377</x:v>
      </x:c>
    </x:row>
    <x:row r="282" ht="15" hidden="0" customHeight="1">
      <x:c r="A282" s="2" t="str">
        <x:v>E281</x:v>
      </x:c>
      <x:c r="B282" s="2" t="str">
        <x:v>***商业管理有限责任公司</x:v>
      </x:c>
      <x:c r="C282" s="2" t="str">
        <x:v>无信贷记录</x:v>
      </x:c>
      <x:c r="D282" s="2" t="str"/>
      <x:c r="E282" s="2" t="str"/>
      <x:c r="F282" s="13" t="n">
        <x:v>-0.12034182776379834</x:v>
      </x:c>
      <x:c r="G282" s="13" t="n">
        <x:v>-0.13104114025461525</x:v>
      </x:c>
      <x:c r="H282" s="13" t="n">
        <x:v>0.11914477388739048</x:v>
      </x:c>
      <x:c r="I282" s="13" t="n">
        <x:v>-0.46027843520127304</x:v>
      </x:c>
      <x:c r="J282" s="13" t="n">
        <x:v>-0.13878417074420119</x:v>
      </x:c>
      <x:c r="K282" s="13" t="n">
        <x:v>-0.1488324075055456</x:v>
      </x:c>
      <x:c r="L282" s="13" t="n">
        <x:v>-0.13990077049436936</x:v>
      </x:c>
      <x:c r="M282" s="13" t="n">
        <x:v>1.0184024521607589</x:v>
      </x:c>
      <x:c r="N282" s="13" t="n">
        <x:v>-0.7216149855326618</x:v>
      </x:c>
      <x:c r="O282" s="13" t="n">
        <x:v>0.2135417768334811</x:v>
      </x:c>
      <x:c r="P282" s="13" t="n">
        <x:v>0.6358607341370994</x:v>
      </x:c>
      <x:c r="Q282" s="13" t="n">
        <x:v>-0.12396427983344681</x:v>
      </x:c>
      <x:c r="R282" s="13" t="n">
        <x:v>-1.0334826014629586</x:v>
      </x:c>
      <x:c r="S282" s="13" t="n">
        <x:v>-0.3731562333232561</x:v>
      </x:c>
      <x:c r="T282" s="13" t="n">
        <x:v>0.5416098699152085</x:v>
      </x:c>
      <x:c r="U282" s="13" t="n">
        <x:v>-0.2535284044225994</x:v>
      </x:c>
      <x:c r="V282" s="13" t="n">
        <x:v>-0.23777726314369604</x:v>
      </x:c>
      <x:c r="W282" s="13" t="n">
        <x:v>-0.4103956405401595</x:v>
      </x:c>
      <x:c r="X282" s="13" t="n">
        <x:v>-0.32901349594933565</x:v>
      </x:c>
      <x:c r="Y282" s="13" t="n">
        <x:v>-0.3881083901423957</x:v>
      </x:c>
      <x:c r="Z282" s="13" t="n">
        <x:v>-0.34979655566190176</x:v>
      </x:c>
      <x:c r="AA282" s="13" t="n">
        <x:v>-0.2982382756603923</x:v>
      </x:c>
      <x:c r="AB282" s="13" t="n">
        <x:v>-0.5933040066392575</x:v>
      </x:c>
      <x:c r="AC282" s="13" t="n">
        <x:v>-0.5158663722451092</x:v>
      </x:c>
      <x:c r="AD282" s="13" t="n">
        <x:v>-0.1414470282158173</x:v>
      </x:c>
      <x:c r="AE282" s="13" t="n">
        <x:v>0.10070287261070267</x:v>
      </x:c>
      <x:c r="AF282" s="13" t="n">
        <x:v>-0.39098638634474997</x:v>
      </x:c>
      <x:c r="AG282" s="13" t="n">
        <x:v>-0.8652766408840139</x:v>
      </x:c>
      <x:c r="AH282" s="13" t="n">
        <x:v>0.019702379243303012</x:v>
      </x:c>
      <x:c r="AI282" s="13" t="n">
        <x:v>0.5557109381851616</x:v>
      </x:c>
      <x:c r="AJ282" s="13" t="n">
        <x:v>-0.4685949950417172</x:v>
      </x:c>
      <x:c r="AK282" s="13" t="n">
        <x:v>0.0906099348974986</x:v>
      </x:c>
      <x:c r="AL282" s="13" t="n">
        <x:v>-0.3051621010187537</x:v>
      </x:c>
      <x:c r="AM282" s="13" t="n">
        <x:v>-0.6680353322587288</x:v>
      </x:c>
      <x:c r="AN282" s="13" t="n">
        <x:v>0.06811590042171828</x:v>
      </x:c>
      <x:c r="AO282" s="13" t="n">
        <x:v>-1.1090306334076747</x:v>
      </x:c>
      <x:c r="AP282" s="13" t="n">
        <x:v>-0.2226135953272926</x:v>
      </x:c>
    </x:row>
    <x:row r="283" ht="15" hidden="0" customHeight="1">
      <x:c r="A283" s="2" t="str">
        <x:v>E282</x:v>
      </x:c>
      <x:c r="B283" s="2" t="str">
        <x:v>***影城有限公司***分公司</x:v>
      </x:c>
      <x:c r="C283" s="2" t="str">
        <x:v>无信贷记录</x:v>
      </x:c>
      <x:c r="D283" s="2" t="str"/>
      <x:c r="E283" s="2" t="str"/>
      <x:c r="F283" s="13" t="n">
        <x:v>-0.24411561720277447</x:v>
      </x:c>
      <x:c r="G283" s="13" t="n">
        <x:v>-0.2509155169275114</x:v>
      </x:c>
      <x:c r="H283" s="13" t="n">
        <x:v>-0.06158606620003256</x:v>
      </x:c>
      <x:c r="I283" s="13" t="n">
        <x:v>0.3544763467379353</x:v>
      </x:c>
      <x:c r="J283" s="13" t="n">
        <x:v>-0.31314792899825844</x:v>
      </x:c>
      <x:c r="K283" s="13" t="n">
        <x:v>-0.3051558040830743</x:v>
      </x:c>
      <x:c r="L283" s="13" t="n">
        <x:v>-0.43197516291358634</x:v>
      </x:c>
      <x:c r="M283" s="13" t="n">
        <x:v>0.9258914265070282</x:v>
      </x:c>
      <x:c r="N283" s="13" t="n">
        <x:v>2.007023875271185</x:v>
      </x:c>
      <x:c r="O283" s="13" t="n">
        <x:v>0.8851121892377859</x:v>
      </x:c>
      <x:c r="P283" s="13" t="n">
        <x:v>1.1622745504735852</x:v>
      </x:c>
      <x:c r="Q283" s="13" t="n">
        <x:v>-0.33963377910552284</x:v>
      </x:c>
      <x:c r="R283" s="13" t="n">
        <x:v>-1.2639507400639614</x:v>
      </x:c>
      <x:c r="S283" s="13" t="n">
        <x:v>-0.31109982511822054</x:v>
      </x:c>
      <x:c r="T283" s="13" t="n">
        <x:v>0.918343412818586</x:v>
      </x:c>
      <x:c r="U283" s="13" t="n">
        <x:v>0.8688827300826943</x:v>
      </x:c>
      <x:c r="V283" s="13" t="n">
        <x:v>0.5521584934830818</x:v>
      </x:c>
      <x:c r="W283" s="13" t="n">
        <x:v>4.999475666015786</x:v>
      </x:c>
      <x:c r="X283" s="13" t="n">
        <x:v>-0.018747374136813013</x:v>
      </x:c>
      <x:c r="Y283" s="13" t="n">
        <x:v>-0.3483830397892215</x:v>
      </x:c>
      <x:c r="Z283" s="13" t="n">
        <x:v>-0.31562500577598646</x:v>
      </x:c>
      <x:c r="AA283" s="13" t="n">
        <x:v>0.9941972526476108</x:v>
      </x:c>
      <x:c r="AB283" s="13" t="n">
        <x:v>1.270288230799552</x:v>
      </x:c>
      <x:c r="AC283" s="13" t="n">
        <x:v>-0.390587307122981</x:v>
      </x:c>
      <x:c r="AD283" s="13" t="n">
        <x:v>-0.5956003405143075</x:v>
      </x:c>
      <x:c r="AE283" s="13" t="n">
        <x:v>-0.5025600081234062</x:v>
      </x:c>
      <x:c r="AF283" s="13" t="n">
        <x:v>-0.3769699332147932</x:v>
      </x:c>
      <x:c r="AG283" s="13" t="n">
        <x:v>-1.011549875254504</x:v>
      </x:c>
      <x:c r="AH283" s="13" t="n">
        <x:v>-0.39332056657468606</x:v>
      </x:c>
      <x:c r="AI283" s="13" t="n">
        <x:v>1.058857825123154</x:v>
      </x:c>
      <x:c r="AJ283" s="13" t="n">
        <x:v>-0.2685589646013568</x:v>
      </x:c>
      <x:c r="AK283" s="13" t="n">
        <x:v>-0.1268274054332937</x:v>
      </x:c>
      <x:c r="AL283" s="13" t="n">
        <x:v>2.6394114698320212</x:v>
      </x:c>
      <x:c r="AM283" s="13" t="n">
        <x:v>0.02069973809548648</x:v>
      </x:c>
      <x:c r="AN283" s="13" t="n">
        <x:v>0.2715491069537212</x:v>
      </x:c>
      <x:c r="AO283" s="13" t="n">
        <x:v>-1.4208734473559648</x:v>
      </x:c>
      <x:c r="AP283" s="13" t="n">
        <x:v>-0.3926027751416024</x:v>
      </x:c>
    </x:row>
    <x:row r="284" ht="15" hidden="0" customHeight="1">
      <x:c r="A284" s="2" t="str">
        <x:v>E283</x:v>
      </x:c>
      <x:c r="B284" s="2" t="str">
        <x:v>***机械铸造有限责任公司</x:v>
      </x:c>
      <x:c r="C284" s="2" t="str">
        <x:v>无信贷记录</x:v>
      </x:c>
      <x:c r="D284" s="2" t="str"/>
      <x:c r="E284" s="2" t="str"/>
      <x:c r="F284" s="13" t="n">
        <x:v>-0.330340054789477</x:v>
      </x:c>
      <x:c r="G284" s="13" t="n">
        <x:v>-0.3324300930650808</x:v>
      </x:c>
      <x:c r="H284" s="13" t="n">
        <x:v>-0.23168568039996013</x:v>
      </x:c>
      <x:c r="I284" s="13" t="n">
        <x:v>-0.46027843520127304</x:v>
      </x:c>
      <x:c r="J284" s="13" t="n">
        <x:v>-0.22348809352841498</x:v>
      </x:c>
      <x:c r="K284" s="13" t="n">
        <x:v>-0.23203889271849562</x:v>
      </x:c>
      <x:c r="L284" s="13" t="n">
        <x:v>-0.38938098068578386</x:v>
      </x:c>
      <x:c r="M284" s="13" t="n">
        <x:v>0.5513707888000938</x:v>
      </x:c>
      <x:c r="N284" s="13" t="n">
        <x:v>-0.7216149855326618</x:v>
      </x:c>
      <x:c r="O284" s="13" t="n">
        <x:v>-0.6317733802240266</x:v>
      </x:c>
      <x:c r="P284" s="13" t="n">
        <x:v>-0.7038057265679071</x:v>
      </x:c>
      <x:c r="Q284" s="13" t="n">
        <x:v>-0.24475771282035758</x:v>
      </x:c>
      <x:c r="R284" s="13" t="n">
        <x:v>-1.0666927077016102</x:v>
      </x:c>
      <x:c r="S284" s="13" t="n">
        <x:v>-0.09272877670600826</x:v>
      </x:c>
      <x:c r="T284" s="13" t="n">
        <x:v>0.8241600270927416</x:v>
      </x:c>
      <x:c r="U284" s="13" t="n">
        <x:v>-0.402129315188089</x:v>
      </x:c>
      <x:c r="V284" s="13" t="n">
        <x:v>-0.38364608183898175</x:v>
      </x:c>
      <x:c r="W284" s="13" t="n">
        <x:v>-0.5752393645626398</x:v>
      </x:c>
      <x:c r="X284" s="13" t="n">
        <x:v>-0.3910667203118402</x:v>
      </x:c>
      <x:c r="Y284" s="13" t="n">
        <x:v>-0.3424096673411521</x:v>
      </x:c>
      <x:c r="Z284" s="13" t="n">
        <x:v>-0.3148050202033977</x:v>
      </x:c>
      <x:c r="AA284" s="13" t="n">
        <x:v>-0.35228557957145423</x:v>
      </x:c>
      <x:c r="AB284" s="13" t="n">
        <x:v>-0.798682146585215</x:v>
      </x:c>
      <x:c r="AC284" s="13" t="n">
        <x:v>-0.6980651016988949</x:v>
      </x:c>
      <x:c r="AD284" s="13" t="n">
        <x:v>-0.38254281237153825</x:v>
      </x:c>
      <x:c r="AE284" s="13" t="n">
        <x:v>-0.43483162542786796</x:v>
      </x:c>
      <x:c r="AF284" s="13" t="n">
        <x:v>-0.3658357915110761</x:v>
      </x:c>
      <x:c r="AG284" s="13" t="n">
        <x:v>-1.0032383523559505</x:v>
      </x:c>
      <x:c r="AH284" s="13" t="n">
        <x:v>0.13595845572589776</x:v>
      </x:c>
      <x:c r="AI284" s="13" t="n">
        <x:v>0.9582284477355555</x:v>
      </x:c>
      <x:c r="AJ284" s="13" t="n">
        <x:v>-0.3277514174029614</x:v>
      </x:c>
      <x:c r="AK284" s="13" t="n">
        <x:v>-0.06908085819701519</x:v>
      </x:c>
      <x:c r="AL284" s="13" t="n">
        <x:v>-0.5830789611057032</x:v>
      </x:c>
      <x:c r="AM284" s="13" t="n">
        <x:v>-0.7815911692517314</x:v>
      </x:c>
      <x:c r="AN284" s="13" t="n">
        <x:v>-0.6898605731344128</x:v>
      </x:c>
      <x:c r="AO284" s="13" t="n">
        <x:v>-1.196507276913101</x:v>
      </x:c>
      <x:c r="AP284" s="13" t="n">
        <x:v>0.007725812367537327</x:v>
      </x:c>
    </x:row>
    <x:row r="285" ht="15" hidden="0" customHeight="1">
      <x:c r="A285" s="2" t="str">
        <x:v>E284</x:v>
      </x:c>
      <x:c r="B285" s="2" t="str">
        <x:v>***成焊科技有限公司</x:v>
      </x:c>
      <x:c r="C285" s="2" t="str">
        <x:v>无信贷记录</x:v>
      </x:c>
      <x:c r="D285" s="2" t="str"/>
      <x:c r="E285" s="2" t="str"/>
      <x:c r="F285" s="13" t="n">
        <x:v>-0.12219611674415753</x:v>
      </x:c>
      <x:c r="G285" s="13" t="n">
        <x:v>-0.12864365272115733</x:v>
      </x:c>
      <x:c r="H285" s="13" t="n">
        <x:v>0.023463740899931224</x:v>
      </x:c>
      <x:c r="I285" s="13" t="n">
        <x:v>-0.2458692820593761</x:v>
      </x:c>
      <x:c r="J285" s="13" t="n">
        <x:v>-0.32605469549220895</x:v>
      </x:c>
      <x:c r="K285" s="13" t="n">
        <x:v>-0.33190139386652845</x:v>
      </x:c>
      <x:c r="L285" s="13" t="n">
        <x:v>-0.3437443568702812</x:v>
      </x:c>
      <x:c r="M285" s="13" t="n">
        <x:v>0.6999484476718698</x:v>
      </x:c>
      <x:c r="N285" s="13" t="n">
        <x:v>-0.1853853238683925</x:v>
      </x:c>
      <x:c r="O285" s="13" t="n">
        <x:v>-0.6969574012651137</x:v>
      </x:c>
      <x:c r="P285" s="13" t="n">
        <x:v>-0.7339005517780935</x:v>
      </x:c>
      <x:c r="Q285" s="13" t="n">
        <x:v>-0.35199943181631943</x:v>
      </x:c>
      <x:c r="R285" s="13" t="n">
        <x:v>-1.0843343079474195</x:v>
      </x:c>
      <x:c r="S285" s="13" t="n">
        <x:v>-0.09571071793490879</x:v>
      </x:c>
      <x:c r="T285" s="13" t="n">
        <x:v>0.918343412818586</x:v>
      </x:c>
      <x:c r="U285" s="13" t="n">
        <x:v>-0.31412806661419973</x:v>
      </x:c>
      <x:c r="V285" s="13" t="n">
        <x:v>-0.3062234011468686</x:v>
      </x:c>
      <x:c r="W285" s="13" t="n">
        <x:v>-0.35794536471482485</x:v>
      </x:c>
      <x:c r="X285" s="13" t="n">
        <x:v>-0.3496979040701705</x:v>
      </x:c>
      <x:c r="Y285" s="13" t="n">
        <x:v>-0.38162837987219395</x:v>
      </x:c>
      <x:c r="Z285" s="13" t="n">
        <x:v>-0.34511143406642797</x:v>
      </x:c>
      <x:c r="AA285" s="13" t="n">
        <x:v>-0.10084812224607907</x:v>
      </x:c>
      <x:c r="AB285" s="13" t="n">
        <x:v>-0.36411210101112346</x:v>
      </x:c>
      <x:c r="AC285" s="13" t="n">
        <x:v>-0.5420565548006263</x:v>
      </x:c>
      <x:c r="AD285" s="13" t="n">
        <x:v>0.3869999394773759</x:v>
      </x:c>
      <x:c r="AE285" s="13" t="n">
        <x:v>0.8144893661045884</x:v>
      </x:c>
      <x:c r="AF285" s="13" t="n">
        <x:v>-0.4042540692145791</x:v>
      </x:c>
      <x:c r="AG285" s="13" t="n">
        <x:v>-1.0332087928752647</x:v>
      </x:c>
      <x:c r="AH285" s="13" t="n">
        <x:v>0.21941768004595416</x:v>
      </x:c>
      <x:c r="AI285" s="13" t="n">
        <x:v>0.9582284477355555</x:v>
      </x:c>
      <x:c r="AJ285" s="13" t="n">
        <x:v>-0.3136057675337983</x:v>
      </x:c>
      <x:c r="AK285" s="13" t="n">
        <x:v>-0.10541561978027551</x:v>
      </x:c>
      <x:c r="AL285" s="13" t="n">
        <x:v>-0.25439653114001415</x:v>
      </x:c>
      <x:c r="AM285" s="13" t="n">
        <x:v>-0.4950392881117752</x:v>
      </x:c>
      <x:c r="AN285" s="13" t="n">
        <x:v>-0.2615959574308497</x:v>
      </x:c>
      <x:c r="AO285" s="13" t="n">
        <x:v>-1.2225805525175286</x:v>
      </x:c>
      <x:c r="AP285" s="13" t="n">
        <x:v>0.04793050658041553</x:v>
      </x:c>
    </x:row>
    <x:row r="286" ht="15" hidden="0" customHeight="1">
      <x:c r="A286" s="2" t="str">
        <x:v>E285</x:v>
      </x:c>
      <x:c r="B286" s="2" t="str">
        <x:v>个体经营E285 </x:v>
      </x:c>
      <x:c r="C286" s="2" t="str">
        <x:v>无信贷记录</x:v>
      </x:c>
      <x:c r="D286" s="2" t="str"/>
      <x:c r="E286" s="2" t="str"/>
      <x:c r="F286" s="13" t="n">
        <x:v>-0.2547777788398398</x:v>
      </x:c>
      <x:c r="G286" s="13" t="n">
        <x:v>-0.2614644620747263</x:v>
      </x:c>
      <x:c r="H286" s="13" t="n">
        <x:v>-0.07221729208752804</x:v>
      </x:c>
      <x:c r="I286" s="13" t="n">
        <x:v>-0.2887511126877555</x:v>
      </x:c>
      <x:c r="J286" s="13" t="n">
        <x:v>-0.20246786395001604</x:v>
      </x:c>
      <x:c r="K286" s="13" t="n">
        <x:v>-0.2038392539300294</x:v>
      </x:c>
      <x:c r="L286" s="13" t="n">
        <x:v>-0.0273304317494628</x:v>
      </x:c>
      <x:c r="M286" s="13" t="n">
        <x:v>0.9380295483791061</x:v>
      </x:c>
      <x:c r="N286" s="13" t="n">
        <x:v>-0.12985249863302434</x:v>
      </x:c>
      <x:c r="O286" s="13" t="n">
        <x:v>-0.7406947682170416</x:v>
      </x:c>
      <x:c r="P286" s="13" t="n">
        <x:v>-0.8281052921800384</x:v>
      </x:c>
      <x:c r="Q286" s="13" t="n">
        <x:v>-0.21402609621895965</x:v>
      </x:c>
      <x:c r="R286" s="13" t="n">
        <x:v>0.1622950412489833</x:v>
      </x:c>
      <x:c r="S286" s="13" t="n">
        <x:v>-0.37764844832376154</x:v>
      </x:c>
      <x:c r="T286" s="13" t="n">
        <x:v>0.7299766413668972</x:v>
      </x:c>
      <x:c r="U286" s="13" t="n">
        <x:v>-0.26248661535527074</x:v>
      </x:c>
      <x:c r="V286" s="13" t="n">
        <x:v>-0.2899534175231636</x:v>
      </x:c>
      <x:c r="W286" s="13" t="n">
        <x:v>0.15906449699204522</x:v>
      </x:c>
      <x:c r="X286" s="13" t="n">
        <x:v>-0.24627586346599628</x:v>
      </x:c>
      <x:c r="Y286" s="13" t="n">
        <x:v>-0.236818618187614</x:v>
      </x:c>
      <x:c r="Z286" s="13" t="n">
        <x:v>-0.2257287290300109</x:v>
      </x:c>
      <x:c r="AA286" s="13" t="n">
        <x:v>-0.2700396823154904</x:v>
      </x:c>
      <x:c r="AB286" s="13" t="n">
        <x:v>0.5319189905157459</x:v>
      </x:c>
      <x:c r="AC286" s="13" t="n">
        <x:v>-0.18660913408371935</x:v>
      </x:c>
      <x:c r="AD286" s="13" t="n">
        <x:v>-0.7181929851609615</x:v>
      </x:c>
      <x:c r="AE286" s="13" t="n">
        <x:v>-0.6612739633790959</x:v>
      </x:c>
      <x:c r="AF286" s="13" t="n">
        <x:v>-0.25378787660737184</x:v>
      </x:c>
      <x:c r="AG286" s="13" t="n">
        <x:v>0.31397412303119104</x:v>
      </x:c>
      <x:c r="AH286" s="13" t="n">
        <x:v>0.36061111894387365</x:v>
      </x:c>
      <x:c r="AI286" s="13" t="n">
        <x:v>0.857599070347957</x:v>
      </x:c>
      <x:c r="AJ286" s="13" t="n">
        <x:v>-0.16929048833379806</x:v>
      </x:c>
      <x:c r="AK286" s="13" t="n">
        <x:v>-0.15096256531239438</x:v>
      </x:c>
      <x:c r="AL286" s="13" t="n">
        <x:v>0.6536786764992021</x:v>
      </x:c>
      <x:c r="AM286" s="13" t="n">
        <x:v>-0.23729420983774055</x:v>
      </x:c>
      <x:c r="AN286" s="13" t="n">
        <x:v>-0.9756247080449539</x:v>
      </x:c>
      <x:c r="AO286" s="13" t="n">
        <x:v>0.25700745181310597</x:v>
      </x:c>
      <x:c r="AP286" s="13" t="n">
        <x:v>-0.05367827569766802</x:v>
      </x:c>
    </x:row>
    <x:row r="287" ht="15" hidden="0" customHeight="1">
      <x:c r="A287" s="2" t="str">
        <x:v>E286</x:v>
      </x:c>
      <x:c r="B287" s="2" t="str">
        <x:v>***印务有限公司</x:v>
      </x:c>
      <x:c r="C287" s="2" t="str">
        <x:v>无信贷记录</x:v>
      </x:c>
      <x:c r="D287" s="2" t="str"/>
      <x:c r="E287" s="2" t="str"/>
      <x:c r="F287" s="13" t="n">
        <x:v>-0.47126601729677564</x:v>
      </x:c>
      <x:c r="G287" s="13" t="n">
        <x:v>-0.4724433650190235</x:v>
      </x:c>
      <x:c r="H287" s="13" t="n">
        <x:v>-0.3592603910499058</x:v>
      </x:c>
      <x:c r="I287" s="13" t="n">
        <x:v>-0.46027843520127304</x:v>
      </x:c>
      <x:c r="J287" s="13" t="n">
        <x:v>-0.31289716261278927</x:v>
      </x:c>
      <x:c r="K287" s="13" t="n">
        <x:v>-0.31986734434315983</x:v>
      </x:c>
      <x:c r="L287" s="13" t="n">
        <x:v>-0.4684844619659885</x:v>
      </x:c>
      <x:c r="M287" s="13" t="n">
        <x:v>0.7374335965012703</x:v>
      </x:c>
      <x:c r="N287" s="13" t="n">
        <x:v>-0.7216149855326618</x:v>
      </x:c>
      <x:c r="O287" s="13" t="n">
        <x:v>-0.7100387919646968</x:v>
      </x:c>
      <x:c r="P287" s="13" t="n">
        <x:v>-0.9177800660976757</x:v>
      </x:c>
      <x:c r="Q287" s="13" t="n">
        <x:v>-0.19564742324506787</x:v>
      </x:c>
      <x:c r="R287" s="13" t="n">
        <x:v>-0.575141909482236</x:v>
      </x:c>
      <x:c r="S287" s="13" t="n">
        <x:v>0.8346458751961877</x:v>
      </x:c>
      <x:c r="T287" s="13" t="n">
        <x:v>-0.40022398734323517</x:v>
      </x:c>
      <x:c r="U287" s="13" t="n">
        <x:v>-0.42373441214335517</x:v>
      </x:c>
      <x:c r="V287" s="13" t="n">
        <x:v>-0.4352612023003905</x:v>
      </x:c>
      <x:c r="W287" s="13" t="n">
        <x:v>-0.19310164069234453</x:v>
      </x:c>
      <x:c r="X287" s="13" t="n">
        <x:v>-0.28764467970766594</x:v>
      </x:c>
      <x:c r="Y287" s="13" t="n">
        <x:v>-0.4246509769708435</x:v>
      </x:c>
      <x:c r="Z287" s="13" t="n">
        <x:v>-0.3746326980957117</x:v>
      </x:c>
      <x:c r="AA287" s="13" t="n">
        <x:v>-0.31703733789032684</x:v>
      </x:c>
      <x:c r="AB287" s="13" t="n">
        <x:v>0.8682184423702298</x:v>
      </x:c>
      <x:c r="AC287" s="13" t="n">
        <x:v>0.1427347302025783</x:v>
      </x:c>
      <x:c r="AD287" s="13" t="n">
        <x:v>-0.3845059869615314</x:v>
      </x:c>
      <x:c r="AE287" s="13" t="n">
        <x:v>-0.44258471511399217</x:v>
      </x:c>
      <x:c r="AF287" s="13" t="n">
        <x:v>-0.37813201905952837</x:v>
      </x:c>
      <x:c r="AG287" s="13" t="n">
        <x:v>-0.22899093384118394</x:v>
      </x:c>
      <x:c r="AH287" s="13" t="n">
        <x:v>1.3254975154358932</x:v>
      </x:c>
      <x:c r="AI287" s="13" t="n">
        <x:v>-0.4505828356908232</x:v>
      </x:c>
      <x:c r="AJ287" s="13" t="n">
        <x:v>-0.3949044152856188</x:v>
      </x:c>
      <x:c r="AK287" s="13" t="n">
        <x:v>-0.022561668747902667</x:v>
      </x:c>
      <x:c r="AL287" s="13" t="n">
        <x:v>1.0074234194792038</x:v>
      </x:c>
      <x:c r="AM287" s="13" t="n">
        <x:v>-0.18052704229149602</x:v>
      </x:c>
      <x:c r="AN287" s="13" t="n">
        <x:v>-0.7474666584006108</x:v>
      </x:c>
      <x:c r="AO287" s="13" t="n">
        <x:v>-0.4986619676975096</x:v>
      </x:c>
      <x:c r="AP287" s="13" t="n">
        <x:v>1.1749105617947373</x:v>
      </x:c>
    </x:row>
    <x:row r="288" ht="15" hidden="0" customHeight="1">
      <x:c r="A288" s="2" t="str">
        <x:v>E287</x:v>
      </x:c>
      <x:c r="B288" s="2" t="str">
        <x:v>***鞋材有限公司</x:v>
      </x:c>
      <x:c r="C288" s="2" t="str">
        <x:v>无信贷记录</x:v>
      </x:c>
      <x:c r="D288" s="2" t="str"/>
      <x:c r="E288" s="2" t="str"/>
      <x:c r="F288" s="13" t="n">
        <x:v>-0.3984851748176773</x:v>
      </x:c>
      <x:c r="G288" s="13" t="n">
        <x:v>-0.4091496941357343</x:v>
      </x:c>
      <x:c r="H288" s="13" t="n">
        <x:v>-0.09347974386251898</x:v>
      </x:c>
      <x:c r="I288" s="13" t="n">
        <x:v>-0.33163294331613485</x:v>
      </x:c>
      <x:c r="J288" s="13" t="n">
        <x:v>-0.24105227040261729</x:v>
      </x:c>
      <x:c r="K288" s="13" t="n">
        <x:v>-0.24426400012179036</x:v>
      </x:c>
      <x:c r="L288" s="13" t="n">
        <x:v>-0.42893272132588617</x:v>
      </x:c>
      <x:c r="M288" s="13" t="n">
        <x:v>2.1735941470553515</x:v>
      </x:c>
      <x:c r="N288" s="13" t="n">
        <x:v>0.04613373858475881</x:v>
      </x:c>
      <x:c r="O288" s="13" t="n">
        <x:v>-0.7804417491081763</x:v>
      </x:c>
      <x:c r="P288" s="13" t="n">
        <x:v>-0.7917123136619326</x:v>
      </x:c>
      <x:c r="Q288" s="13" t="n">
        <x:v>-0.262040320308221</x:v>
      </x:c>
      <x:c r="R288" s="13" t="n">
        <x:v>-0.9807134262063253</x:v>
      </x:c>
      <x:c r="S288" s="13" t="n">
        <x:v>-0.0174732036692517</x:v>
      </x:c>
      <x:c r="T288" s="13" t="n">
        <x:v>0.8241600270927416</x:v>
      </x:c>
      <x:c r="U288" s="13" t="n">
        <x:v>-0.3968597793453411</x:v>
      </x:c>
      <x:c r="V288" s="13" t="n">
        <x:v>-0.39711089587239273</x:v>
      </x:c>
      <x:c r="W288" s="13" t="n">
        <x:v>-0.32048088198244296</x:v>
      </x:c>
      <x:c r="X288" s="13" t="n">
        <x:v>-0.3703823121910053</x:v>
      </x:c>
      <x:c r="Y288" s="13" t="n">
        <x:v>-0.39187576471011665</x:v>
      </x:c>
      <x:c r="Z288" s="13" t="n">
        <x:v>-0.35199377908040663</x:v>
      </x:c>
      <x:c r="AA288" s="13" t="n">
        <x:v>-0.33818628289900327</x:v>
      </x:c>
      <x:c r="AB288" s="13" t="n">
        <x:v>0.10248649404663335</x:v>
      </x:c>
      <x:c r="AC288" s="13" t="n">
        <x:v>-0.5727323926738813</x:v>
      </x:c>
      <x:c r="AD288" s="13" t="n">
        <x:v>-0.46322899534176887</x:v>
      </x:c>
      <x:c r="AE288" s="13" t="n">
        <x:v>-0.4774390008674221</x:v>
      </x:c>
      <x:c r="AF288" s="13" t="n">
        <x:v>-0.4142923099173145</x:v>
      </x:c>
      <x:c r="AG288" s="13" t="n">
        <x:v>-1.1030793292789265</x:v>
      </x:c>
      <x:c r="AH288" s="13" t="n">
        <x:v>0.11672705291464287</x:v>
      </x:c>
      <x:c r="AI288" s="13" t="n">
        <x:v>0.9582284477355555</x:v>
      </x:c>
      <x:c r="AJ288" s="13" t="n">
        <x:v>-0.3960404261677164</x:v>
      </x:c>
      <x:c r="AK288" s="13" t="n">
        <x:v>-0.001224678224583889</x:v>
      </x:c>
      <x:c r="AL288" s="13" t="n">
        <x:v>0.5779471497587451</x:v>
      </x:c>
      <x:c r="AM288" s="13" t="n">
        <x:v>-0.4403193456423786</x:v>
      </x:c>
      <x:c r="AN288" s="13" t="n">
        <x:v>-0.8468106777572156</x:v>
      </x:c>
      <x:c r="AO288" s="13" t="n">
        <x:v>-1.1852189549143222</x:v>
      </x:c>
      <x:c r="AP288" s="13" t="n">
        <x:v>0.04414241142769984</x:v>
      </x:c>
    </x:row>
    <x:row r="289" ht="15" hidden="0" customHeight="1">
      <x:c r="A289" s="2" t="str">
        <x:v>E288</x:v>
      </x:c>
      <x:c r="B289" s="2" t="str">
        <x:v>个体经营E288 </x:v>
      </x:c>
      <x:c r="C289" s="2" t="str">
        <x:v>无信贷记录</x:v>
      </x:c>
      <x:c r="D289" s="2" t="str"/>
      <x:c r="E289" s="2" t="str"/>
      <x:c r="F289" s="13" t="n">
        <x:v>-0.3428565054069015</x:v>
      </x:c>
      <x:c r="G289" s="13" t="n">
        <x:v>-0.3357865756119219</x:v>
      </x:c>
      <x:c r="H289" s="13" t="n">
        <x:v>-0.4443101981498696</x:v>
      </x:c>
      <x:c r="I289" s="13" t="n">
        <x:v>-0.4173966045728936</x:v>
      </x:c>
      <x:c r="J289" s="13" t="n">
        <x:v>-0.2673807200269355</x:v>
      </x:c>
      <x:c r="K289" s="13" t="n">
        <x:v>-0.27515192169021613</x:v>
      </x:c>
      <x:c r="L289" s="13" t="n">
        <x:v>-0.3315745905194805</x:v>
      </x:c>
      <x:c r="M289" s="13" t="n">
        <x:v>-0.6892450747943749</x:v>
      </x:c>
      <x:c r="N289" s="13" t="n">
        <x:v>-0.5337947179514725</x:v>
      </x:c>
      <x:c r="O289" s="13" t="n">
        <x:v>-0.3089794079023243</x:v>
      </x:c>
      <x:c r="P289" s="13" t="n">
        <x:v>-0.28372645127545904</x:v>
      </x:c>
      <x:c r="Q289" s="13" t="n">
        <x:v>-0.24140471471536315</x:v>
      </x:c>
      <x:c r="R289" s="13" t="n">
        <x:v>-0.8280490945598268</x:v>
      </x:c>
      <x:c r="S289" s="13" t="n">
        <x:v>-0.08000574571636325</x:v>
      </x:c>
      <x:c r="T289" s="13" t="n">
        <x:v>0.2590597127376754</x:v>
      </x:c>
      <x:c r="U289" s="13" t="n">
        <x:v>-0.3973867329296159</x:v>
      </x:c>
      <x:c r="V289" s="13" t="n">
        <x:v>-0.4122588116599801</x:v>
      </x:c>
      <x:c r="W289" s="13" t="n">
        <x:v>-0.12566557177405713</x:v>
      </x:c>
      <x:c r="X289" s="13" t="n">
        <x:v>-0.3083290878285008</x:v>
      </x:c>
      <x:c r="Y289" s="13" t="n">
        <x:v>-0.38083872867429647</x:v>
      </x:c>
      <x:c r="Z289" s="13" t="n">
        <x:v>-0.33887476131297994</x:v>
      </x:c>
      <x:c r="AA289" s="13" t="n">
        <x:v>-0.30528792399661775</x:v>
      </x:c>
      <x:c r="AB289" s="13" t="n">
        <x:v>0.8029796376161881</x:v>
      </x:c>
      <x:c r="AC289" s="13" t="n">
        <x:v>-0.1403345465375844</x:v>
      </x:c>
      <x:c r="AD289" s="13" t="n">
        <x:v>-0.482822978421798</x:v>
      </x:c>
      <x:c r="AE289" s="13" t="n">
        <x:v>-0.356321933477253</x:v>
      </x:c>
      <x:c r="AF289" s="13" t="n">
        <x:v>-0.3885732992376683</x:v>
      </x:c>
      <x:c r="AG289" s="13" t="n">
        <x:v>-0.4790439255454079</x:v>
      </x:c>
      <x:c r="AH289" s="13" t="n">
        <x:v>-0.3650207375879341</x:v>
      </x:c>
      <x:c r="AI289" s="13" t="n">
        <x:v>0.5557109381851616</x:v>
      </x:c>
      <x:c r="AJ289" s="13" t="n">
        <x:v>-0.3575013246535709</x:v>
      </x:c>
      <x:c r="AK289" s="13" t="n">
        <x:v>-0.06249890923349236</x:v>
      </x:c>
      <x:c r="AL289" s="13" t="n">
        <x:v>0.19979603148128577</x:v>
      </x:c>
      <x:c r="AM289" s="13" t="n">
        <x:v>-0.4209526930755902</x:v>
      </x:c>
      <x:c r="AN289" s="13" t="n">
        <x:v>-0.5192013164582928</x:v>
      </x:c>
      <x:c r="AO289" s="13" t="n">
        <x:v>-0.7878811937685258</x:v>
      </x:c>
      <x:c r="AP289" s="13" t="n">
        <x:v>-0.23678140025050826</x:v>
      </x:c>
    </x:row>
    <x:row r="290" ht="15" hidden="0" customHeight="1">
      <x:c r="A290" s="2" t="str">
        <x:v>E289</x:v>
      </x:c>
      <x:c r="B290" s="2" t="str">
        <x:v>***运业有限公司***分公司</x:v>
      </x:c>
      <x:c r="C290" s="2" t="str">
        <x:v>无信贷记录</x:v>
      </x:c>
      <x:c r="D290" s="2" t="str"/>
      <x:c r="E290" s="2" t="str"/>
      <x:c r="F290" s="13" t="n">
        <x:v>0.9333578853253132</x:v>
      </x:c>
      <x:c r="G290" s="13" t="n">
        <x:v>0.9742006126694873</x:v>
      </x:c>
      <x:c r="H290" s="13" t="n">
        <x:v>-0.22105445451246467</x:v>
      </x:c>
      <x:c r="I290" s="13" t="n">
        <x:v>-0.07434195954585855</x:v>
      </x:c>
      <x:c r="J290" s="13" t="n">
        <x:v>-0.41301108152953053</x:v>
      </x:c>
      <x:c r="K290" s="13" t="n">
        <x:v>-0.41698816331666577</x:v>
      </x:c>
      <x:c r="L290" s="13" t="n">
        <x:v>-0.19466471907297253</x:v>
      </x:c>
      <x:c r="M290" s="13" t="n">
        <x:v>-0.8287028974808505</x:v>
      </x:c>
      <x:c r="N290" s="13" t="n">
        <x:v>-0.4277021083833861</x:v>
      </x:c>
      <x:c r="O290" s="13" t="n">
        <x:v>-0.38501078214425205</x:v>
      </x:c>
      <x:c r="P290" s="13" t="n">
        <x:v>-0.48469137066289286</x:v>
      </x:c>
      <x:c r="Q290" s="13" t="n">
        <x:v>-0.4353101875526586</x:v>
      </x:c>
      <x:c r="R290" s="13" t="n">
        <x:v>-0.535084542865701</x:v>
      </x:c>
      <x:c r="S290" s="13" t="n">
        <x:v>0.06562169182457384</x:v>
      </x:c>
      <x:c r="T290" s="13" t="n">
        <x:v>0.918343412818586</x:v>
      </x:c>
      <x:c r="U290" s="13" t="n">
        <x:v>0.3250666311111154</x:v>
      </x:c>
      <x:c r="V290" s="13" t="n">
        <x:v>0.3322331976040357</x:v>
      </x:c>
      <x:c r="W290" s="13" t="n">
        <x:v>0.20402187627090348</x:v>
      </x:c>
      <x:c r="X290" s="13" t="n">
        <x:v>0.10535907458819604</x:v>
      </x:c>
      <x:c r="Y290" s="13" t="n">
        <x:v>-0.35178107288253163</x:v>
      </x:c>
      <x:c r="Z290" s="13" t="n">
        <x:v>-0.32052003113313055</x:v>
      </x:c>
      <x:c r="AA290" s="13" t="n">
        <x:v>0.5524192902441479</x:v>
      </x:c>
      <x:c r="AB290" s="13" t="n">
        <x:v>-0.4688908342263365</x:v>
      </x:c>
      <x:c r="AC290" s="13" t="n">
        <x:v>-0.1855367038480416</x:v>
      </x:c>
      <x:c r="AD290" s="13" t="n">
        <x:v>-0.6707046171851179</x:v>
      </x:c>
      <x:c r="AE290" s="13" t="n">
        <x:v>-0.7163386860934564</x:v>
      </x:c>
      <x:c r="AF290" s="13" t="n">
        <x:v>-0.37501593122820465</x:v>
      </x:c>
      <x:c r="AG290" s="13" t="n">
        <x:v>-1.3618772862157669</x:v>
      </x:c>
      <x:c r="AH290" s="13" t="n">
        <x:v>-0.4795385434560664</x:v>
      </x:c>
      <x:c r="AI290" s="13" t="n">
        <x:v>0.9582284477355555</x:v>
      </x:c>
      <x:c r="AJ290" s="13" t="n">
        <x:v>-0.19724622128162317</x:v>
      </x:c>
      <x:c r="AK290" s="13" t="n">
        <x:v>-0.21336216472824077</x:v>
      </x:c>
      <x:c r="AL290" s="13" t="n">
        <x:v>-0.7649902882442489</x:v>
      </x:c>
      <x:c r="AM290" s="13" t="n">
        <x:v>-0.38358658095639625</x:v>
      </x:c>
      <x:c r="AN290" s="13" t="n">
        <x:v>-0.6900119846210263</x:v>
      </x:c>
      <x:c r="AO290" s="13" t="n">
        <x:v>-1.051571477838196</x:v>
      </x:c>
      <x:c r="AP290" s="13" t="n">
        <x:v>-0.20524253392714562</x:v>
      </x:c>
    </x:row>
    <x:row r="291" ht="15" hidden="0" customHeight="1">
      <x:c r="A291" s="2" t="str">
        <x:v>E290</x:v>
      </x:c>
      <x:c r="B291" s="2" t="str">
        <x:v>***机电有限公司</x:v>
      </x:c>
      <x:c r="C291" s="2" t="str">
        <x:v>无信贷记录</x:v>
      </x:c>
      <x:c r="D291" s="2" t="str"/>
      <x:c r="E291" s="2" t="str"/>
      <x:c r="F291" s="13" t="n">
        <x:v>-0.20888412657594982</x:v>
      </x:c>
      <x:c r="G291" s="13" t="n">
        <x:v>-0.19960928371151185</x:v>
      </x:c>
      <x:c r="H291" s="13" t="n">
        <x:v>-0.3911540687123922</x:v>
      </x:c>
      <x:c r="I291" s="13" t="n">
        <x:v>-0.20298745143099672</x:v>
      </x:c>
      <x:c r="J291" s="13" t="n">
        <x:v>-0.4484180316027405</x:v>
      </x:c>
      <x:c r="K291" s="13" t="n">
        <x:v>-0.45270352666434405</x:v>
      </x:c>
      <x:c r="L291" s="13" t="n">
        <x:v>-0.04862752286336404</x:v>
      </x:c>
      <x:c r="M291" s="13" t="n">
        <x:v>-0.6220532133158052</x:v>
      </x:c>
      <x:c r="N291" s="13" t="n">
        <x:v>0.03272718344883181</x:v>
      </x:c>
      <x:c r="O291" s="13" t="n">
        <x:v>-0.837278558208018</x:v>
      </x:c>
      <x:c r="P291" s="13" t="n">
        <x:v>-1.1440546622786627</x:v>
      </x:c>
      <x:c r="Q291" s="13" t="n">
        <x:v>-0.4692327078337098</x:v>
      </x:c>
      <x:c r="R291" s="13" t="n">
        <x:v>-0.5888270264962226</x:v>
      </x:c>
      <x:c r="S291" s="13" t="n">
        <x:v>-0.22286095494633607</x:v>
      </x:c>
      <x:c r="T291" s="13" t="n">
        <x:v>0.918343412818586</x:v>
      </x:c>
      <x:c r="U291" s="13" t="n">
        <x:v>0.03313434542288407</x:v>
      </x:c>
      <x:c r="V291" s="13" t="n">
        <x:v>0.007394559047995661</x:v>
      </x:c>
      <x:c r="W291" s="13" t="n">
        <x:v>0.39134428993281295</x:v>
      </x:c>
      <x:c r="X291" s="13" t="n">
        <x:v>0.0019370339840218294</x:v>
      </x:c>
      <x:c r="Y291" s="13" t="n">
        <x:v>-0.3731027698724489</x:v>
      </x:c>
      <x:c r="Z291" s="13" t="n">
        <x:v>-0.3356421113467274</x:v>
      </x:c>
      <x:c r="AA291" s="13" t="n">
        <x:v>-0.1337464811484646</x:v>
      </x:c>
      <x:c r="AB291" s="13" t="n">
        <x:v>-0.01427670383734685</x:v>
      </x:c>
      <x:c r="AC291" s="13" t="n">
        <x:v>-0.05452984574353659</x:v>
      </x:c>
      <x:c r="AD291" s="13" t="n">
        <x:v>-0.44812739112416333</x:v>
      </x:c>
      <x:c r="AE291" s="13" t="n">
        <x:v>-0.058387958943257275</x:v>
      </x:c>
      <x:c r="AF291" s="13" t="n">
        <x:v>-0.3959024627638902</x:v>
      </x:c>
      <x:c r="AG291" s="13" t="n">
        <x:v>-0.520029321928665</x:v>
      </x:c>
      <x:c r="AH291" s="13" t="n">
        <x:v>-0.1355350945855117</x:v>
      </x:c>
      <x:c r="AI291" s="13" t="n">
        <x:v>0.9582284477355555</x:v>
      </x:c>
      <x:c r="AJ291" s="13" t="n">
        <x:v>-0.20523666342080685</x:v>
      </x:c>
      <x:c r="AK291" s="13" t="n">
        <x:v>-0.23255831313185923</x:v>
      </x:c>
      <x:c r="AL291" s="13" t="n">
        <x:v>0.035076403728256544</x:v>
      </x:c>
      <x:c r="AM291" s="13" t="n">
        <x:v>0.014078451981498395</x:v>
      </x:c>
      <x:c r="AN291" s="13" t="n">
        <x:v>-0.8784381111136353</x:v>
      </x:c>
      <x:c r="AO291" s="13" t="n">
        <x:v>-0.6449751986457917</x:v>
      </x:c>
      <x:c r="AP291" s="13" t="n">
        <x:v>-0.20872228873579832</x:v>
      </x:c>
    </x:row>
    <x:row r="292" ht="15" hidden="0" customHeight="1">
      <x:c r="A292" s="2" t="str">
        <x:v>E291</x:v>
      </x:c>
      <x:c r="B292" s="2" t="str">
        <x:v>***文业建设工程有限公司</x:v>
      </x:c>
      <x:c r="C292" s="2" t="str">
        <x:v>无信贷记录</x:v>
      </x:c>
      <x:c r="D292" s="2" t="str"/>
      <x:c r="E292" s="2" t="str"/>
      <x:c r="F292" s="13" t="n">
        <x:v>-0.4304716597288734</x:v>
      </x:c>
      <x:c r="G292" s="13" t="n">
        <x:v>-0.4331245694703136</x:v>
      </x:c>
      <x:c r="H292" s="13" t="n">
        <x:v>-0.295473035724933</x:v>
      </x:c>
      <x:c r="I292" s="13" t="n">
        <x:v>-0.07434195954585855</x:v>
      </x:c>
      <x:c r="J292" s="13" t="n">
        <x:v>-0.19821607868215563</x:v>
      </x:c>
      <x:c r="K292" s="13" t="n">
        <x:v>-0.2042300268472292</x:v>
      </x:c>
      <x:c r="L292" s="13" t="n">
        <x:v>-0.3559141232210819</x:v>
      </x:c>
      <x:c r="M292" s="13" t="n">
        <x:v>0.9008185200068073</x:v>
      </x:c>
      <x:c r="N292" s="13" t="n">
        <x:v>1.8912072852540438</x:v>
      </x:c>
      <x:c r="O292" s="13" t="n">
        <x:v>1.0942346688441393</x:v>
      </x:c>
      <x:c r="P292" s="13" t="n">
        <x:v>1.3011823629991746</x:v>
      </x:c>
      <x:c r="Q292" s="13" t="n">
        <x:v>-0.20972625903704498</x:v>
      </x:c>
      <x:c r="R292" s="13" t="n">
        <x:v>1.6955886587432363</x:v>
      </x:c>
      <x:c r="S292" s="13" t="n">
        <x:v>-0.5707633810626055</x:v>
      </x:c>
      <x:c r="T292" s="13" t="n">
        <x:v>0.07069294128598666</x:v>
      </x:c>
      <x:c r="U292" s="13" t="n">
        <x:v>-0.47432195623373463</x:v>
      </x:c>
      <x:c r="V292" s="13" t="n">
        <x:v>-0.4745335765645059</x:v>
      </x:c>
      <x:c r="W292" s="13" t="n">
        <x:v>-0.38791695090073036</x:v>
      </x:c>
      <x:c r="X292" s="13" t="n">
        <x:v>-0.3496979040701705</x:v>
      </x:c>
      <x:c r="Y292" s="13" t="n">
        <x:v>-0.43250872010117986</x:v>
      </x:c>
      <x:c r="Z292" s="13" t="n">
        <x:v>-0.3828898850174984</x:v>
      </x:c>
      <x:c r="AA292" s="13" t="n">
        <x:v>-0.3264368690052942</x:v>
      </x:c>
      <x:c r="AB292" s="13" t="n">
        <x:v>0.6620213425602156</x:v>
      </x:c>
      <x:c r="AC292" s="13" t="n">
        <x:v>-0.17924598061860608</x:v>
      </x:c>
      <x:c r="AD292" s="13" t="n">
        <x:v>3.0099139197007148</x:v>
      </x:c>
      <x:c r="AE292" s="13" t="n">
        <x:v>2.4986476852532244</x:v>
      </x:c>
      <x:c r="AF292" s="13" t="n">
        <x:v>-0.41026884304201194</x:v>
      </x:c>
      <x:c r="AG292" s="13" t="n">
        <x:v>2.7688616511354147</x:v>
      </x:c>
      <x:c r="AH292" s="13" t="n">
        <x:v>-0.8268201340457265</x:v>
      </x:c>
      <x:c r="AI292" s="13" t="n">
        <x:v>-2.060652873892399</x:v>
      </x:c>
      <x:c r="AJ292" s="13" t="n">
        <x:v>-0.49625051249175856</x:v>
      </x:c>
      <x:c r="AK292" s="13" t="n">
        <x:v>0.1644935497715853</x:v>
      </x:c>
      <x:c r="AL292" s="13" t="n">
        <x:v>0.42285484844533155</x:v>
      </x:c>
      <x:c r="AM292" s="13" t="n">
        <x:v>0.509077069837732</x:v>
      </x:c>
      <x:c r="AN292" s="13" t="n">
        <x:v>2.6488234842469836</x:v>
      </x:c>
      <x:c r="AO292" s="13" t="n">
        <x:v>2.452524869137537</x:v>
      </x:c>
      <x:c r="AP292" s="13" t="n">
        <x:v>-0.7699911959746853</x:v>
      </x:c>
    </x:row>
    <x:row r="293" ht="15" hidden="0" customHeight="1">
      <x:c r="A293" s="2" t="str">
        <x:v>E292</x:v>
      </x:c>
      <x:c r="B293" s="2" t="str">
        <x:v>***物流有限公司</x:v>
      </x:c>
      <x:c r="C293" s="2" t="str">
        <x:v>无信贷记录</x:v>
      </x:c>
      <x:c r="D293" s="2" t="str"/>
      <x:c r="E293" s="2" t="str"/>
      <x:c r="F293" s="13" t="n">
        <x:v>-0.4573588499440817</x:v>
      </x:c>
      <x:c r="G293" s="13" t="n">
        <x:v>-0.4566199472982012</x:v>
      </x:c>
      <x:c r="H293" s="13" t="n">
        <x:v>-0.3911540687123922</x:v>
      </x:c>
      <x:c r="I293" s="13" t="n">
        <x:v>-0.46027843520127304</x:v>
      </x:c>
      <x:c r="J293" s="13" t="n">
        <x:v>-0.42066964803903917</x:v>
      </x:c>
      <x:c r="K293" s="13" t="n">
        <x:v>-0.4257345748116568</x:v>
      </x:c>
      <x:c r="L293" s="13" t="n">
        <x:v>-0.46239957879058813</x:v>
      </x:c>
      <x:c r="M293" s="13" t="n">
        <x:v>0.22442788804398162</x:v>
      </x:c>
      <x:c r="N293" s="13" t="n">
        <x:v>-0.7216149855326618</x:v>
      </x:c>
      <x:c r="O293" s="13" t="n">
        <x:v>-0.2784338442769151</x:v>
      </x:c>
      <x:c r="P293" s="13" t="n">
        <x:v>-0.004742360576283299</x:v>
      </x:c>
      <x:c r="Q293" s="13" t="n">
        <x:v>-0.43037614895827236</x:v>
      </x:c>
      <x:c r="R293" s="13" t="n">
        <x:v>-0.47950839451605415</x:v>
      </x:c>
      <x:c r="S293" s="13" t="n">
        <x:v>0.7516312348673139</x:v>
      </x:c>
      <x:c r="T293" s="13" t="n">
        <x:v>0.5416098699152085</x:v>
      </x:c>
      <x:c r="U293" s="13" t="n">
        <x:v>0.13430943360364295</x:v>
      </x:c>
      <x:c r="V293" s="13" t="n">
        <x:v>0.17009439528504508</x:v>
      </x:c>
      <x:c r="W293" s="13" t="n">
        <x:v>-0.3429595716218721</x:v>
      </x:c>
      <x:c r="X293" s="13" t="n">
        <x:v>-0.3496979040701705</x:v>
      </x:c>
      <x:c r="Y293" s="13" t="n">
        <x:v>-0.43743823396659265</x:v>
      </x:c>
      <x:c r="Z293" s="13" t="n">
        <x:v>-0.38833907436890297</x:v>
      </x:c>
      <x:c r="AA293" s="13" t="n">
        <x:v>-0.35228557957145423</x:v>
      </x:c>
      <x:c r="AB293" s="13" t="n">
        <x:v>-0.7750984253050319</x:v>
      </x:c>
      <x:c r="AC293" s="13" t="n">
        <x:v>-0.6456960354865654</x:v>
      </x:c>
      <x:c r="AD293" s="13" t="n">
        <x:v>-0.11320303620288356</x:v>
      </x:c>
      <x:c r="AE293" s="13" t="n">
        <x:v>-0.05866000556175041</x:v>
      </x:c>
      <x:c r="AF293" s="13" t="n">
        <x:v>-0.45243890973876283</x:v>
      </x:c>
      <x:c r="AG293" s="13" t="n">
        <x:v>-0.5621969081732427</x:v>
      </x:c>
      <x:c r="AH293" s="13" t="n">
        <x:v>0.7374137613195367</x:v>
      </x:c>
      <x:c r="AI293" s="13" t="n">
        <x:v>0.5557109381851616</x:v>
      </x:c>
      <x:c r="AJ293" s="13" t="n">
        <x:v>-0.3330288249630581</x:v>
      </x:c>
      <x:c r="AK293" s="13" t="n">
        <x:v>-0.12851491156424058</x:v>
      </x:c>
      <x:c r="AL293" s="13" t="n">
        <x:v>-0.7144830025275687</x:v>
      </x:c>
      <x:c r="AM293" s="13" t="n">
        <x:v>-0.7081569761015615</x:v>
      </x:c>
      <x:c r="AN293" s="13" t="n">
        <x:v>-0.2689323650583579</x:v>
      </x:c>
      <x:c r="AO293" s="13" t="n">
        <x:v>-0.5907064531615877</x:v>
      </x:c>
      <x:c r="AP293" s="13" t="n">
        <x:v>0.8278867923909056</x:v>
      </x:c>
    </x:row>
    <x:row r="294" ht="15" hidden="0" customHeight="1">
      <x:c r="A294" s="2" t="str">
        <x:v>E293</x:v>
      </x:c>
      <x:c r="B294" s="2" t="str">
        <x:v>***物资有限公司</x:v>
      </x:c>
      <x:c r="C294" s="2" t="str">
        <x:v>无信贷记录</x:v>
      </x:c>
      <x:c r="D294" s="2" t="str"/>
      <x:c r="E294" s="2" t="str"/>
      <x:c r="F294" s="13" t="n">
        <x:v>-0.585304789588866</x:v>
      </x:c>
      <x:c r="G294" s="13" t="n">
        <x:v>-0.5846457815848544</x:v>
      </x:c>
      <x:c r="H294" s="13" t="n">
        <x:v>-0.4868351016998515</x:v>
      </x:c>
      <x:c r="I294" s="13" t="n">
        <x:v>-0.46027843520127304</x:v>
      </x:c>
      <x:c r="J294" s="13" t="n">
        <x:v>-0.3990166517702057</x:v>
      </x:c>
      <x:c r="K294" s="13" t="n">
        <x:v>-0.4044643708513446</x:v>
      </x:c>
      <x:c r="L294" s="13" t="n">
        <x:v>-0.632776307701798</x:v>
      </x:c>
      <x:c r="M294" s="13" t="n">
        <x:v>0.8014518167781159</x:v>
      </x:c>
      <x:c r="N294" s="13" t="n">
        <x:v>-0.7216149855326618</x:v>
      </x:c>
      <x:c r="O294" s="13" t="n">
        <x:v>1.4354532944210188</x:v>
      </x:c>
      <x:c r="P294" s="13" t="n">
        <x:v>1.554844586517702</x:v>
      </x:c>
      <x:c r="Q294" s="13" t="n">
        <x:v>-0.41279619693827274</x:v>
      </x:c>
      <x:c r="R294" s="13" t="n">
        <x:v>0.196457401109339</x:v>
      </x:c>
      <x:c r="S294" s="13" t="n">
        <x:v>0.9035861885193897</x:v>
      </x:c>
      <x:c r="T294" s="13" t="n">
        <x:v>-0.49440737306907956</x:v>
      </x:c>
      <x:c r="U294" s="13" t="n">
        <x:v>-0.4980348675261</x:v>
      </x:c>
      <x:c r="V294" s="13" t="n">
        <x:v>-0.4868763227617993</x:v>
      </x:c>
      <x:c r="W294" s="13" t="n">
        <x:v>-0.560253571469687</x:v>
      </x:c>
      <x:c r="X294" s="13" t="n">
        <x:v>-0.3910667203118402</x:v>
      </x:c>
      <x:c r="Y294" s="13" t="n">
        <x:v>-0.4712286618382555</x:v>
      </x:c>
      <x:c r="Z294" s="13" t="n">
        <x:v>-0.41474260109611955</x:v>
      </x:c>
      <x:c r="AA294" s="13" t="n">
        <x:v>-0.39223358681006526</x:v>
      </x:c>
      <x:c r="AB294" s="13" t="n">
        <x:v>-0.31399649460416196</x:v>
      </x:c>
      <x:c r="AC294" s="13" t="n">
        <x:v>-0.6980651016988949</x:v>
      </x:c>
      <x:c r="AD294" s="13" t="n">
        <x:v>1.6964582791947953</x:v>
      </x:c>
      <x:c r="AE294" s="13" t="n">
        <x:v>1.713293561413393</x:v>
      </x:c>
      <x:c r="AF294" s="13" t="n">
        <x:v>-0.4920256530512422</x:v>
      </x:c>
      <x:c r="AG294" s="13" t="n">
        <x:v>0.7885287699492154</x:v>
      </x:c>
      <x:c r="AH294" s="13" t="n">
        <x:v>1.0056854353599822</x:v>
      </x:c>
      <x:c r="AI294" s="13" t="n">
        <x:v>0.9582284477355555</x:v>
      </x:c>
      <x:c r="AJ294" s="13" t="n">
        <x:v>-0.4056016462065791</x:v>
      </x:c>
      <x:c r="AK294" s="13" t="n">
        <x:v>0.0044109573639697945</x:v>
      </x:c>
      <x:c r="AL294" s="13" t="n">
        <x:v>0.021624315398673124</x:v>
      </x:c>
      <x:c r="AM294" s="13" t="n">
        <x:v>-0.7815911692517314</x:v>
      </x:c>
      <x:c r="AN294" s="13" t="n">
        <x:v>2.0835596686402</x:v>
      </x:c>
      <x:c r="AO294" s="13" t="n">
        <x:v>0.5036129959044989</x:v>
      </x:c>
      <x:c r="AP294" s="13" t="n">
        <x:v>1.0560810188343206</x:v>
      </x:c>
    </x:row>
    <x:row r="295" ht="15" hidden="0" customHeight="1">
      <x:c r="A295" s="2" t="str">
        <x:v>E294</x:v>
      </x:c>
      <x:c r="B295" s="2" t="str">
        <x:v>个体经营E294 </x:v>
      </x:c>
      <x:c r="C295" s="2" t="str">
        <x:v>无信贷记录</x:v>
      </x:c>
      <x:c r="D295" s="2" t="str"/>
      <x:c r="E295" s="2" t="str"/>
      <x:c r="F295" s="13" t="n">
        <x:v>-0.210738415556309</x:v>
      </x:c>
      <x:c r="G295" s="13" t="n">
        <x:v>-0.20632224880519404</x:v>
      </x:c>
      <x:c r="H295" s="13" t="n">
        <x:v>-0.2848418098374375</x:v>
      </x:c>
      <x:c r="I295" s="13" t="n">
        <x:v>-0.2887511126877555</x:v>
      </x:c>
      <x:c r="J295" s="13" t="n">
        <x:v>-0.4789858143316607</x:v>
      </x:c>
      <x:c r="K295" s="13" t="n">
        <x:v>-0.48222633758227207</x:v>
      </x:c>
      <x:c r="L295" s="13" t="n">
        <x:v>0.000051542539838794125</x:v>
      </x:c>
      <x:c r="M295" s="13" t="n">
        <x:v>-0.1767027780439739</x:v>
      </x:c>
      <x:c r="N295" s="13" t="n">
        <x:v>-0.21038822170220575</x:v>
      </x:c>
      <x:c r="O295" s="13" t="n">
        <x:v>-0.6873877819509683</x:v>
      </x:c>
      <x:c r="P295" s="13" t="n">
        <x:v>-0.632331117821892</x:v>
      </x:c>
      <x:c r="Q295" s="13" t="n">
        <x:v>-0.4752398820612598</x:v>
      </x:c>
      <x:c r="R295" s="13" t="n">
        <x:v>-0.41118565875859964</x:v>
      </x:c>
      <x:c r="S295" s="13" t="n">
        <x:v>-0.4407073125317063</x:v>
      </x:c>
      <x:c r="T295" s="13" t="n">
        <x:v>0.16487632701183103</x:v>
      </x:c>
      <x:c r="U295" s="13" t="n">
        <x:v>-0.37051210013160185</x:v>
      </x:c>
      <x:c r="V295" s="13" t="n">
        <x:v>-0.37298643739586473</x:v>
      </x:c>
      <x:c r="W295" s="13" t="n">
        <x:v>-0.26803060615710833</x:v>
      </x:c>
      <x:c r="X295" s="13" t="n">
        <x:v>-0.3703823121910053</x:v>
      </x:c>
      <x:c r="Y295" s="13" t="n">
        <x:v>-0.3099028358488606</x:v>
      </x:c>
      <x:c r="Z295" s="13" t="n">
        <x:v>-0.2879206711165654</x:v>
      </x:c>
      <x:c r="AA295" s="13" t="n">
        <x:v>-0.28883874454542496</x:v>
      </x:c>
      <x:c r="AB295" s="13" t="n">
        <x:v>0.1071746753209837</x:v>
      </x:c>
      <x:c r="AC295" s="13" t="n">
        <x:v>-0.5901172523128347</x:v>
      </x:c>
      <x:c r="AD295" s="13" t="n">
        <x:v>-0.7080165926306831</x:v>
      </x:c>
      <x:c r="AE295" s="13" t="n">
        <x:v>-0.8714865747113005</x:v>
      </x:c>
      <x:c r="AF295" s="13" t="n">
        <x:v>-0.327369164424688</x:v>
      </x:c>
      <x:c r="AG295" s="13" t="n">
        <x:v>-0.8018724146431798</x:v>
      </x:c>
      <x:c r="AH295" s="13" t="n">
        <x:v>-0.5140320781298114</x:v>
      </x:c>
      <x:c r="AI295" s="13" t="n">
        <x:v>0.857599070347957</x:v>
      </x:c>
      <x:c r="AJ295" s="13" t="n">
        <x:v>-0.07715071481092665</x:v>
      </x:c>
      <x:c r="AK295" s="13" t="n">
        <x:v>-0.28063611031546365</x:v>
      </x:c>
      <x:c r="AL295" s="13" t="n">
        <x:v>-0.25150075171226394</x:v>
      </x:c>
      <x:c r="AM295" s="13" t="n">
        <x:v>-0.5271146687464889</x:v>
      </x:c>
      <x:c r="AN295" s="13" t="n">
        <x:v>-0.9309301939000658</x:v>
      </x:c>
      <x:c r="AO295" s="13" t="n">
        <x:v>-0.6572305390566994</x:v>
      </x:c>
      <x:c r="AP295" s="13" t="n">
        <x:v>-0.5327931254235078</x:v>
      </x:c>
    </x:row>
    <x:row r="296" ht="15" hidden="0" customHeight="1">
      <x:c r="A296" s="2" t="str">
        <x:v>E295</x:v>
      </x:c>
      <x:c r="B296" s="2" t="str">
        <x:v>***电器设备制造有限公司</x:v>
      </x:c>
      <x:c r="C296" s="2" t="str">
        <x:v>无信贷记录</x:v>
      </x:c>
      <x:c r="D296" s="2" t="str"/>
      <x:c r="E296" s="2" t="str"/>
      <x:c r="F296" s="13" t="n">
        <x:v>-0.2167648547424764</x:v>
      </x:c>
      <x:c r="G296" s="13" t="n">
        <x:v>-0.2192686814858668</x:v>
      </x:c>
      <x:c r="H296" s="13" t="n">
        <x:v>-0.13600464741250087</x:v>
      </x:c>
      <x:c r="I296" s="13" t="n">
        <x:v>-0.4173966045728936</x:v>
      </x:c>
      <x:c r="J296" s="13" t="n">
        <x:v>-0.3133750889349662</x:v>
      </x:c>
      <x:c r="K296" s="13" t="n">
        <x:v>-0.31923649585235864</x:v>
      </x:c>
      <x:c r="L296" s="13" t="n">
        <x:v>-0.05775484762646457</x:v>
      </x:c>
      <x:c r="M296" s="13" t="n">
        <x:v>0.46764252533456424</x:v>
      </x:c>
      <x:c r="N296" s="13" t="n">
        <x:v>-0.5895897363160556</x:v>
      </x:c>
      <x:c r="O296" s="13" t="n">
        <x:v>-0.7513968222974532</x:v>
      </x:c>
      <x:c r="P296" s="13" t="n">
        <x:v>-0.6327552010254458</x:v>
      </x:c>
      <x:c r="Q296" s="13" t="n">
        <x:v>-0.3332037396966021</x:v>
      </x:c>
      <x:c r="R296" s="13" t="n">
        <x:v>-0.40256988943881905</x:v>
      </x:c>
      <x:c r="S296" s="13" t="n">
        <x:v>-0.06682519519216566</x:v>
      </x:c>
      <x:c r="T296" s="13" t="n">
        <x:v>0.8241600270927416</x:v>
      </x:c>
      <x:c r="U296" s="13" t="n">
        <x:v>-0.4274230872332787</x:v>
      </x:c>
      <x:c r="V296" s="13" t="n">
        <x:v>-0.43133396487397896</x:v>
      </x:c>
      <x:c r="W296" s="13" t="n">
        <x:v>-0.29800219234301384</x:v>
      </x:c>
      <x:c r="X296" s="13" t="n">
        <x:v>-0.32901349594933565</x:v>
      </x:c>
      <x:c r="Y296" s="13" t="n">
        <x:v>-0.40653468106624496</x:v>
      </x:c>
      <x:c r="Z296" s="13" t="n">
        <x:v>-0.3623287652199808</x:v>
      </x:c>
      <x:c r="AA296" s="13" t="n">
        <x:v>-0.2606401512005231</x:v>
      </x:c>
      <x:c r="AB296" s="13" t="n">
        <x:v>0.4604274888992779</x:v>
      </x:c>
      <x:c r="AC296" s="13" t="n">
        <x:v>-0.21072772340260415</x:v>
      </x:c>
      <x:c r="AD296" s="13" t="n">
        <x:v>-0.7725541309760169</x:v>
      </x:c>
      <x:c r="AE296" s="13" t="n">
        <x:v>-0.8273610535823267</x:v>
      </x:c>
      <x:c r="AF296" s="13" t="n">
        <x:v>-0.4286520449279017</x:v>
      </x:c>
      <x:c r="AG296" s="13" t="n">
        <x:v>-0.2079156508779636</x:v>
      </x:c>
      <x:c r="AH296" s="13" t="n">
        <x:v>-0.07247701748459934</x:v>
      </x:c>
      <x:c r="AI296" s="13" t="n">
        <x:v>0.5557109381851616</x:v>
      </x:c>
      <x:c r="AJ296" s="13" t="n">
        <x:v>-0.36457066311485314</x:v>
      </x:c>
      <x:c r="AK296" s="13" t="n">
        <x:v>-0.05581219582437216</x:v>
      </x:c>
      <x:c r="AL296" s="13" t="n">
        <x:v>0.012027980736277274</x:v>
      </x:c>
      <x:c r="AM296" s="13" t="n">
        <x:v>-0.551965889498954</x:v>
      </x:c>
      <x:c r="AN296" s="13" t="n">
        <x:v>-1.0169068463548137</x:v>
      </x:c>
      <x:c r="AO296" s="13" t="n">
        <x:v>-0.3717268464040771</x:v>
      </x:c>
      <x:c r="AP296" s="13" t="n">
        <x:v>-0.08137709917758174</x:v>
      </x:c>
    </x:row>
    <x:row r="297" ht="15" hidden="0" customHeight="1">
      <x:c r="A297" s="2" t="str">
        <x:v>E296</x:v>
      </x:c>
      <x:c r="B297" s="2" t="str">
        <x:v>***装饰设计工程有限公司</x:v>
      </x:c>
      <x:c r="C297" s="2" t="str">
        <x:v>无信贷记录</x:v>
      </x:c>
      <x:c r="D297" s="2" t="str"/>
      <x:c r="E297" s="2" t="str"/>
      <x:c r="F297" s="13" t="n">
        <x:v>0.10309999436948444</x:v>
      </x:c>
      <x:c r="G297" s="13" t="n">
        <x:v>0.08185575271644834</x:v>
      </x:c>
      <x:c r="H297" s="13" t="n">
        <x:v>0.5231313576122185</x:v>
      </x:c>
      <x:c r="I297" s="13" t="n">
        <x:v>0.7404128223933497</x:v>
      </x:c>
      <x:c r="J297" s="13" t="n">
        <x:v>-0.4542346008719747</x:v>
      </x:c>
      <x:c r="K297" s="13" t="n">
        <x:v>-0.43249408087711433</x:v>
      </x:c>
      <x:c r="L297" s="13" t="n">
        <x:v>0.45946022228256556</x:v>
      </x:c>
      <x:c r="M297" s="13" t="n">
        <x:v>1.2862184567199024</x:v>
      </x:c>
      <x:c r="N297" s="13" t="n">
        <x:v>1.369606527646555</x:v>
      </x:c>
      <x:c r="O297" s="13" t="n">
        <x:v>-0.8400404117115322</x:v>
      </x:c>
      <x:c r="P297" s="13" t="n">
        <x:v>-1.060948921243909</x:v>
      </x:c>
      <x:c r="Q297" s="13" t="n">
        <x:v>-0.45798572184235165</x:v>
      </x:c>
      <x:c r="R297" s="13" t="n">
        <x:v>-0.31241246598042294</x:v>
      </x:c>
      <x:c r="S297" s="13" t="n">
        <x:v>-0.0034428257512621103</x:v>
      </x:c>
      <x:c r="T297" s="13" t="n">
        <x:v>-0.023490444439857705</x:v>
      </x:c>
      <x:c r="U297" s="13" t="n">
        <x:v>-0.4268961336490039</x:v>
      </x:c>
      <x:c r="V297" s="13" t="n">
        <x:v>-0.4240405239392147</x:v>
      </x:c>
      <x:c r="W297" s="13" t="n">
        <x:v>-0.38791695090073036</x:v>
      </x:c>
      <x:c r="X297" s="13" t="n">
        <x:v>0.0019370339840218294</x:v>
      </x:c>
      <x:c r="Y297" s="13" t="n">
        <x:v>-0.4306767481296875</x:v>
      </x:c>
      <x:c r="Z297" s="13" t="n">
        <x:v>-0.35675622474916585</x:v>
      </x:c>
      <x:c r="AA297" s="13" t="n">
        <x:v>-0.35463546235019605</x:v>
      </x:c>
      <x:c r="AB297" s="13" t="n">
        <x:v>0.06145959249779745</x:v>
      </x:c>
      <x:c r="AC297" s="13" t="n">
        <x:v>2.20518984297642</x:v>
      </x:c>
      <x:c r="AD297" s="13" t="n">
        <x:v>0.6487813865913216</x:v>
      </x:c>
      <x:c r="AE297" s="13" t="n">
        <x:v>1.0302437876434032</x:v>
      </x:c>
      <x:c r="AF297" s="13" t="n">
        <x:v>-0.4417018710178669</x:v>
      </x:c>
      <x:c r="AG297" s="13" t="n">
        <x:v>0.7847999003400814</x:v>
      </x:c>
      <x:c r="AH297" s="13" t="n">
        <x:v>0.6143590958497582</x:v>
      </x:c>
      <x:c r="AI297" s="13" t="n">
        <x:v>-0.7524709678536187</x:v>
      </x:c>
      <x:c r="AJ297" s="13" t="n">
        <x:v>-0.2959868580361528</x:v>
      </x:c>
      <x:c r="AK297" s="13" t="n">
        <x:v>-0.19151758575063485</x:v>
      </x:c>
      <x:c r="AL297" s="13" t="n">
        <x:v>0.00580754958795884</x:v>
      </x:c>
      <x:c r="AM297" s="13" t="n">
        <x:v>0.8777790205293003</x:v>
      </x:c>
      <x:c r="AN297" s="13" t="n">
        <x:v>-0.20303001554264244</x:v>
      </x:c>
      <x:c r="AO297" s="13" t="n">
        <x:v>0.15681964342424878</x:v>
      </x:c>
      <x:c r="AP297" s="13" t="n">
        <x:v>0.30335318415239904</x:v>
      </x:c>
    </x:row>
    <x:row r="298" ht="15" hidden="0" customHeight="1">
      <x:c r="A298" s="2" t="str">
        <x:v>E297</x:v>
      </x:c>
      <x:c r="B298" s="2" t="str">
        <x:v>***建筑机械租赁有限公司</x:v>
      </x:c>
      <x:c r="C298" s="2" t="str">
        <x:v>无信贷记录</x:v>
      </x:c>
      <x:c r="D298" s="2" t="str"/>
      <x:c r="E298" s="2" t="str"/>
      <x:c r="F298" s="13" t="n">
        <x:v>-0.5894769397946742</x:v>
      </x:c>
      <x:c r="G298" s="13" t="n">
        <x:v>-0.5875227666250038</x:v>
      </x:c>
      <x:c r="H298" s="13" t="n">
        <x:v>-0.518728779362338</x:v>
      </x:c>
      <x:c r="I298" s="13" t="n">
        <x:v>-0.46027843520127304</x:v>
      </x:c>
      <x:c r="J298" s="13" t="n">
        <x:v>-0.334254157345623</x:v>
      </x:c>
      <x:c r="K298" s="13" t="n">
        <x:v>-0.34084677962808346</x:v>
      </x:c>
      <x:c r="L298" s="13" t="n">
        <x:v>-0.684497814692701</x:v>
      </x:c>
      <x:c r="M298" s="13" t="n">
        <x:v>-1.151103901665672</x:v>
      </x:c>
      <x:c r="N298" s="13" t="n">
        <x:v>-0.7216149855326618</x:v>
      </x:c>
      <x:c r="O298" s="13" t="n">
        <x:v>1.1425661626988066</x:v>
      </x:c>
      <x:c r="P298" s="13" t="n">
        <x:v>1.3181965181379385</x:v>
      </x:c>
      <x:c r="Q298" s="13" t="n">
        <x:v>-0.3174875795401157</x:v>
      </x:c>
      <x:c r="R298" s="13" t="n">
        <x:v>0.46468606303961235</x:v>
      </x:c>
      <x:c r="S298" s="13" t="n">
        <x:v>0.25498493163742914</x:v>
      </x:c>
      <x:c r="T298" s="13" t="n">
        <x:v>-1.4362412303275232</x:v>
      </x:c>
      <x:c r="U298" s="13" t="n">
        <x:v>-0.4632559309639641</x:v>
      </x:c>
      <x:c r="V298" s="13" t="n">
        <x:v>-0.4560194572685658</x:v>
      </x:c>
      <x:c r="W298" s="13" t="n">
        <x:v>-0.4778317094584469</x:v>
      </x:c>
      <x:c r="X298" s="13" t="n">
        <x:v>-0.3910667203118402</x:v>
      </x:c>
      <x:c r="Y298" s="13" t="n">
        <x:v>-0.40747880985935386</x:v>
      </x:c>
      <x:c r="Z298" s="13" t="n">
        <x:v>-0.36528556245121857</x:v>
      </x:c>
      <x:c r="AA298" s="13" t="n">
        <x:v>-0.39223358681006526</x:v>
      </x:c>
      <x:c r="AB298" s="13" t="n">
        <x:v>-0.07225713694978125</x:v>
      </x:c>
      <x:c r="AC298" s="13" t="n">
        <x:v>-0.6980651016988949</x:v>
      </x:c>
      <x:c r="AD298" s="13" t="n">
        <x:v>1.0901698628272158</x:v>
      </x:c>
      <x:c r="AE298" s="13" t="n">
        <x:v>1.191825850944678</x:v>
      </x:c>
      <x:c r="AF298" s="13" t="n">
        <x:v>-0.35219857793272585</x:v>
      </x:c>
      <x:c r="AG298" s="13" t="n">
        <x:v>0.09076535193266184</x:v>
      </x:c>
      <x:c r="AH298" s="13" t="n">
        <x:v>-0.7522722711442523</x:v>
      </x:c>
      <x:c r="AI298" s="13" t="n">
        <x:v>-1.3562472321792094</x:v>
      </x:c>
      <x:c r="AJ298" s="13" t="n">
        <x:v>-0.350047343435287</x:v>
      </x:c>
      <x:c r="AK298" s="13" t="n">
        <x:v>-0.07345159048484526</x:v>
      </x:c>
      <x:c r="AL298" s="13" t="n">
        <x:v>0.30011525991569943</x:v>
      </x:c>
      <x:c r="AM298" s="13" t="n">
        <x:v>-0.7815911692517314</x:v>
      </x:c>
      <x:c r="AN298" s="13" t="n">
        <x:v>1.4981068329074698</x:v>
      </x:c>
      <x:c r="AO298" s="13" t="n">
        <x:v>0.35694592585898616</x:v>
      </x:c>
      <x:c r="AP298" s="13" t="n">
        <x:v>-0.2265910978350074</x:v>
      </x:c>
    </x:row>
    <x:row r="299" ht="15" hidden="0" customHeight="1">
      <x:c r="A299" s="2" t="str">
        <x:v>E298</x:v>
      </x:c>
      <x:c r="B299" s="2" t="str">
        <x:v>***电器维护服务有限公司</x:v>
      </x:c>
      <x:c r="C299" s="2" t="str">
        <x:v>无信贷记录</x:v>
      </x:c>
      <x:c r="D299" s="2" t="str"/>
      <x:c r="E299" s="2" t="str"/>
      <x:c r="F299" s="13" t="n">
        <x:v>-0.19126838126253748</x:v>
      </x:c>
      <x:c r="G299" s="13" t="n">
        <x:v>-0.1789908909237737</x:v>
      </x:c>
      <x:c r="H299" s="13" t="n">
        <x:v>-0.4443101981498696</x:v>
      </x:c>
      <x:c r="I299" s="13" t="n">
        <x:v>-0.031460128917479166</x:v>
      </x:c>
      <x:c r="J299" s="13" t="n">
        <x:v>-0.4553946016653624</x:v>
      </x:c>
      <x:c r="K299" s="13" t="n">
        <x:v>-0.45815134009605085</x:v>
      </x:c>
      <x:c r="L299" s="13" t="n">
        <x:v>-0.5019513194306904</x:v>
      </x:c>
      <x:c r="M299" s="13" t="n">
        <x:v>-0.8553923095434554</x:v>
      </x:c>
      <x:c r="N299" s="13" t="n">
        <x:v>0.47568716368223674</x:v>
      </x:c>
      <x:c r="O299" s="13" t="n">
        <x:v>-0.6308781179251806</x:v>
      </x:c>
      <x:c r="P299" s="13" t="n">
        <x:v>-0.9763876976923455</x:v>
      </x:c>
      <x:c r="Q299" s="13" t="n">
        <x:v>-0.4418103150879574</x:v>
      </x:c>
      <x:c r="R299" s="13" t="n">
        <x:v>-0.29652404647713165</x:v>
      </x:c>
      <x:c r="S299" s="13" t="n">
        <x:v>1.1916090335495446</x:v>
      </x:c>
      <x:c r="T299" s="13" t="n">
        <x:v>-0.023490444439857705</x:v>
      </x:c>
      <x:c r="U299" s="13" t="n">
        <x:v>0.9226319956787224</x:v>
      </x:c>
      <x:c r="V299" s="13" t="n">
        <x:v>0.8197716723971251</x:v>
      </x:c>
      <x:c r="W299" s="13" t="n">
        <x:v>2.1896394610871437</x:v>
      </x:c>
      <x:c r="X299" s="13" t="n">
        <x:v>0.20878111519237025</x:v>
      </x:c>
      <x:c r="Y299" s="13" t="n">
        <x:v>-0.397739453712209</x:v>
      </x:c>
      <x:c r="Z299" s="13" t="n">
        <x:v>-0.3556723678625947</x:v>
      </x:c>
      <x:c r="AA299" s="13" t="n">
        <x:v>0.218735935662809</x:v>
      </x:c>
      <x:c r="AB299" s="13" t="n">
        <x:v>0.08678787623988624</x:v>
      </x:c>
      <x:c r="AC299" s="13" t="n">
        <x:v>-0.2996861337265303</x:v>
      </x:c>
      <x:c r="AD299" s="13" t="n">
        <x:v>0.22489477761758478</x:v>
      </x:c>
      <x:c r="AE299" s="13" t="n">
        <x:v>0.5625903061998684</x:v>
      </x:c>
      <x:c r="AF299" s="13" t="n">
        <x:v>-0.42404666272009905</x:v>
      </x:c>
      <x:c r="AG299" s="13" t="n">
        <x:v>-0.9349457491410524</x:v>
      </x:c>
      <x:c r="AH299" s="13" t="n">
        <x:v>0.20386966521201602</x:v>
      </x:c>
      <x:c r="AI299" s="13" t="n">
        <x:v>1.058857825123154</x:v>
      </x:c>
      <x:c r="AJ299" s="13" t="n">
        <x:v>-0.24061272256592092</x:v>
      </x:c>
      <x:c r="AK299" s="13" t="n">
        <x:v>-0.2203726264638432</x:v>
      </x:c>
      <x:c r="AL299" s="13" t="n">
        <x:v>0.5234129076465673</x:v>
      </x:c>
      <x:c r="AM299" s="13" t="n">
        <x:v>-0.09477906827757636</x:v>
      </x:c>
      <x:c r="AN299" s="13" t="n">
        <x:v>-0.31409123974427183</x:v>
      </x:c>
      <x:c r="AO299" s="13" t="n">
        <x:v>-0.6421415538026591</x:v>
      </x:c>
      <x:c r="AP299" s="13" t="n">
        <x:v>0.8287172566249494</x:v>
      </x:c>
    </x:row>
    <x:row r="300" ht="15" hidden="0" customHeight="1">
      <x:c r="A300" s="2" t="str">
        <x:v>E299</x:v>
      </x:c>
      <x:c r="B300" s="2" t="str">
        <x:v>***压缩天然气有限责任公司</x:v>
      </x:c>
      <x:c r="C300" s="2" t="str">
        <x:v>无信贷记录</x:v>
      </x:c>
      <x:c r="D300" s="2" t="str"/>
      <x:c r="E300" s="2" t="str"/>
      <x:c r="F300" s="13" t="n">
        <x:v>-0.33822078295600355</x:v>
      </x:c>
      <x:c r="G300" s="13" t="n">
        <x:v>-0.3381840631453798</x:v>
      </x:c>
      <x:c r="H300" s="13" t="n">
        <x:v>-0.2848418098374375</x:v>
      </x:c>
      <x:c r="I300" s="13" t="n">
        <x:v>-0.20298745143099672</x:v>
      </x:c>
      <x:c r="J300" s="13" t="n">
        <x:v>-0.03482168050087721</x:v>
      </x:c>
      <x:c r="K300" s="13" t="n">
        <x:v>-0.0368814300833218</x:v>
      </x:c>
      <x:c r="L300" s="13" t="n">
        <x:v>-0.3832960975103835</x:v>
      </x:c>
      <x:c r="M300" s="13" t="n">
        <x:v>0.2759328790438082</x:v>
      </x:c>
      <x:c r="N300" s="13" t="n">
        <x:v>0.41519189719558913</x:v>
      </x:c>
      <x:c r="O300" s="13" t="n">
        <x:v>0.5219584457173214</x:v>
      </x:c>
      <x:c r="P300" s="13" t="n">
        <x:v>0.8270850060679512</x:v>
      </x:c>
      <x:c r="Q300" s="13" t="n">
        <x:v>-0.07297630677652242</x:v>
      </x:c>
      <x:c r="R300" s="13" t="n">
        <x:v>-0.8110082099432746</x:v>
      </x:c>
      <x:c r="S300" s="13" t="n">
        <x:v>0.14372026918410172</x:v>
      </x:c>
      <x:c r="T300" s="13" t="n">
        <x:v>0.918343412818586</x:v>
      </x:c>
      <x:c r="U300" s="13" t="n">
        <x:v>-0.27249873345649167</x:v>
      </x:c>
      <x:c r="V300" s="13" t="n">
        <x:v>-0.2691951625549884</x:v>
      </x:c>
      <x:c r="W300" s="13" t="n">
        <x:v>-0.26053770961063194</x:v>
      </x:c>
      <x:c r="X300" s="13" t="n">
        <x:v>-0.2669602715868311</x:v>
      </x:c>
      <x:c r="Y300" s="13" t="n">
        <x:v>-0.35003097414059586</x:v>
      </x:c>
      <x:c r="Z300" s="13" t="n">
        <x:v>-0.3127790488568197</x:v>
      </x:c>
      <x:c r="AA300" s="13" t="n">
        <x:v>0.2563340601226782</x:v>
      </x:c>
      <x:c r="AB300" s="13" t="n">
        <x:v>-0.26221263676853673</x:v>
      </x:c>
      <x:c r="AC300" s="13" t="n">
        <x:v>-0.29244287976339634</x:v>
      </x:c>
      <x:c r="AD300" s="13" t="n">
        <x:v>0.3626643367382447</x:v>
      </x:c>
      <x:c r="AE300" s="13" t="n">
        <x:v>0.5281104282268309</x:v>
      </x:c>
      <x:c r="AF300" s="13" t="n">
        <x:v>-0.37854175242806104</x:v>
      </x:c>
      <x:c r="AG300" s="13" t="n">
        <x:v>-0.5956057403133812</x:v>
      </x:c>
      <x:c r="AH300" s="13" t="n">
        <x:v>-0.11596410928224965</x:v>
      </x:c>
      <x:c r="AI300" s="13" t="n">
        <x:v>1.058857825123154</x:v>
      </x:c>
      <x:c r="AJ300" s="13" t="n">
        <x:v>-0.4857038003973216</x:v>
      </x:c>
      <x:c r="AK300" s="13" t="n">
        <x:v>0.08267213400586561</x:v>
      </x:c>
      <x:c r="AL300" s="13" t="n">
        <x:v>-0.1588258482567461</x:v>
      </x:c>
      <x:c r="AM300" s="13" t="n">
        <x:v>-0.11923543272541005</x:v>
      </x:c>
      <x:c r="AN300" s="13" t="n">
        <x:v>0.6016588254824858</x:v>
      </x:c>
      <x:c r="AO300" s="13" t="n">
        <x:v>-0.831209266683299</x:v>
      </x:c>
      <x:c r="AP300" s="13" t="n">
        <x:v>0.025703037742514964</x:v>
      </x:c>
    </x:row>
    <x:row r="301" ht="15" hidden="0" customHeight="1">
      <x:c r="A301" s="2" t="str">
        <x:v>E300</x:v>
      </x:c>
      <x:c r="B301" s="2" t="str">
        <x:v>***建设工程有限公司</x:v>
      </x:c>
      <x:c r="C301" s="2" t="str">
        <x:v>无信贷记录</x:v>
      </x:c>
      <x:c r="D301" s="2" t="str"/>
      <x:c r="E301" s="2" t="str"/>
      <x:c r="F301" s="13" t="n">
        <x:v>-0.2552413510849296</x:v>
      </x:c>
      <x:c r="G301" s="13" t="n">
        <x:v>-0.2533130044609693</x:v>
      </x:c>
      <x:c r="H301" s="13" t="n">
        <x:v>-0.26357935806244653</x:v>
      </x:c>
      <x:c r="I301" s="13" t="n">
        <x:v>-0.37451477394451427</x:v>
      </x:c>
      <x:c r="J301" s="13" t="n">
        <x:v>-0.248168949202587</x:v>
      </x:c>
      <x:c r="K301" s="13" t="n">
        <x:v>-0.2523447237719242</x:v>
      </x:c>
      <x:c r="L301" s="13" t="n">
        <x:v>-0.002990899047861383</x:v>
      </x:c>
      <x:c r="M301" s="13" t="n">
        <x:v>0.04423500767994137</x:v>
      </x:c>
      <x:c r="N301" s="13" t="n">
        <x:v>-0.43246731790432485</x:v>
      </x:c>
      <x:c r="O301" s="13" t="n">
        <x:v>-0.7834960452010845</x:v>
      </x:c>
      <x:c r="P301" s="13" t="n">
        <x:v>-0.8804830591242915</x:v>
      </x:c>
      <x:c r="Q301" s="13" t="n">
        <x:v>-0.2509416264610326</x:v>
      </x:c>
      <x:c r="R301" s="13" t="n">
        <x:v>0.37093090842610815</x:v>
      </x:c>
      <x:c r="S301" s="13" t="n">
        <x:v>1.7769368464595279</x:v>
      </x:c>
      <x:c r="T301" s="13" t="n">
        <x:v>0.6357932556410528</x:v>
      </x:c>
      <x:c r="U301" s="13" t="n">
        <x:v>-0.4300578551546526</x:v>
      </x:c>
      <x:c r="V301" s="13" t="n">
        <x:v>-0.4217963882669795</x:v>
      </x:c>
      <x:c r="W301" s="13" t="n">
        <x:v>-0.46284591636549416</x:v>
      </x:c>
      <x:c r="X301" s="13" t="n">
        <x:v>-0.3083290878285008</x:v>
      </x:c>
      <x:c r="Y301" s="13" t="n">
        <x:v>-0.36513129039877307</x:v>
      </x:c>
      <x:c r="Z301" s="13" t="n">
        <x:v>-0.32672179777439997</x:v>
      </x:c>
      <x:c r="AA301" s="13" t="n">
        <x:v>-0.3452359312352288</x:v>
      </x:c>
      <x:c r="AB301" s="13" t="n">
        <x:v>-0.24774315332147873</x:v>
      </x:c>
      <x:c r="AC301" s="13" t="n">
        <x:v>-0.09781697058358316</x:v>
      </x:c>
      <x:c r="AD301" s="13" t="n">
        <x:v>-0.3590042100322014</x:v>
      </x:c>
      <x:c r="AE301" s="13" t="n">
        <x:v>-0.2294031704432811</x:v>
      </x:c>
      <x:c r="AF301" s="13" t="n">
        <x:v>-0.3657499776165094</x:v>
      </x:c>
      <x:c r="AG301" s="13" t="n">
        <x:v>0.9930233568033062</x:v>
      </x:c>
      <x:c r="AH301" s="13" t="n">
        <x:v>2.2508947247139313</x:v>
      </x:c>
      <x:c r="AI301" s="13" t="n">
        <x:v>-0.9537297226288156</x:v>
      </x:c>
      <x:c r="AJ301" s="13" t="n">
        <x:v>-0.346320679044071</x:v>
      </x:c>
      <x:c r="AK301" s="13" t="n">
        <x:v>-0.06518144756232618</x:v>
      </x:c>
      <x:c r="AL301" s="13" t="n">
        <x:v>-0.4517859447642245</x:v>
      </x:c>
      <x:c r="AM301" s="13" t="n">
        <x:v>-0.4179783551277458</x:v>
      </x:c>
      <x:c r="AN301" s="13" t="n">
        <x:v>-0.7846472169652324</x:v>
      </x:c>
      <x:c r="AO301" s="13" t="n">
        <x:v>0.7181995462358813</x:v>
      </x:c>
      <x:c r="AP301" s="13" t="n">
        <x:v>2.218206910054068</x:v>
      </x:c>
    </x:row>
    <x:row r="302" ht="15" hidden="0" customHeight="1">
      <x:c r="A302" s="2" t="str">
        <x:v>E301</x:v>
      </x:c>
      <x:c r="B302" s="2" t="str">
        <x:v>***企业管理咨询有限公司</x:v>
      </x:c>
      <x:c r="C302" s="2" t="str">
        <x:v>无信贷记录</x:v>
      </x:c>
      <x:c r="D302" s="2" t="str"/>
      <x:c r="E302" s="2" t="str"/>
      <x:c r="F302" s="13" t="n">
        <x:v>0.791504778327835</x:v>
      </x:c>
      <x:c r="G302" s="13" t="n">
        <x:v>0.8130894504211149</x:v>
      </x:c>
      <x:c r="H302" s="13" t="n">
        <x:v>0.09788232211239954</x:v>
      </x:c>
      <x:c r="I302" s="13" t="n">
        <x:v>-0.16010562080261734</x:v>
      </x:c>
      <x:c r="J302" s="13" t="n">
        <x:v>-0.48791582611109</x:v>
      </x:c>
      <x:c r="K302" s="13" t="n">
        <x:v>-0.4914349645170349</x:v>
      </x:c>
      <x:c r="L302" s="13" t="n">
        <x:v>1.6855641821257368</x:v>
      </x:c>
      <x:c r="M302" s="13" t="n">
        <x:v>-0.415806700332488</x:v>
      </x:c>
      <x:c r="N302" s="13" t="n">
        <x:v>-0.4671630915527605</x:v>
      </x:c>
      <x:c r="O302" s="13" t="n">
        <x:v>-0.767007221927344</x:v>
      </x:c>
      <x:c r="P302" s="13" t="n">
        <x:v>-0.6698302864457839</x:v>
      </x:c>
      <x:c r="Q302" s="13" t="n">
        <x:v>-0.5027000728846714</x:v>
      </x:c>
      <x:c r="R302" s="13" t="n">
        <x:v>-0.7663809471559915</x:v>
      </x:c>
      <x:c r="S302" s="13" t="n">
        <x:v>0.5441332772120813</x:v>
      </x:c>
      <x:c r="T302" s="13" t="n">
        <x:v>0.6357932556410528</x:v>
      </x:c>
      <x:c r="U302" s="13" t="n">
        <x:v>-0.318343695288398</x:v>
      </x:c>
      <x:c r="V302" s="13" t="n">
        <x:v>-0.30678443506492736</x:v>
      </x:c>
      <x:c r="W302" s="13" t="n">
        <x:v>-0.4103956405401595</x:v>
      </x:c>
      <x:c r="X302" s="13" t="n">
        <x:v>-0.22559145534516142</x:v>
      </x:c>
      <x:c r="Y302" s="13" t="n">
        <x:v>-0.4023827186315152</x:v>
      </x:c>
      <x:c r="Z302" s="13" t="n">
        <x:v>-0.3586607408743929</x:v>
      </x:c>
      <x:c r="AA302" s="13" t="n">
        <x:v>-0.11494741891853001</x:v>
      </x:c>
      <x:c r="AB302" s="13" t="n">
        <x:v>-0.47883141107165567</x:v>
      </x:c>
      <x:c r="AC302" s="13" t="n">
        <x:v>-0.0725728903030327</x:v>
      </x:c>
      <x:c r="AD302" s="13" t="n">
        <x:v>-0.5340628284664157</x:v>
      </x:c>
      <x:c r="AE302" s="13" t="n">
        <x:v>-0.241607057696781</x:v>
      </x:c>
      <x:c r="AF302" s="13" t="n">
        <x:v>-0.4115397298739917</x:v>
      </x:c>
      <x:c r="AG302" s="13" t="n">
        <x:v>-0.08626902738948304</x:v>
      </x:c>
      <x:c r="AH302" s="13" t="n">
        <x:v>0.6634350460398775</x:v>
      </x:c>
      <x:c r="AI302" s="13" t="n">
        <x:v>0.6563403155727601</x:v>
      </x:c>
      <x:c r="AJ302" s="13" t="n">
        <x:v>-0.22323905054554805</x:v>
      </x:c>
      <x:c r="AK302" s="13" t="n">
        <x:v>-0.2538987714969189</x:v>
      </x:c>
      <x:c r="AL302" s="13" t="n">
        <x:v>-0.8109666553617039</x:v>
      </x:c>
      <x:c r="AM302" s="13" t="n">
        <x:v>-0.5221733774745425</x:v>
      </x:c>
      <x:c r="AN302" s="13" t="n">
        <x:v>-0.8808740716512833</x:v>
      </x:c>
      <x:c r="AO302" s="13" t="n">
        <x:v>-0.5611310526725721</x:v>
      </x:c>
      <x:c r="AP302" s="13" t="n">
        <x:v>0.6635158506079613</x:v>
      </x:c>
    </x:row>
    <x:row r="303" ht="15" hidden="0" customHeight="1">
      <x:c r="A303" s="2" t="str">
        <x:v>E302</x:v>
      </x:c>
      <x:c r="B303" s="2" t="str">
        <x:v>***机电设备有限公司</x:v>
      </x:c>
      <x:c r="C303" s="2" t="str">
        <x:v>无信贷记录</x:v>
      </x:c>
      <x:c r="D303" s="2" t="str"/>
      <x:c r="E303" s="2" t="str"/>
      <x:c r="F303" s="13" t="n">
        <x:v>-0.16994405798840675</x:v>
      </x:c>
      <x:c r="G303" s="13" t="n">
        <x:v>-0.18042938344384846</x:v>
      </x:c>
      <x:c r="H303" s="13" t="n">
        <x:v>0.0766198703374086</x:v>
      </x:c>
      <x:c r="I303" s="13" t="n">
        <x:v>-0.11722379017423794</x:v>
      </x:c>
      <x:c r="J303" s="13" t="n">
        <x:v>-0.500373581977561</x:v>
      </x:c>
      <x:c r="K303" s="13" t="n">
        <x:v>-0.5013618263834568</x:v>
      </x:c>
      <x:c r="L303" s="13" t="n">
        <x:v>0.006136425715239148</x:v>
      </x:c>
      <x:c r="M303" s="13" t="n">
        <x:v>1.1006392375099912</x:v>
      </x:c>
      <x:c r="N303" s="13" t="n">
        <x:v>0.23942309107854032</x:v>
      </x:c>
      <x:c r="O303" s="13" t="n">
        <x:v>-0.6319597750280751</x:v>
      </x:c>
      <x:c r="P303" s="13" t="n">
        <x:v>-0.5413965488215169</x:v>
      </x:c>
      <x:c r="Q303" s="13" t="n">
        <x:v>-0.5190100314286205</x:v>
      </x:c>
      <x:c r="R303" s="13" t="n">
        <x:v>0.22156332310577198</x:v>
      </x:c>
      <x:c r="S303" s="13" t="n">
        <x:v>0.236610233239619</x:v>
      </x:c>
      <x:c r="T303" s="13" t="n">
        <x:v>0.918343412818586</x:v>
      </x:c>
      <x:c r="U303" s="13" t="n">
        <x:v>-0.40739885103083684</x:v>
      </x:c>
      <x:c r="V303" s="13" t="n">
        <x:v>-0.4004770993807455</x:v>
      </x:c>
      <x:c r="W303" s="13" t="n">
        <x:v>-0.42538143363311226</x:v>
      </x:c>
      <x:c r="X303" s="13" t="n">
        <x:v>-0.3703823121910053</x:v>
      </x:c>
      <x:c r="Y303" s="13" t="n">
        <x:v>-0.4533673296758527</x:v>
      </x:c>
      <x:c r="Z303" s="13" t="n">
        <x:v>-0.3995299114625751</x:v>
      </x:c>
      <x:c r="AA303" s="13" t="n">
        <x:v>-0.3193872206690687</x:v>
      </x:c>
      <x:c r="AB303" s="13" t="n">
        <x:v>-0.2197597284027738</x:v>
      </x:c>
      <x:c r="AC303" s="13" t="n">
        <x:v>-0.5698511809721568</x:v>
      </x:c>
      <x:c r="AD303" s="13" t="n">
        <x:v>-0.620821319739949</x:v>
      </x:c>
      <x:c r="AE303" s="13" t="n">
        <x:v>-0.8330130765637919</x:v>
      </x:c>
      <x:c r="AF303" s="13" t="n">
        <x:v>-0.47452886198176053</x:v>
      </x:c>
      <x:c r="AG303" s="13" t="n">
        <x:v>-0.46941061218308533</x:v>
      </x:c>
      <x:c r="AH303" s="13" t="n">
        <x:v>0.7006442117198073</x:v>
      </x:c>
      <x:c r="AI303" s="13" t="n">
        <x:v>0.857599070347957</x:v>
      </x:c>
      <x:c r="AJ303" s="13" t="n">
        <x:v>-0.29797370491670827</x:v>
      </x:c>
      <x:c r="AK303" s="13" t="n">
        <x:v>-0.2242849313264742</x:v>
      </x:c>
      <x:c r="AL303" s="13" t="n">
        <x:v>-0.08692079157426848</x:v>
      </x:c>
      <x:c r="AM303" s="13" t="n">
        <x:v>-0.3255078549841459</x:v>
      </x:c>
      <x:c r="AN303" s="13" t="n">
        <x:v>-0.8371442313620432</x:v>
      </x:c>
      <x:c r="AO303" s="13" t="n">
        <x:v>-0.07165895582215863</x:v>
      </x:c>
      <x:c r="AP303" s="13" t="n">
        <x:v>0.4938652115528572</x:v>
      </x:c>
    </x:row>
    <x:row r="304" ht="15" hidden="0" customHeight="1">
      <x:c r="A304" s="2" t="str">
        <x:v>E303</x:v>
      </x:c>
      <x:c r="B304" s="2" t="str">
        <x:v>***图书发行有限公司</x:v>
      </x:c>
      <x:c r="C304" s="2" t="str">
        <x:v>无信贷记录</x:v>
      </x:c>
      <x:c r="D304" s="2" t="str"/>
      <x:c r="E304" s="2" t="str"/>
      <x:c r="F304" s="13" t="n">
        <x:v>-0.2913999862019339</x:v>
      </x:c>
      <x:c r="G304" s="13" t="n">
        <x:v>-0.28448034239592235</x:v>
      </x:c>
      <x:c r="H304" s="13" t="n">
        <x:v>-0.4017852945998877</x:v>
      </x:c>
      <x:c r="I304" s="13" t="n">
        <x:v>-0.4173966045728936</x:v>
      </x:c>
      <x:c r="J304" s="13" t="n">
        <x:v>-0.5217489629128326</x:v>
      </x:c>
      <x:c r="K304" s="13" t="n">
        <x:v>-0.5250159826008831</x:v>
      </x:c>
      <x:c r="L304" s="13" t="n">
        <x:v>-0.374168772747283</x:v>
      </x:c>
      <x:c r="M304" s="13" t="n">
        <x:v>-0.5415759260668175</x:v>
      </x:c>
      <x:c r="N304" s="13" t="n">
        <x:v>-0.5632621206364977</x:v>
      </x:c>
      <x:c r="O304" s="13" t="n">
        <x:v>0.08479518415468226</x:v>
      </x:c>
      <x:c r="P304" s="13" t="n">
        <x:v>0.13780667152396597</x:v>
      </x:c>
      <x:c r="Q304" s="13" t="n">
        <x:v>-0.5394892534963969</x:v>
      </x:c>
      <x:c r="R304" s="13" t="n">
        <x:v>1.416456142209193</x:v>
      </x:c>
      <x:c r="S304" s="13" t="n">
        <x:v>0.11424104148197343</x:v>
      </x:c>
      <x:c r="T304" s="13" t="n">
        <x:v>0.5416098699152085</x:v>
      </x:c>
      <x:c r="U304" s="13" t="n">
        <x:v>-0.36998514654732706</x:v>
      </x:c>
      <x:c r="V304" s="13" t="n">
        <x:v>-0.37018126780557076</x:v>
      </x:c>
      <x:c r="W304" s="13" t="n">
        <x:v>-0.29800219234301384</x:v>
      </x:c>
      <x:c r="X304" s="13" t="n">
        <x:v>-0.3703823121910053</x:v>
      </x:c>
      <x:c r="Y304" s="13" t="n">
        <x:v>-0.40061930686481084</x:v>
      </x:c>
      <x:c r="Z304" s="13" t="n">
        <x:v>-0.35994134841439324</x:v>
      </x:c>
      <x:c r="AA304" s="13" t="n">
        <x:v>-0.28648886176668314</x:v>
      </x:c>
      <x:c r="AB304" s="13" t="n">
        <x:v>0.012322722038144995</x:v>
      </x:c>
      <x:c r="AC304" s="13" t="n">
        <x:v>-0.5918307102395978</x:v>
      </x:c>
      <x:c r="AD304" s="13" t="n">
        <x:v>-0.5607079625065199</x:v>
      </x:c>
      <x:c r="AE304" s="13" t="n">
        <x:v>-0.4970391220499089</x:v>
      </x:c>
      <x:c r="AF304" s="13" t="n">
        <x:v>-0.42679350061013677</x:v>
      </x:c>
      <x:c r="AG304" s="13" t="n">
        <x:v>-0.804277743369727</x:v>
      </x:c>
      <x:c r="AH304" s="13" t="n">
        <x:v>0.05677027650490177</x:v>
      </x:c>
      <x:c r="AI304" s="13" t="n">
        <x:v>0.5557109381851616</x:v>
      </x:c>
      <x:c r="AJ304" s="13" t="n">
        <x:v>-0.19425762648502318</x:v>
      </x:c>
      <x:c r="AK304" s="13" t="n">
        <x:v>-0.29024823799229066</x:v>
      </x:c>
      <x:c r="AL304" s="13" t="n">
        <x:v>-0.3324966286133188</x:v>
      </x:c>
      <x:c r="AM304" s="13" t="n">
        <x:v>-0.6636692602914285</x:v>
      </x:c>
      <x:c r="AN304" s="13" t="n">
        <x:v>-0.28356716673798377</x:v>
      </x:c>
      <x:c r="AO304" s="13" t="n">
        <x:v>0.5808637645947383</x:v>
      </x:c>
      <x:c r="AP304" s="13" t="n">
        <x:v>0.09463583796632365</x:v>
      </x:c>
    </x:row>
    <x:row r="305" ht="15" hidden="0" customHeight="1">
      <x:c r="A305" s="2" t="str">
        <x:v>E304</x:v>
      </x:c>
      <x:c r="B305" s="2" t="str">
        <x:v>***环保科技有限公司</x:v>
      </x:c>
      <x:c r="C305" s="2" t="str">
        <x:v>无信贷记录</x:v>
      </x:c>
      <x:c r="D305" s="2" t="str"/>
      <x:c r="E305" s="2" t="str"/>
      <x:c r="F305" s="13" t="n">
        <x:v>-0.33126719927965653</x:v>
      </x:c>
      <x:c r="G305" s="13" t="n">
        <x:v>-0.32955310802493126</x:v>
      </x:c>
      <x:c r="H305" s="13" t="n">
        <x:v>-0.3167354874999239</x:v>
      </x:c>
      <x:c r="I305" s="13" t="n">
        <x:v>-0.4173966045728936</x:v>
      </x:c>
      <x:c r="J305" s="13" t="n">
        <x:v>-0.19016038712189198</x:v>
      </x:c>
      <x:c r="K305" s="13" t="n">
        <x:v>-0.19924156299983692</x:v>
      </x:c>
      <x:c r="L305" s="13" t="n">
        <x:v>-0.2798530835285775</x:v>
      </x:c>
      <x:c r="M305" s="13" t="n">
        <x:v>0.05088124955645111</x:v>
      </x:c>
      <x:c r="N305" s="13" t="n">
        <x:v>-0.5379472068605804</x:v>
      </x:c>
      <x:c r="O305" s="13" t="n">
        <x:v>-0.2223356419673625</x:v>
      </x:c>
      <x:c r="P305" s="13" t="n">
        <x:v>0.09706018536254166</x:v>
      </x:c>
      <x:c r="Q305" s="13" t="n">
        <x:v>-0.21196427920715558</x:v>
      </x:c>
      <x:c r="R305" s="13" t="n">
        <x:v>-0.7203511499462372</x:v>
      </x:c>
      <x:c r="S305" s="13" t="n">
        <x:v>0.6575263809752767</x:v>
      </x:c>
      <x:c r="T305" s="13" t="n">
        <x:v>0.8241600270927416</x:v>
      </x:c>
      <x:c r="U305" s="13" t="n">
        <x:v>-0.01745319866749536</x:v>
      </x:c>
      <x:c r="V305" s="13" t="n">
        <x:v>-0.01336369592017961</x:v>
      </x:c>
      <x:c r="W305" s="13" t="n">
        <x:v>-0.05073660630929336</x:v>
      </x:c>
      <x:c r="X305" s="13" t="n">
        <x:v>-0.3910667203118402</x:v>
      </x:c>
      <x:c r="Y305" s="13" t="n">
        <x:v>-0.4530777037954749</x:v>
      </x:c>
      <x:c r="Z305" s="13" t="n">
        <x:v>-0.4006611153279507</x:v>
      </x:c>
      <x:c r="AA305" s="13" t="n">
        <x:v>0.07539308615955773</x:v>
      </x:c>
      <x:c r="AB305" s="13" t="n">
        <x:v>-0.3938085542100024</x:v>
      </x:c>
      <x:c r="AC305" s="13" t="n">
        <x:v>-0.6980651016988949</x:v>
      </x:c>
      <x:c r="AD305" s="13" t="n">
        <x:v>-0.8146960605227541</x:v>
      </x:c>
      <x:c r="AE305" s="13" t="n">
        <x:v>-0.8373004597079557</x:v>
      </x:c>
      <x:c r="AF305" s="13" t="n">
        <x:v>-0.4742451472245852</x:v>
      </x:c>
      <x:c r="AG305" s="13" t="n">
        <x:v>-0.8036832483412426</x:v>
      </x:c>
      <x:c r="AH305" s="13" t="n">
        <x:v>0.67407447771242</x:v>
      </x:c>
      <x:c r="AI305" s="13" t="n">
        <x:v>0.9582284477355555</x:v>
      </x:c>
      <x:c r="AJ305" s="13" t="n">
        <x:v>-0.5364789891858203</x:v>
      </x:c>
      <x:c r="AK305" s="13" t="n">
        <x:v>0.288932858440964</x:v>
      </x:c>
      <x:c r="AL305" s="13" t="n">
        <x:v>-0.227888780813678</x:v>
      </x:c>
      <x:c r="AM305" s="13" t="n">
        <x:v>-0.743394891398118</x:v>
      </x:c>
      <x:c r="AN305" s="13" t="n">
        <x:v>-0.6617194780873372</x:v>
      </x:c>
      <x:c r="AO305" s="13" t="n">
        <x:v>-0.8677118619326232</x:v>
      </x:c>
      <x:c r="AP305" s="13" t="n">
        <x:v>0.7383390916019257</x:v>
      </x:c>
    </x:row>
    <x:row r="306" ht="15" hidden="0" customHeight="1">
      <x:c r="A306" s="2" t="str">
        <x:v>E305</x:v>
      </x:c>
      <x:c r="B306" s="2" t="str">
        <x:v>***劳务有限公司</x:v>
      </x:c>
      <x:c r="C306" s="2" t="str">
        <x:v>无信贷记录</x:v>
      </x:c>
      <x:c r="D306" s="2" t="str"/>
      <x:c r="E306" s="2" t="str"/>
      <x:c r="F306" s="13" t="n">
        <x:v>-0.3391479274461831</x:v>
      </x:c>
      <x:c r="G306" s="13" t="n">
        <x:v>-0.3357865756119219</x:v>
      </x:c>
      <x:c r="H306" s="13" t="n">
        <x:v>-0.3592603910499058</x:v>
      </x:c>
      <x:c r="I306" s="13" t="n">
        <x:v>-0.46027843520127304</x:v>
      </x:c>
      <x:c r="J306" s="13" t="n">
        <x:v>-0.17969746896683317</x:v>
      </x:c>
      <x:c r="K306" s="13" t="n">
        <x:v>-0.18902242033702796</x:v>
      </x:c>
      <x:c r="L306" s="13" t="n">
        <x:v>-0.21596181018687377</x:v>
      </x:c>
      <x:c r="M306" s="13" t="n">
        <x:v>-0.17482604244377795</x:v>
      </x:c>
      <x:c r="N306" s="13" t="n">
        <x:v>-0.7216149855326618</x:v>
      </x:c>
      <x:c r="O306" s="13" t="n">
        <x:v>0.4243874866375362</x:v>
      </x:c>
      <x:c r="P306" s="13" t="n">
        <x:v>0.6972399560018725</x:v>
      </x:c>
      <x:c r="Q306" s="13" t="n">
        <x:v>-0.19099835967363726</x:v>
      </x:c>
      <x:c r="R306" s="13" t="n">
        <x:v>1.7798865677175826</x:v>
      </x:c>
      <x:c r="S306" s="13" t="n">
        <x:v>-1.440921761739969</x:v>
      </x:c>
      <x:c r="T306" s="13" t="n">
        <x:v>0.7299766413668972</x:v>
      </x:c>
      <x:c r="U306" s="13" t="n">
        <x:v>-0.37051210013160185</x:v>
      </x:c>
      <x:c r="V306" s="13" t="n">
        <x:v>-0.366815064297218</x:v>
      </x:c>
      <x:c r="W306" s="13" t="n">
        <x:v>-0.35045246816834846</x:v>
      </x:c>
      <x:c r="X306" s="13" t="n">
        <x:v>-0.3496979040701705</x:v>
      </x:c>
      <x:c r="Y306" s="13" t="n">
        <x:v>-0.083873864503849</x:v>
      </x:c>
      <x:c r="Z306" s="13" t="n">
        <x:v>-0.10980286386931448</x:v>
      </x:c>
      <x:c r="AA306" s="13" t="n">
        <x:v>-0.38753382125258157</x:v>
      </x:c>
      <x:c r="AB306" s="13" t="n">
        <x:v>-0.1457638667665863</x:v>
      </x:c>
      <x:c r="AC306" s="13" t="n">
        <x:v>-0.48956769790027416</x:v>
      </x:c>
      <x:c r="AD306" s="13" t="n">
        <x:v>0.3890953364886505</x:v>
      </x:c>
      <x:c r="AE306" s="13" t="n">
        <x:v>0.4437671065916969</x:v>
      </x:c>
      <x:c r="AF306" s="13" t="n">
        <x:v>-0.11257657853104795</x:v>
      </x:c>
      <x:c r="AG306" s="13" t="n">
        <x:v>0.17781694222475894</x:v>
      </x:c>
      <x:c r="AH306" s="13" t="n">
        <x:v>-1.0499656160742337</x:v>
      </x:c>
      <x:c r="AI306" s="13" t="n">
        <x:v>-0.14869470352802777</x:v>
      </x:c>
      <x:c r="AJ306" s="13" t="n">
        <x:v>0.06614832621711964</x:v>
      </x:c>
      <x:c r="AK306" s="13" t="n">
        <x:v>-0.20607654546877702</x:v>
      </x:c>
      <x:c r="AL306" s="13" t="n">
        <x:v>-0.286834467424963</x:v>
      </x:c>
      <x:c r="AM306" s="13" t="n">
        <x:v>-0.6503767236787158</x:v>
      </x:c>
      <x:c r="AN306" s="13" t="n">
        <x:v>0.5476771087453693</x:v>
      </x:c>
      <x:c r="AO306" s="13" t="n">
        <x:v>1.2897013784496776</x:v>
      </x:c>
      <x:c r="AP306" s="13" t="n">
        <x:v>-1.4154332844888184</x:v>
      </x:c>
    </x:row>
    <x:row r="307" ht="15" hidden="0" customHeight="1">
      <x:c r="A307" s="2" t="str">
        <x:v>E306</x:v>
      </x:c>
      <x:c r="B307" s="2" t="str">
        <x:v>个体经营E306 </x:v>
      </x:c>
      <x:c r="C307" s="2" t="str">
        <x:v>无信贷记录</x:v>
      </x:c>
      <x:c r="D307" s="2" t="str"/>
      <x:c r="E307" s="2" t="str"/>
      <x:c r="F307" s="13" t="n">
        <x:v>-0.03272667344182646</x:v>
      </x:c>
      <x:c r="G307" s="13" t="n">
        <x:v>-0.024113196262391872</x:v>
      </x:c>
      <x:c r="H307" s="13" t="n">
        <x:v>-0.2423169062874556</x:v>
      </x:c>
      <x:c r="I307" s="13" t="n">
        <x:v>-0.2458692820593761</x:v>
      </x:c>
      <x:c r="J307" s="13" t="n">
        <x:v>-0.4913258620246624</x:v>
      </x:c>
      <x:c r="K307" s="13" t="n">
        <x:v>-0.49333689458793517</x:v>
      </x:c>
      <x:c r="L307" s="13" t="n">
        <x:v>0.31950790924835737</x:v>
      </x:c>
      <x:c r="M307" s="13" t="n">
        <x:v>-0.35301691203263946</x:v>
      </x:c>
      <x:c r="N307" s="13" t="n">
        <x:v>-0.2808123167196665</x:v>
      </x:c>
      <x:c r="O307" s="13" t="n">
        <x:v>-0.140747186466203</x:v>
      </x:c>
      <x:c r="P307" s="13" t="n">
        <x:v>-0.1285138352396265</x:v>
      </x:c>
      <x:c r="Q307" s="13" t="n">
        <x:v>-0.4932991687434067</x:v>
      </x:c>
      <x:c r="R307" s="13" t="n">
        <x:v>0.17902190940898774</x:v>
      </x:c>
      <x:c r="S307" s="13" t="n">
        <x:v>0.897782850067192</x:v>
      </x:c>
      <x:c r="T307" s="13" t="n">
        <x:v>0.2590597127376754</x:v>
      </x:c>
      <x:c r="U307" s="13" t="n">
        <x:v>-0.35839216769328175</x:v>
      </x:c>
      <x:c r="V307" s="13" t="n">
        <x:v>-0.36232679295274767</x:v>
      </x:c>
      <x:c r="W307" s="13" t="n">
        <x:v>-0.2380590199712028</x:v>
      </x:c>
      <x:c r="X307" s="13" t="n">
        <x:v>-0.24627586346599628</x:v>
      </x:c>
      <x:c r="Y307" s="13" t="n">
        <x:v>-0.42880995546191714</x:v>
      </x:c>
      <x:c r="Z307" s="13" t="n">
        <x:v>-0.3766398731279325</x:v>
      </x:c>
      <x:c r="AA307" s="13" t="n">
        <x:v>-0.2418410889705885</x:v>
      </x:c>
      <x:c r="AB307" s="13" t="n">
        <x:v>0.12577486796854667</x:v>
      </x:c>
      <x:c r="AC307" s="13" t="n">
        <x:v>0.013931351698522757</x:v>
      </x:c>
      <x:c r="AD307" s="13" t="n">
        <x:v>-0.6799484670346925</x:v>
      </x:c>
      <x:c r="AE307" s="13" t="n">
        <x:v>-0.5455133784497398</x:v>
      </x:c>
      <x:c r="AF307" s="13" t="n">
        <x:v>-0.4470850110433177</x:v>
      </x:c>
      <x:c r="AG307" s="13" t="n">
        <x:v>-0.20934035708887064</x:v>
      </x:c>
      <x:c r="AH307" s="13" t="n">
        <x:v>0.4305198948408905</x:v>
      </x:c>
      <x:c r="AI307" s="13" t="n">
        <x:v>0.6563403155727601</x:v>
      </x:c>
      <x:c r="AJ307" s="13" t="n">
        <x:v>-0.26432441702492127</x:v>
      </x:c>
      <x:c r="AK307" s="13" t="n">
        <x:v>-0.24061256745796566</x:v>
      </x:c>
      <x:c r="AL307" s="13" t="n">
        <x:v>-0.4147534454583342</x:v>
      </x:c>
      <x:c r="AM307" s="13" t="n">
        <x:v>-0.327660114296434</x:v>
      </x:c>
      <x:c r="AN307" s="13" t="n">
        <x:v>-0.519717717089545</x:v>
      </x:c>
      <x:c r="AO307" s="13" t="n">
        <x:v>0.02194884847851728</x:v>
      </x:c>
      <x:c r="AP307" s="13" t="n">
        <x:v>0.7628630128528988</x:v>
      </x:c>
    </x:row>
    <x:row r="308" ht="15" hidden="0" customHeight="1">
      <x:c r="A308" s="2" t="str">
        <x:v>E307</x:v>
      </x:c>
      <x:c r="B308" s="2" t="str">
        <x:v>***通信工程有限公司</x:v>
      </x:c>
      <x:c r="C308" s="2" t="str">
        <x:v>无信贷记录</x:v>
      </x:c>
      <x:c r="D308" s="2" t="str"/>
      <x:c r="E308" s="2" t="str"/>
      <x:c r="F308" s="13" t="n">
        <x:v>-0.3989487470627671</x:v>
      </x:c>
      <x:c r="G308" s="13" t="n">
        <x:v>-0.3947647689349868</x:v>
      </x:c>
      <x:c r="H308" s="13" t="n">
        <x:v>-0.42304774637487863</x:v>
      </x:c>
      <x:c r="I308" s="13" t="n">
        <x:v>-0.46027843520127304</x:v>
      </x:c>
      <x:c r="J308" s="13" t="n">
        <x:v>-0.5056631119053259</x:v>
      </x:c>
      <x:c r="K308" s="13" t="n">
        <x:v>-0.5092254824571476</x:v>
      </x:c>
      <x:c r="L308" s="13" t="n">
        <x:v>-0.37721121433498317</x:v>
      </x:c>
      <x:c r="M308" s="13" t="n">
        <x:v>-0.40142415727402236</x:v>
      </x:c>
      <x:c r="N308" s="13" t="n">
        <x:v>-0.7216149855326618</x:v>
      </x:c>
      <x:c r="O308" s="13" t="n">
        <x:v>0.45707502552287593</x:v>
      </x:c>
      <x:c r="P308" s="13" t="n">
        <x:v>0.8308889054849664</x:v>
      </x:c>
      <x:c r="Q308" s="13" t="n">
        <x:v>-0.5147236142856934</x:v>
      </x:c>
      <x:c r="R308" s="13" t="n">
        <x:v>2.1995068754681846</x:v>
      </x:c>
      <x:c r="S308" s="13" t="n">
        <x:v>1.6464396726088015</x:v>
      </x:c>
      <x:c r="T308" s="13" t="n">
        <x:v>0.44742648418936415</x:v>
      </x:c>
      <x:c r="U308" s="13" t="n">
        <x:v>-0.4990887746946496</x:v>
      </x:c>
      <x:c r="V308" s="13" t="n">
        <x:v>-0.49192562802432843</x:v>
      </x:c>
      <x:c r="W308" s="13" t="n">
        <x:v>-0.5078032956443524</x:v>
      </x:c>
      <x:c r="X308" s="13" t="n">
        <x:v>-0.3910667203118402</x:v>
      </x:c>
      <x:c r="Y308" s="13" t="n">
        <x:v>-0.4911389415738021</x:v>
      </x:c>
      <x:c r="Z308" s="13" t="n">
        <x:v>-0.4301889659698389</x:v>
      </x:c>
      <x:c r="AA308" s="13" t="n">
        <x:v>-0.3757844073588725</x:v>
      </x:c>
      <x:c r="AB308" s="13" t="n">
        <x:v>0.20075193832255123</x:v>
      </x:c>
      <x:c r="AC308" s="13" t="n">
        <x:v>-0.6980651016988949</x:v>
      </x:c>
      <x:c r="AD308" s="13" t="n">
        <x:v>0.37993760010503824</x:v>
      </x:c>
      <x:c r="AE308" s="13" t="n">
        <x:v>0.3715402003273679</x:v>
      </x:c>
      <x:c r="AF308" s="13" t="n">
        <x:v>-0.49974254927205825</x:v>
      </x:c>
      <x:c r="AG308" s="13" t="n">
        <x:v>2.612492570320448</x:v>
      </x:c>
      <x:c r="AH308" s="13" t="n">
        <x:v>0.9068170484796692</x:v>
      </x:c>
      <x:c r="AI308" s="13" t="n">
        <x:v>-1.3562472321792094</x:v>
      </x:c>
      <x:c r="AJ308" s="13" t="n">
        <x:v>-0.3563754870973278</x:v>
      </x:c>
      <x:c r="AK308" s="13" t="n">
        <x:v>-0.1702598989588428</x:v>
      </x:c>
      <x:c r="AL308" s="13" t="n">
        <x:v>-0.470200063794606</x:v>
      </x:c>
      <x:c r="AM308" s="13" t="n">
        <x:v>-0.7815911692517314</x:v>
      </x:c>
      <x:c r="AN308" s="13" t="n">
        <x:v>0.5655745619255907</x:v>
      </x:c>
      <x:c r="AO308" s="13" t="n">
        <x:v>2.7205793904700974</x:v>
      </x:c>
      <x:c r="AP308" s="13" t="n">
        <x:v>1.4613641435309477</x:v>
      </x:c>
    </x:row>
    <x:row r="309" ht="15" hidden="0" customHeight="1">
      <x:c r="A309" s="2" t="str">
        <x:v>E308</x:v>
      </x:c>
      <x:c r="B309" s="2" t="str">
        <x:v>***餐饮文化服务有限公司</x:v>
      </x:c>
      <x:c r="C309" s="2" t="str">
        <x:v>无信贷记录</x:v>
      </x:c>
      <x:c r="D309" s="2" t="str"/>
      <x:c r="E309" s="2" t="str"/>
      <x:c r="F309" s="13" t="n">
        <x:v>-0.3743794180730078</x:v>
      </x:c>
      <x:c r="G309" s="13" t="n">
        <x:v>-0.37798235620078136</x:v>
      </x:c>
      <x:c r="H309" s="13" t="n">
        <x:v>-0.23168568039996013</x:v>
      </x:c>
      <x:c r="I309" s="13" t="n">
        <x:v>-0.07434195954585855</x:v>
      </x:c>
      <x:c r="J309" s="13" t="n">
        <x:v>-0.4026055134475773</x:v>
      </x:c>
      <x:c r="K309" s="13" t="n">
        <x:v>-0.4052960787613729</x:v>
      </x:c>
      <x:c r="L309" s="13" t="n">
        <x:v>-0.5141210857814911</x:v>
      </x:c>
      <x:c r="M309" s="13" t="n">
        <x:v>0.8660305078550504</x:v>
      </x:c>
      <x:c r="N309" s="13" t="n">
        <x:v>1.2742163999553353</x:v>
      </x:c>
      <x:c r="O309" s="13" t="n">
        <x:v>-0.7489306605178094</x:v>
      </x:c>
      <x:c r="P309" s="13" t="n">
        <x:v>-0.9783414944141954</x:v>
      </x:c>
      <x:c r="Q309" s="13" t="n">
        <x:v>-0.4210037210946445</x:v>
      </x:c>
      <x:c r="R309" s="13" t="n">
        <x:v>-0.19738451622303352</x:v>
      </x:c>
      <x:c r="S309" s="13" t="n">
        <x:v>0.682205439310946</x:v>
      </x:c>
      <x:c r="T309" s="13" t="n">
        <x:v>0.8241600270927416</x:v>
      </x:c>
      <x:c r="U309" s="13" t="n">
        <x:v>0.5021230354274434</x:v>
      </x:c>
      <x:c r="V309" s="13" t="n">
        <x:v>0.3580407578347401</x:v>
      </x:c>
      <x:c r="W309" s="13" t="n">
        <x:v>2.3769618747490533</x:v>
      </x:c>
      <x:c r="X309" s="13" t="n">
        <x:v>-0.1635382309826569</x:v>
      </x:c>
      <x:c r="Y309" s="13" t="n">
        <x:v>-0.4390173592160034</x:v>
      </x:c>
      <x:c r="Z309" s="13" t="n">
        <x:v>-0.3887496729355102</x:v>
      </x:c>
      <x:c r="AA309" s="13" t="n">
        <x:v>3.6260659648384537</x:v>
      </x:c>
      <x:c r="AB309" s="13" t="n">
        <x:v>0.6273505184961566</x:v>
      </x:c>
      <x:c r="AC309" s="13" t="n">
        <x:v>-0.46985545110592225</x:v>
      </x:c>
      <x:c r="AD309" s="13" t="n">
        <x:v>-0.9940326344087347</x:v>
      </x:c>
      <x:c r="AE309" s="13" t="n">
        <x:v>-1.3120639401541287</x:v>
      </x:c>
      <x:c r="AF309" s="13" t="n">
        <x:v>-0.46047176743213203</x:v>
      </x:c>
      <x:c r="AG309" s="13" t="n">
        <x:v>-1.046142633663169</x:v>
      </x:c>
      <x:c r="AH309" s="13" t="n">
        <x:v>0.1376610652325</x:v>
      </x:c>
      <x:c r="AI309" s="13" t="n">
        <x:v>0.9582284477355555</x:v>
      </x:c>
      <x:c r="AJ309" s="13" t="n">
        <x:v>-0.34955718578224926</x:v>
      </x:c>
      <x:c r="AK309" s="13" t="n">
        <x:v>-0.09752668037014366</x:v>
      </x:c>
      <x:c r="AL309" s="13" t="n">
        <x:v>1.661372296460963</x:v>
      </x:c>
      <x:c r="AM309" s="13" t="n">
        <x:v>-0.22174286814019786</x:v>
      </x:c>
      <x:c r="AN309" s="13" t="n">
        <x:v>-1.1611236305698827</x:v>
      </x:c>
      <x:c r="AO309" s="13" t="n">
        <x:v>-0.627276842652099</x:v>
      </x:c>
      <x:c r="AP309" s="13" t="n">
        <x:v>0.48331092933392333</x:v>
      </x:c>
    </x:row>
    <x:row r="310" ht="15" hidden="0" customHeight="1">
      <x:c r="A310" s="2" t="str">
        <x:v>E309</x:v>
      </x:c>
      <x:c r="B310" s="2" t="str">
        <x:v>个体经营E309 </x:v>
      </x:c>
      <x:c r="C310" s="2" t="str">
        <x:v>无信贷记录</x:v>
      </x:c>
      <x:c r="D310" s="2" t="str"/>
      <x:c r="E310" s="2" t="str"/>
      <x:c r="F310" s="13" t="n">
        <x:v>-0.155573318390623</x:v>
      </x:c>
      <x:c r="G310" s="13" t="n">
        <x:v>-0.163646970709643</x:v>
      </x:c>
      <x:c r="H310" s="13" t="n">
        <x:v>0.0340949667874267</x:v>
      </x:c>
      <x:c r="I310" s="13" t="n">
        <x:v>0.14006719359603836</x:v>
      </x:c>
      <x:c r="J310" s="13" t="n">
        <x:v>-0.434478173372568</x:v>
      </x:c>
      <x:c r="K310" s="13" t="n">
        <x:v>-0.43555881866631746</x:v>
      </x:c>
      <x:c r="L310" s="13" t="n">
        <x:v>-0.12164612096816829</x:v>
      </x:c>
      <x:c r="M310" s="13" t="n">
        <x:v>0.8740620699994872</x:v>
      </x:c>
      <x:c r="N310" s="13" t="n">
        <x:v>0.8971785412645265</x:v>
      </x:c>
      <x:c r="O310" s="13" t="n">
        <x:v>-0.7226157499549702</x:v>
      </x:c>
      <x:c r="P310" s="13" t="n">
        <x:v>-0.6525733399006165</x:v>
      </x:c>
      <x:c r="Q310" s="13" t="n">
        <x:v>-0.43151387412451303</x:v>
      </x:c>
      <x:c r="R310" s="13" t="n">
        <x:v>-0.53840249310513</x:v>
      </x:c>
      <x:c r="S310" s="13" t="n">
        <x:v>0.07535879410958314</x:v>
      </x:c>
      <x:c r="T310" s="13" t="n">
        <x:v>0.2590597127376754</x:v>
      </x:c>
      <x:c r="U310" s="13" t="n">
        <x:v>-0.4485012306042701</x:v>
      </x:c>
      <x:c r="V310" s="13" t="n">
        <x:v>-0.4504091180879779</x:v>
      </x:c>
      <x:c r="W310" s="13" t="n">
        <x:v>-0.3429595716218721</x:v>
      </x:c>
      <x:c r="X310" s="13" t="n">
        <x:v>-0.3496979040701705</x:v>
      </x:c>
      <x:c r="Y310" s="13" t="n">
        <x:v>-0.42836523755046974</x:v>
      </x:c>
      <x:c r="Z310" s="13" t="n">
        <x:v>-0.38026345635109726</x:v>
      </x:c>
      <x:c r="AA310" s="13" t="n">
        <x:v>-0.30293804121787593</x:v>
      </x:c>
      <x:c r="AB310" s="13" t="n">
        <x:v>0.5062530644311437</x:v>
      </x:c>
      <x:c r="AC310" s="13" t="n">
        <x:v>-0.3089507608886783</x:v>
      </x:c>
      <x:c r="AD310" s="13" t="n">
        <x:v>-0.622338818553811</x:v>
      </x:c>
      <x:c r="AE310" s="13" t="n">
        <x:v>-0.7920092289984356</x:v>
      </x:c>
      <x:c r="AF310" s="13" t="n">
        <x:v>-0.44663726845693064</x:v>
      </x:c>
      <x:c r="AG310" s="13" t="n">
        <x:v>-0.16480078807166787</x:v>
      </x:c>
      <x:c r="AH310" s="13" t="n">
        <x:v>-0.44751645630752707</x:v>
      </x:c>
      <x:c r="AI310" s="13" t="n">
        <x:v>0.5557109381851616</x:v>
      </x:c>
      <x:c r="AJ310" s="13" t="n">
        <x:v>-0.3073835684469185</x:v>
      </x:c>
      <x:c r="AK310" s="13" t="n">
        <x:v>-0.1593405407764934</x:v>
      </x:c>
      <x:c r="AL310" s="13" t="n">
        <x:v>0.0586035920297466</x:v>
      </x:c>
      <x:c r="AM310" s="13" t="n">
        <x:v>0.0688113134493321</x:v>
      </x:c>
      <x:c r="AN310" s="13" t="n">
        <x:v>-0.9034030425948449</x:v>
      </x:c>
      <x:c r="AO310" s="13" t="n">
        <x:v>-0.4435272871752896</x:v>
      </x:c>
      <x:c r="AP310" s="13" t="n">
        <x:v>-0.18315069637053116</x:v>
      </x:c>
    </x:row>
    <x:row r="311" ht="15" hidden="0" customHeight="1">
      <x:c r="A311" s="2" t="str">
        <x:v>E310</x:v>
      </x:c>
      <x:c r="B311" s="2" t="str">
        <x:v>***律师事务所</x:v>
      </x:c>
      <x:c r="C311" s="2" t="str">
        <x:v>无信贷记录</x:v>
      </x:c>
      <x:c r="D311" s="2" t="str"/>
      <x:c r="E311" s="2" t="str"/>
      <x:c r="F311" s="13" t="n">
        <x:v>0.2505159683080403</x:v>
      </x:c>
      <x:c r="G311" s="13" t="n">
        <x:v>0.2702982728462411</x:v>
      </x:c>
      <x:c r="H311" s="13" t="n">
        <x:v>-0.274210583949942</x:v>
      </x:c>
      <x:c r="I311" s="13" t="n">
        <x:v>-0.07434195954585855</x:v>
      </x:c>
      <x:c r="J311" s="13" t="n">
        <x:v>-0.49314442862034247</x:v>
      </x:c>
      <x:c r="K311" s="13" t="n">
        <x:v>-0.4809234020775708</x:v>
      </x:c>
      <x:c r="L311" s="13" t="n">
        <x:v>0.7515346147017825</x:v>
      </x:c>
      <x:c r="M311" s="13" t="n">
        <x:v>-0.6767719808049093</x:v>
      </x:c>
      <x:c r="N311" s="13" t="n">
        <x:v>-0.19308323744530212</x:v>
      </x:c>
      <x:c r="O311" s="13" t="n">
        <x:v>-0.7992139587354696</x:v>
      </x:c>
      <x:c r="P311" s="13" t="n">
        <x:v>-0.8378818828002871</x:v>
      </x:c>
      <x:c r="Q311" s="13" t="n">
        <x:v>-0.49543492016680374</x:v>
      </x:c>
      <x:c r="R311" s="13" t="n">
        <x:v>-0.07496303682979322</x:v>
      </x:c>
      <x:c r="S311" s="13" t="n">
        <x:v>0.37353385385804383</x:v>
      </x:c>
      <x:c r="T311" s="13" t="n">
        <x:v>0.2590597127376754</x:v>
      </x:c>
      <x:c r="U311" s="13" t="n">
        <x:v>-0.03431571336428851</x:v>
      </x:c>
      <x:c r="V311" s="13" t="n">
        <x:v>-0.020657136854943896</x:v>
      </x:c>
      <x:c r="W311" s="13" t="n">
        <x:v>-0.19310164069234453</x:v>
      </x:c>
      <x:c r="X311" s="13" t="n">
        <x:v>0.2294655233132051</x:v>
      </x:c>
      <x:c r="Y311" s="13" t="n">
        <x:v>-0.4458659709608729</x:v>
      </x:c>
      <x:c r="Z311" s="13" t="n">
        <x:v>-0.38933083700139204</x:v>
      </x:c>
      <x:c r="AA311" s="13" t="n">
        <x:v>0.6722633119599809</x:v>
      </x:c>
      <x:c r="AB311" s="13" t="n">
        <x:v>-0.5310413670467775</x:v>
      </x:c>
      <x:c r="AC311" s="13" t="n">
        <x:v>0.3722067525552191</x:v>
      </x:c>
      <x:c r="AD311" s="13" t="n">
        <x:v>-0.9151608334565946</x:v>
      </x:c>
      <x:c r="AE311" s="13" t="n">
        <x:v>-1.0158570138994532</x:v>
      </x:c>
      <x:c r="AF311" s="13" t="n">
        <x:v>-0.4468099060768679</x:v>
      </x:c>
      <x:c r="AG311" s="13" t="n">
        <x:v>-0.9357927210503023</x:v>
      </x:c>
      <x:c r="AH311" s="13" t="n">
        <x:v>-0.0818001597796459</x:v>
      </x:c>
      <x:c r="AI311" s="13" t="n">
        <x:v>0.3544521834099646</x:v>
      </x:c>
      <x:c r="AJ311" s="13" t="n">
        <x:v>-0.29113520530067416</x:v>
      </x:c>
      <x:c r="AK311" s="13" t="n">
        <x:v>-0.20767849942548125</x:v>
      </x:c>
      <x:c r="AL311" s="13" t="n">
        <x:v>-0.7519854947526732</x:v>
      </x:c>
      <x:c r="AM311" s="13" t="n">
        <x:v>0.043968352913097405</x:v>
      </x:c>
      <x:c r="AN311" s="13" t="n">
        <x:v>-1.1394282723196163</x:v>
      </x:c>
      <x:c r="AO311" s="13" t="n">
        <x:v>-0.4923115927857884</x:v>
      </x:c>
      <x:c r="AP311" s="13" t="n">
        <x:v>0.18369324455523284</x:v>
      </x:c>
    </x:row>
    <x:row r="312" ht="15" hidden="0" customHeight="1">
      <x:c r="A312" s="2" t="str">
        <x:v>E311</x:v>
      </x:c>
      <x:c r="B312" s="2" t="str">
        <x:v>***律师事务所</x:v>
      </x:c>
      <x:c r="C312" s="2" t="str">
        <x:v>无信贷记录</x:v>
      </x:c>
      <x:c r="D312" s="2" t="str"/>
      <x:c r="E312" s="2" t="str"/>
      <x:c r="F312" s="13" t="n">
        <x:v>0.5666722394592827</x:v>
      </x:c>
      <x:c r="G312" s="13" t="n">
        <x:v>0.5939590898630607</x:v>
      </x:c>
      <x:c r="H312" s="13" t="n">
        <x:v>-0.19979200273747372</x:v>
      </x:c>
      <x:c r="I312" s="13" t="n">
        <x:v>0.48312183862307345</x:v>
      </x:c>
      <x:c r="J312" s="13" t="n">
        <x:v>-0.5272783950872821</x:v>
      </x:c>
      <x:c r="K312" s="13" t="n">
        <x:v>-0.5299273370983835</x:v>
      </x:c>
      <x:c r="L312" s="13" t="n">
        <x:v>0.3438474419499588</x:v>
      </x:c>
      <x:c r="M312" s="13" t="n">
        <x:v>-0.698270617907089</x:v>
      </x:c>
      <x:c r="N312" s="13" t="n">
        <x:v>0.22346313097570905</x:v>
      </x:c>
      <x:c r="O312" s="13" t="n">
        <x:v>-0.8239911473786343</x:v>
      </x:c>
      <x:c r="P312" s="13" t="n">
        <x:v>-0.9248584830398172</x:v>
      </x:c>
      <x:c r="Q312" s="13" t="n">
        <x:v>-0.5280715295298753</x:v>
      </x:c>
      <x:c r="R312" s="13" t="n">
        <x:v>-1.017739027261387</x:v>
      </x:c>
      <x:c r="S312" s="13" t="n">
        <x:v>-0.2907940196600652</x:v>
      </x:c>
      <x:c r="T312" s="13" t="n">
        <x:v>-0.11767383016570207</x:v>
      </x:c>
      <x:c r="U312" s="13" t="n">
        <x:v>-0.31360111302992494</x:v>
      </x:c>
      <x:c r="V312" s="13" t="n">
        <x:v>-0.3163220116719268</x:v>
      </x:c>
      <x:c r="W312" s="13" t="n">
        <x:v>-0.21558033033177368</x:v>
      </x:c>
      <x:c r="X312" s="13" t="n">
        <x:v>-0.018747374136813013</x:v>
      </x:c>
      <x:c r="Y312" s="13" t="n">
        <x:v>-0.4511501427614578</x:v>
      </x:c>
      <x:c r="Z312" s="13" t="n">
        <x:v>-0.38972322978399526</x:v>
      </x:c>
      <x:c r="AA312" s="13" t="n">
        <x:v>-0.0843989427948863</x:v>
      </x:c>
      <x:c r="AB312" s="13" t="n">
        <x:v>-0.02965931503551945</x:v>
      </x:c>
      <x:c r="AC312" s="13" t="n">
        <x:v>0.7675042403308262</x:v>
      </x:c>
      <x:c r="AD312" s="13" t="n">
        <x:v>-0.8086965316665193</x:v>
      </x:c>
      <x:c r="AE312" s="13" t="n">
        <x:v>-0.80056435652972</x:v>
      </x:c>
      <x:c r="AF312" s="13" t="n">
        <x:v>-0.4300186574424297</x:v>
      </x:c>
      <x:c r="AG312" s="13" t="n">
        <x:v>-0.7523289424617656</x:v>
      </x:c>
      <x:c r="AH312" s="13" t="n">
        <x:v>-0.02063711422372396</x:v>
      </x:c>
      <x:c r="AI312" s="13" t="n">
        <x:v>-0.14869470352802777</x:v>
      </x:c>
      <x:c r="AJ312" s="13" t="n">
        <x:v>-0.27357919990451185</x:v>
      </x:c>
      <x:c r="AK312" s="13" t="n">
        <x:v>-0.2798124264066256</x:v>
      </x:c>
      <x:c r="AL312" s="13" t="n">
        <x:v>-0.7540301591589925</x:v>
      </x:c>
      <x:c r="AM312" s="13" t="n">
        <x:v>0.02229357080585514</x:v>
      </x:c>
      <x:c r="AN312" s="13" t="n">
        <x:v>-1.0915341076139342</x:v>
      </x:c>
      <x:c r="AO312" s="13" t="n">
        <x:v>-1.0451748500856939</x:v>
      </x:c>
      <x:c r="AP312" s="13" t="n">
        <x:v>-0.19247382395110293</x:v>
      </x:c>
    </x:row>
    <x:row r="313" ht="15" hidden="0" customHeight="1">
      <x:c r="A313" s="2" t="str">
        <x:v>E312</x:v>
      </x:c>
      <x:c r="B313" s="2" t="str">
        <x:v>***家居用品有限公司</x:v>
      </x:c>
      <x:c r="C313" s="2" t="str">
        <x:v>无信贷记录</x:v>
      </x:c>
      <x:c r="D313" s="2" t="str"/>
      <x:c r="E313" s="2" t="str"/>
      <x:c r="F313" s="13" t="n">
        <x:v>1.5438825321085776</x:v>
      </x:c>
      <x:c r="G313" s="13" t="n">
        <x:v>1.5141148052042117</x:v>
      </x:c>
      <x:c r="H313" s="13" t="n">
        <x:v>1.8095096899991707</x:v>
      </x:c>
      <x:c r="I313" s="13" t="n">
        <x:v>0.8690583142784879</x:v>
      </x:c>
      <x:c r="J313" s="13" t="n">
        <x:v>1.0984317903781198</x:v>
      </x:c>
      <x:c r="K313" s="13" t="n">
        <x:v>1.1027542014298495</x:v>
      </x:c>
      <x:c r="L313" s="13" t="n">
        <x:v>2.047614731062058</x:v>
      </x:c>
      <x:c r="M313" s="13" t="n">
        <x:v>0.6566470612185485</x:v>
      </x:c>
      <x:c r="N313" s="13" t="n">
        <x:v>0.033606370125966435</x:v>
      </x:c>
      <x:c r="O313" s="13" t="n">
        <x:v>-0.7620699966196466</x:v>
      </x:c>
      <x:c r="P313" s="13" t="n">
        <x:v>-0.6845857799824419</x:v>
      </x:c>
      <x:c r="Q313" s="13" t="n">
        <x:v>1.0559706189191438</x:v>
      </x:c>
      <x:c r="R313" s="13" t="n">
        <x:v>-0.9039945225215662</x:v>
      </x:c>
      <x:c r="S313" s="13" t="n">
        <x:v>0.5868741960240971</x:v>
      </x:c>
      <x:c r="T313" s="13" t="n">
        <x:v>0.8241600270927416</x:v>
      </x:c>
      <x:c r="U313" s="13" t="n">
        <x:v>-0.19977913882657122</x:v>
      </x:c>
      <x:c r="V313" s="13" t="n">
        <x:v>-0.17325836256693508</x:v>
      </x:c>
      <x:c r="W313" s="13" t="n">
        <x:v>-0.5078032956443524</x:v>
      </x:c>
      <x:c r="X313" s="13" t="n">
        <x:v>-0.08080059849931753</x:v>
      </x:c>
      <x:c r="Y313" s="13" t="n">
        <x:v>-0.4213905303884296</x:v>
      </x:c>
      <x:c r="Z313" s="13" t="n">
        <x:v>-0.36832594979472605</x:v>
      </x:c>
      <x:c r="AA313" s="13" t="n">
        <x:v>0.05189425837213949</x:v>
      </x:c>
      <x:c r="AB313" s="13" t="n">
        <x:v>-0.8140831798213384</x:v>
      </x:c>
      <x:c r="AC313" s="13" t="n">
        <x:v>0.05562483770828143</x:v>
      </x:c>
      <x:c r="AD313" s="13" t="n">
        <x:v>-0.30848476045452156</x:v>
      </x:c>
      <x:c r="AE313" s="13" t="n">
        <x:v>0.12715501295772022</x:v>
      </x:c>
      <x:c r="AF313" s="13" t="n">
        <x:v>-0.44320469359859294</x:v>
      </x:c>
      <x:c r="AG313" s="13" t="n">
        <x:v>-0.9550676015648257</x:v>
      </x:c>
      <x:c r="AH313" s="13" t="n">
        <x:v>-0.3654577830280138</x:v>
      </x:c>
      <x:c r="AI313" s="13" t="n">
        <x:v>0.9582284477355555</x:v>
      </x:c>
      <x:c r="AJ313" s="13" t="n">
        <x:v>-1.4358539357567408</x:v>
      </x:c>
      <x:c r="AK313" s="13" t="n">
        <x:v>1.6601867396924275</x:v>
      </x:c>
      <x:c r="AL313" s="13" t="n">
        <x:v>-0.48565628706278496</x:v>
      </x:c>
      <x:c r="AM313" s="13" t="n">
        <x:v>-0.25127791285465223</x:v>
      </x:c>
      <x:c r="AN313" s="13" t="n">
        <x:v>-0.7380104088188822</x:v>
      </x:c>
      <x:c r="AO313" s="13" t="n">
        <x:v>-1.0635093028580298</x:v>
      </x:c>
      <x:c r="AP313" s="13" t="n">
        <x:v>0.17153169085591138</x:v>
      </x:c>
    </x:row>
    <x:row r="314" ht="15" hidden="0" customHeight="1">
      <x:c r="A314" s="2" t="str">
        <x:v>E313</x:v>
      </x:c>
      <x:c r="B314" s="2" t="str">
        <x:v>***物流有限公司</x:v>
      </x:c>
      <x:c r="C314" s="2" t="str">
        <x:v>无信贷记录</x:v>
      </x:c>
      <x:c r="D314" s="2" t="str"/>
      <x:c r="E314" s="2" t="str"/>
      <x:c r="F314" s="13" t="n">
        <x:v>-0.4592131389244409</x:v>
      </x:c>
      <x:c r="G314" s="13" t="n">
        <x:v>-0.45566095228481807</x:v>
      </x:c>
      <x:c r="H314" s="13" t="n">
        <x:v>-0.4549414240373651</x:v>
      </x:c>
      <x:c r="I314" s="13" t="n">
        <x:v>-0.2458692820593761</x:v>
      </x:c>
      <x:c r="J314" s="13" t="n">
        <x:v>-0.40770397318056345</x:v>
      </x:c>
      <x:c r="K314" s="13" t="n">
        <x:v>-0.41210359182620077</x:v>
      </x:c>
      <x:c r="L314" s="13" t="n">
        <x:v>-0.5232484105445917</x:v>
      </x:c>
      <x:c r="M314" s="13" t="n">
        <x:v>-0.45502663648027314</x:v>
      </x:c>
      <x:c r="N314" s="13" t="n">
        <x:v>0.9398719969163204</x:v>
      </x:c>
      <x:c r="O314" s="13" t="n">
        <x:v>-0.2958345767069246</x:v>
      </x:c>
      <x:c r="P314" s="13" t="n">
        <x:v>-0.13145052295235557</x:v>
      </x:c>
      <x:c r="Q314" s="13" t="n">
        <x:v>-0.43022557873350503</x:v>
      </x:c>
      <x:c r="R314" s="13" t="n">
        <x:v>-0.9520014817522591</x:v>
      </x:c>
      <x:c r="S314" s="13" t="n">
        <x:v>-0.48828583278808924</x:v>
      </x:c>
      <x:c r="T314" s="13" t="n">
        <x:v>0.918343412818586</x:v>
      </x:c>
      <x:c r="U314" s="13" t="n">
        <x:v>-0.40318322235663856</x:v>
      </x:c>
      <x:c r="V314" s="13" t="n">
        <x:v>-0.3903784888556872</x:v>
      </x:c>
      <x:c r="W314" s="13" t="n">
        <x:v>-0.500310399097876</x:v>
      </x:c>
      <x:c r="X314" s="13" t="n">
        <x:v>-0.22559145534516142</x:v>
      </x:c>
      <x:c r="Y314" s="13" t="n">
        <x:v>-0.41798238154881917</x:v>
      </x:c>
      <x:c r="Z314" s="13" t="n">
        <x:v>-0.36774552219734574</x:v>
      </x:c>
      <x:c r="AA314" s="13" t="n">
        <x:v>-0.3311366345627778</x:v>
      </x:c>
      <x:c r="AB314" s="13" t="n">
        <x:v>-0.5192488765708219</x:v>
      </x:c>
      <x:c r="AC314" s="13" t="n">
        <x:v>0.261471337288306</x:v>
      </x:c>
      <x:c r="AD314" s="13" t="n">
        <x:v>-0.17130940887254809</x:v>
      </x:c>
      <x:c r="AE314" s="13" t="n">
        <x:v>-0.19129300996376308</x:v>
      </x:c>
      <x:c r="AF314" s="13" t="n">
        <x:v>-0.4433546059520867</x:v>
      </x:c>
      <x:c r="AG314" s="13" t="n">
        <x:v>-0.7649516780379896</x:v>
      </x:c>
      <x:c r="AH314" s="13" t="n">
        <x:v>-0.18865975816945832</x:v>
      </x:c>
      <x:c r="AI314" s="13" t="n">
        <x:v>0.9582284477355555</x:v>
      </x:c>
      <x:c r="AJ314" s="13" t="n">
        <x:v>-0.31083613814158634</x:v>
      </x:c>
      <x:c r="AK314" s="13" t="n">
        <x:v>-0.1522183002535323</x:v>
      </x:c>
      <x:c r="AL314" s="13" t="n">
        <x:v>-0.5887239902705954</x:v>
      </x:c>
      <x:c r="AM314" s="13" t="n">
        <x:v>0.483628915213903</x:v>
      </x:c>
      <x:c r="AN314" s="13" t="n">
        <x:v>-0.3173540722327001</x:v>
      </x:c>
      <x:c r="AO314" s="13" t="n">
        <x:v>-1.0065450684170816</x:v>
      </x:c>
      <x:c r="AP314" s="13" t="n">
        <x:v>-0.3980770380290453</x:v>
      </x:c>
    </x:row>
    <x:row r="315" ht="15" hidden="0" customHeight="1">
      <x:c r="A315" s="2" t="str">
        <x:v>E314</x:v>
      </x:c>
      <x:c r="B315" s="2" t="str">
        <x:v>***房地产营销策划有限公司</x:v>
      </x:c>
      <x:c r="C315" s="2" t="str">
        <x:v>无信贷记录</x:v>
      </x:c>
      <x:c r="D315" s="2" t="str"/>
      <x:c r="E315" s="2" t="str"/>
      <x:c r="F315" s="13" t="n">
        <x:v>-0.03365381793200606</x:v>
      </x:c>
      <x:c r="G315" s="13" t="n">
        <x:v>-0.018359226182092857</x:v>
      </x:c>
      <x:c r="H315" s="13" t="n">
        <x:v>-0.3911540687123922</x:v>
      </x:c>
      <x:c r="I315" s="13" t="n">
        <x:v>1.2121129593055229</x:v>
      </x:c>
      <x:c r="J315" s="13" t="n">
        <x:v>-0.5083824407843863</x:v>
      </x:c>
      <x:c r="K315" s="13" t="n">
        <x:v>-0.5113402344435228</x:v>
      </x:c>
      <x:c r="L315" s="13" t="n">
        <x:v>-0.00603334063556156</x:v>
      </x:c>
      <x:c r="M315" s="13" t="n">
        <x:v>-0.7821662318876623</x:v>
      </x:c>
      <x:c r="N315" s="13" t="n">
        <x:v>2.6832916438191323</x:v>
      </x:c>
      <x:c r="O315" s="13" t="n">
        <x:v>0.19703494987499912</x:v>
      </x:c>
      <x:c r="P315" s="13" t="n">
        <x:v>0.45741765649746013</x:v>
      </x:c>
      <x:c r="Q315" s="13" t="n">
        <x:v>-0.5177236814927363</x:v>
      </x:c>
      <x:c r="R315" s="13" t="n">
        <x:v>0.5370728254145953</x:v>
      </x:c>
      <x:c r="S315" s="13" t="n">
        <x:v>0.5240960410945821</x:v>
      </x:c>
      <x:c r="T315" s="13" t="n">
        <x:v>0.35324309846351976</x:v>
      </x:c>
      <x:c r="U315" s="13" t="n">
        <x:v>-0.4927653316833521</x:v>
      </x:c>
      <x:c r="V315" s="13" t="n">
        <x:v>-0.4851932210076229</x:v>
      </x:c>
      <x:c r="W315" s="13" t="n">
        <x:v>-0.5078032956443524</x:v>
      </x:c>
      <x:c r="X315" s="13" t="n">
        <x:v>-0.3496979040701705</x:v>
      </x:c>
      <x:c r="Y315" s="13" t="n">
        <x:v>-0.48241532717908353</x:v>
      </x:c>
      <x:c r="Z315" s="13" t="n">
        <x:v>-0.421247686911586</x:v>
      </x:c>
      <x:c r="AA315" s="13" t="n">
        <x:v>-0.38753382125258157</x:v>
      </x:c>
      <x:c r="AB315" s="13" t="n">
        <x:v>0.08544767098991127</x:v>
      </x:c>
      <x:c r="AC315" s="13" t="n">
        <x:v>-0.0896317687956471</x:v>
      </x:c>
      <x:c r="AD315" s="13" t="n">
        <x:v>0.23510523845310294</x:v>
      </x:c>
      <x:c r="AE315" s="13" t="n">
        <x:v>0.44649965403239367</x:v>
      </x:c>
      <x:c r="AF315" s="13" t="n">
        <x:v>-0.5010549707842504</x:v>
      </x:c>
      <x:c r="AG315" s="13" t="n">
        <x:v>-0.037269498485315834</x:v>
      </x:c>
      <x:c r="AH315" s="13" t="n">
        <x:v>0.4896628560215276</x:v>
      </x:c>
      <x:c r="AI315" s="13" t="n">
        <x:v>0.3544521834099646</x:v>
      </x:c>
      <x:c r="AJ315" s="13" t="n">
        <x:v>-0.3398511093036982</x:v>
      </x:c>
      <x:c r="AK315" s="13" t="n">
        <x:v>-0.20215079181819096</x:v>
      </x:c>
      <x:c r="AL315" s="13" t="n">
        <x:v>-0.8822113888637522</x:v>
      </x:c>
      <x:c r="AM315" s="13" t="n">
        <x:v>1.007679013588025</x:v>
      </x:c>
      <x:c r="AN315" s="13" t="n">
        <x:v>0.28876257429321456</x:v>
      </x:c>
      <x:c r="AO315" s="13" t="n">
        <x:v>0.3457429274955287</x:v>
      </x:c>
      <x:c r="AP315" s="13" t="n">
        <x:v>0.5637264205567342</x:v>
      </x:c>
    </x:row>
    <x:row r="316" ht="15" hidden="0" customHeight="1">
      <x:c r="A316" s="2" t="str">
        <x:v>E315</x:v>
      </x:c>
      <x:c r="B316" s="2" t="str">
        <x:v>***轮胎有限公司</x:v>
      </x:c>
      <x:c r="C316" s="2" t="str">
        <x:v>无信贷记录</x:v>
      </x:c>
      <x:c r="D316" s="2" t="str"/>
      <x:c r="E316" s="2" t="str"/>
      <x:c r="F316" s="13" t="n">
        <x:v>-0.4327895209543224</x:v>
      </x:c>
      <x:c r="G316" s="13" t="n">
        <x:v>-0.43120657944354723</x:v>
      </x:c>
      <x:c r="H316" s="13" t="n">
        <x:v>-0.3911540687123922</x:v>
      </x:c>
      <x:c r="I316" s="13" t="n">
        <x:v>-0.2887511126877555</x:v>
      </x:c>
      <x:c r="J316" s="13" t="n">
        <x:v>-0.5213449054707439</x:v>
      </x:c>
      <x:c r="K316" s="13" t="n">
        <x:v>-0.5213084528388566</x:v>
      </x:c>
      <x:c r="L316" s="13" t="n">
        <x:v>-0.425890279738186</x:v>
      </x:c>
      <x:c r="M316" s="13" t="n">
        <x:v>0.03653308171766296</x:v>
      </x:c>
      <x:c r="N316" s="13" t="n">
        <x:v>0.427285587437379</x:v>
      </x:c>
      <x:c r="O316" s="13" t="n">
        <x:v>-0.785858459875904</x:v>
      </x:c>
      <x:c r="P316" s="13" t="n">
        <x:v>-0.9239819168729057</x:v>
      </x:c>
      <x:c r="Q316" s="13" t="n">
        <x:v>-0.5378396149928683</x:v>
      </x:c>
      <x:c r="R316" s="13" t="n">
        <x:v>-0.36096476331072214</x:v>
      </x:c>
      <x:c r="S316" s="13" t="n">
        <x:v>-0.03230946002242358</x:v>
      </x:c>
      <x:c r="T316" s="13" t="n">
        <x:v>0.8241600270927416</x:v>
      </x:c>
      <x:c r="U316" s="13" t="n">
        <x:v>0.2728982262679116</x:v>
      </x:c>
      <x:c r="V316" s="13" t="n">
        <x:v>0.3131580443900368</x:v>
      </x:c>
      <x:c r="W316" s="13" t="n">
        <x:v>-0.28301639925006106</x:v>
      </x:c>
      <x:c r="X316" s="13" t="n">
        <x:v>-0.32901349594933565</x:v>
      </x:c>
      <x:c r="Y316" s="13" t="n">
        <x:v>-0.4304500113533282</x:v>
      </x:c>
      <x:c r="Z316" s="13" t="n">
        <x:v>-0.38282047780034445</x:v>
      </x:c>
      <x:c r="AA316" s="13" t="n">
        <x:v>-0.06794976334369353</x:v>
      </x:c>
      <x:c r="AB316" s="13" t="n">
        <x:v>-0.7739916024566977</x:v>
      </x:c>
      <x:c r="AC316" s="13" t="n">
        <x:v>-0.6325781480596021</x:v>
      </x:c>
      <x:c r="AD316" s="13" t="n">
        <x:v>-0.38672079701421913</x:v>
      </x:c>
      <x:c r="AE316" s="13" t="n">
        <x:v>-0.10895981956549568</x:v>
      </x:c>
      <x:c r="AF316" s="13" t="n">
        <x:v>-0.4520792749679735</x:v>
      </x:c>
      <x:c r="AG316" s="13" t="n">
        <x:v>-1.166181913148774</x:v>
      </x:c>
      <x:c r="AH316" s="13" t="n">
        <x:v>-0.1280325060581896</x:v>
      </x:c>
      <x:c r="AI316" s="13" t="n">
        <x:v>0.9582284477355555</x:v>
      </x:c>
      <x:c r="AJ316" s="13" t="n">
        <x:v>-0.24391088541447853</x:v>
      </x:c>
      <x:c r="AK316" s="13" t="n">
        <x:v>-0.2725089667164343</x:v>
      </x:c>
      <x:c r="AL316" s="13" t="n">
        <x:v>-0.729755733221453</x:v>
      </x:c>
      <x:c r="AM316" s="13" t="n">
        <x:v>-0.566039308949491</x:v>
      </x:c>
      <x:c r="AN316" s="13" t="n">
        <x:v>-0.8034658740232107</x:v>
      </x:c>
      <x:c r="AO316" s="13" t="n">
        <x:v>-0.7947118606129568</x:v>
      </x:c>
      <x:c r="AP316" s="13" t="n">
        <x:v>-0.08821128917350024</x:v>
      </x:c>
    </x:row>
    <x:row r="317" ht="15" hidden="0" customHeight="1">
      <x:c r="A317" s="2" t="str">
        <x:v>E316</x:v>
      </x:c>
      <x:c r="B317" s="2" t="str">
        <x:v>个体经营E316 </x:v>
      </x:c>
      <x:c r="C317" s="2" t="str">
        <x:v>无信贷记录</x:v>
      </x:c>
      <x:c r="D317" s="2" t="str"/>
      <x:c r="E317" s="2" t="str"/>
      <x:c r="F317" s="13" t="n">
        <x:v>-0.25709564006528884</x:v>
      </x:c>
      <x:c r="G317" s="13" t="n">
        <x:v>-0.24995652191412823</x:v>
      </x:c>
      <x:c r="H317" s="13" t="n">
        <x:v>-0.38052284282489673</x:v>
      </x:c>
      <x:c r="I317" s="13" t="n">
        <x:v>-0.33163294331613485</x:v>
      </x:c>
      <x:c r="J317" s="13" t="n">
        <x:v>-0.5138778515599167</x:v>
      </x:c>
      <x:c r="K317" s="13" t="n">
        <x:v>-0.5170444413788962</x:v>
      </x:c>
      <x:c r="L317" s="13" t="n">
        <x:v>-0.15207053684517005</x:v>
      </x:c>
      <x:c r="M317" s="13" t="n">
        <x:v>-0.5002519955177426</x:v>
      </x:c>
      <x:c r="N317" s="13" t="n">
        <x:v>-0.2919200762786147</x:v>
      </x:c>
      <x:c r="O317" s="13" t="n">
        <x:v>-0.6658696172680828</x:v>
      </x:c>
      <x:c r="P317" s="13" t="n">
        <x:v>-0.580330506662615</x:v>
      </x:c>
      <x:c r="Q317" s="13" t="n">
        <x:v>-0.5289555103797207</x:v>
      </x:c>
      <x:c r="R317" s="13" t="n">
        <x:v>-0.06577680656059169</x:v>
      </x:c>
      <x:c r="S317" s="13" t="n">
        <x:v>0.9320838615403038</x:v>
      </x:c>
      <x:c r="T317" s="13" t="n">
        <x:v>0.7299766413668972</x:v>
      </x:c>
      <x:c r="U317" s="13" t="n">
        <x:v>-0.3193976024569476</x:v>
      </x:c>
      <x:c r="V317" s="13" t="n">
        <x:v>-0.32024924909833835</x:v>
      </x:c>
      <x:c r="W317" s="13" t="n">
        <x:v>-0.2455519165176792</x:v>
      </x:c>
      <x:c r="X317" s="13" t="n">
        <x:v>-0.12216941474098722</x:v>
      </x:c>
      <x:c r="Y317" s="13" t="n">
        <x:v>-0.43797183131214773</x:v>
      </x:c>
      <x:c r="Z317" s="13" t="n">
        <x:v>-0.38172808050373536</x:v>
      </x:c>
      <x:c r="AA317" s="13" t="n">
        <x:v>-0.3452359312352288</x:v>
      </x:c>
      <x:c r="AB317" s="13" t="n">
        <x:v>-0.07819256565068843</x:v>
      </x:c>
      <x:c r="AC317" s="13" t="n">
        <x:v>0.3787414156917542</x:v>
      </x:c>
      <x:c r="AD317" s="13" t="n">
        <x:v>1.2246418343102499</x:v>
      </x:c>
      <x:c r="AE317" s="13" t="n">
        <x:v>1.4530752743351298</x:v>
      </x:c>
      <x:c r="AF317" s="13" t="n">
        <x:v>-0.4529914855870721</x:v>
      </x:c>
      <x:c r="AG317" s="13" t="n">
        <x:v>0.09858600239600836</x:v>
      </x:c>
      <x:c r="AH317" s="13" t="n">
        <x:v>0.9207066721022941</x:v>
      </x:c>
      <x:c r="AI317" s="13" t="n">
        <x:v>0.5557109381851616</x:v>
      </x:c>
      <x:c r="AJ317" s="13" t="n">
        <x:v>-0.2621050025900806</x:v>
      </x:c>
      <x:c r="AK317" s="13" t="n">
        <x:v>-0.26750035107116577</x:v>
      </x:c>
      <x:c r="AL317" s="13" t="n">
        <x:v>-0.33306832764995503</x:v>
      </x:c>
      <x:c r="AM317" s="13" t="n">
        <x:v>0.030623982619923357</x:v>
      </x:c>
      <x:c r="AN317" s="13" t="n">
        <x:v>0.27809154875393277</x:v>
      </x:c>
      <x:c r="AO317" s="13" t="n">
        <x:v>0.0009495432987492824</x:v>
      </x:c>
      <x:c r="AP317" s="13" t="n">
        <x:v>1.0307420942937264</x:v>
      </x:c>
    </x:row>
    <x:row r="318" ht="15" hidden="0" customHeight="1">
      <x:c r="A318" s="2" t="str">
        <x:v>E317</x:v>
      </x:c>
      <x:c r="B318" s="2" t="str">
        <x:v>***科技有限公司</x:v>
      </x:c>
      <x:c r="C318" s="2" t="str">
        <x:v>无信贷记录</x:v>
      </x:c>
      <x:c r="D318" s="2" t="str"/>
      <x:c r="E318" s="2" t="str"/>
      <x:c r="F318" s="13" t="n">
        <x:v>-0.44855097728737553</x:v>
      </x:c>
      <x:c r="G318" s="13" t="n">
        <x:v>-0.4451120071376032</x:v>
      </x:c>
      <x:c r="H318" s="13" t="n">
        <x:v>-0.4443101981498696</x:v>
      </x:c>
      <x:c r="I318" s="13" t="n">
        <x:v>-0.33163294331613485</x:v>
      </x:c>
      <x:c r="J318" s="13" t="n">
        <x:v>-0.5354844782324877</x:v>
      </x:c>
      <x:c r="K318" s="13" t="n">
        <x:v>-0.5384969917634311</x:v>
      </x:c>
      <x:c r="L318" s="13" t="n">
        <x:v>-0.38938098068578386</x:v>
      </x:c>
      <x:c r="M318" s="13" t="n">
        <x:v>-0.391776677826421</x:v>
      </x:c>
      <x:c r="N318" s="13" t="n">
        <x:v>0.21207366454673746</x:v>
      </x:c>
      <x:c r="O318" s="13" t="n">
        <x:v>-0.6254596006315136</x:v>
      </x:c>
      <x:c r="P318" s="13" t="n">
        <x:v>-0.7546259520555542</x:v>
      </x:c>
      <x:c r="Q318" s="13" t="n">
        <x:v>-0.5464301898880146</x:v>
      </x:c>
      <x:c r="R318" s="13" t="n">
        <x:v>-0.0056827571625370134</x:v>
      </x:c>
      <x:c r="S318" s="13" t="n">
        <x:v>1.106046329363275</x:v>
      </x:c>
      <x:c r="T318" s="13" t="n">
        <x:v>0.2590597127376754</x:v>
      </x:c>
      <x:c r="U318" s="13" t="n">
        <x:v>-0.4495551377728197</x:v>
      </x:c>
      <x:c r="V318" s="13" t="n">
        <x:v>-0.4509701520060367</x:v>
      </x:c>
      <x:c r="W318" s="13" t="n">
        <x:v>-0.35045246816834846</x:v>
      </x:c>
      <x:c r="X318" s="13" t="n">
        <x:v>-0.18422263910349174</x:v>
      </x:c>
      <x:c r="Y318" s="13" t="n">
        <x:v>-0.4967836227167217</x:v>
      </x:c>
      <x:c r="Z318" s="13" t="n">
        <x:v>-0.4299410638512129</x:v>
      </x:c>
      <x:c r="AA318" s="13" t="n">
        <x:v>-0.31703733789032684</x:v>
      </x:c>
      <x:c r="AB318" s="13" t="n">
        <x:v>0.4813564855166452</x:v>
      </x:c>
      <x:c r="AC318" s="13" t="n">
        <x:v>1.2588842146565804</x:v>
      </x:c>
      <x:c r="AD318" s="13" t="n">
        <x:v>-0.6821127539817882</x:v>
      </x:c>
      <x:c r="AE318" s="13" t="n">
        <x:v>-0.9230043963126644</x:v>
      </x:c>
      <x:c r="AF318" s="13" t="n">
        <x:v>-0.5084074636652232</x:v>
      </x:c>
      <x:c r="AG318" s="13" t="n">
        <x:v>0.27790559219759753</x:v>
      </x:c>
      <x:c r="AH318" s="13" t="n">
        <x:v>1.7861810552918769</x:v>
      </x:c>
      <x:c r="AI318" s="13" t="n">
        <x:v>-0.24932408091562624</x:v>
      </x:c>
      <x:c r="AJ318" s="13" t="n">
        <x:v>-0.34273816116116634</x:v>
      </x:c>
      <x:c r="AK318" s="13" t="n">
        <x:v>-0.25063157679925746</x:v>
      </x:c>
      <x:c r="AL318" s="13" t="n">
        <x:v>0.12547449270847127</x:v>
      </x:c>
      <x:c r="AM318" s="13" t="n">
        <x:v>0.6936847593529851</x:v>
      </x:c>
      <x:c r="AN318" s="13" t="n">
        <x:v>-0.8703112091328781</x:v>
      </x:c>
      <x:c r="AO318" s="13" t="n">
        <x:v>0.12612792675168827</x:v>
      </x:c>
      <x:c r="AP318" s="13" t="n">
        <x:v>1.5731793483558496</x:v>
      </x:c>
    </x:row>
    <x:row r="319" ht="15" hidden="0" customHeight="1">
      <x:c r="A319" s="2" t="str">
        <x:v>E318</x:v>
      </x:c>
      <x:c r="B319" s="2" t="str">
        <x:v>***商贸有限公司</x:v>
      </x:c>
      <x:c r="C319" s="2" t="str">
        <x:v>无信贷记录</x:v>
      </x:c>
      <x:c r="D319" s="2" t="str"/>
      <x:c r="E319" s="2" t="str"/>
      <x:c r="F319" s="13" t="n">
        <x:v>-0.4735838785222246</x:v>
      </x:c>
      <x:c r="G319" s="13" t="n">
        <x:v>-0.46908688247218244</x:v>
      </x:c>
      <x:c r="H319" s="13" t="n">
        <x:v>-0.4868351016998515</x:v>
      </x:c>
      <x:c r="I319" s="13" t="n">
        <x:v>-0.37451477394451427</x:v>
      </x:c>
      <x:c r="J319" s="13" t="n">
        <x:v>-0.5446218714809501</x:v>
      </x:c>
      <x:c r="K319" s="13" t="n">
        <x:v>-0.543533661965529</x:v>
      </x:c>
      <x:c r="L319" s="13" t="n">
        <x:v>-0.6388611908771984</x:v>
      </x:c>
      <x:c r="M319" s="13" t="n">
        <x:v>-0.7671012770383936</x:v>
      </x:c>
      <x:c r="N319" s="13" t="n">
        <x:v>0.0056352088052764706</x:v>
      </x:c>
      <x:c r="O319" s="13" t="n">
        <x:v>0.13539608352327318</x:v>
      </x:c>
      <x:c r="P319" s="13" t="n">
        <x:v>0.46048120748867966</x:v>
      </x:c>
      <x:c r="Q319" s="13" t="n">
        <x:v>-0.5614032196297202</x:v>
      </x:c>
      <x:c r="R319" s="13" t="n">
        <x:v>-0.32691733626313724</x:v>
      </x:c>
      <x:c r="S319" s="13" t="n">
        <x:v>-0.0752526632943755</x:v>
      </x:c>
      <x:c r="T319" s="13" t="n">
        <x:v>0.918343412818586</x:v>
      </x:c>
      <x:c r="U319" s="13" t="n">
        <x:v>-0.34416442091786253</x:v>
      </x:c>
      <x:c r="V319" s="13" t="n">
        <x:v>-0.35110611459157187</x:v>
      </x:c>
      <x:c r="W319" s="13" t="n">
        <x:v>-0.18560874414586817</x:v>
      </x:c>
      <x:c r="X319" s="13" t="n">
        <x:v>-0.3496979040701705</x:v>
      </x:c>
      <x:c r="Y319" s="13" t="n">
        <x:v>-0.43372334454518513</x:v>
      </x:c>
      <x:c r="Z319" s="13" t="n">
        <x:v>-0.38515486490811374</x:v>
      </x:c>
      <x:c r="AA319" s="13" t="n">
        <x:v>-0.3593352279076797</x:v>
      </x:c>
      <x:c r="AB319" s="13" t="n">
        <x:v>0.19145004197785592</x:v>
      </x:c>
      <x:c r="AC319" s="13" t="n">
        <x:v>-0.5062952833053211</x:v>
      </x:c>
      <x:c r="AD319" s="13" t="n">
        <x:v>-0.15812552905639793</x:v>
      </x:c>
      <x:c r="AE319" s="13" t="n">
        <x:v>0.09332350336423172</x:v>
      </x:c>
      <x:c r="AF319" s="13" t="n">
        <x:v>-0.45836852204188233</x:v>
      </x:c>
      <x:c r="AG319" s="13" t="n">
        <x:v>-1.2817825860653878</x:v>
      </x:c>
      <x:c r="AH319" s="13" t="n">
        <x:v>-0.2005658435560596</x:v>
      </x:c>
      <x:c r="AI319" s="13" t="n">
        <x:v>1.058857825123154</x:v>
      </x:c>
      <x:c r="AJ319" s="13" t="n">
        <x:v>-0.23139291525962663</x:v>
      </x:c>
      <x:c r="AK319" s="13" t="n">
        <x:v>-0.3021150008609102</x:v>
      </x:c>
      <x:c r="AL319" s="13" t="n">
        <x:v>0.27834964347987784</x:v>
      </x:c>
      <x:c r="AM319" s="13" t="n">
        <x:v>-0.41760310970553316</x:v>
      </x:c>
      <x:c r="AN319" s="13" t="n">
        <x:v>0.001508599480924985</x:v>
      </x:c>
      <x:c r="AO319" s="13" t="n">
        <x:v>-0.8260561511020471</x:v>
      </x:c>
      <x:c r="AP319" s="13" t="n">
        <x:v>-0.1510474450463383</x:v>
      </x:c>
    </x:row>
    <x:row r="320" ht="15" hidden="0" customHeight="1">
      <x:c r="A320" s="2" t="str">
        <x:v>E319</x:v>
      </x:c>
      <x:c r="B320" s="2" t="str">
        <x:v>个体经营E319 </x:v>
      </x:c>
      <x:c r="C320" s="2" t="str">
        <x:v>无信贷记录</x:v>
      </x:c>
      <x:c r="D320" s="2" t="str"/>
      <x:c r="E320" s="2" t="str"/>
      <x:c r="F320" s="13" t="n">
        <x:v>-0.5282854034428208</x:v>
      </x:c>
      <x:c r="G320" s="13" t="n">
        <x:v>-0.5271060807818642</x:v>
      </x:c>
      <x:c r="H320" s="13" t="n">
        <x:v>-0.4549414240373651</x:v>
      </x:c>
      <x:c r="I320" s="13" t="n">
        <x:v>-0.4173966045728936</x:v>
      </x:c>
      <x:c r="J320" s="13" t="n">
        <x:v>-0.40257428775397136</x:v>
      </x:c>
      <x:c r="K320" s="13" t="n">
        <x:v>-0.4076846810747907</x:v>
      </x:c>
      <x:c r="L320" s="13" t="n">
        <x:v>-0.6023518918247963</x:v>
      </x:c>
      <x:c r="M320" s="13" t="n">
        <x:v>0.1148388168857949</x:v>
      </x:c>
      <x:c r="N320" s="13" t="n">
        <x:v>-0.10799763406002634</x:v>
      </x:c>
      <x:c r="O320" s="13" t="n">
        <x:v>-0.6744475402088378</x:v>
      </x:c>
      <x:c r="P320" s="13" t="n">
        <x:v>-0.8351879547339365</x:v>
      </x:c>
      <x:c r="Q320" s="13" t="n">
        <x:v>-0.3825097645016929</x:v>
      </x:c>
      <x:c r="R320" s="13" t="n">
        <x:v>-0.7053396695387995</x:v>
      </x:c>
      <x:c r="S320" s="13" t="n">
        <x:v>-0.378526842487461</x:v>
      </x:c>
      <x:c r="T320" s="13" t="n">
        <x:v>0.16487632701183103</x:v>
      </x:c>
      <x:c r="U320" s="13" t="n">
        <x:v>-0.1686888773543589</x:v>
      </x:c>
      <x:c r="V320" s="13" t="n">
        <x:v>-0.1592325146154653</x:v>
      </x:c>
      <x:c r="W320" s="13" t="n">
        <x:v>-0.25304481306415555</x:v>
      </x:c>
      <x:c r="X320" s="13" t="n">
        <x:v>-0.2669602715868311</x:v>
      </x:c>
      <x:c r="Y320" s="13" t="n">
        <x:v>-0.4072390769885355</x:v>
      </x:c>
      <x:c r="Z320" s="13" t="n">
        <x:v>-0.36424532073771815</x:v>
      </x:c>
      <x:c r="AA320" s="13" t="n">
        <x:v>0.01664601669101213</x:v>
      </x:c>
      <x:c r="AB320" s="13" t="n">
        <x:v>-0.4521597704200786</x:v>
      </x:c>
      <x:c r="AC320" s="13" t="n">
        <x:v>-0.4074963609491528</x:v>
      </x:c>
      <x:c r="AD320" s="13" t="n">
        <x:v>-0.8781822322714016</x:v>
      </x:c>
      <x:c r="AE320" s="13" t="n">
        <x:v>-1.0559462837325617</x:v>
      </x:c>
      <x:c r="AF320" s="13" t="n">
        <x:v>-0.42536742182618814</x:v>
      </x:c>
      <x:c r="AG320" s="13" t="n">
        <x:v>-1.0684264602726292</x:v>
      </x:c>
      <x:c r="AH320" s="13" t="n">
        <x:v>-0.6611092185832328</x:v>
      </x:c>
      <x:c r="AI320" s="13" t="n">
        <x:v>0.857599070347957</x:v>
      </x:c>
      <x:c r="AJ320" s="13" t="n">
        <x:v>-0.29701783981328184</x:v>
      </x:c>
      <x:c r="AK320" s="13" t="n">
        <x:v>-0.15297311981842895</x:v>
      </x:c>
      <x:c r="AL320" s="13" t="n">
        <x:v>-0.18684127703803863</x:v>
      </x:c>
      <x:c r="AM320" s="13" t="n">
        <x:v>-0.3069792876865906</x:v>
      </x:c>
      <x:c r="AN320" s="13" t="n">
        <x:v>-1.0266922914874033</x:v>
      </x:c>
      <x:c r="AO320" s="13" t="n">
        <x:v>-0.9821864920471255</x:v>
      </x:c>
      <x:c r="AP320" s="13" t="n">
        <x:v>-0.5687716077373937</x:v>
      </x:c>
    </x:row>
    <x:row r="321" ht="15" hidden="0" customHeight="1">
      <x:c r="A321" s="2" t="str">
        <x:v>E320</x:v>
      </x:c>
      <x:c r="B321" s="2" t="str">
        <x:v>***建筑设计有限公司</x:v>
      </x:c>
      <x:c r="C321" s="2" t="str">
        <x:v>无信贷记录</x:v>
      </x:c>
      <x:c r="D321" s="2" t="str"/>
      <x:c r="E321" s="2" t="str"/>
      <x:c r="F321" s="13" t="n">
        <x:v>-0.49954392424725336</x:v>
      </x:c>
      <x:c r="G321" s="13" t="n">
        <x:v>-0.500733717913827</x:v>
      </x:c>
      <x:c r="H321" s="13" t="n">
        <x:v>-0.38052284282489673</x:v>
      </x:c>
      <x:c r="I321" s="13" t="n">
        <x:v>-0.46027843520127304</x:v>
      </x:c>
      <x:c r="J321" s="13" t="n">
        <x:v>-0.43510532291033577</x:v>
      </x:c>
      <x:c r="K321" s="13" t="n">
        <x:v>-0.43991504872875553</x:v>
      </x:c>
      <x:c r="L321" s="13" t="n">
        <x:v>-0.48065422831678917</x:v>
      </x:c>
      <x:c r="M321" s="13" t="n">
        <x:v>0.8948117213485154</x:v>
      </x:c>
      <x:c r="N321" s="13" t="n">
        <x:v>-0.7216149855326618</x:v>
      </x:c>
      <x:c r="O321" s="13" t="n">
        <x:v>1.3101042760555905</x:v>
      </x:c>
      <x:c r="P321" s="13" t="n">
        <x:v>1.4583496760563979</x:v>
      </x:c>
      <x:c r="Q321" s="13" t="n">
        <x:v>-0.4368815737015974</x:v>
      </x:c>
      <x:c r="R321" s="13" t="n">
        <x:v>3.0953657595262887</x:v>
      </x:c>
      <x:c r="S321" s="13" t="n">
        <x:v>0.6791924275719518</x:v>
      </x:c>
      <x:c r="T321" s="13" t="n">
        <x:v>0.16487632701183103</x:v>
      </x:c>
      <x:c r="U321" s="13" t="n">
        <x:v>-0.5080469856273209</x:v>
      </x:c>
      <x:c r="V321" s="13" t="n">
        <x:v>-0.4952918315326812</x:v>
      </x:c>
      <x:c r="W321" s="13" t="n">
        <x:v>-0.5902251576555926</x:v>
      </x:c>
      <x:c r="X321" s="13" t="n">
        <x:v>-0.3910667203118402</x:v>
      </x:c>
      <x:c r="Y321" s="13" t="n">
        <x:v>-0.4695748695738178</x:v>
      </x:c>
      <x:c r="Z321" s="13" t="n">
        <x:v>-0.41345959156128953</x:v>
      </x:c>
      <x:c r="AA321" s="13" t="n">
        <x:v>-0.38518393847383975</x:v>
      </x:c>
      <x:c r="AB321" s="13" t="n">
        <x:v>-0.5141437471724165</x:v>
      </x:c>
      <x:c r="AC321" s="13" t="n">
        <x:v>-0.6980651016988949</x:v>
      </x:c>
      <x:c r="AD321" s="13" t="n">
        <x:v>0.9722608832838906</x:v>
      </x:c>
      <x:c r="AE321" s="13" t="n">
        <x:v>1.0180191485145602</x:v>
      </x:c>
      <x:c r="AF321" s="13" t="n">
        <x:v>-0.38274965744878153</x:v>
      </x:c>
      <x:c r="AG321" s="13" t="n">
        <x:v>1.1717698284066198</x:v>
      </x:c>
      <x:c r="AH321" s="13" t="n">
        <x:v>-0.1262137689603636</x:v>
      </x:c>
      <x:c r="AI321" s="13" t="n">
        <x:v>-2.161282251279997</x:v>
      </x:c>
      <x:c r="AJ321" s="13" t="n">
        <x:v>-0.37506390483213375</x:v>
      </x:c>
      <x:c r="AK321" s="13" t="n">
        <x:v>-0.07429442205464795</x:v>
      </x:c>
      <x:c r="AL321" s="13" t="n">
        <x:v>-0.2918461680431972</x:v>
      </x:c>
      <x:c r="AM321" s="13" t="n">
        <x:v>-0.7815911692517314</x:v>
      </x:c>
      <x:c r="AN321" s="13" t="n">
        <x:v>1.546010604598697</x:v>
      </x:c>
      <x:c r="AO321" s="13" t="n">
        <x:v>2.6496560776052442</x:v>
      </x:c>
      <x:c r="AP321" s="13" t="n">
        <x:v>0.34857342537377534</x:v>
      </x:c>
    </x:row>
    <x:row r="322" ht="15" hidden="0" customHeight="1">
      <x:c r="A322" s="2" t="str">
        <x:v>E321</x:v>
      </x:c>
      <x:c r="B322" s="2" t="str">
        <x:v>***生物流有限公司</x:v>
      </x:c>
      <x:c r="C322" s="2" t="str">
        <x:v>无信贷记录</x:v>
      </x:c>
      <x:c r="D322" s="2" t="str"/>
      <x:c r="E322" s="2" t="str"/>
      <x:c r="F322" s="13" t="n">
        <x:v>-0.5834505006085068</x:v>
      </x:c>
      <x:c r="G322" s="13" t="n">
        <x:v>-0.5817687965447048</x:v>
      </x:c>
      <x:c r="H322" s="13" t="n">
        <x:v>-0.5080975534748424</x:v>
      </x:c>
      <x:c r="I322" s="13" t="n">
        <x:v>-0.4173966045728936</x:v>
      </x:c>
      <x:c r="J322" s="13" t="n">
        <x:v>-0.4517832837494667</x:v>
      </x:c>
      <x:c r="K322" s="13" t="n">
        <x:v>-0.45429089342261864</x:v>
      </x:c>
      <x:c r="L322" s="13" t="n">
        <x:v>-0.6692856067542001</x:v>
      </x:c>
      <x:c r="M322" s="13" t="n">
        <x:v>-0.5415759260668175</x:v>
      </x:c>
      <x:c r="N322" s="13" t="n">
        <x:v>1.020266528325142</x:v>
      </x:c>
      <x:c r="O322" s="13" t="n">
        <x:v>1.3877038482520005</x:v>
      </x:c>
      <x:c r="P322" s="13" t="n">
        <x:v>1.5217050019092178</x:v>
      </x:c>
      <x:c r="Q322" s="13" t="n">
        <x:v>-0.4693931279733808</x:v>
      </x:c>
      <x:c r="R322" s="13" t="n">
        <x:v>-0.9406982303751493</x:v>
      </x:c>
      <x:c r="S322" s="13" t="n">
        <x:v>0.0861123290791359</x:v>
      </x:c>
      <x:c r="T322" s="13" t="n">
        <x:v>0.44742648418936415</x:v>
      </x:c>
      <x:c r="U322" s="13" t="n">
        <x:v>-0.3346792564009164</x:v>
      </x:c>
      <x:c r="V322" s="13" t="n">
        <x:v>-0.3421295719026312</x:v>
      </x:c>
      <x:c r="W322" s="13" t="n">
        <x:v>-0.17062295105291542</x:v>
      </x:c>
      <x:c r="X322" s="13" t="n">
        <x:v>-0.2669602715868311</x:v>
      </x:c>
      <x:c r="Y322" s="13" t="n">
        <x:v>-0.43766679443988243</x:v>
      </x:c>
      <x:c r="Z322" s="13" t="n">
        <x:v>-0.3838715145384877</x:v>
      </x:c>
      <x:c r="AA322" s="13" t="n">
        <x:v>-0.09849823946733724</x:v>
      </x:c>
      <x:c r="AB322" s="13" t="n">
        <x:v>0.17906587261434245</x:v>
      </x:c>
      <x:c r="AC322" s="13" t="n">
        <x:v>-0.14797469112883527</x:v>
      </x:c>
      <x:c r="AD322" s="13" t="n">
        <x:v>-0.8560122406203082</x:v>
      </x:c>
      <x:c r="AE322" s="13" t="n">
        <x:v>-1.0236581070238837</x:v>
      </x:c>
      <x:c r="AF322" s="13" t="n">
        <x:v>-0.4591487670255145</x:v>
      </x:c>
      <x:c r="AG322" s="13" t="n">
        <x:v>-0.4823361936280059</x:v>
      </x:c>
      <x:c r="AH322" s="13" t="n">
        <x:v>0.3612210518548395</x:v>
      </x:c>
      <x:c r="AI322" s="13" t="n">
        <x:v>0.9582284477355555</x:v>
      </x:c>
      <x:c r="AJ322" s="13" t="n">
        <x:v>-0.3094373255142212</x:v>
      </x:c>
      <x:c r="AK322" s="13" t="n">
        <x:v>-0.17841225127156732</x:v>
      </x:c>
      <x:c r="AL322" s="13" t="n">
        <x:v>0.9583297107476307</x:v>
      </x:c>
      <x:c r="AM322" s="13" t="n">
        <x:v>0.18208213594025252</x:v>
      </x:c>
      <x:c r="AN322" s="13" t="n">
        <x:v>0.47287096158857483</x:v>
      </x:c>
      <x:c r="AO322" s="13" t="n">
        <x:v>-0.8658127393266751</x:v>
      </x:c>
      <x:c r="AP322" s="13" t="n">
        <x:v>0.23073051663849736</x:v>
      </x:c>
    </x:row>
    <x:row r="323" ht="15" hidden="0" customHeight="1">
      <x:c r="A323" s="2" t="str">
        <x:v>E322</x:v>
      </x:c>
      <x:c r="B323" s="2" t="str">
        <x:v>***装饰工程设计有限公司</x:v>
      </x:c>
      <x:c r="C323" s="2" t="str">
        <x:v>无信贷记录</x:v>
      </x:c>
      <x:c r="D323" s="2" t="str"/>
      <x:c r="E323" s="2" t="str"/>
      <x:c r="F323" s="13" t="n">
        <x:v>-0.19358624248798648</x:v>
      </x:c>
      <x:c r="G323" s="13" t="n">
        <x:v>-0.18762184604422225</x:v>
      </x:c>
      <x:c r="H323" s="13" t="n">
        <x:v>-0.30610426161242843</x:v>
      </x:c>
      <x:c r="I323" s="13" t="n">
        <x:v>0.054303532339279606</x:v>
      </x:c>
      <x:c r="J323" s="13" t="n">
        <x:v>-0.36555106959867256</x:v>
      </x:c>
      <x:c r="K323" s="13" t="n">
        <x:v>-0.37019883103807366</x:v>
      </x:c>
      <x:c r="L323" s="13" t="n">
        <x:v>-0.012118223810961915</x:v>
      </x:c>
      <x:c r="M323" s="13" t="n">
        <x:v>-0.30154057284425984</x:v>
      </x:c>
      <x:c r="N323" s="13" t="n">
        <x:v>0.7444029401576165</x:v>
      </x:c>
      <x:c r="O323" s="13" t="n">
        <x:v>-0.6734628274123606</x:v>
      </x:c>
      <x:c r="P323" s="13" t="n">
        <x:v>-0.5776071739890989</x:v>
      </x:c>
      <x:c r="Q323" s="13" t="n">
        <x:v>-0.33757979744385946</x:v>
      </x:c>
      <x:c r="R323" s="13" t="n">
        <x:v>-0.8246074149148197</x:v>
      </x:c>
      <x:c r="S323" s="13" t="n">
        <x:v>-0.00919462380773345</x:v>
      </x:c>
      <x:c r="T323" s="13" t="n">
        <x:v>0.16487632701183103</x:v>
      </x:c>
      <x:c r="U323" s="13" t="n">
        <x:v>-0.09596928272443844</x:v>
      </x:c>
      <x:c r="V323" s="13" t="n">
        <x:v>-0.08012673216917575</x:v>
      </x:c>
      <x:c r="W323" s="13" t="n">
        <x:v>-0.2755235027035847</x:v>
      </x:c>
      <x:c r="X323" s="13" t="n">
        <x:v>0.49836282888405803</x:v>
      </x:c>
      <x:c r="Y323" s="13" t="n">
        <x:v>-0.44848724773751675</x:v>
      </x:c>
      <x:c r="Z323" s="13" t="n">
        <x:v>-0.37238758677548306</x:v>
      </x:c>
      <x:c r="AA323" s="13" t="n">
        <x:v>-0.36638487624390514</x:v>
      </x:c>
      <x:c r="AB323" s="13" t="n">
        <x:v>-0.5692791446751954</x:v>
      </x:c>
      <x:c r="AC323" s="13" t="n">
        <x:v>1.0314358986811305</x:v>
      </x:c>
      <x:c r="AD323" s="13" t="n">
        <x:v>-0.005443859223698969</x:v>
      </x:c>
      <x:c r="AE323" s="13" t="n">
        <x:v>-0.10599992898119825</x:v>
      </x:c>
      <x:c r="AF323" s="13" t="n">
        <x:v>-0.4457895222340705</x:v>
      </x:c>
      <x:c r="AG323" s="13" t="n">
        <x:v>-0.44156520575195773</x:v>
      </x:c>
      <x:c r="AH323" s="13" t="n">
        <x:v>0.5124474005322264</x:v>
      </x:c>
      <x:c r="AI323" s="13" t="n">
        <x:v>0.15319342863476768</x:v>
      </x:c>
      <x:c r="AJ323" s="13" t="n">
        <x:v>-0.39376729169600605</x:v>
      </x:c>
      <x:c r="AK323" s="13" t="n">
        <x:v>-0.09183696610506506</x:v>
      </x:c>
      <x:c r="AL323" s="13" t="n">
        <x:v>-0.5904356497196963</x:v>
      </x:c>
      <x:c r="AM323" s="13" t="n">
        <x:v>1.1025136902582369</x:v>
      </x:c>
      <x:c r="AN323" s="13" t="n">
        <x:v>-0.48702149402522404</x:v>
      </x:c>
      <x:c r="AO323" s="13" t="n">
        <x:v>-0.7679008915900455</x:v>
      </x:c>
      <x:c r="AP323" s="13" t="n">
        <x:v>0.24850519902751983</x:v>
      </x:c>
    </x:row>
    <x:row r="324" ht="15" hidden="0" customHeight="1">
      <x:c r="A324" s="2" t="str">
        <x:v>E323</x:v>
      </x:c>
      <x:c r="B324" s="2" t="str">
        <x:v>***建筑装饰工程有限公司</x:v>
      </x:c>
      <x:c r="C324" s="2" t="str">
        <x:v>无信贷记录</x:v>
      </x:c>
      <x:c r="D324" s="2" t="str"/>
      <x:c r="E324" s="2" t="str"/>
      <x:c r="F324" s="13" t="n">
        <x:v>-0.3804058572591752</x:v>
      </x:c>
      <x:c r="G324" s="13" t="n">
        <x:v>-0.38709280882792146</x:v>
      </x:c>
      <x:c r="H324" s="13" t="n">
        <x:v>-0.1678983250749873</x:v>
      </x:c>
      <x:c r="I324" s="13" t="n">
        <x:v>-0.2887511126877555</x:v>
      </x:c>
      <x:c r="J324" s="13" t="n">
        <x:v>-0.4839794033868387</x:v>
      </x:c>
      <x:c r="K324" s="13" t="n">
        <x:v>-0.4780639797011829</x:v>
      </x:c>
      <x:c r="L324" s="13" t="n">
        <x:v>-0.26768331717777677</x:v>
      </x:c>
      <x:c r="M324" s="13" t="n">
        <x:v>1.3782547036637058</x:v>
      </x:c>
      <x:c r="N324" s="13" t="n">
        <x:v>0.20143333805010613</x:v>
      </x:c>
      <x:c r="O324" s="13" t="n">
        <x:v>-0.7355748731603288</x:v>
      </x:c>
      <x:c r="P324" s="13" t="n">
        <x:v>-0.733546603467608</x:v>
      </x:c>
      <x:c r="Q324" s="13" t="n">
        <x:v>-0.46522060301968615</x:v>
      </x:c>
      <x:c r="R324" s="13" t="n">
        <x:v>0.22278990257681644</x:v>
      </x:c>
      <x:c r="S324" s="13" t="n">
        <x:v>2.220788164239674</x:v>
      </x:c>
      <x:c r="T324" s="13" t="n">
        <x:v>-0.21185721589154644</x:v>
      </x:c>
      <x:c r="U324" s="13" t="n">
        <x:v>-0.47274109548091026</x:v>
      </x:c>
      <x:c r="V324" s="13" t="n">
        <x:v>-0.48126598358121137</x:v>
      </x:c>
      <x:c r="W324" s="13" t="n">
        <x:v>-0.2755235027035847</x:v>
      </x:c>
      <x:c r="X324" s="13" t="n">
        <x:v>-0.3910667203118402</x:v>
      </x:c>
      <x:c r="Y324" s="13" t="n">
        <x:v>-0.4978268314528318</x:v>
      </x:c>
      <x:c r="Z324" s="13" t="n">
        <x:v>-0.4353774208122044</x:v>
      </x:c>
      <x:c r="AA324" s="13" t="n">
        <x:v>-0.3640349934651633</x:v>
      </x:c>
      <x:c r="AB324" s="13" t="n">
        <x:v>1.3819013113953655</x:v>
      </x:c>
      <x:c r="AC324" s="13" t="n">
        <x:v>-0.6980651016988949</x:v>
      </x:c>
      <x:c r="AD324" s="13" t="n">
        <x:v>0.6148401244035404</x:v>
      </x:c>
      <x:c r="AE324" s="13" t="n">
        <x:v>0.6668691430949234</x:v>
      </x:c>
      <x:c r="AF324" s="13" t="n">
        <x:v>-0.4849994339894372</x:v>
      </x:c>
      <x:c r="AG324" s="13" t="n">
        <x:v>0.5828081408692192</x:v>
      </x:c>
      <x:c r="AH324" s="13" t="n">
        <x:v>2.48443817769158</x:v>
      </x:c>
      <x:c r="AI324" s="13" t="n">
        <x:v>-1.1549884774040124</x:v>
      </x:c>
      <x:c r="AJ324" s="13" t="n">
        <x:v>-0.3841425601630941</x:v>
      </x:c>
      <x:c r="AK324" s="13" t="n">
        <x:v>-0.05412400929399817</x:v>
      </x:c>
      <x:c r="AL324" s="13" t="n">
        <x:v>0.8393352969026756</x:v>
      </x:c>
      <x:c r="AM324" s="13" t="n">
        <x:v>-0.37964879922293815</x:v>
      </x:c>
      <x:c r="AN324" s="13" t="n">
        <x:v>-0.1487184235893252</x:v>
      </x:c>
      <x:c r="AO324" s="13" t="n">
        <x:v>0.42460505926913783</x:v>
      </x:c>
      <x:c r="AP324" s="13" t="n">
        <x:v>2.672337855261514</x:v>
      </x:c>
    </x:row>
    <x:row r="325" ht="15" hidden="0" customHeight="1">
      <x:c r="A325" s="2" t="str">
        <x:v>E324</x:v>
      </x:c>
      <x:c r="B325" s="2" t="str">
        <x:v>***汽贸有限公司</x:v>
      </x:c>
      <x:c r="C325" s="2" t="str">
        <x:v>无信贷记录</x:v>
      </x:c>
      <x:c r="D325" s="2" t="str"/>
      <x:c r="E325" s="2" t="str"/>
      <x:c r="F325" s="13" t="n">
        <x:v>0.1387950572413989</x:v>
      </x:c>
      <x:c r="G325" s="13" t="n">
        <x:v>0.14083394603951324</x:v>
      </x:c>
      <x:c r="H325" s="13" t="n">
        <x:v>0.0340949667874267</x:v>
      </x:c>
      <x:c r="I325" s="13" t="n">
        <x:v>-0.20298745143099672</x:v>
      </x:c>
      <x:c r="J325" s="13" t="n">
        <x:v>1.264308053501783</x:v>
      </x:c>
      <x:c r="K325" s="13" t="n">
        <x:v>1.2311646221937154</x:v>
      </x:c>
      <x:c r="L325" s="13" t="n">
        <x:v>-0.4654420203782883</x:v>
      </x:c>
      <x:c r="M325" s="13" t="n">
        <x:v>0.08073672021085303</x:v>
      </x:c>
      <x:c r="N325" s="13" t="n">
        <x:v>-0.3086258694363565</x:v>
      </x:c>
      <x:c r="O325" s="13" t="n">
        <x:v>-0.018016411939654375</x:v>
      </x:c>
      <x:c r="P325" s="13" t="n">
        <x:v>0.3046335894398578</x:v>
      </x:c>
      <x:c r="Q325" s="13" t="n">
        <x:v>1.2191877379251845</x:v>
      </x:c>
      <x:c r="R325" s="13" t="n">
        <x:v>-1.156963168530449</x:v>
      </x:c>
      <x:c r="S325" s="13" t="n">
        <x:v>-0.10064552981186889</x:v>
      </x:c>
      <x:c r="T325" s="13" t="n">
        <x:v>0.8241600270927416</x:v>
      </x:c>
      <x:c r="U325" s="13" t="n">
        <x:v>-0.34047574582793905</x:v>
      </x:c>
      <x:c r="V325" s="13" t="n">
        <x:v>-0.35671645377215977</x:v>
      </x:c>
      <x:c r="W325" s="13" t="n">
        <x:v>-0.058229502855769735</x:v>
      </x:c>
      <x:c r="X325" s="13" t="n">
        <x:v>-0.2669602715868311</x:v>
      </x:c>
      <x:c r="Y325" s="13" t="n">
        <x:v>-0.4142331646713542</x:v>
      </x:c>
      <x:c r="Z325" s="13" t="n">
        <x:v>-0.36739120304809497</x:v>
      </x:c>
      <x:c r="AA325" s="13" t="n">
        <x:v>-0.2982382756603923</x:v>
      </x:c>
      <x:c r="AB325" s="13" t="n">
        <x:v>0.508416125717328</x:v>
      </x:c>
      <x:c r="AC325" s="13" t="n">
        <x:v>-0.10578486612936162</x:v>
      </x:c>
      <x:c r="AD325" s="13" t="n">
        <x:v>0.63546084080056</x:v>
      </x:c>
      <x:c r="AE325" s="13" t="n">
        <x:v>1.0342877096918563</x:v>
      </x:c>
      <x:c r="AF325" s="13" t="n">
        <x:v>-0.43619340623094943</x:v>
      </x:c>
      <x:c r="AG325" s="13" t="n">
        <x:v>-0.6639411215293767</x:v>
      </x:c>
      <x:c r="AH325" s="13" t="n">
        <x:v>-0.5544357829346852</x:v>
      </x:c>
      <x:c r="AI325" s="13" t="n">
        <x:v>0.9582284477355555</x:v>
      </x:c>
      <x:c r="AJ325" s="13" t="n">
        <x:v>-1.4358539357567408</x:v>
      </x:c>
      <x:c r="AK325" s="13" t="n">
        <x:v>1.7955762540162998</x:v>
      </x:c>
      <x:c r="AL325" s="13" t="n">
        <x:v>-0.1587593140706191</x:v>
      </x:c>
      <x:c r="AM325" s="13" t="n">
        <x:v>-0.41188002700826587</x:v>
      </x:c>
      <x:c r="AN325" s="13" t="n">
        <x:v>0.3810488434952679</x:v>
      </x:c>
      <x:c r="AO325" s="13" t="n">
        <x:v>-1.0979583492956326</x:v>
      </x:c>
      <x:c r="AP325" s="13" t="n">
        <x:v>-0.34481795360261974</x:v>
      </x:c>
    </x:row>
    <x:row r="326" ht="15" hidden="0" customHeight="1">
      <x:c r="A326" s="2" t="str">
        <x:v>E325</x:v>
      </x:c>
      <x:c r="B326" s="2" t="str">
        <x:v>***通讯器材有限公司</x:v>
      </x:c>
      <x:c r="C326" s="2" t="str">
        <x:v>无信贷记录</x:v>
      </x:c>
      <x:c r="D326" s="2" t="str"/>
      <x:c r="E326" s="2" t="str"/>
      <x:c r="F326" s="13" t="n">
        <x:v>-0.366962262151571</x:v>
      </x:c>
      <x:c r="G326" s="13" t="n">
        <x:v>-0.3655154210268001</x:v>
      </x:c>
      <x:c r="H326" s="13" t="n">
        <x:v>-0.3379979392749149</x:v>
      </x:c>
      <x:c r="I326" s="13" t="n">
        <x:v>0.054303532339279606</x:v>
      </x:c>
      <x:c r="J326" s="13" t="n">
        <x:v>0.13906608487773975</x:v>
      </x:c>
      <x:c r="K326" s="13" t="n">
        <x:v>0.12415008263801824</x:v>
      </x:c>
      <x:c r="L326" s="13" t="n">
        <x:v>-0.5232484105445917</x:v>
      </x:c>
      <x:c r="M326" s="13" t="n">
        <x:v>0.08060263015767344</x:v>
      </x:c>
      <x:c r="N326" s="13" t="n">
        <x:v>1.8046225316412288</x:v>
      </x:c>
      <x:c r="O326" s="13" t="n">
        <x:v>1.1569441885914162</x:v>
      </x:c>
      <x:c r="P326" s="13" t="n">
        <x:v>1.3658690061962497</x:v>
      </x:c>
      <x:c r="Q326" s="13" t="n">
        <x:v>0.11198439945485669</x:v>
      </x:c>
      <x:c r="R326" s="13" t="n">
        <x:v>-1.1396435665565052</x:v>
      </x:c>
      <x:c r="S326" s="13" t="n">
        <x:v>0.1365791039918626</x:v>
      </x:c>
      <x:c r="T326" s="13" t="n">
        <x:v>0.8241600270927416</x:v>
      </x:c>
      <x:c r="U326" s="13" t="n">
        <x:v>1.6429775453823545</x:v>
      </x:c>
      <x:c r="V326" s="13" t="n">
        <x:v>1.6977897541591331</x:v>
      </x:c>
      <x:c r="W326" s="13" t="n">
        <x:v>0.7060459448848209</x:v>
      </x:c>
      <x:c r="X326" s="13" t="n">
        <x:v>0.20878111519237025</x:v>
      </x:c>
      <x:c r="Y326" s="13" t="n">
        <x:v>-0.4318767552087592</x:v>
      </x:c>
      <x:c r="Z326" s="13" t="n">
        <x:v>-0.3820293218619143</x:v>
      </x:c>
      <x:c r="AA326" s="13" t="n">
        <x:v>3.17018870576254</x:v>
      </x:c>
      <x:c r="AB326" s="13" t="n">
        <x:v>-0.6660482158770753</x:v>
      </x:c>
      <x:c r="AC326" s="13" t="n">
        <x:v>-0.45551294824208904</x:v>
      </x:c>
      <x:c r="AD326" s="13" t="n">
        <x:v>-0.3893144621308967</x:v>
      </x:c>
      <x:c r="AE326" s="13" t="n">
        <x:v>-0.22333605479474355</x:v>
      </x:c>
      <x:c r="AF326" s="13" t="n">
        <x:v>-0.45660722336175635</x:v>
      </x:c>
      <x:c r="AG326" s="13" t="n">
        <x:v>-1.0714611418769033</x:v>
      </x:c>
      <x:c r="AH326" s="13" t="n">
        <x:v>-0.5112318312471403</x:v>
      </x:c>
      <x:c r="AI326" s="13" t="n">
        <x:v>1.058857825123154</x:v>
      </x:c>
      <x:c r="AJ326" s="13" t="n">
        <x:v>-0.7550431382996722</x:v>
      </x:c>
      <x:c r="AK326" s="13" t="n">
        <x:v>0.6084478223675979</x:v>
      </x:c>
      <x:c r="AL326" s="13" t="n">
        <x:v>-0.5305601720382888</x:v>
      </x:c>
      <x:c r="AM326" s="13" t="n">
        <x:v>-0.24766406772644303</x:v>
      </x:c>
      <x:c r="AN326" s="13" t="n">
        <x:v>0.5948084399719563</x:v>
      </x:c>
      <x:c r="AO326" s="13" t="n">
        <x:v>-1.2780937651092092</x:v>
      </x:c>
      <x:c r="AP326" s="13" t="n">
        <x:v>-0.17773501554635204</x:v>
      </x:c>
    </x:row>
    <x:row r="327" ht="15" hidden="0" customHeight="1">
      <x:c r="A327" s="2" t="str">
        <x:v>E326</x:v>
      </x:c>
      <x:c r="B327" s="2" t="str">
        <x:v>***包装材料有限公司</x:v>
      </x:c>
      <x:c r="C327" s="2" t="str">
        <x:v>无信贷记录</x:v>
      </x:c>
      <x:c r="D327" s="2" t="str"/>
      <x:c r="E327" s="2" t="str"/>
      <x:c r="F327" s="13" t="n">
        <x:v>-0.4800738899534818</x:v>
      </x:c>
      <x:c r="G327" s="13" t="n">
        <x:v>-0.4820333151528552</x:v>
      </x:c>
      <x:c r="H327" s="13" t="n">
        <x:v>-0.3486291651624103</x:v>
      </x:c>
      <x:c r="I327" s="13" t="n">
        <x:v>-0.46027843520127304</x:v>
      </x:c>
      <x:c r="J327" s="13" t="n">
        <x:v>-0.36638642474986627</x:v>
      </x:c>
      <x:c r="K327" s="13" t="n">
        <x:v>-0.3724109970190636</x:v>
      </x:c>
      <x:c r="L327" s="13" t="n">
        <x:v>-0.599309450237096</x:v>
      </x:c>
      <x:c r="M327" s="13" t="n">
        <x:v>0.997162529815605</x:v>
      </x:c>
      <x:c r="N327" s="13" t="n">
        <x:v>-0.7216149855326618</x:v>
      </x:c>
      <x:c r="O327" s="13" t="n">
        <x:v>-0.6662394747898841</x:v>
      </x:c>
      <x:c r="P327" s="13" t="n">
        <x:v>-0.6859533960530517</x:v>
      </x:c>
      <x:c r="Q327" s="13" t="n">
        <x:v>-0.36767847780133167</x:v>
      </x:c>
      <x:c r="R327" s="13" t="n">
        <x:v>-1.0219571292713359</x:v>
      </x:c>
      <x:c r="S327" s="13" t="n">
        <x:v>-0.7284022564905801</x:v>
      </x:c>
      <x:c r="T327" s="13" t="n">
        <x:v>0.44742648418936415</x:v>
      </x:c>
      <x:c r="U327" s="13" t="n">
        <x:v>-0.45535162719984235</x:v>
      </x:c>
      <x:c r="V327" s="13" t="n">
        <x:v>-0.4453598128254488</x:v>
      </x:c>
      <x:c r="W327" s="13" t="n">
        <x:v>-0.5078032956443524</x:v>
      </x:c>
      <x:c r="X327" s="13" t="n">
        <x:v>-0.3910667203118402</x:v>
      </x:c>
      <x:c r="Y327" s="13" t="n">
        <x:v>-0.4342195427200996</x:v>
      </x:c>
      <x:c r="Z327" s="13" t="n">
        <x:v>-0.3860309825178341</x:v>
      </x:c>
      <x:c r="AA327" s="13" t="n">
        <x:v>-0.314687455111585</x:v>
      </x:c>
      <x:c r="AB327" s="13" t="n">
        <x:v>-0.31078942613593297</x:v>
      </x:c>
      <x:c r="AC327" s="13" t="n">
        <x:v>-0.6980651016988949</x:v>
      </x:c>
      <x:c r="AD327" s="13" t="n">
        <x:v>-0.22415925465376252</x:v>
      </x:c>
      <x:c r="AE327" s="13" t="n">
        <x:v>0.08993529546064215</x:v>
      </x:c>
      <x:c r="AF327" s="13" t="n">
        <x:v>-0.44163158988938733</x:v>
      </x:c>
      <x:c r="AG327" s="13" t="n">
        <x:v>-0.8672716229764452</x:v>
      </x:c>
      <x:c r="AH327" s="13" t="n">
        <x:v>-0.639715891046605</x:v>
      </x:c>
      <x:c r="AI327" s="13" t="n">
        <x:v>0.5557109381851616</x:v>
      </x:c>
      <x:c r="AJ327" s="13" t="n">
        <x:v>-0.36952400729394835</x:v>
      </x:c>
      <x:c r="AK327" s="13" t="n">
        <x:v>-0.05789311692992935</x:v>
      </x:c>
      <x:c r="AL327" s="13" t="n">
        <x:v>-0.07565962773845915</x:v>
      </x:c>
      <x:c r="AM327" s="13" t="n">
        <x:v>-0.7815911692517314</x:v>
      </x:c>
      <x:c r="AN327" s="13" t="n">
        <x:v>-0.6168848608905483</x:v>
      </x:c>
      <x:c r="AO327" s="13" t="n">
        <x:v>-1.1021551509150673</x:v>
      </x:c>
      <x:c r="AP327" s="13" t="n">
        <x:v>-0.7723325872302955</x:v>
      </x:c>
    </x:row>
    <x:row r="328" ht="15" hidden="0" customHeight="1">
      <x:c r="A328" s="2" t="str">
        <x:v>E327</x:v>
      </x:c>
      <x:c r="B328" s="2" t="str">
        <x:v>个体经营E327 </x:v>
      </x:c>
      <x:c r="C328" s="2" t="str">
        <x:v>无信贷记录</x:v>
      </x:c>
      <x:c r="D328" s="2" t="str"/>
      <x:c r="E328" s="2" t="str"/>
      <x:c r="F328" s="13" t="n">
        <x:v>-0.39014087440606093</x:v>
      </x:c>
      <x:c r="G328" s="13" t="n">
        <x:v>-0.3880518038413046</x:v>
      </x:c>
      <x:c r="H328" s="13" t="n">
        <x:v>-0.3698916169374013</x:v>
      </x:c>
      <x:c r="I328" s="13" t="n">
        <x:v>-0.46027843520127304</x:v>
      </x:c>
      <x:c r="J328" s="13" t="n">
        <x:v>-0.32342748280838707</x:v>
      </x:c>
      <x:c r="K328" s="13" t="n">
        <x:v>-0.330211504363644</x:v>
      </x:c>
      <x:c r="L328" s="13" t="n">
        <x:v>-0.529333293719992</x:v>
      </x:c>
      <x:c r="M328" s="13" t="n">
        <x:v>-0.03109624650277696</x:v>
      </x:c>
      <x:c r="N328" s="13" t="n">
        <x:v>-0.7216149855326618</x:v>
      </x:c>
      <x:c r="O328" s="13" t="n">
        <x:v>-0.31171154099575343</x:v>
      </x:c>
      <x:c r="P328" s="13" t="n">
        <x:v>-0.16707955397103033</x:v>
      </x:c>
      <x:c r="Q328" s="13" t="n">
        <x:v>-0.2864602173223663</x:v>
      </x:c>
      <x:c r="R328" s="13" t="n">
        <x:v>-0.669771277876328</x:v>
      </x:c>
      <x:c r="S328" s="13" t="n">
        <x:v>-0.9437185509539517</x:v>
      </x:c>
      <x:c r="T328" s="13" t="n">
        <x:v>0.16487632701183103</x:v>
      </x:c>
      <x:c r="U328" s="13" t="n">
        <x:v>-0.416884015547783</x:v>
      </x:c>
      <x:c r="V328" s="13" t="n">
        <x:v>-0.4060874385613334</x:v>
      </x:c>
      <x:c r="W328" s="13" t="n">
        <x:v>-0.4853246060049233</x:v>
      </x:c>
      <x:c r="X328" s="13" t="n">
        <x:v>-0.3703823121910053</x:v>
      </x:c>
      <x:c r="Y328" s="13" t="n">
        <x:v>-0.35911897455804176</x:v>
      </x:c>
      <x:c r="Z328" s="13" t="n">
        <x:v>-0.3274069240960745</x:v>
      </x:c>
      <x:c r="AA328" s="13" t="n">
        <x:v>-0.38283405569509793</x:v>
      </x:c>
      <x:c r="AB328" s="13" t="n">
        <x:v>-0.4103268906609316</x:v>
      </x:c>
      <x:c r="AC328" s="13" t="n">
        <x:v>-0.5647430566404144</x:v>
      </x:c>
      <x:c r="AD328" s="13" t="n">
        <x:v>2.6113680297073376</x:v>
      </x:c>
      <x:c r="AE328" s="13" t="n">
        <x:v>2.29401643168108</x:v>
      </x:c>
      <x:c r="AF328" s="13" t="n">
        <x:v>-0.3769200385190478</x:v>
      </x:c>
      <x:c r="AG328" s="13" t="n">
        <x:v>-0.8570648936256396</x:v>
      </x:c>
      <x:c r="AH328" s="13" t="n">
        <x:v>-0.9554635163458333</x:v>
      </x:c>
      <x:c r="AI328" s="13" t="n">
        <x:v>0.857599070347957</x:v>
      </x:c>
      <x:c r="AJ328" s="13" t="n">
        <x:v>-0.278397678951854</x:v>
      </x:c>
      <x:c r="AK328" s="13" t="n">
        <x:v>-0.1318010068726676</x:v>
      </x:c>
      <x:c r="AL328" s="13" t="n">
        <x:v>-0.467904341212808</x:v>
      </x:c>
      <x:c r="AM328" s="13" t="n">
        <x:v>-0.6996050163692893</x:v>
      </x:c>
      <x:c r="AN328" s="13" t="n">
        <x:v>1.3896536930550272</x:v>
      </x:c>
      <x:c r="AO328" s="13" t="n">
        <x:v>-0.8585508378740585</x:v>
      </x:c>
      <x:c r="AP328" s="13" t="n">
        <x:v>-1.0632518851789445</x:v>
      </x:c>
    </x:row>
    <x:row r="329" ht="15" hidden="0" customHeight="1">
      <x:c r="A329" s="2" t="str">
        <x:v>E328</x:v>
      </x:c>
      <x:c r="B329" s="2" t="str">
        <x:v>***科技有限公司</x:v>
      </x:c>
      <x:c r="C329" s="2" t="str">
        <x:v>无信贷记录</x:v>
      </x:c>
      <x:c r="D329" s="2" t="str"/>
      <x:c r="E329" s="2" t="str"/>
      <x:c r="F329" s="13" t="n">
        <x:v>-0.3970944580824079</x:v>
      </x:c>
      <x:c r="G329" s="13" t="n">
        <x:v>-0.3971622564684447</x:v>
      </x:c>
      <x:c r="H329" s="13" t="n">
        <x:v>-0.3273667133874194</x:v>
      </x:c>
      <x:c r="I329" s="13" t="n">
        <x:v>-0.2458692820593761</x:v>
      </x:c>
      <x:c r="J329" s="13" t="n">
        <x:v>-0.5182031614829073</x:v>
      </x:c>
      <x:c r="K329" s="13" t="n">
        <x:v>-0.5214620581828456</x:v>
      </x:c>
      <x:c r="L329" s="13" t="n">
        <x:v>-0.43197516291358634</x:v>
      </x:c>
      <x:c r="M329" s="13" t="n">
        <x:v>0.3353578710850827</x:v>
      </x:c>
      <x:c r="N329" s="13" t="n">
        <x:v>0.48640127687431634</x:v>
      </x:c>
      <x:c r="O329" s="13" t="n">
        <x:v>-0.40804516274433666</x:v>
      </x:c>
      <x:c r="P329" s="13" t="n">
        <x:v>-0.18315756919070522</x:v>
      </x:c>
      <x:c r="Q329" s="13" t="n">
        <x:v>-0.5228325604775456</x:v>
      </x:c>
      <x:c r="R329" s="13" t="n">
        <x:v>0.4335823474884315</x:v>
      </x:c>
      <x:c r="S329" s="13" t="n">
        <x:v>0.982949083263665</x:v>
      </x:c>
      <x:c r="T329" s="13" t="n">
        <x:v>0.07069294128598666</x:v>
      </x:c>
      <x:c r="U329" s="13" t="n">
        <x:v>-0.47326804906518505</x:v>
      </x:c>
      <x:c r="V329" s="13" t="n">
        <x:v>-0.466118067793624</x:v>
      </x:c>
      <x:c r="W329" s="13" t="n">
        <x:v>-0.4853246060049233</x:v>
      </x:c>
      <x:c r="X329" s="13" t="n">
        <x:v>-0.3083290878285008</x:v>
      </x:c>
      <x:c r="Y329" s="13" t="n">
        <x:v>-0.46884404064136054</x:v>
      </x:c>
      <x:c r="Z329" s="13" t="n">
        <x:v>-0.40620507780696746</x:v>
      </x:c>
      <x:c r="AA329" s="13" t="n">
        <x:v>-0.2958883928816505</x:v>
      </x:c>
      <x:c r="AB329" s="13" t="n">
        <x:v>-0.012844943319237965</x:v>
      </x:c>
      <x:c r="AC329" s="13" t="n">
        <x:v>0.23148582356995592</x:v>
      </x:c>
      <x:c r="AD329" s="13" t="n">
        <x:v>-0.649933977598232</x:v>
      </x:c>
      <x:c r="AE329" s="13" t="n">
        <x:v>-0.8104375957007935</x:v>
      </x:c>
      <x:c r="AF329" s="13" t="n">
        <x:v>-0.4668650114537371</x:v>
      </x:c>
      <x:c r="AG329" s="13" t="n">
        <x:v>0.30136258930670945</x:v>
      </x:c>
      <x:c r="AH329" s="13" t="n">
        <x:v>1.7393190004345394</x:v>
      </x:c>
      <x:c r="AI329" s="13" t="n">
        <x:v>-0.14869470352802777</x:v>
      </x:c>
      <x:c r="AJ329" s="13" t="n">
        <x:v>-0.3098375349540487</x:v>
      </x:c>
      <x:c r="AK329" s="13" t="n">
        <x:v>-0.24995016830374006</x:v>
      </x:c>
      <x:c r="AL329" s="13" t="n">
        <x:v>-0.2086710603265888</x:v>
      </x:c>
      <x:c r="AM329" s="13" t="n">
        <x:v>0.1135977386169643</x:v>
      </x:c>
      <x:c r="AN329" s="13" t="n">
        <x:v>-0.6937823355269396</x:v>
      </x:c>
      <x:c r="AO329" s="13" t="n">
        <x:v>0.43501488409352035</x:v>
      </x:c>
      <x:c r="AP329" s="13" t="n">
        <x:v>1.4741690019220162</x:v>
      </x:c>
    </x:row>
    <x:row r="330" ht="15" hidden="0" customHeight="1">
      <x:c r="A330" s="2" t="str">
        <x:v>E329</x:v>
      </x:c>
      <x:c r="B330" s="2" t="str">
        <x:v>***园艺有限责任公司</x:v>
      </x:c>
      <x:c r="C330" s="2" t="str">
        <x:v>无信贷记录</x:v>
      </x:c>
      <x:c r="D330" s="2" t="str"/>
      <x:c r="E330" s="2" t="str"/>
      <x:c r="F330" s="13" t="n">
        <x:v>-0.6103376908237151</x:v>
      </x:c>
      <x:c r="G330" s="13" t="n">
        <x:v>-0.6091001544261251</x:v>
      </x:c>
      <x:c r="H330" s="13" t="n">
        <x:v>-0.518728779362338</x:v>
      </x:c>
      <x:c r="I330" s="13" t="n">
        <x:v>-0.46027843520127304</x:v>
      </x:c>
      <x:c r="J330" s="13" t="n">
        <x:v>-0.5700758516221788</x:v>
      </x:c>
      <x:c r="K330" s="13" t="n">
        <x:v>-0.5724995021082749</x:v>
      </x:c>
      <x:c r="L330" s="13" t="n">
        <x:v>-0.7027524642189021</x:v>
      </x:c>
      <x:c r="M330" s="13" t="n">
        <x:v>-1.151103901665672</x:v>
      </x:c>
      <x:c r="N330" s="13" t="n">
        <x:v>-0.7216149855326618</x:v>
      </x:c>
      <x:c r="O330" s="13" t="n">
        <x:v>0.0694543150507133</x:v>
      </x:c>
      <x:c r="P330" s="13" t="n">
        <x:v>0.09601942147857222</x:v>
      </x:c>
      <x:c r="Q330" s="13" t="n">
        <x:v>-0.5857783370709597</x:v>
      </x:c>
      <x:c r="R330" s="13" t="n">
        <x:v>1.1369342276123497</x:v>
      </x:c>
      <x:c r="S330" s="13" t="n">
        <x:v>-0.8477158001174756</x:v>
      </x:c>
      <x:c r="T330" s="13" t="n">
        <x:v>-2.2838917018601226</x:v>
      </x:c>
      <x:c r="U330" s="13" t="n">
        <x:v>-0.49171142451480254</x:v>
      </x:c>
      <x:c r="V330" s="13" t="n">
        <x:v>-0.4773387461547999</x:v>
      </x:c>
      <x:c r="W330" s="13" t="n">
        <x:v>-0.5977180542020689</x:v>
      </x:c>
      <x:c r="X330" s="13" t="n">
        <x:v>-0.3910667203118402</x:v>
      </x:c>
      <x:c r="Y330" s="13" t="n">
        <x:v>-0.4504155885502132</x:v>
      </x:c>
      <x:c r="Z330" s="13" t="n">
        <x:v>-0.39859585035124667</x:v>
      </x:c>
      <x:c r="AA330" s="13" t="n">
        <x:v>-0.3616851106864215</x:v>
      </x:c>
      <x:c r="AB330" s="13" t="n">
        <x:v>-0.6995905406679817</x:v>
      </x:c>
      <x:c r="AC330" s="13" t="n">
        <x:v>-0.6980651016988949</x:v>
      </x:c>
      <x:c r="AD330" s="13" t="n">
        <x:v>-0.008197038486284138</x:v>
      </x:c>
      <x:c r="AE330" s="13" t="n">
        <x:v>0.13201004288507262</x:v>
      </x:c>
      <x:c r="AF330" s="13" t="n">
        <x:v>-0.44811926955664405</x:v>
      </x:c>
      <x:c r="AG330" s="13" t="n">
        <x:v>0.010644176338630344</x:v>
      </x:c>
      <x:c r="AH330" s="13" t="n">
        <x:v>0.9140207332567946</x:v>
      </x:c>
      <x:c r="AI330" s="13" t="n">
        <x:v>-0.9537297226288156</x:v>
      </x:c>
      <x:c r="AJ330" s="13" t="n">
        <x:v>-0.23939357576795037</x:v>
      </x:c>
      <x:c r="AK330" s="13" t="n">
        <x:v>-0.3429214597564249</x:v>
      </x:c>
      <x:c r="AL330" s="13" t="n">
        <x:v>-0.6041873188118336</x:v>
      </x:c>
      <x:c r="AM330" s="13" t="n">
        <x:v>-0.7815911692517314</x:v>
      </x:c>
      <x:c r="AN330" s="13" t="n">
        <x:v>0.04658324052141451</x:v>
      </x:c>
      <x:c r="AO330" s="13" t="n">
        <x:v>0.7750370188113728</x:v>
      </x:c>
      <x:c r="AP330" s="13" t="n">
        <x:v>-0.06293711203849126</x:v>
      </x:c>
    </x:row>
    <x:row r="331" ht="15" hidden="0" customHeight="1">
      <x:c r="A331" s="2" t="str">
        <x:v>E330</x:v>
      </x:c>
      <x:c r="B331" s="2" t="str">
        <x:v>***酒店管理有限公司</x:v>
      </x:c>
      <x:c r="C331" s="2" t="str">
        <x:v>无信贷记录</x:v>
      </x:c>
      <x:c r="D331" s="2" t="str"/>
      <x:c r="E331" s="2" t="str"/>
      <x:c r="F331" s="13" t="n">
        <x:v>0.02429271270421873</x:v>
      </x:c>
      <x:c r="G331" s="13" t="n">
        <x:v>0.0329470070339067</x:v>
      </x:c>
      <x:c r="H331" s="13" t="n">
        <x:v>-0.19979200273747372</x:v>
      </x:c>
      <x:c r="I331" s="13" t="n">
        <x:v>-0.20298745143099672</x:v>
      </x:c>
      <x:c r="J331" s="13" t="n">
        <x:v>-0.5128049135398297</x:v>
      </x:c>
      <x:c r="K331" s="13" t="n">
        <x:v>-0.5159372992764288</x:v>
      </x:c>
      <x:c r="L331" s="13" t="n">
        <x:v>0.000051542539838794125</x:v>
      </x:c>
      <x:c r="M331" s="13" t="n">
        <x:v>-0.31267022344017353</x:v>
      </x:c>
      <x:c r="N331" s="13" t="n">
        <x:v>-0.23948706651844825</x:v>
      </x:c>
      <x:c r="O331" s="13" t="n">
        <x:v>-0.7220752233233925</x:v>
      </x:c>
      <x:c r="P331" s="13" t="n">
        <x:v>-0.7719391692129428</x:v>
      </x:c>
      <x:c r="Q331" s="13" t="n">
        <x:v>-0.5262148758840396</x:v>
      </x:c>
      <x:c r="R331" s="13" t="n">
        <x:v>-0.8643508903093076</x:v>
      </x:c>
      <x:c r="S331" s="13" t="n">
        <x:v>0.221066186962666</x:v>
      </x:c>
      <x:c r="T331" s="13" t="n">
        <x:v>0.5416098699152085</x:v>
      </x:c>
      <x:c r="U331" s="13" t="n">
        <x:v>3.567938988738147</x:v>
      </x:c>
      <x:c r="V331" s="13" t="n">
        <x:v>3.814009693076893</x:v>
      </x:c>
      <x:c r="W331" s="13" t="n">
        <x:v>-0.18560874414586817</x:v>
      </x:c>
      <x:c r="X331" s="13" t="n">
        <x:v>0.31220315579654445</x:v>
      </x:c>
      <x:c r="Y331" s="13" t="n">
        <x:v>-0.4738802569490126</x:v>
      </x:c>
      <x:c r="Z331" s="13" t="n">
        <x:v>-0.4164383201813357</x:v>
      </x:c>
      <x:c r="AA331" s="13" t="n">
        <x:v>2.9399001934458413</x:v>
      </x:c>
      <x:c r="AB331" s="13" t="n">
        <x:v>-0.9563191237790778</x:v>
      </x:c>
      <x:c r="AC331" s="13" t="n">
        <x:v>-0.5516904287889407</x:v>
      </x:c>
      <x:c r="AD331" s="13" t="n">
        <x:v>0.04977426057050004</x:v>
      </x:c>
      <x:c r="AE331" s="13" t="n">
        <x:v>0.35940547994355254</x:v>
      </x:c>
      <x:c r="AF331" s="13" t="n">
        <x:v>-0.4966706585373131</x:v>
      </x:c>
      <x:c r="AG331" s="13" t="n">
        <x:v>-1.0373700435278157</x:v>
      </x:c>
      <x:c r="AH331" s="13" t="n">
        <x:v>0.08604347771506922</x:v>
      </x:c>
      <x:c r="AI331" s="13" t="n">
        <x:v>1.058857825123154</x:v>
      </x:c>
      <x:c r="AJ331" s="13" t="n">
        <x:v>-0.32232651552693226</x:v>
      </x:c>
      <x:c r="AK331" s="13" t="n">
        <x:v>-0.2228467815603003</x:v>
      </x:c>
      <x:c r="AL331" s="13" t="n">
        <x:v>-1.0756967206319892</x:v>
      </x:c>
      <x:c r="AM331" s="13" t="n">
        <x:v>-0.5236814550180536</x:v>
      </x:c>
      <x:c r="AN331" s="13" t="n">
        <x:v>-0.4879488388552576</x:v>
      </x:c>
      <x:c r="AO331" s="13" t="n">
        <x:v>-1.075380785686498</x:v>
      </x:c>
      <x:c r="AP331" s="13" t="n">
        <x:v>0.1748197965503318</x:v>
      </x:c>
    </x:row>
    <x:row r="332" ht="15" hidden="0" customHeight="1">
      <x:c r="A332" s="2" t="str">
        <x:v>E331</x:v>
      </x:c>
      <x:c r="B332" s="2" t="str">
        <x:v>***广告有限公司</x:v>
      </x:c>
      <x:c r="C332" s="2" t="str">
        <x:v>无信贷记录</x:v>
      </x:c>
      <x:c r="D332" s="2" t="str"/>
      <x:c r="E332" s="2" t="str"/>
      <x:c r="F332" s="13" t="n">
        <x:v>-0.5459011487562332</x:v>
      </x:c>
      <x:c r="G332" s="13" t="n">
        <x:v>-0.5448474885294528</x:v>
      </x:c>
      <x:c r="H332" s="13" t="n">
        <x:v>-0.4655726499248605</x:v>
      </x:c>
      <x:c r="I332" s="13" t="n">
        <x:v>-0.4173966045728936</x:v>
      </x:c>
      <x:c r="J332" s="13" t="n">
        <x:v>-0.544717642646818</x:v>
      </x:c>
      <x:c r="K332" s="13" t="n">
        <x:v>-0.5475229794156912</x:v>
      </x:c>
      <x:c r="L332" s="13" t="n">
        <x:v>-0.48065422831678917</x:v>
      </x:c>
      <x:c r="M332" s="13" t="n">
        <x:v>0.1822385449568221</x:v>
      </x:c>
      <x:c r="N332" s="13" t="n">
        <x:v>0.05533935877801333</x:v>
      </x:c>
      <x:c r="O332" s="13" t="n">
        <x:v>-0.60895503404035</x:v>
      </x:c>
      <x:c r="P332" s="13" t="n">
        <x:v>-0.7078643734881492</x:v>
      </x:c>
      <x:c r="Q332" s="13" t="n">
        <x:v>-0.5608376663917003</x:v>
      </x:c>
      <x:c r="R332" s="13" t="n">
        <x:v>0.2925542122078487</x:v>
      </x:c>
      <x:c r="S332" s="13" t="n">
        <x:v>0.04205947343671215</x:v>
      </x:c>
      <x:c r="T332" s="13" t="n">
        <x:v>0.35324309846351976</x:v>
      </x:c>
      <x:c r="U332" s="13" t="n">
        <x:v>-0.5096278463801452</x:v>
      </x:c>
      <x:c r="V332" s="13" t="n">
        <x:v>-0.49753596720491633</x:v>
      </x:c>
      <x:c r="W332" s="13" t="n">
        <x:v>-0.5827322611091162</x:v>
      </x:c>
      <x:c r="X332" s="13" t="n">
        <x:v>-0.32901349594933565</x:v>
      </x:c>
      <x:c r="Y332" s="13" t="n">
        <x:v>-0.49380310952370177</x:v>
      </x:c>
      <x:c r="Z332" s="13" t="n">
        <x:v>-0.4305671517746477</x:v>
      </x:c>
      <x:c r="AA332" s="13" t="n">
        <x:v>-0.368734759022647</x:v>
      </x:c>
      <x:c r="AB332" s="13" t="n">
        <x:v>-0.41128882434559527</x:v>
      </x:c>
      <x:c r="AC332" s="13" t="n">
        <x:v>0.4427473974946947</x:v>
      </x:c>
      <x:c r="AD332" s="13" t="n">
        <x:v>0.21441136491030058</x:v>
      </x:c>
      <x:c r="AE332" s="13" t="n">
        <x:v>0.3712485293433143</x:v>
      </x:c>
      <x:c r="AF332" s="13" t="n">
        <x:v>-0.5089961467373619</x:v>
      </x:c>
      <x:c r="AG332" s="13" t="n">
        <x:v>1.175952710948257</x:v>
      </x:c>
      <x:c r="AH332" s="13" t="n">
        <x:v>-0.08579848157773383</x:v>
      </x:c>
      <x:c r="AI332" s="13" t="n">
        <x:v>-0.3499534583032247</x:v>
      </x:c>
      <x:c r="AJ332" s="13" t="n">
        <x:v>-0.3306950794466896</x:v>
      </x:c>
      <x:c r="AK332" s="13" t="n">
        <x:v>-0.2742537318917062</x:v>
      </x:c>
      <x:c r="AL332" s="13" t="n">
        <x:v>-0.3833862428500569</x:v>
      </x:c>
      <x:c r="AM332" s="13" t="n">
        <x:v>0.2542515024083747</x:v>
      </x:c>
      <x:c r="AN332" s="13" t="n">
        <x:v>-0.30476873090225737</x:v>
      </x:c>
      <x:c r="AO332" s="13" t="n">
        <x:v>0.7511879119443308</x:v>
      </x:c>
      <x:c r="AP332" s="13" t="n">
        <x:v>-0.021382845290339042</x:v>
      </x:c>
    </x:row>
    <x:row r="333" ht="15" hidden="0" customHeight="1">
      <x:c r="A333" s="2" t="str">
        <x:v>E332</x:v>
      </x:c>
      <x:c r="B333" s="2" t="str">
        <x:v>***商贸有限公司</x:v>
      </x:c>
      <x:c r="C333" s="2" t="str">
        <x:v>无信贷记录</x:v>
      </x:c>
      <x:c r="D333" s="2" t="str"/>
      <x:c r="E333" s="2" t="str"/>
      <x:c r="F333" s="13" t="n">
        <x:v>-0.22464558290900294</x:v>
      </x:c>
      <x:c r="G333" s="13" t="n">
        <x:v>-0.2197481789925584</x:v>
      </x:c>
      <x:c r="H333" s="13" t="n">
        <x:v>-0.30610426161242843</x:v>
      </x:c>
      <x:c r="I333" s="13" t="n">
        <x:v>-0.2458692820593761</x:v>
      </x:c>
      <x:c r="J333" s="13" t="n">
        <x:v>-0.20224343825700583</x:v>
      </x:c>
      <x:c r="K333" s="13" t="n">
        <x:v>-0.17085196209970774</x:v>
      </x:c>
      <x:c r="L333" s="13" t="n">
        <x:v>-0.08209438032806599</x:v>
      </x:c>
      <x:c r="M333" s="13" t="n">
        <x:v>-0.23353490614051473</x:v>
      </x:c>
      <x:c r="N333" s="13" t="n">
        <x:v>-0.06068075138832983</x:v>
      </x:c>
      <x:c r="O333" s="13" t="n">
        <x:v>-0.26442541859101976</x:v>
      </x:c>
      <x:c r="P333" s="13" t="n">
        <x:v>-0.1566332771017255</x:v>
      </x:c>
      <x:c r="Q333" s="13" t="n">
        <x:v>-0.22385362827939545</x:v>
      </x:c>
      <x:c r="R333" s="13" t="n">
        <x:v>-0.1635008321027005</x:v>
      </x:c>
      <x:c r="S333" s="13" t="n">
        <x:v>-0.8350476102173161</x:v>
      </x:c>
      <x:c r="T333" s="13" t="n">
        <x:v>0.8241600270927416</x:v>
      </x:c>
      <x:c r="U333" s="13" t="n">
        <x:v>-0.35523044618763305</x:v>
      </x:c>
      <x:c r="V333" s="13" t="n">
        <x:v>-0.3348361309678669</x:v>
      </x:c>
      <x:c r="W333" s="13" t="n">
        <x:v>-0.560253571469687</x:v>
      </x:c>
      <x:c r="X333" s="13" t="n">
        <x:v>-0.32901349594933565</x:v>
      </x:c>
      <x:c r="Y333" s="13" t="n">
        <x:v>-0.2219872955537258</x:v>
      </x:c>
      <x:c r="Z333" s="13" t="n">
        <x:v>-0.21933485659182272</x:v>
      </x:c>
      <x:c r="AA333" s="13" t="n">
        <x:v>-0.38518393847383975</x:v>
      </x:c>
      <x:c r="AB333" s="13" t="n">
        <x:v>-0.8067939741810091</x:v>
      </x:c>
      <x:c r="AC333" s="13" t="n">
        <x:v>-0.43247912305065184</x:v>
      </x:c>
      <x:c r="AD333" s="13" t="n">
        <x:v>2.3177994396943813</x:v>
      </x:c>
      <x:c r="AE333" s="13" t="n">
        <x:v>2.125477839870174</x:v>
      </x:c>
      <x:c r="AF333" s="13" t="n">
        <x:v>-0.12766450835263563</x:v>
      </x:c>
      <x:c r="AG333" s="13" t="n">
        <x:v>0.15684476765072433</x:v>
      </x:c>
      <x:c r="AH333" s="13" t="n">
        <x:v>-1.4574159491168752</x:v>
      </x:c>
      <x:c r="AI333" s="13" t="n">
        <x:v>-0.14869470352802777</x:v>
      </x:c>
      <x:c r="AJ333" s="13" t="n">
        <x:v>-0.14493138457700772</x:v>
      </x:c>
      <x:c r="AK333" s="13" t="n">
        <x:v>-0.1389414089856772</x:v>
      </x:c>
      <x:c r="AL333" s="13" t="n">
        <x:v>-0.8237532965970586</x:v>
      </x:c>
      <x:c r="AM333" s="13" t="n">
        <x:v>-0.38805763541600913</x:v>
      </x:c>
      <x:c r="AN333" s="13" t="n">
        <x:v>1.2424316053698958</x:v>
      </x:c>
      <x:c r="AO333" s="13" t="n">
        <x:v>-0.037881058068061885</x:v>
      </x:c>
      <x:c r="AP333" s="13" t="n">
        <x:v>-1.2494711819932227</x:v>
      </x:c>
    </x:row>
    <x:row r="334" ht="15" hidden="0" customHeight="1">
      <x:c r="A334" s="2" t="str">
        <x:v>E333</x:v>
      </x:c>
      <x:c r="B334" s="2" t="str">
        <x:v>***房地产营销策划有限公司</x:v>
      </x:c>
      <x:c r="C334" s="2" t="str">
        <x:v>无信贷记录</x:v>
      </x:c>
      <x:c r="D334" s="2" t="str"/>
      <x:c r="E334" s="2" t="str"/>
      <x:c r="F334" s="13" t="n">
        <x:v>-0.21908271596792536</x:v>
      </x:c>
      <x:c r="G334" s="13" t="n">
        <x:v>-0.2068017463118856</x:v>
      </x:c>
      <x:c r="H334" s="13" t="n">
        <x:v>-0.4655726499248605</x:v>
      </x:c>
      <x:c r="I334" s="13" t="n">
        <x:v>-0.2458692820593761</x:v>
      </x:c>
      <x:c r="J334" s="13" t="n">
        <x:v>-0.5416447937378611</x:v>
      </x:c>
      <x:c r="K334" s="13" t="n">
        <x:v>-0.5445063540862028</x:v>
      </x:c>
      <x:c r="L334" s="13" t="n">
        <x:v>-0.15207053684517005</x:v>
      </x:c>
      <x:c r="M334" s="13" t="n">
        <x:v>-0.9249539460547894</x:v>
      </x:c>
      <x:c r="N334" s="13" t="n">
        <x:v>-0.08182438210147797</x:v>
      </x:c>
      <x:c r="O334" s="13" t="n">
        <x:v>-0.5691385001779639</x:v>
      </x:c>
      <x:c r="P334" s="13" t="n">
        <x:v>-0.5041887029158342</x:v>
      </x:c>
      <x:c r="Q334" s="13" t="n">
        <x:v>-0.556214001494062</x:v>
      </x:c>
      <x:c r="R334" s="13" t="n">
        <x:v>0.2590584174620103</x:v>
      </x:c>
      <x:c r="S334" s="13" t="n">
        <x:v>0.8023676799755026</x:v>
      </x:c>
      <x:c r="T334" s="13" t="n">
        <x:v>0.2590597127376754</x:v>
      </x:c>
      <x:c r="U334" s="13" t="n">
        <x:v>-0.48749579584060426</x:v>
      </x:c>
      <x:c r="V334" s="13" t="n">
        <x:v>-0.47565564440062347</x:v>
      </x:c>
      <x:c r="W334" s="13" t="n">
        <x:v>-0.560253571469687</x:v>
      </x:c>
      <x:c r="X334" s="13" t="n">
        <x:v>-0.3703823121910053</x:v>
      </x:c>
      <x:c r="Y334" s="13" t="n">
        <x:v>-0.4851439888669586</x:v>
      </x:c>
      <x:c r="Z334" s="13" t="n">
        <x:v>-0.4253398052088948</x:v>
      </x:c>
      <x:c r="AA334" s="13" t="n">
        <x:v>-0.38518393847383975</x:v>
      </x:c>
      <x:c r="AB334" s="13" t="n">
        <x:v>-0.41699723372976694</x:v>
      </x:c>
      <x:c r="AC334" s="13" t="n">
        <x:v>-0.43457035122898446</x:v>
      </x:c>
      <x:c r="AD334" s="13" t="n">
        <x:v>1.5753343007340688</x:v>
      </x:c>
      <x:c r="AE334" s="13" t="n">
        <x:v>1.6514703847118954</x:v>
      </x:c>
      <x:c r="AF334" s="13" t="n">
        <x:v>-0.4975633720360053</x:v>
      </x:c>
      <x:c r="AG334" s="13" t="n">
        <x:v>-0.4802707207908101</x:v>
      </x:c>
      <x:c r="AH334" s="13" t="n">
        <x:v>0.12221497935381113</x:v>
      </x:c>
      <x:c r="AI334" s="13" t="n">
        <x:v>0.15319342863476768</x:v>
      </x:c>
      <x:c r="AJ334" s="13" t="n">
        <x:v>-0.31873959954381953</x:v>
      </x:c>
      <x:c r="AK334" s="13" t="n">
        <x:v>-0.27354601769242054</x:v>
      </x:c>
      <x:c r="AL334" s="13" t="n">
        <x:v>-0.9825906676132242</x:v>
      </x:c>
      <x:c r="AM334" s="13" t="n">
        <x:v>-0.41835282764486625</x:v>
      </x:c>
      <x:c r="AN334" s="13" t="n">
        <x:v>0.5643614467803947</x:v>
      </x:c>
      <x:c r="AO334" s="13" t="n">
        <x:v>-0.05134895559904854</x:v>
      </x:c>
      <x:c r="AP334" s="13" t="n">
        <x:v>0.5491438722435101</x:v>
      </x:c>
    </x:row>
    <x:row r="335" ht="15" hidden="0" customHeight="1">
      <x:c r="A335" s="2" t="str">
        <x:v>E334</x:v>
      </x:c>
      <x:c r="B335" s="2" t="str">
        <x:v>***机械科技有限公司</x:v>
      </x:c>
      <x:c r="C335" s="2" t="str">
        <x:v>无信贷记录</x:v>
      </x:c>
      <x:c r="D335" s="2" t="str"/>
      <x:c r="E335" s="2" t="str"/>
      <x:c r="F335" s="13" t="n">
        <x:v>-0.5431197152856944</x:v>
      </x:c>
      <x:c r="G335" s="13" t="n">
        <x:v>-0.54101150847592</x:v>
      </x:c>
      <x:c r="H335" s="13" t="n">
        <x:v>-0.4868351016998515</x:v>
      </x:c>
      <x:c r="I335" s="13" t="n">
        <x:v>-0.46027843520127304</x:v>
      </x:c>
      <x:c r="J335" s="13" t="n">
        <x:v>-0.44439101745015286</x:v>
      </x:c>
      <x:c r="K335" s="13" t="n">
        <x:v>-0.4490365861974223</x:v>
      </x:c>
      <x:c r="L335" s="13" t="n">
        <x:v>-0.6388611908771984</x:v>
      </x:c>
      <x:c r="M335" s="13" t="n">
        <x:v>-0.38309865241111535</x:v>
      </x:c>
      <x:c r="N335" s="13" t="n">
        <x:v>-0.7216149855326618</x:v>
      </x:c>
      <x:c r="O335" s="13" t="n">
        <x:v>0.5130363354371437</x:v>
      </x:c>
      <x:c r="P335" s="13" t="n">
        <x:v>0.392473670306662</x:v>
      </x:c>
      <x:c r="Q335" s="13" t="n">
        <x:v>-0.4381781952552509</x:v>
      </x:c>
      <x:c r="R335" s="13" t="n">
        <x:v>-0.4922127485401245</x:v>
      </x:c>
      <x:c r="S335" s="13" t="n">
        <x:v>-0.6040767052314036</x:v>
      </x:c>
      <x:c r="T335" s="13" t="n">
        <x:v>0.2590597127376754</x:v>
      </x:c>
      <x:c r="U335" s="13" t="n">
        <x:v>-0.45587858078411714</x:v>
      </x:c>
      <x:c r="V335" s="13" t="n">
        <x:v>-0.4431156771532136</x:v>
      </x:c>
      <x:c r="W335" s="13" t="n">
        <x:v>-0.5452677783767343</x:v>
      </x:c>
      <x:c r="X335" s="13" t="n">
        <x:v>-0.2669602715868311</x:v>
      </x:c>
      <x:c r="Y335" s="13" t="n">
        <x:v>-0.4723482081188302</x:v>
      </x:c>
      <x:c r="Z335" s="13" t="n">
        <x:v>-0.41337162734238436</x:v>
      </x:c>
      <x:c r="AA335" s="13" t="n">
        <x:v>-0.35228557957145423</x:v>
      </x:c>
      <x:c r="AB335" s="13" t="n">
        <x:v>-0.5167092690528334</x:v>
      </x:c>
      <x:c r="AC335" s="13" t="n">
        <x:v>0.3872484110474391</x:v>
      </x:c>
      <x:c r="AD335" s="13" t="n">
        <x:v>1.5432633256048711</x:v>
      </x:c>
      <x:c r="AE335" s="13" t="n">
        <x:v>1.6637692409084237</x:v>
      </x:c>
      <x:c r="AF335" s="13" t="n">
        <x:v>-0.4746174183177852</x:v>
      </x:c>
      <x:c r="AG335" s="13" t="n">
        <x:v>-0.7144547591840544</x:v>
      </x:c>
      <x:c r="AH335" s="13" t="n">
        <x:v>-0.5120121618046051</x:v>
      </x:c>
      <x:c r="AI335" s="13" t="n">
        <x:v>0.15319342863476768</x:v>
      </x:c>
      <x:c r="AJ335" s="13" t="n">
        <x:v>-0.372497609748048</x:v>
      </x:c>
      <x:c r="AK335" s="13" t="n">
        <x:v>-0.09311819907410573</x:v>
      </x:c>
      <x:c r="AL335" s="13" t="n">
        <x:v>-0.5029239774243073</x:v>
      </x:c>
      <x:c r="AM335" s="13" t="n">
        <x:v>0.28077157080931103</x:v>
      </x:c>
      <x:c r="AN335" s="13" t="n">
        <x:v>1.3243112325863697</x:v>
      </x:c>
      <x:c r="AO335" s="13" t="n">
        <x:v>-0.6710105063515381</x:v>
      </x:c>
      <x:c r="AP335" s="13" t="n">
        <x:v>-0.6318565749443333</x:v>
      </x:c>
    </x:row>
    <x:row r="336" ht="15" hidden="0" customHeight="1">
      <x:c r="A336" s="2" t="str">
        <x:v>E335</x:v>
      </x:c>
      <x:c r="B336" s="2" t="str">
        <x:v>***挖掘机租赁经营部</x:v>
      </x:c>
      <x:c r="C336" s="2" t="str">
        <x:v>无信贷记录</x:v>
      </x:c>
      <x:c r="D336" s="2" t="str"/>
      <x:c r="E336" s="2" t="str"/>
      <x:c r="F336" s="13" t="n">
        <x:v>-0.40914733645474266</x:v>
      </x:c>
      <x:c r="G336" s="13" t="n">
        <x:v>-0.40483421657551005</x:v>
      </x:c>
      <x:c r="H336" s="13" t="n">
        <x:v>-0.4336789722623741</x:v>
      </x:c>
      <x:c r="I336" s="13" t="n">
        <x:v>-0.46027843520127304</x:v>
      </x:c>
      <x:c r="J336" s="13" t="n">
        <x:v>-0.49825500008309237</x:v>
      </x:c>
      <x:c r="K336" s="13" t="n">
        <x:v>-0.5019483348761217</x:v>
      </x:c>
      <x:c r="L336" s="13" t="n">
        <x:v>-0.5354181768953924</x:v>
      </x:c>
      <x:c r="M336" s="13" t="n">
        <x:v>-0.45132690917860446</x:v>
      </x:c>
      <x:c r="N336" s="13" t="n">
        <x:v>-0.7216149855326618</x:v>
      </x:c>
      <x:c r="O336" s="13" t="n">
        <x:v>0.37441221949171755</x:v>
      </x:c>
      <x:c r="P336" s="13" t="n">
        <x:v>0.6910830393941454</x:v>
      </x:c>
      <x:c r="Q336" s="13" t="n">
        <x:v>-0.4852102033482134</x:v>
      </x:c>
      <x:c r="R336" s="13" t="n">
        <x:v>1.4232032592943284</x:v>
      </x:c>
      <x:c r="S336" s="13" t="n">
        <x:v>1.8418754514141953</x:v>
      </x:c>
      <x:c r="T336" s="13" t="n">
        <x:v>-0.871140915972457</x:v>
      </x:c>
      <x:c r="U336" s="13" t="n">
        <x:v>-0.38052421823282273</x:v>
      </x:c>
      <x:c r="V336" s="13" t="n">
        <x:v>-0.39430572628209876</x:v>
      </x:c>
      <x:c r="W336" s="13" t="n">
        <x:v>-0.12566557177405713</x:v>
      </x:c>
      <x:c r="X336" s="13" t="n">
        <x:v>-0.3910667203118402</x:v>
      </x:c>
      <x:c r="Y336" s="13" t="n">
        <x:v>-0.497378971563073</x:v>
      </x:c>
      <x:c r="Z336" s="13" t="n">
        <x:v>-0.43502997178781083</x:v>
      </x:c>
      <x:c r="AA336" s="13" t="n">
        <x:v>-0.37343452458013066</x:v>
      </x:c>
      <x:c r="AB336" s="13" t="n">
        <x:v>0.6314472898297654</x:v>
      </x:c>
      <x:c r="AC336" s="13" t="n">
        <x:v>-0.6980651016988949</x:v>
      </x:c>
      <x:c r="AD336" s="13" t="n">
        <x:v>0.4844888740940282</x:v>
      </x:c>
      <x:c r="AE336" s="13" t="n">
        <x:v>0.23655685888211894</x:v>
      </x:c>
      <x:c r="AF336" s="13" t="n">
        <x:v>-0.4913445107036591</x:v>
      </x:c>
      <x:c r="AG336" s="13" t="n">
        <x:v>0.2890721022716593</x:v>
      </x:c>
      <x:c r="AH336" s="13" t="n">
        <x:v>1.6510800758112314</x:v>
      </x:c>
      <x:c r="AI336" s="13" t="n">
        <x:v>-0.9537297226288156</x:v>
      </x:c>
      <x:c r="AJ336" s="13" t="n">
        <x:v>-0.37240402978541226</x:v>
      </x:c>
      <x:c r="AK336" s="13" t="n">
        <x:v>-0.12890363784258188</x:v>
      </x:c>
      <x:c r="AL336" s="13" t="n">
        <x:v>0.42736954165354124</x:v>
      </x:c>
      <x:c r="AM336" s="13" t="n">
        <x:v>-0.7815911692517314</x:v>
      </x:c>
      <x:c r="AN336" s="13" t="n">
        <x:v>0.5705781612171743</x:v>
      </x:c>
      <x:c r="AO336" s="13" t="n">
        <x:v>1.100237347898079</x:v>
      </x:c>
      <x:c r="AP336" s="13" t="n">
        <x:v>1.9559119904760227</x:v>
      </x:c>
    </x:row>
    <x:row r="337" ht="15" hidden="0" customHeight="1">
      <x:c r="A337" s="2" t="str">
        <x:v>E336</x:v>
      </x:c>
      <x:c r="B337" s="2" t="str">
        <x:v>***猕猴桃专业合作社</x:v>
      </x:c>
      <x:c r="C337" s="2" t="str">
        <x:v>无信贷记录</x:v>
      </x:c>
      <x:c r="D337" s="2" t="str"/>
      <x:c r="E337" s="2" t="str"/>
      <x:c r="F337" s="13" t="n">
        <x:v>-0.6094105463335355</x:v>
      </x:c>
      <x:c r="G337" s="13" t="n">
        <x:v>-0.6081411594127419</x:v>
      </x:c>
      <x:c r="H337" s="13" t="n">
        <x:v>-0.518728779362338</x:v>
      </x:c>
      <x:c r="I337" s="13" t="n">
        <x:v>-0.46027843520127304</x:v>
      </x:c>
      <x:c r="J337" s="13" t="n">
        <x:v>-0.5648713498487726</x:v>
      </x:c>
      <x:c r="K337" s="13" t="n">
        <x:v>-0.5673870080747591</x:v>
      </x:c>
      <x:c r="L337" s="13" t="n">
        <x:v>-0.7027524642189021</x:v>
      </x:c>
      <x:c r="M337" s="13" t="n">
        <x:v>-1.151103901665672</x:v>
      </x:c>
      <x:c r="N337" s="13" t="n">
        <x:v>-0.7216149855326618</x:v>
      </x:c>
      <x:c r="O337" s="13" t="n">
        <x:v>2.6197085984624806</x:v>
      </x:c>
      <x:c r="P337" s="13" t="n">
        <x:v>2.233015622552083</x:v>
      </x:c>
      <x:c r="Q337" s="13" t="n">
        <x:v>-0.5781976718025755</x:v>
      </x:c>
      <x:c r="R337" s="13" t="n">
        <x:v>1.9877008289577784</x:v>
      </x:c>
      <x:c r="S337" s="13" t="n">
        <x:v>-0.18263348530133588</x:v>
      </x:c>
      <x:c r="T337" s="13" t="n">
        <x:v>-2.1897083161342783</x:v>
      </x:c>
      <x:c r="U337" s="13" t="n">
        <x:v>-0.5317598969196863</x:v>
      </x:c>
      <x:c r="V337" s="13" t="n">
        <x:v>-0.5199773239272679</x:v>
      </x:c>
      <x:c r="W337" s="13" t="n">
        <x:v>-0.5977180542020689</x:v>
      </x:c>
      <x:c r="X337" s="13" t="n">
        <x:v>-0.3910667203118402</x:v>
      </x:c>
      <x:c r="Y337" s="13" t="n">
        <x:v>-0.5265473512802328</x:v>
      </x:c>
      <x:c r="Z337" s="13" t="n">
        <x:v>-0.45765875661005867</x:v>
      </x:c>
      <x:c r="AA337" s="13" t="n">
        <x:v>-0.35463546235019605</x:v>
      </x:c>
      <x:c r="AB337" s="13" t="n">
        <x:v>-0.2407785163672343</x:v>
      </x:c>
      <x:c r="AC337" s="13" t="n">
        <x:v>-0.6980651016988949</x:v>
      </x:c>
      <x:c r="AD337" s="13" t="n">
        <x:v>0.59884988546854</x:v>
      </x:c>
      <x:c r="AE337" s="13" t="n">
        <x:v>0.804985933124332</x:v>
      </x:c>
      <x:c r="AF337" s="13" t="n">
        <x:v>-0.5389838984904733</x:v>
      </x:c>
      <x:c r="AG337" s="13" t="n">
        <x:v>3.3934958042987535</x:v>
      </x:c>
      <x:c r="AH337" s="13" t="n">
        <x:v>-0.05596299823682197</x:v>
      </x:c>
      <x:c r="AI337" s="13" t="n">
        <x:v>-1.658135364342005</x:v>
      </x:c>
      <x:c r="AJ337" s="13" t="n">
        <x:v>-0.3693300802683566</x:v>
      </x:c>
      <x:c r="AK337" s="13" t="n">
        <x:v>-0.31045364853543617</x:v>
      </x:c>
      <x:c r="AL337" s="13" t="n">
        <x:v>0.18376422062722653</x:v>
      </x:c>
      <x:c r="AM337" s="13" t="n">
        <x:v>-0.7815911692517314</x:v>
      </x:c>
      <x:c r="AN337" s="13" t="n">
        <x:v>2.259038298026663</x:v>
      </x:c>
      <x:c r="AO337" s="13" t="n">
        <x:v>2.998421837947341</x:v>
      </x:c>
      <x:c r="AP337" s="13" t="n">
        <x:v>-0.14400496651020891</x:v>
      </x:c>
    </x:row>
    <x:row r="338" ht="15" hidden="0" customHeight="1">
      <x:c r="A338" s="2" t="str">
        <x:v>E337</x:v>
      </x:c>
      <x:c r="B338" s="2" t="str">
        <x:v>个体经营E337 </x:v>
      </x:c>
      <x:c r="C338" s="2" t="str">
        <x:v>无信贷记录</x:v>
      </x:c>
      <x:c r="D338" s="2" t="str"/>
      <x:c r="E338" s="2" t="str"/>
      <x:c r="F338" s="13" t="n">
        <x:v>-0.5806690671379681</x:v>
      </x:c>
      <x:c r="G338" s="13" t="n">
        <x:v>-0.5798508065179384</x:v>
      </x:c>
      <x:c r="H338" s="13" t="n">
        <x:v>-0.4868351016998515</x:v>
      </x:c>
      <x:c r="I338" s="13" t="n">
        <x:v>-0.46027843520127304</x:v>
      </x:c>
      <x:c r="J338" s="13" t="n">
        <x:v>-0.5637532517092182</x:v>
      </x:c>
      <x:c r="K338" s="13" t="n">
        <x:v>-0.5662886762235593</x:v>
      </x:c>
      <x:c r="L338" s="13" t="n">
        <x:v>-0.6084367750001967</x:v>
      </x:c>
      <x:c r="M338" s="13" t="n">
        <x:v>0.5184727271485813</x:v>
      </x:c>
      <x:c r="N338" s="13" t="n">
        <x:v>-0.7216149855326618</x:v>
      </x:c>
      <x:c r="O338" s="13" t="n">
        <x:v>-0.05732869917356795</x:v>
      </x:c>
      <x:c r="P338" s="13" t="n">
        <x:v>0.26041631417709576</x:v>
      </x:c>
      <x:c r="Q338" s="13" t="n">
        <x:v>-0.5793945816202015</x:v>
      </x:c>
      <x:c r="R338" s="13" t="n">
        <x:v>0.7714199636158482</x:v>
      </x:c>
      <x:c r="S338" s="13" t="n">
        <x:v>-0.6575626935098003</x:v>
      </x:c>
      <x:c r="T338" s="13" t="n">
        <x:v>-0.40022398734323517</x:v>
      </x:c>
      <x:c r="U338" s="13" t="n">
        <x:v>-0.16236543434306144</x:v>
      </x:c>
      <x:c r="V338" s="13" t="n">
        <x:v>-0.1665259555502296</x:v>
      </x:c>
      <x:c r="W338" s="13" t="n">
        <x:v>-0.06572239940224611</x:v>
      </x:c>
      <x:c r="X338" s="13" t="n">
        <x:v>-0.24627586346599628</x:v>
      </x:c>
      <x:c r="Y338" s="13" t="n">
        <x:v>-0.4355731861814117</x:v>
      </x:c>
      <x:c r="Z338" s="13" t="n">
        <x:v>-0.3854215271449752</x:v>
      </x:c>
      <x:c r="AA338" s="13" t="n">
        <x:v>-0.16664484005085015</x:v>
      </x:c>
      <x:c r="AB338" s="13" t="n">
        <x:v>-0.18748317296091896</x:v>
      </x:c>
      <x:c r="AC338" s="13" t="n">
        <x:v>-0.3525682976166672</x:v>
      </x:c>
      <x:c r="AD338" s="13" t="n">
        <x:v>-0.7455079077181554</x:v>
      </x:c>
      <x:c r="AE338" s="13" t="n">
        <x:v>-0.786269092689724</x:v>
      </x:c>
      <x:c r="AF338" s="13" t="n">
        <x:v>-0.4538942407521544</x:v>
      </x:c>
      <x:c r="AG338" s="13" t="n">
        <x:v>-0.9031531630980022</x:v>
      </x:c>
      <x:c r="AH338" s="13" t="n">
        <x:v>-1.0085574511766608</x:v>
      </x:c>
      <x:c r="AI338" s="13" t="n">
        <x:v>0.857599070347957</x:v>
      </x:c>
      <x:c r="AJ338" s="13" t="n">
        <x:v>-0.21971410213253095</x:v>
      </x:c>
      <x:c r="AK338" s="13" t="n">
        <x:v>-0.3342089414075012</x:v>
      </x:c>
      <x:c r="AL338" s="13" t="n">
        <x:v>0.4004761231198256</x:v>
      </x:c>
      <x:c r="AM338" s="13" t="n">
        <x:v>-0.2285152266213858</x:v>
      </x:c>
      <x:c r="AN338" s="13" t="n">
        <x:v>-0.5000973323289137</x:v>
      </x:c>
      <x:c r="AO338" s="13" t="n">
        <x:v>0.09694395452699969</x:v>
      </x:c>
      <x:c r="AP338" s="13" t="n">
        <x:v>-0.9146906979473268</x:v>
      </x:c>
    </x:row>
    <x:row r="339" ht="15" hidden="0" customHeight="1">
      <x:c r="A339" s="2" t="str">
        <x:v>E338</x:v>
      </x:c>
      <x:c r="B339" s="2" t="str">
        <x:v>***商贸有限公司</x:v>
      </x:c>
      <x:c r="C339" s="2" t="str">
        <x:v>无信贷记录</x:v>
      </x:c>
      <x:c r="D339" s="2" t="str"/>
      <x:c r="E339" s="2" t="str"/>
      <x:c r="F339" s="13" t="n">
        <x:v>-0.495835346286535</x:v>
      </x:c>
      <x:c r="G339" s="13" t="n">
        <x:v>-0.4911437677799953</x:v>
      </x:c>
      <x:c r="H339" s="13" t="n">
        <x:v>-0.5080975534748424</x:v>
      </x:c>
      <x:c r="I339" s="13" t="n">
        <x:v>-0.37451477394451427</x:v>
      </x:c>
      <x:c r="J339" s="13" t="n">
        <x:v>-0.5580744412682835</x:v>
      </x:c>
      <x:c r="K339" s="13" t="n">
        <x:v>-0.5605233628594863</x:v>
      </x:c>
      <x:c r="L339" s="13" t="n">
        <x:v>-0.44414492926438703</x:v>
      </x:c>
      <x:c r="M339" s="13" t="n">
        <x:v>-0.9987219077659583</x:v>
      </x:c>
      <x:c r="N339" s="13" t="n">
        <x:v>0.13891612091501818</x:v>
      </x:c>
      <x:c r="O339" s="13" t="n">
        <x:v>-0.6790505181627814</x:v>
      </x:c>
      <x:c r="P339" s="13" t="n">
        <x:v>-0.7197312450575548</x:v>
      </x:c>
      <x:c r="Q339" s="13" t="n">
        <x:v>-0.5721311134977589</x:v>
      </x:c>
      <x:c r="R339" s="13" t="n">
        <x:v>-0.24374948570143914</x:v>
      </x:c>
      <x:c r="S339" s="13" t="n">
        <x:v>-0.07480857487223325</x:v>
      </x:c>
      <x:c r="T339" s="13" t="n">
        <x:v>0.2590597127376754</x:v>
      </x:c>
      <x:c r="U339" s="13" t="n">
        <x:v>-0.512789567885794</x:v>
      </x:c>
      <x:c r="V339" s="13" t="n">
        <x:v>-0.500902170713269</x:v>
      </x:c>
      <x:c r="W339" s="13" t="n">
        <x:v>-0.5827322611091162</x:v>
      </x:c>
      <x:c r="X339" s="13" t="n">
        <x:v>-0.3910667203118402</x:v>
      </x:c>
      <x:c r="Y339" s="13" t="n">
        <x:v>-0.48194457339624147</x:v>
      </x:c>
      <x:c r="Z339" s="13" t="n">
        <x:v>-0.4230559890584014</x:v>
      </x:c>
      <x:c r="AA339" s="13" t="n">
        <x:v>-0.3898837040313234</x:v>
      </x:c>
      <x:c r="AB339" s="13" t="n">
        <x:v>-0.37028234794544057</x:v>
      </x:c>
      <x:c r="AC339" s="13" t="n">
        <x:v>-0.6980651016988949</x:v>
      </x:c>
      <x:c r="AD339" s="13" t="n">
        <x:v>0.30645290491842</x:v>
      </x:c>
      <x:c r="AE339" s="13" t="n">
        <x:v>0.3814179609871624</x:v>
      </x:c>
      <x:c r="AF339" s="13" t="n">
        <x:v>-0.5025228580718055</x:v>
      </x:c>
      <x:c r="AG339" s="13" t="n">
        <x:v>0.1914553587288174</x:v>
      </x:c>
      <x:c r="AH339" s="13" t="n">
        <x:v>0.11991267212272363</x:v>
      </x:c>
      <x:c r="AI339" s="13" t="n">
        <x:v>0.2538228060223661</x:v>
      </x:c>
      <x:c r="AJ339" s="13" t="n">
        <x:v>-0.30079035873054766</x:v>
      </x:c>
      <x:c r="AK339" s="13" t="n">
        <x:v>-0.3144984687714447</x:v>
      </x:c>
      <x:c r="AL339" s="13" t="n">
        <x:v>-0.8413784059791118</x:v>
      </x:c>
      <x:c r="AM339" s="13" t="n">
        <x:v>-0.42853368206427783</x:v>
      </x:c>
      <x:c r="AN339" s="13" t="n">
        <x:v>-0.298435225539386</x:v>
      </x:c>
      <x:c r="AO339" s="13" t="n">
        <x:v>-0.07599717132739406</x:v>
      </x:c>
      <x:c r="AP339" s="13" t="n">
        <x:v>0.010622874879491847</x:v>
      </x:c>
    </x:row>
    <x:row r="340" ht="15" hidden="0" customHeight="1">
      <x:c r="A340" s="2" t="str">
        <x:v>E339</x:v>
      </x:c>
      <x:c r="B340" s="2" t="str">
        <x:v>***居益卫浴家俬厂</x:v>
      </x:c>
      <x:c r="C340" s="2" t="str">
        <x:v>无信贷记录</x:v>
      </x:c>
      <x:c r="D340" s="2" t="str"/>
      <x:c r="E340" s="2" t="str"/>
      <x:c r="F340" s="13" t="n">
        <x:v>-0.5542454491678496</x:v>
      </x:c>
      <x:c r="G340" s="13" t="n">
        <x:v>-0.5510809561164434</x:v>
      </x:c>
      <x:c r="H340" s="13" t="n">
        <x:v>-0.518728779362338</x:v>
      </x:c>
      <x:c r="I340" s="13" t="n">
        <x:v>-0.46027843520127304</x:v>
      </x:c>
      <x:c r="J340" s="13" t="n">
        <x:v>-0.5035964816388634</x:v>
      </x:c>
      <x:c r="K340" s="13" t="n">
        <x:v>-0.5071953870960968</x:v>
      </x:c>
      <x:c r="L340" s="13" t="n">
        <x:v>-0.6175640997632972</x:v>
      </x:c>
      <x:c r="M340" s="13" t="n">
        <x:v>-1.151103901665672</x:v>
      </x:c>
      <x:c r="N340" s="13" t="n">
        <x:v>-0.7216149855326618</x:v>
      </x:c>
      <x:c r="O340" s="13" t="n">
        <x:v>-0.3412282397528041</x:v>
      </x:c>
      <x:c r="P340" s="13" t="n">
        <x:v>-0.2903264604556875</x:v>
      </x:c>
      <x:c r="Q340" s="13" t="n">
        <x:v>-0.4805428518633501</x:v>
      </x:c>
      <x:c r="R340" s="13" t="n">
        <x:v>-0.4532895022528699</x:v>
      </x:c>
      <x:c r="S340" s="13" t="n">
        <x:v>-1.8840498468614104</x:v>
      </x:c>
      <x:c r="T340" s="13" t="n">
        <x:v>-0.49440737306907956</x:v>
      </x:c>
      <x:c r="U340" s="13" t="n">
        <x:v>-0.4669446060538876</x:v>
      </x:c>
      <x:c r="V340" s="13" t="n">
        <x:v>-0.45265325376021304</x:v>
      </x:c>
      <x:c r="W340" s="13" t="n">
        <x:v>-0.5752393645626398</x:v>
      </x:c>
      <x:c r="X340" s="13" t="n">
        <x:v>-0.3083290878285008</x:v>
      </x:c>
      <x:c r="Y340" s="13" t="n">
        <x:v>-0.5115531570450037</x:v>
      </x:c>
      <x:c r="Z340" s="13" t="n">
        <x:v>-0.44373958261594737</x:v>
      </x:c>
      <x:c r="AA340" s="13" t="n">
        <x:v>-0.314687455111585</x:v>
      </x:c>
      <x:c r="AB340" s="13" t="n">
        <x:v>-0.6443245468317553</x:v>
      </x:c>
      <x:c r="AC340" s="13" t="n">
        <x:v>0.09869283424583436</x:v>
      </x:c>
      <x:c r="AD340" s="13" t="n">
        <x:v>-0.48885959550506486</x:v>
      </x:c>
      <x:c r="AE340" s="13" t="n">
        <x:v>-0.4145722455431424</x:v>
      </x:c>
      <x:c r="AF340" s="13" t="n">
        <x:v>-0.503639380314258</x:v>
      </x:c>
      <x:c r="AG340" s="13" t="n">
        <x:v>-0.5926686508469987</x:v>
      </x:c>
      <x:c r="AH340" s="13" t="n">
        <x:v>-1.9536480539617809</x:v>
      </x:c>
      <x:c r="AI340" s="13" t="n">
        <x:v>-0.7524709678536187</x:v>
      </x:c>
      <x:c r="AJ340" s="13" t="n">
        <x:v>-0.3917340692938539</x:v>
      </x:c>
      <x:c r="AK340" s="13" t="n">
        <x:v>-0.09504284556455449</x:v>
      </x:c>
      <x:c r="AL340" s="13" t="n">
        <x:v>-0.7895047204268193</x:v>
      </x:c>
      <x:c r="AM340" s="13" t="n">
        <x:v>0.018192118050459262</x:v>
      </x:c>
      <x:c r="AN340" s="13" t="n">
        <x:v>-0.5461659639663091</x:v>
      </x:c>
      <x:c r="AO340" s="13" t="n">
        <x:v>-0.5872762939716689</x:v>
      </x:c>
      <x:c r="AP340" s="13" t="n">
        <x:v>-2.1420046286764354</x:v>
      </x:c>
    </x:row>
    <x:row r="341" ht="15" hidden="0" customHeight="1">
      <x:c r="A341" s="2" t="str">
        <x:v>E340</x:v>
      </x:c>
      <x:c r="B341" s="2" t="str">
        <x:v>***物流有限公司</x:v>
      </x:c>
      <x:c r="C341" s="2" t="str">
        <x:v>无信贷记录</x:v>
      </x:c>
      <x:c r="D341" s="2" t="str"/>
      <x:c r="E341" s="2" t="str"/>
      <x:c r="F341" s="13" t="n">
        <x:v>-0.6075562573531763</x:v>
      </x:c>
      <x:c r="G341" s="13" t="n">
        <x:v>-0.6067026668926672</x:v>
      </x:c>
      <x:c r="H341" s="13" t="n">
        <x:v>-0.5080975534748424</x:v>
      </x:c>
      <x:c r="I341" s="13" t="n">
        <x:v>-0.46027843520127304</x:v>
      </x:c>
      <x:c r="J341" s="13" t="n">
        <x:v>-0.5694603773967927</x:v>
      </x:c>
      <x:c r="K341" s="13" t="n">
        <x:v>-0.571894908538695</x:v>
      </x:c>
      <x:c r="L341" s="13" t="n">
        <x:v>-0.7027524642189021</x:v>
      </x:c>
      <x:c r="M341" s="13" t="n">
        <x:v>2.339829049491403</x:v>
      </x:c>
      <x:c r="N341" s="13" t="n">
        <x:v>-0.7216149855326618</x:v>
      </x:c>
      <x:c r="O341" s="13" t="n">
        <x:v>2.326588578768745</x:v>
      </x:c>
      <x:c r="P341" s="13" t="n">
        <x:v>2.078067807918998</x:v>
      </x:c>
      <x:c r="Q341" s="13" t="n">
        <x:v>-0.5848416020217483</x:v>
      </x:c>
      <x:c r="R341" s="13" t="n">
        <x:v>1.4899073419967745</x:v>
      </x:c>
      <x:c r="S341" s="13" t="n">
        <x:v>-1.8146115357946182</x:v>
      </x:c>
      <x:c r="T341" s="13" t="n">
        <x:v>-1.907158158956745</x:v>
      </x:c>
      <x:c r="U341" s="13" t="n">
        <x:v>-0.47326804906518505</x:v>
      </x:c>
      <x:c r="V341" s="13" t="n">
        <x:v>-0.47004530522003557</x:v>
      </x:c>
      <x:c r="W341" s="13" t="n">
        <x:v>-0.43287433017958865</x:v>
      </x:c>
      <x:c r="X341" s="13" t="n">
        <x:v>-0.1635382309826569</x:v>
      </x:c>
      <x:c r="Y341" s="13" t="n">
        <x:v>-0.48794580847970365</x:v>
      </x:c>
      <x:c r="Z341" s="13" t="n">
        <x:v>-0.4141562182993584</x:v>
      </x:c>
      <x:c r="AA341" s="13" t="n">
        <x:v>-0.28883874454542496</x:v>
      </x:c>
      <x:c r="AB341" s="13" t="n">
        <x:v>0.3395023716841232</x:v>
      </x:c>
      <x:c r="AC341" s="13" t="n">
        <x:v>1.9888120253555936</x:v>
      </x:c>
      <x:c r="AD341" s="13" t="n">
        <x:v>-0.6764450538539849</x:v>
      </x:c>
      <x:c r="AE341" s="13" t="n">
        <x:v>-0.7624015831347766</x:v>
      </x:c>
      <x:c r="AF341" s="13" t="n">
        <x:v>-0.5066230667339864</x:v>
      </x:c>
      <x:c r="AG341" s="13" t="n">
        <x:v>0.2655681663896955</x:v>
      </x:c>
      <x:c r="AH341" s="13" t="n">
        <x:v>-0.648879549794615</x:v>
      </x:c>
      <x:c r="AI341" s="13" t="n">
        <x:v>0.4550815607975631</x:v>
      </x:c>
      <x:c r="AJ341" s="13" t="n">
        <x:v>-0.301945220458313</x:v>
      </x:c>
      <x:c r="AK341" s="13" t="n">
        <x:v>-0.3417457987355182</x:v>
      </x:c>
      <x:c r="AL341" s="13" t="n">
        <x:v>1.4964488933575961</x:v>
      </x:c>
      <x:c r="AM341" s="13" t="n">
        <x:v>3.6172169109103174</x:v>
      </x:c>
      <x:c r="AN341" s="13" t="n">
        <x:v>1.260271385704793</x:v>
      </x:c>
      <x:c r="AO341" s="13" t="n">
        <x:v>1.1343991242330975</x:v>
      </x:c>
      <x:c r="AP341" s="13" t="n">
        <x:v>-1.4423635020568641</x:v>
      </x:c>
    </x:row>
    <x:row r="342" ht="15" hidden="0" customHeight="1">
      <x:c r="A342" s="2" t="str">
        <x:v>E341</x:v>
      </x:c>
      <x:c r="B342" s="2" t="str">
        <x:v>***纺织品有限公司</x:v>
      </x:c>
      <x:c r="C342" s="2" t="str">
        <x:v>无信贷记录</x:v>
      </x:c>
      <x:c r="D342" s="2" t="str"/>
      <x:c r="E342" s="2" t="str"/>
      <x:c r="F342" s="13" t="n">
        <x:v>-0.5880862230594048</x:v>
      </x:c>
      <x:c r="G342" s="13" t="n">
        <x:v>-0.586084274104929</x:v>
      </x:c>
      <x:c r="H342" s="13" t="n">
        <x:v>-0.518728779362338</x:v>
      </x:c>
      <x:c r="I342" s="13" t="n">
        <x:v>-0.46027843520127304</x:v>
      </x:c>
      <x:c r="J342" s="13" t="n">
        <x:v>-0.5372748600876861</x:v>
      </x:c>
      <x:c r="K342" s="13" t="n">
        <x:v>-0.5402783826208372</x:v>
      </x:c>
      <x:c r="L342" s="13" t="n">
        <x:v>-0.6692856067542001</x:v>
      </x:c>
      <x:c r="M342" s="13" t="n">
        <x:v>-1.151103901665672</x:v>
      </x:c>
      <x:c r="N342" s="13" t="n">
        <x:v>-0.7216149855326618</x:v>
      </x:c>
      <x:c r="O342" s="13" t="n">
        <x:v>2.2619150774817505</x:v>
      </x:c>
      <x:c r="P342" s="13" t="n">
        <x:v>2.0422780134502285</x:v>
      </x:c>
      <x:c r="Q342" s="13" t="n">
        <x:v>-0.5194184678083057</x:v>
      </x:c>
      <x:c r="R342" s="13" t="n">
        <x:v>-0.033664308506326034</x:v>
      </x:c>
      <x:c r="S342" s="13" t="n">
        <x:v>-0.5953237507626415</x:v>
      </x:c>
      <x:c r="T342" s="13" t="n">
        <x:v>-1.2478744588758346</x:v>
      </x:c>
      <x:c r="U342" s="13" t="n">
        <x:v>-0.520166918065641</x:v>
      </x:c>
      <x:c r="V342" s="13" t="n">
        <x:v>-0.5081956116480334</x:v>
      </x:c>
      <x:c r="W342" s="13" t="n">
        <x:v>-0.5902251576555926</x:v>
      </x:c>
      <x:c r="X342" s="13" t="n">
        <x:v>-0.3910667203118402</x:v>
      </x:c>
      <x:c r="Y342" s="13" t="n">
        <x:v>-0.517184217898755</x:v>
      </x:c>
      <x:c r="Z342" s="13" t="n">
        <x:v>-0.4503948519089409</x:v>
      </x:c>
      <x:c r="AA342" s="13" t="n">
        <x:v>-0.33818628289900327</x:v>
      </x:c>
      <x:c r="AB342" s="13" t="n">
        <x:v>-0.35915201863682716</x:v>
      </x:c>
      <x:c r="AC342" s="13" t="n">
        <x:v>-0.6980651016988949</x:v>
      </x:c>
      <x:c r="AD342" s="13" t="n">
        <x:v>-0.6813956789775745</x:v>
      </x:c>
      <x:c r="AE342" s="13" t="n">
        <x:v>-0.7858595885372083</x:v>
      </x:c>
      <x:c r="AF342" s="13" t="n">
        <x:v>-0.4996914729321875</x:v>
      </x:c>
      <x:c r="AG342" s="13" t="n">
        <x:v>-0.4894995748873414</x:v>
      </x:c>
      <x:c r="AH342" s="13" t="n">
        <x:v>-1.5077491094424336</x:v>
      </x:c>
      <x:c r="AI342" s="13" t="n">
        <x:v>-1.255617854791611</x:v>
      </x:c>
      <x:c r="AJ342" s="13" t="n">
        <x:v>-0.3751028208474076</x:v>
      </x:c>
      <x:c r="AK342" s="13" t="n">
        <x:v>-0.19155631874424753</x:v>
      </x:c>
      <x:c r="AL342" s="13" t="n">
        <x:v>-0.4404744145027045</x:v>
      </x:c>
      <x:c r="AM342" s="13" t="n">
        <x:v>-0.7815911692517314</x:v>
      </x:c>
      <x:c r="AN342" s="13" t="n">
        <x:v>1.2106139728299494</x:v>
      </x:c>
      <x:c r="AO342" s="13" t="n">
        <x:v>-0.2541740532533255</x:v>
      </x:c>
      <x:c r="AP342" s="13" t="n">
        <x:v>-1.1279640421203991</x:v>
      </x:c>
    </x:row>
    <x:row r="343" ht="15" hidden="0" customHeight="1">
      <x:c r="A343" s="2" t="str">
        <x:v>E342</x:v>
      </x:c>
      <x:c r="B343" s="2" t="str">
        <x:v>***裕华机械厂</x:v>
      </x:c>
      <x:c r="C343" s="2" t="str">
        <x:v>无信贷记录</x:v>
      </x:c>
      <x:c r="D343" s="2" t="str"/>
      <x:c r="E343" s="2" t="str"/>
      <x:c r="F343" s="13" t="n">
        <x:v>-0.4907360515905472</x:v>
      </x:c>
      <x:c r="G343" s="13" t="n">
        <x:v>-0.4940207528201448</x:v>
      </x:c>
      <x:c r="H343" s="13" t="n">
        <x:v>-0.3273667133874194</x:v>
      </x:c>
      <x:c r="I343" s="13" t="n">
        <x:v>-0.4173966045728936</x:v>
      </x:c>
      <x:c r="J343" s="13" t="n">
        <x:v>-0.5188060129291859</x:v>
      </x:c>
      <x:c r="K343" s="13" t="n">
        <x:v>-0.5221202487381215</x:v>
      </x:c>
      <x:c r="L343" s="13" t="n">
        <x:v>-0.5475879432461931</x:v>
      </x:c>
      <x:c r="M343" s="13" t="n">
        <x:v>1.477050943692126</x:v>
      </x:c>
      <x:c r="N343" s="13" t="n">
        <x:v>-0.2808123167196665</x:v>
      </x:c>
      <x:c r="O343" s="13" t="n">
        <x:v>-0.636174309021349</x:v>
      </x:c>
      <x:c r="P343" s="13" t="n">
        <x:v>-0.788518069050132</x:v>
      </x:c>
      <x:c r="Q343" s="13" t="n">
        <x:v>-0.5366696861430963</x:v>
      </x:c>
      <x:c r="R343" s="13" t="n">
        <x:v>-0.3352646484557429</x:v>
      </x:c>
      <x:c r="S343" s="13" t="n">
        <x:v>0.03965914452677694</x:v>
      </x:c>
      <x:c r="T343" s="13" t="n">
        <x:v>0.918343412818586</x:v>
      </x:c>
      <x:c r="U343" s="13" t="n">
        <x:v>-0.47590281698655895</x:v>
      </x:c>
      <x:c r="V343" s="13" t="n">
        <x:v>-0.47285047481032955</x:v>
      </x:c>
      <x:c r="W343" s="13" t="n">
        <x:v>-0.43287433017958865</x:v>
      </x:c>
      <x:c r="X343" s="13" t="n">
        <x:v>-0.3703823121910053</x:v>
      </x:c>
      <x:c r="Y343" s="13" t="n">
        <x:v>-0.5004799416019979</x:v>
      </x:c>
      <x:c r="Z343" s="13" t="n">
        <x:v>-0.4372785133034596</x:v>
      </x:c>
      <x:c r="AA343" s="13" t="n">
        <x:v>-0.3452359312352288</x:v>
      </x:c>
      <x:c r="AB343" s="13" t="n">
        <x:v>0.38223991663062246</x:v>
      </x:c>
      <x:c r="AC343" s="13" t="n">
        <x:v>-0.4445512129892083</x:v>
      </x:c>
      <x:c r="AD343" s="13" t="n">
        <x:v>0.12994859236177211</x:v>
      </x:c>
      <x:c r="AE343" s="13" t="n">
        <x:v>0.5356847137313441</x:v>
      </x:c>
      <x:c r="AF343" s="13" t="n">
        <x:v>-0.5192424486788949</x:v>
      </x:c>
      <x:c r="AG343" s="13" t="n">
        <x:v>-0.8052144958057059</x:v>
      </x:c>
      <x:c r="AH343" s="13" t="n">
        <x:v>0.15195686007326434</x:v>
      </x:c>
      <x:c r="AI343" s="13" t="n">
        <x:v>0.6563403155727601</x:v>
      </x:c>
      <x:c r="AJ343" s="13" t="n">
        <x:v>-0.3617009995029837</x:v>
      </x:c>
      <x:c r="AK343" s="13" t="n">
        <x:v>-0.1817475543434943</x:v>
      </x:c>
      <x:c r="AL343" s="13" t="n">
        <x:v>0.5827359684692409</x:v>
      </x:c>
      <x:c r="AM343" s="13" t="n">
        <x:v>-0.4697393304362884</x:v>
      </x:c>
      <x:c r="AN343" s="13" t="n">
        <x:v>-0.3765415819457564</x:v>
      </x:c>
      <x:c r="AO343" s="13" t="n">
        <x:v>-0.6073261375049419</x:v>
      </x:c>
      <x:c r="AP343" s="13" t="n">
        <x:v>0.09688421803349076</x:v>
      </x:c>
    </x:row>
    <x:row r="344" ht="15" hidden="0" customHeight="1">
      <x:c r="A344" s="2" t="str">
        <x:v>E343</x:v>
      </x:c>
      <x:c r="B344" s="2" t="str">
        <x:v>***五金工具经营部</x:v>
      </x:c>
      <x:c r="C344" s="2" t="str">
        <x:v>无信贷记录</x:v>
      </x:c>
      <x:c r="D344" s="2" t="str"/>
      <x:c r="E344" s="2" t="str"/>
      <x:c r="F344" s="13" t="n">
        <x:v>-0.6112648353138947</x:v>
      </x:c>
      <x:c r="G344" s="13" t="n">
        <x:v>-0.6100591494395083</x:v>
      </x:c>
      <x:c r="H344" s="13" t="n">
        <x:v>-0.518728779362338</x:v>
      </x:c>
      <x:c r="I344" s="13" t="n">
        <x:v>-0.46027843520127304</x:v>
      </x:c>
      <x:c r="J344" s="13" t="n">
        <x:v>-0.5700855697412904</x:v>
      </x:c>
      <x:c r="K344" s="13" t="n">
        <x:v>-0.5725090484257015</x:v>
      </x:c>
      <x:c r="L344" s="13" t="n">
        <x:v>-0.7118797889820027</x:v>
      </x:c>
      <x:c r="M344" s="13" t="n">
        <x:v>-1.151103901665672</x:v>
      </x:c>
      <x:c r="N344" s="13" t="n">
        <x:v>-0.7216149855326618</x:v>
      </x:c>
      <x:c r="O344" s="13" t="n">
        <x:v>2.6494337955283003</x:v>
      </x:c>
      <x:c r="P344" s="13" t="n">
        <x:v>2.2482144815216887</x:v>
      </x:c>
      <x:c r="Q344" s="13" t="n">
        <x:v>-0.5857875499281385</x:v>
      </x:c>
      <x:c r="R344" s="13" t="n">
        <x:v>1.2452073825986625</x:v>
      </x:c>
      <x:c r="S344" s="13" t="n">
        <x:v>-0.42465029685057787</x:v>
      </x:c>
      <x:c r="T344" s="13" t="n">
        <x:v>-2.378075087585967</x:v>
      </x:c>
      <x:c r="U344" s="13" t="n">
        <x:v>-0.3315175348952677</x:v>
      </x:c>
      <x:c r="V344" s="13" t="n">
        <x:v>-0.3219323508525147</x:v>
      </x:c>
      <x:c r="W344" s="13" t="n">
        <x:v>-0.39540984744720675</x:v>
      </x:c>
      <x:c r="X344" s="13" t="n">
        <x:v>-0.18422263910349174</x:v>
      </x:c>
      <x:c r="Y344" s="13" t="n">
        <x:v>-0.5288767770654903</x:v>
      </x:c>
      <x:c r="Z344" s="13" t="n">
        <x:v>-0.4585076578366732</x:v>
      </x:c>
      <x:c r="AA344" s="13" t="n">
        <x:v>-0.3311366345627778</x:v>
      </x:c>
      <x:c r="AB344" s="13" t="n">
        <x:v>-0.4094826994365155</x:v>
      </x:c>
      <x:c r="AC344" s="13" t="n">
        <x:v>0.13644445714595876</x:v>
      </x:c>
      <x:c r="AD344" s="13" t="n">
        <x:v>0.8228884762387947</x:v>
      </x:c>
      <x:c r="AE344" s="13" t="n">
        <x:v>0.9949130517095891</x:v>
      </x:c>
      <x:c r="AF344" s="13" t="n">
        <x:v>-0.5484971983150105</x:v>
      </x:c>
      <x:c r="AG344" s="13" t="n">
        <x:v>-0.7720753604056165</x:v>
      </x:c>
      <x:c r="AH344" s="13" t="n">
        <x:v>0.5312477695727313</x:v>
      </x:c>
      <x:c r="AI344" s="13" t="n">
        <x:v>0.9582284477355555</x:v>
      </x:c>
      <x:c r="AJ344" s="13" t="n">
        <x:v>-0.3691661366979147</x:v>
      </x:c>
      <x:c r="AK344" s="13" t="n">
        <x:v>-0.3429214597564249</x:v>
      </x:c>
      <x:c r="AL344" s="13" t="n">
        <x:v>0.0135916962405613</x:v>
      </x:c>
      <x:c r="AM344" s="13" t="n">
        <x:v>0.6734601083896304</x:v>
      </x:c>
      <x:c r="AN344" s="13" t="n">
        <x:v>2.418812093926931</x:v>
      </x:c>
      <x:c r="AO344" s="13" t="n">
        <x:v>0.4799114186855544</x:v>
      </x:c>
      <x:c r="AP344" s="13" t="n">
        <x:v>0.0034636461674246626</x:v>
      </x:c>
    </x:row>
    <x:row r="345" ht="15" hidden="0" customHeight="1">
      <x:c r="A345" s="2" t="str">
        <x:v>E344</x:v>
      </x:c>
      <x:c r="B345" s="2" t="str">
        <x:v>***机械有限公司</x:v>
      </x:c>
      <x:c r="C345" s="2" t="str">
        <x:v>无信贷记录</x:v>
      </x:c>
      <x:c r="D345" s="2" t="str"/>
      <x:c r="E345" s="2" t="str"/>
      <x:c r="F345" s="13" t="n">
        <x:v>-0.5565633103932985</x:v>
      </x:c>
      <x:c r="G345" s="13" t="n">
        <x:v>-0.5549169361699761</x:v>
      </x:c>
      <x:c r="H345" s="13" t="n">
        <x:v>-0.4868351016998515</x:v>
      </x:c>
      <x:c r="I345" s="13" t="n">
        <x:v>-0.37451477394451427</x:v>
      </x:c>
      <x:c r="J345" s="13" t="n">
        <x:v>-0.538335099898501</x:v>
      </x:c>
      <x:c r="K345" s="13" t="n">
        <x:v>-0.5365896493029936</x:v>
      </x:c>
      <x:c r="L345" s="13" t="n">
        <x:v>-0.5597577095969938</x:v>
      </x:c>
      <x:c r="M345" s="13" t="n">
        <x:v>-0.1990312786228332</x:v>
      </x:c>
      <x:c r="N345" s="13" t="n">
        <x:v>1.108836774792488</x:v>
      </x:c>
      <x:c r="O345" s="13" t="n">
        <x:v>-0.01785032849665044</x:v>
      </x:c>
      <x:c r="P345" s="13" t="n">
        <x:v>0.15886095574738937</x:v>
      </x:c>
      <x:c r="Q345" s="13" t="n">
        <x:v>-0.5553800197758214</x:v>
      </x:c>
      <x:c r="R345" s="13" t="n">
        <x:v>0.4000684596556953</x:v>
      </x:c>
      <x:c r="S345" s="13" t="n">
        <x:v>-0.13175363245190364</x:v>
      </x:c>
      <x:c r="T345" s="13" t="n">
        <x:v>0.2590597127376754</x:v>
      </x:c>
      <x:c r="U345" s="13" t="n">
        <x:v>-0.5106817535486948</x:v>
      </x:c>
      <x:c r="V345" s="13" t="n">
        <x:v>-0.49753596720491633</x:v>
      </x:c>
      <x:c r="W345" s="13" t="n">
        <x:v>-0.5977180542020689</x:v>
      </x:c>
      <x:c r="X345" s="13" t="n">
        <x:v>-0.28764467970766594</x:v>
      </x:c>
      <x:c r="Y345" s="13" t="n">
        <x:v>-0.5285985419950245</x:v>
      </x:c>
      <x:c r="Z345" s="13" t="n">
        <x:v>-0.4552973353976613</x:v>
      </x:c>
      <x:c r="AA345" s="13" t="n">
        <x:v>-0.27238956509423223</x:v>
      </x:c>
      <x:c r="AB345" s="13" t="n">
        <x:v>-0.5757346631402757</x:v>
      </x:c>
      <x:c r="AC345" s="13" t="n">
        <x:v>1.2032890636237548</x:v>
      </x:c>
      <x:c r="AD345" s="13" t="n">
        <x:v>-0.5703580825746074</x:v>
      </x:c>
      <x:c r="AE345" s="13" t="n">
        <x:v>-0.36322748632539437</x:v>
      </x:c>
      <x:c r="AF345" s="13" t="n">
        <x:v>-0.5482246418868629</x:v>
      </x:c>
      <x:c r="AG345" s="13" t="n">
        <x:v>0.03705183878737879</x:v>
      </x:c>
      <x:c r="AH345" s="13" t="n">
        <x:v>-0.24058479315908032</x:v>
      </x:c>
      <x:c r="AI345" s="13" t="n">
        <x:v>0.9582284477355555</x:v>
      </x:c>
      <x:c r="AJ345" s="13" t="n">
        <x:v>-0.39316608005264025</x:v>
      </x:c>
      <x:c r="AK345" s="13" t="n">
        <x:v>-0.1384361094385144</x:v>
      </x:c>
      <x:c r="AL345" s="13" t="n">
        <x:v>-0.6029931512855304</x:v>
      </x:c>
      <x:c r="AM345" s="13" t="n">
        <x:v>1.2159258274326235</x:v>
      </x:c>
      <x:c r="AN345" s="13" t="n">
        <x:v>-0.36348729108971223</x:v>
      </x:c>
      <x:c r="AO345" s="13" t="n">
        <x:v>0.2878414013514388</x:v>
      </x:c>
      <x:c r="AP345" s="13" t="n">
        <x:v>-0.2058143576212694</x:v>
      </x:c>
    </x:row>
    <x:row r="346" ht="15" hidden="0" customHeight="1">
      <x:c r="A346" s="2" t="str">
        <x:v>E345</x:v>
      </x:c>
      <x:c r="B346" s="2" t="str">
        <x:v>***科技有限公司</x:v>
      </x:c>
      <x:c r="C346" s="2" t="str">
        <x:v>无信贷记录</x:v>
      </x:c>
      <x:c r="D346" s="2" t="str"/>
      <x:c r="E346" s="2" t="str"/>
      <x:c r="F346" s="13" t="n">
        <x:v>-0.49537177404144517</x:v>
      </x:c>
      <x:c r="G346" s="13" t="n">
        <x:v>-0.4921027627933785</x:v>
      </x:c>
      <x:c r="H346" s="13" t="n">
        <x:v>-0.476203875812356</x:v>
      </x:c>
      <x:c r="I346" s="13" t="n">
        <x:v>-0.46027843520127304</x:v>
      </x:c>
      <x:c r="J346" s="13" t="n">
        <x:v>-0.5569154601789752</x:v>
      </x:c>
      <x:c r="K346" s="13" t="n">
        <x:v>-0.5595717665321415</x:v>
      </x:c>
      <x:c r="L346" s="13" t="n">
        <x:v>-0.3954658638611842</x:v>
      </x:c>
      <x:c r="M346" s="13" t="n">
        <x:v>-0.5439851275513979</x:v>
      </x:c>
      <x:c r="N346" s="13" t="n">
        <x:v>-0.7216149855326618</x:v>
      </x:c>
      <x:c r="O346" s="13" t="n">
        <x:v>-0.6631499664004592</x:v>
      </x:c>
      <x:c r="P346" s="13" t="n">
        <x:v>-0.5780872039151413</x:v>
      </x:c>
      <x:c r="Q346" s="13" t="n">
        <x:v>-0.5728399420535041</x:v>
      </x:c>
      <x:c r="R346" s="13" t="n">
        <x:v>-0.42086709475456097</x:v>
      </x:c>
      <x:c r="S346" s="13" t="n">
        <x:v>-0.29246772184544406</x:v>
      </x:c>
      <x:c r="T346" s="13" t="n">
        <x:v>0.5416098699152085</x:v>
      </x:c>
      <x:c r="U346" s="13" t="n">
        <x:v>-0.5138434750543436</x:v>
      </x:c>
      <x:c r="V346" s="13" t="n">
        <x:v>-0.5048294081396806</x:v>
      </x:c>
      <x:c r="W346" s="13" t="n">
        <x:v>-0.5452677783767343</x:v>
      </x:c>
      <x:c r="X346" s="13" t="n">
        <x:v>-0.3910667203118402</x:v>
      </x:c>
      <x:c r="Y346" s="13" t="n">
        <x:v>-0.5299421963892186</x:v>
      </x:c>
      <x:c r="Z346" s="13" t="n">
        <x:v>-0.46029247230565173</x:v>
      </x:c>
      <x:c r="AA346" s="13" t="n">
        <x:v>-0.3452359312352288</x:v>
      </x:c>
      <x:c r="AB346" s="13" t="n">
        <x:v>0.11906833717463124</x:v>
      </x:c>
      <x:c r="AC346" s="13" t="n">
        <x:v>-0.6980651016988949</x:v>
      </x:c>
      <x:c r="AD346" s="13" t="n">
        <x:v>-0.13263422281643608</x:v>
      </x:c>
      <x:c r="AE346" s="13" t="n">
        <x:v>-0.01873449313995422</x:v>
      </x:c>
      <x:c r="AF346" s="13" t="n">
        <x:v>-0.5495408729490842</x:v>
      </x:c>
      <x:c r="AG346" s="13" t="n">
        <x:v>0.10197613368585728</x:v>
      </x:c>
      <x:c r="AH346" s="13" t="n">
        <x:v>0.4837026811830354</x:v>
      </x:c>
      <x:c r="AI346" s="13" t="n">
        <x:v>-0.04806532614042929</x:v>
      </x:c>
      <x:c r="AJ346" s="13" t="n">
        <x:v>-0.38107449824930206</x:v>
      </x:c>
      <x:c r="AK346" s="13" t="n">
        <x:v>-0.24896140299288066</x:v>
      </x:c>
      <x:c r="AL346" s="13" t="n">
        <x:v>-0.43732699281297377</x:v>
      </x:c>
      <x:c r="AM346" s="13" t="n">
        <x:v>-0.7815911692517314</x:v>
      </x:c>
      <x:c r="AN346" s="13" t="n">
        <x:v>-0.5581372719892248</x:v>
      </x:c>
      <x:c r="AO346" s="13" t="n">
        <x:v>-0.23822209509457093</x:v>
      </x:c>
      <x:c r="AP346" s="13" t="n">
        <x:v>0.0604947042888858</x:v>
      </x:c>
    </x:row>
    <x:row r="347" ht="15" hidden="0" customHeight="1">
      <x:c r="A347" s="2" t="str">
        <x:v>E346</x:v>
      </x:c>
      <x:c r="B347" s="2" t="str">
        <x:v>个体经营E346 </x:v>
      </x:c>
      <x:c r="C347" s="2" t="str">
        <x:v>无信贷记录</x:v>
      </x:c>
      <x:c r="D347" s="2" t="str"/>
      <x:c r="E347" s="2" t="str"/>
      <x:c r="F347" s="13" t="n">
        <x:v>-0.38272371848462416</x:v>
      </x:c>
      <x:c r="G347" s="13" t="n">
        <x:v>-0.37798235620078136</x:v>
      </x:c>
      <x:c r="H347" s="13" t="n">
        <x:v>-0.42304774637487863</x:v>
      </x:c>
      <x:c r="I347" s="13" t="n">
        <x:v>-0.16010562080261734</x:v>
      </x:c>
      <x:c r="J347" s="13" t="n">
        <x:v>-0.5170219670082775</x:v>
      </x:c>
      <x:c r="K347" s="13" t="n">
        <x:v>-0.5177137874039549</x:v>
      </x:c>
      <x:c r="L347" s="13" t="n">
        <x:v>-0.4350176045012865</x:v>
      </x:c>
      <x:c r="M347" s="13" t="n">
        <x:v>-0.45432494568875564</x:v>
      </x:c>
      <x:c r="N347" s="13" t="n">
        <x:v>0.8306983142913359</x:v>
      </x:c>
      <x:c r="O347" s="13" t="n">
        <x:v>-0.6088028992117337</x:v>
      </x:c>
      <x:c r="P347" s="13" t="n">
        <x:v>-0.6287550421760568</x:v>
      </x:c>
      <x:c r="Q347" s="13" t="n">
        <x:v>-0.5321351593171414</x:v>
      </x:c>
      <x:c r="R347" s="13" t="n">
        <x:v>-0.9231638260814374</x:v>
      </x:c>
      <x:c r="S347" s="13" t="n">
        <x:v>-0.24570941901969132</x:v>
      </x:c>
      <x:c r="T347" s="13" t="n">
        <x:v>0.7299766413668972</x:v>
      </x:c>
      <x:c r="U347" s="13" t="n">
        <x:v>-0.2198033750290131</x:v>
      </x:c>
      <x:c r="V347" s="13" t="n">
        <x:v>-0.20748143156852134</x:v>
      </x:c>
      <x:c r="W347" s="13" t="n">
        <x:v>-0.33546667507539574</x:v>
      </x:c>
      <x:c r="X347" s="13" t="n">
        <x:v>-0.3496979040701705</x:v>
      </x:c>
      <x:c r="Y347" s="13" t="n">
        <x:v>-0.5274148784822467</x:v>
      </x:c>
      <x:c r="Z347" s="13" t="n">
        <x:v>-0.4582674186965994</x:v>
      </x:c>
      <x:c r="AA347" s="13" t="n">
        <x:v>-0.14549589504217372</x:v>
      </x:c>
      <x:c r="AB347" s="13" t="n">
        <x:v>-0.5076139305000374</x:v>
      </x:c>
      <x:c r="AC347" s="13" t="n">
        <x:v>-0.5874408593528498</x:v>
      </x:c>
      <x:c r="AD347" s="13" t="n">
        <x:v>-0.826238666818021</x:v>
      </x:c>
      <x:c r="AE347" s="13" t="n">
        <x:v>-0.9573003807155663</x:v>
      </x:c>
      <x:c r="AF347" s="13" t="n">
        <x:v>-0.5463605790543637</x:v>
      </x:c>
      <x:c r="AG347" s="13" t="n">
        <x:v>-0.7056385631751912</x:v>
      </x:c>
      <x:c r="AH347" s="13" t="n">
        <x:v>-0.069855389300852</x:v>
      </x:c>
      <x:c r="AI347" s="13" t="n">
        <x:v>0.857599070347957</x:v>
      </x:c>
      <x:c r="AJ347" s="13" t="n">
        <x:v>-0.40762759112032726</x:v>
      </x:c>
      <x:c r="AK347" s="13" t="n">
        <x:v>0.01502891945860037</x:v>
      </x:c>
      <x:c r="AL347" s="13" t="n">
        <x:v>-0.507767448789279</x:v>
      </x:c>
      <x:c r="AM347" s="13" t="n">
        <x:v>-0.29710706252059665</x:v>
      </x:c>
      <x:c r="AN347" s="13" t="n">
        <x:v>-0.9473145480331799</x:v>
      </x:c>
      <x:c r="AO347" s="13" t="n">
        <x:v>-0.9590644796391933</x:v>
      </x:c>
      <x:c r="AP347" s="13" t="n">
        <x:v>-0.1896419613660069</x:v>
      </x:c>
    </x:row>
    <x:row r="348" ht="15" hidden="0" customHeight="1">
      <x:c r="A348" s="2" t="str">
        <x:v>E347</x:v>
      </x:c>
      <x:c r="B348" s="2" t="str">
        <x:v>***不锈钢材料有限公司</x:v>
      </x:c>
      <x:c r="C348" s="2" t="str">
        <x:v>无信贷记录</x:v>
      </x:c>
      <x:c r="D348" s="2" t="str"/>
      <x:c r="E348" s="2" t="str"/>
      <x:c r="F348" s="13" t="n">
        <x:v>-0.5723247667263517</x:v>
      </x:c>
      <x:c r="G348" s="13" t="n">
        <x:v>-0.5707403538907984</x:v>
      </x:c>
      <x:c r="H348" s="13" t="n">
        <x:v>-0.497466327587347</x:v>
      </x:c>
      <x:c r="I348" s="13" t="n">
        <x:v>-0.46027843520127304</x:v>
      </x:c>
      <x:c r="J348" s="13" t="n">
        <x:v>-0.5476947922281591</x:v>
      </x:c>
      <x:c r="K348" s="13" t="n">
        <x:v>-0.5505141060804806</x:v>
      </x:c>
      <x:c r="L348" s="13" t="n">
        <x:v>-0.6114792165878968</x:v>
      </x:c>
      <x:c r="M348" s="13" t="n">
        <x:v>-0.2683392473500897</x:v>
      </x:c>
      <x:c r="N348" s="13" t="n">
        <x:v>-0.7216149855326618</x:v>
      </x:c>
      <x:c r="O348" s="13" t="n">
        <x:v>-0.680840763444037</x:v>
      </x:c>
      <x:c r="P348" s="13" t="n">
        <x:v>-0.8093665909234552</x:v>
      </x:c>
      <x:c r="Q348" s="13" t="n">
        <x:v>-0.56315463608888</x:v>
      </x:c>
      <x:c r="R348" s="13" t="n">
        <x:v>-0.8064139698768568</x:v>
      </x:c>
      <x:c r="S348" s="13" t="n">
        <x:v>-0.5916483239728978</x:v>
      </x:c>
      <x:c r="T348" s="13" t="n">
        <x:v>0.7299766413668972</x:v>
      </x:c>
      <x:c r="U348" s="13" t="n">
        <x:v>-0.4490281841885449</x:v>
      </x:c>
      <x:c r="V348" s="13" t="n">
        <x:v>-0.45153118592409547</x:v>
      </x:c>
      <x:c r="W348" s="13" t="n">
        <x:v>-0.33546667507539574</x:v>
      </x:c>
      <x:c r="X348" s="13" t="n">
        <x:v>-0.3910667203118402</x:v>
      </x:c>
      <x:c r="Y348" s="13" t="n">
        <x:v>-0.530474711617591</x:v>
      </x:c>
      <x:c r="Z348" s="13" t="n">
        <x:v>-0.4607055968135694</x:v>
      </x:c>
      <x:c r="AA348" s="13" t="n">
        <x:v>-0.30528792399661775</x:v>
      </x:c>
      <x:c r="AB348" s="13" t="n">
        <x:v>0.5528282970943214</x:v>
      </x:c>
      <x:c r="AC348" s="13" t="n">
        <x:v>-0.6980651016988949</x:v>
      </x:c>
      <x:c r="AD348" s="13" t="n">
        <x:v>-0.7481669909001123</x:v>
      </x:c>
      <x:c r="AE348" s="13" t="n">
        <x:v>-0.9037205183311825</x:v>
      </x:c>
      <x:c r="AF348" s="13" t="n">
        <x:v>-0.5494412231360765</x:v>
      </x:c>
      <x:c r="AG348" s="13" t="n">
        <x:v>-0.3588584403613191</x:v>
      </x:c>
      <x:c r="AH348" s="13" t="n">
        <x:v>-0.6516200406065977</x:v>
      </x:c>
      <x:c r="AI348" s="13" t="n">
        <x:v>0.857599070347957</x:v>
      </x:c>
      <x:c r="AJ348" s="13" t="n">
        <x:v>-0.38905880066580717</x:v>
      </x:c>
      <x:c r="AK348" s="13" t="n">
        <x:v>-0.17945214266628962</x:v>
      </x:c>
      <x:c r="AL348" s="13" t="n">
        <x:v>1.1782223060290216</x:v>
      </x:c>
      <x:c r="AM348" s="13" t="n">
        <x:v>-0.7815911692517314</x:v>
      </x:c>
      <x:c r="AN348" s="13" t="n">
        <x:v>-0.9510077308004109</x:v>
      </x:c>
      <x:c r="AO348" s="13" t="n">
        <x:v>-0.7166227845127042</x:v>
      </x:c>
      <x:c r="AP348" s="13" t="n">
        <x:v>-0.6945517330591582</x:v>
      </x:c>
    </x:row>
    <x:row r="349" ht="15" hidden="0" customHeight="1">
      <x:c r="A349" s="2" t="str">
        <x:v>E348</x:v>
      </x:c>
      <x:c r="B349" s="2" t="str">
        <x:v>***酒店管理有限公司</x:v>
      </x:c>
      <x:c r="C349" s="2" t="str">
        <x:v>无信贷记录</x:v>
      </x:c>
      <x:c r="D349" s="2" t="str"/>
      <x:c r="E349" s="2" t="str"/>
      <x:c r="F349" s="13" t="n">
        <x:v>-0.5199411030312044</x:v>
      </x:c>
      <x:c r="G349" s="13" t="n">
        <x:v>-0.5194341206747988</x:v>
      </x:c>
      <x:c r="H349" s="13" t="n">
        <x:v>-0.4336789722623741</x:v>
      </x:c>
      <x:c r="I349" s="13" t="n">
        <x:v>-0.2887511126877555</x:v>
      </x:c>
      <x:c r="J349" s="13" t="n">
        <x:v>-0.5542916224961499</x:v>
      </x:c>
      <x:c r="K349" s="13" t="n">
        <x:v>-0.5564773457724532</x:v>
      </x:c>
      <x:c r="L349" s="13" t="n">
        <x:v>-0.614521658175597</x:v>
      </x:c>
      <x:c r="M349" s="13" t="n">
        <x:v>0.38490659684344114</x:v>
      </x:c>
      <x:c r="N349" s="13" t="n">
        <x:v>1.5283153032003347</x:v>
      </x:c>
      <x:c r="O349" s="13" t="n">
        <x:v>-0.4528380961623851</x:v>
      </x:c>
      <x:c r="P349" s="13" t="n">
        <x:v>-0.35638747644862867</x:v>
      </x:c>
      <x:c r="Q349" s="13" t="n">
        <x:v>-0.5678273465487801</x:v>
      </x:c>
      <x:c r="R349" s="13" t="n">
        <x:v>-0.5896657307201497</x:v>
      </x:c>
      <x:c r="S349" s="13" t="n">
        <x:v>-0.1764835377021139</x:v>
      </x:c>
      <x:c r="T349" s="13" t="n">
        <x:v>0.35324309846351976</x:v>
      </x:c>
      <x:c r="U349" s="13" t="n">
        <x:v>1.6898764143828104</x:v>
      </x:c>
      <x:c r="V349" s="13" t="n">
        <x:v>1.7252804161440138</x:v>
      </x:c>
      <x:c r="W349" s="13" t="n">
        <x:v>1.005761806743876</x:v>
      </x:c>
      <x:c r="X349" s="13" t="n">
        <x:v>0.2708343395548748</x:v>
      </x:c>
      <x:c r="Y349" s="13" t="n">
        <x:v>-0.53166419289273</x:v>
      </x:c>
      <x:c r="Z349" s="13" t="n">
        <x:v>-0.46123501051985705</x:v>
      </x:c>
      <x:c r="AA349" s="13" t="n">
        <x:v>1.9740983713829514</x:v>
      </x:c>
      <x:c r="AB349" s="13" t="n">
        <x:v>-0.5960697731330536</x:v>
      </x:c>
      <x:c r="AC349" s="13" t="n">
        <x:v>-0.43365950517797736</x:v>
      </x:c>
      <x:c r="AD349" s="13" t="n">
        <x:v>-0.7881699104408979</x:v>
      </x:c>
      <x:c r="AE349" s="13" t="n">
        <x:v>-0.6606772204898591</x:v>
      </x:c>
      <x:c r="AF349" s="13" t="n">
        <x:v>-0.5493570059253552</x:v>
      </x:c>
      <x:c r="AG349" s="13" t="n">
        <x:v>-1.2331904607829771</x:v>
      </x:c>
      <x:c r="AH349" s="13" t="n">
        <x:v>-0.3320626266799622</x:v>
      </x:c>
      <x:c r="AI349" s="13" t="n">
        <x:v>0.6563403155727601</x:v>
      </x:c>
      <x:c r="AJ349" s="13" t="n">
        <x:v>-0.385944167069215</x:v>
      </x:c>
      <x:c r="AK349" s="13" t="n">
        <x:v>-0.22009561536699485</x:v>
      </x:c>
      <x:c r="AL349" s="13" t="n">
        <x:v>-0.37336721474750334</x:v>
      </x:c>
      <x:c r="AM349" s="13" t="n">
        <x:v>-0.2827164454889788</x:v>
      </x:c>
      <x:c r="AN349" s="13" t="n">
        <x:v>-0.8114255109805177</x:v>
      </x:c>
      <x:c r="AO349" s="13" t="n">
        <x:v>-0.9813325055545324</x:v>
      </x:c>
      <x:c r="AP349" s="13" t="n">
        <x:v>-0.2792858147934514</x:v>
      </x:c>
    </x:row>
    <x:row r="350" ht="15" hidden="0" customHeight="1">
      <x:c r="A350" s="2" t="str">
        <x:v>E349</x:v>
      </x:c>
      <x:c r="B350" s="2" t="str">
        <x:v>***营销策划广告有限公司</x:v>
      </x:c>
      <x:c r="C350" s="2" t="str">
        <x:v>无信贷记录</x:v>
      </x:c>
      <x:c r="D350" s="2" t="str"/>
      <x:c r="E350" s="2" t="str"/>
      <x:c r="F350" s="13" t="n">
        <x:v>-0.6084834018433559</x:v>
      </x:c>
      <x:c r="G350" s="13" t="n">
        <x:v>-0.6071821643993588</x:v>
      </x:c>
      <x:c r="H350" s="13" t="n">
        <x:v>-0.518728779362338</x:v>
      </x:c>
      <x:c r="I350" s="13" t="n">
        <x:v>-0.46027843520127304</x:v>
      </x:c>
      <x:c r="J350" s="13" t="n">
        <x:v>-0.5699537455508222</x:v>
      </x:c>
      <x:c r="K350" s="13" t="n">
        <x:v>-0.5723795546880519</x:v>
      </x:c>
      <x:c r="L350" s="13" t="n">
        <x:v>-0.6936251394558016</x:v>
      </x:c>
      <x:c r="M350" s="13" t="n">
        <x:v>-1.151103901665672</x:v>
      </x:c>
      <x:c r="N350" s="13" t="n">
        <x:v>-0.7216149855326618</x:v>
      </x:c>
      <x:c r="O350" s="13" t="n">
        <x:v>-0.0838592746901718</x:v>
      </x:c>
      <x:c r="P350" s="13" t="n">
        <x:v>-0.225159245914425</x:v>
      </x:c>
      <x:c r="Q350" s="13" t="n">
        <x:v>-0.5856288798382407</x:v>
      </x:c>
      <x:c r="R350" s="13" t="n">
        <x:v>1.1895560526426583</x:v>
      </x:c>
      <x:c r="S350" s="13" t="n">
        <x:v>0.8376243399581081</x:v>
      </x:c>
      <x:c r="T350" s="13" t="n">
        <x:v>-2.095524930408434</x:v>
      </x:c>
      <x:c r="U350" s="13" t="n">
        <x:v>-0.5391372470995333</x:v>
      </x:c>
      <x:c r="V350" s="13" t="n">
        <x:v>-0.5250266291897971</x:v>
      </x:c>
      <x:c r="W350" s="13" t="n">
        <x:v>-0.6351825369344508</x:v>
      </x:c>
      <x:c r="X350" s="13" t="n">
        <x:v>-0.3910667203118402</x:v>
      </x:c>
      <x:c r="Y350" s="13" t="n">
        <x:v>-0.5214382777132682</x:v>
      </x:c>
      <x:c r="Z350" s="13" t="n">
        <x:v>-0.4536951450721898</x:v>
      </x:c>
      <x:c r="AA350" s="13" t="n">
        <x:v>-0.3945834695888071</x:v>
      </x:c>
      <x:c r="AB350" s="13" t="n">
        <x:v>-1.0195515576145555</x:v>
      </x:c>
      <x:c r="AC350" s="13" t="n">
        <x:v>-0.6980651016988949</x:v>
      </x:c>
      <x:c r="AD350" s="13" t="n">
        <x:v>1.1660906311050547</x:v>
      </x:c>
      <x:c r="AE350" s="13" t="n">
        <x:v>0.8944094609695289</x:v>
      </x:c>
      <x:c r="AF350" s="13" t="n">
        <x:v>-0.5222078375165097</x:v>
      </x:c>
      <x:c r="AG350" s="13" t="n">
        <x:v>0.9238801879524581</x:v>
      </x:c>
      <x:c r="AH350" s="13" t="n">
        <x:v>-0.8403965295164598</x:v>
      </x:c>
      <x:c r="AI350" s="13" t="n">
        <x:v>-2.161282251279997</x:v>
      </x:c>
      <x:c r="AJ350" s="13" t="n">
        <x:v>-0.35696391751620843</x:v>
      </x:c>
      <x:c r="AK350" s="13" t="n">
        <x:v>-0.34226044211431744</x:v>
      </x:c>
      <x:c r="AL350" s="13" t="n">
        <x:v>-1.2190361046933285</x:v>
      </x:c>
      <x:c r="AM350" s="13" t="n">
        <x:v>-0.7815911692517314</x:v>
      </x:c>
      <x:c r="AN350" s="13" t="n">
        <x:v>0.661297573483549</x:v>
      </x:c>
      <x:c r="AO350" s="13" t="n">
        <x:v>1.240710038930872</x:v>
      </x:c>
      <x:c r="AP350" s="13" t="n">
        <x:v>0.08595519376001519</x:v>
      </x:c>
    </x:row>
    <x:row r="351" ht="15" hidden="0" customHeight="1">
      <x:c r="A351" s="2" t="str">
        <x:v>E350</x:v>
      </x:c>
      <x:c r="B351" s="2" t="str">
        <x:v>***演艺设备有限公司</x:v>
      </x:c>
      <x:c r="C351" s="2" t="str">
        <x:v>无信贷记录</x:v>
      </x:c>
      <x:c r="D351" s="2" t="str"/>
      <x:c r="E351" s="2" t="str"/>
      <x:c r="F351" s="13" t="n">
        <x:v>-0.321068609887681</x:v>
      </x:c>
      <x:c r="G351" s="13" t="n">
        <x:v>-0.3127706952907258</x:v>
      </x:c>
      <x:c r="H351" s="13" t="n">
        <x:v>-0.4549414240373651</x:v>
      </x:c>
      <x:c r="I351" s="13" t="n">
        <x:v>-0.4173966045728936</x:v>
      </x:c>
      <x:c r="J351" s="13" t="n">
        <x:v>-0.5612679975977374</x:v>
      </x:c>
      <x:c r="K351" s="13" t="n">
        <x:v>-0.5637990183972756</x:v>
      </x:c>
      <x:c r="L351" s="13" t="n">
        <x:v>-0.28898040829167804</x:v>
      </x:c>
      <x:c r="M351" s="13" t="n">
        <x:v>-0.7848056905744685</x:v>
      </x:c>
      <x:c r="N351" s="13" t="n">
        <x:v>-0.5482656213927198</x:v>
      </x:c>
      <x:c r="O351" s="13" t="n">
        <x:v>-0.6995904523048685</x:v>
      </x:c>
      <x:c r="P351" s="13" t="n">
        <x:v>-0.8061998221876244</x:v>
      </x:c>
      <x:c r="Q351" s="13" t="n">
        <x:v>-0.5757644681489662</x:v>
      </x:c>
      <x:c r="R351" s="13" t="n">
        <x:v>-0.08511543403750056</x:v>
      </x:c>
      <x:c r="S351" s="13" t="n">
        <x:v>0.07863582863743335</x:v>
      </x:c>
      <x:c r="T351" s="13" t="n">
        <x:v>0.2590597127376754</x:v>
      </x:c>
      <x:c r="U351" s="13" t="n">
        <x:v>-0.5280712218297627</x:v>
      </x:c>
      <x:c r="V351" s="13" t="n">
        <x:v>-0.5177331882550328</x:v>
      </x:c>
      <x:c r="W351" s="13" t="n">
        <x:v>-0.5752393645626398</x:v>
      </x:c>
      <x:c r="X351" s="13" t="n">
        <x:v>-0.3703823121910053</x:v>
      </x:c>
      <x:c r="Y351" s="13" t="n">
        <x:v>-0.5392114785272116</x:v>
      </x:c>
      <x:c r="Z351" s="13" t="n">
        <x:v>-0.467238414338202</x:v>
      </x:c>
      <x:c r="AA351" s="13" t="n">
        <x:v>-0.32173710344781054</x:v>
      </x:c>
      <x:c r="AB351" s="13" t="n">
        <x:v>0.08111434068165835</x:v>
      </x:c>
      <x:c r="AC351" s="13" t="n">
        <x:v>-0.05452984574353659</x:v>
      </x:c>
      <x:c r="AD351" s="13" t="n">
        <x:v>-0.4196035351081524</x:v>
      </x:c>
      <x:c r="AE351" s="13" t="n">
        <x:v>-0.19651827847878947</x:v>
      </x:c>
      <x:c r="AF351" s="13" t="n">
        <x:v>-0.5574026006532138</x:v>
      </x:c>
      <x:c r="AG351" s="13" t="n">
        <x:v>0.6263940553865303</x:v>
      </x:c>
      <x:c r="AH351" s="13" t="n">
        <x:v>1.3665757920197277</x:v>
      </x:c>
      <x:c r="AI351" s="13" t="n">
        <x:v>-0.14869470352802777</x:v>
      </x:c>
      <x:c r="AJ351" s="13" t="n">
        <x:v>-0.393053370068204</x:v>
      </x:c>
      <x:c r="AK351" s="13" t="n">
        <x:v>-0.2402899448550783</x:v>
      </x:c>
      <x:c r="AL351" s="13" t="n">
        <x:v>-0.8951603620895691</x:v>
      </x:c>
      <x:c r="AM351" s="13" t="n">
        <x:v>-0.6074161422392543</x:v>
      </x:c>
      <x:c r="AN351" s="13" t="n">
        <x:v>-0.7616127218986566</x:v>
      </x:c>
      <x:c r="AO351" s="13" t="n">
        <x:v>0.23635302936518127</x:v>
      </x:c>
      <x:c r="AP351" s="13" t="n">
        <x:v>0.7324636234657252</x:v>
      </x:c>
    </x:row>
    <x:row r="352" ht="15" hidden="0" customHeight="1">
      <x:c r="A352" s="2" t="str">
        <x:v>E351</x:v>
      </x:c>
      <x:c r="B352" s="2" t="str">
        <x:v>***文化传播有限公司</x:v>
      </x:c>
      <x:c r="C352" s="2" t="str">
        <x:v>无信贷记录</x:v>
      </x:c>
      <x:c r="D352" s="2" t="str"/>
      <x:c r="E352" s="2" t="str"/>
      <x:c r="F352" s="13" t="n">
        <x:v>-0.5658347552950945</x:v>
      </x:c>
      <x:c r="G352" s="13" t="n">
        <x:v>-0.5635478912904246</x:v>
      </x:c>
      <x:c r="H352" s="13" t="n">
        <x:v>-0.5080975534748424</x:v>
      </x:c>
      <x:c r="I352" s="13" t="n">
        <x:v>-0.4173966045728936</x:v>
      </x:c>
      <x:c r="J352" s="13" t="n">
        <x:v>-0.563949464525098</x:v>
      </x:c>
      <x:c r="K352" s="13" t="n">
        <x:v>-0.5664108912372113</x:v>
      </x:c>
      <x:c r="L352" s="13" t="n">
        <x:v>-0.5749699175354946</x:v>
      </x:c>
      <x:c r="M352" s="13" t="n">
        <x:v>-0.7709032832228222</x:v>
      </x:c>
      <x:c r="N352" s="13" t="n">
        <x:v>0.3583515530591766</x:v>
      </x:c>
      <x:c r="O352" s="13" t="n">
        <x:v>0.7658852617042811</x:v>
      </x:c>
      <x:c r="P352" s="13" t="n">
        <x:v>1.0940990724903972</x:v>
      </x:c>
      <x:c r="Q352" s="13" t="n">
        <x:v>-0.5780910522132332</x:v>
      </x:c>
      <x:c r="R352" s="13" t="n">
        <x:v>2.2924536316921547</x:v>
      </x:c>
      <x:c r="S352" s="13" t="n">
        <x:v>0.6565833522872303</x:v>
      </x:c>
      <x:c r="T352" s="13" t="n">
        <x:v>-0.40022398734323517</x:v>
      </x:c>
      <x:c r="U352" s="13" t="n">
        <x:v>-0.5280712218297627</x:v>
      </x:c>
      <x:c r="V352" s="13" t="n">
        <x:v>-0.5177331882550328</x:v>
      </x:c>
      <x:c r="W352" s="13" t="n">
        <x:v>-0.5752393645626398</x:v>
      </x:c>
      <x:c r="X352" s="13" t="n">
        <x:v>-0.3910667203118402</x:v>
      </x:c>
      <x:c r="Y352" s="13" t="n">
        <x:v>-0.5431838393438003</x:v>
      </x:c>
      <x:c r="Z352" s="13" t="n">
        <x:v>-0.4705653188613342</x:v>
      </x:c>
      <x:c r="AA352" s="13" t="n">
        <x:v>-0.3640349934651633</x:v>
      </x:c>
      <x:c r="AB352" s="13" t="n">
        <x:v>0.08111434068165835</x:v>
      </x:c>
      <x:c r="AC352" s="13" t="n">
        <x:v>-0.6980651016988949</x:v>
      </x:c>
      <x:c r="AD352" s="13" t="n">
        <x:v>-0.2079201726244409</x:v>
      </x:c>
      <x:c r="AE352" s="13" t="n">
        <x:v>-0.04922539972267551</x:v>
      </x:c>
      <x:c r="AF352" s="13" t="n">
        <x:v>-0.5613102071676275</x:v>
      </x:c>
      <x:c r="AG352" s="13" t="n">
        <x:v>0.595635550058182</x:v>
      </x:c>
      <x:c r="AH352" s="13" t="n">
        <x:v>1.5708489139833435</x:v>
      </x:c>
      <x:c r="AI352" s="13" t="n">
        <x:v>-0.6518415904660202</x:v>
      </x:c>
      <x:c r="AJ352" s="13" t="n">
        <x:v>-0.39755815183951265</x:v>
      </x:c>
      <x:c r="AK352" s="13" t="n">
        <x:v>-0.24054549724395152</x:v>
      </x:c>
      <x:c r="AL352" s="13" t="n">
        <x:v>-0.2859379644572291</x:v>
      </x:c>
      <x:c r="AM352" s="13" t="n">
        <x:v>-0.3948538559838958</x:v>
      </x:c>
      <x:c r="AN352" s="13" t="n">
        <x:v>0.42505341972372307</x:v>
      </x:c>
      <x:c r="AO352" s="13" t="n">
        <x:v>1.8339738431729917</x:v>
      </x:c>
      <x:c r="AP352" s="13" t="n">
        <x:v>1.1893917950827728</x:v>
      </x:c>
    </x:row>
    <x:row r="353" ht="15" hidden="0" customHeight="1">
      <x:c r="A353" s="2" t="str">
        <x:v>E352</x:v>
      </x:c>
      <x:c r="B353" s="2" t="str">
        <x:v>***居装饰工程有限公司</x:v>
      </x:c>
      <x:c r="C353" s="2" t="str">
        <x:v>无信贷记录</x:v>
      </x:c>
      <x:c r="D353" s="2" t="str"/>
      <x:c r="E353" s="2" t="str"/>
      <x:c r="F353" s="13" t="n">
        <x:v>-0.268221373947444</x:v>
      </x:c>
      <x:c r="G353" s="13" t="n">
        <x:v>-0.25906697454126837</x:v>
      </x:c>
      <x:c r="H353" s="13" t="n">
        <x:v>-0.4336789722623741</x:v>
      </x:c>
      <x:c r="I353" s="13" t="n">
        <x:v>0.054303532339279606</x:v>
      </x:c>
      <x:c r="J353" s="13" t="n">
        <x:v>-0.27604119268875116</x:v>
      </x:c>
      <x:c r="K353" s="13" t="n">
        <x:v>-0.2663764466572466</x:v>
      </x:c>
      <x:c r="L353" s="13" t="n">
        <x:v>-0.5536728264215934</x:v>
      </x:c>
      <x:c r="M353" s="13" t="n">
        <x:v>-0.7376421254855606</x:v>
      </x:c>
      <x:c r="N353" s="13" t="n">
        <x:v>1.0415956897193195</x:v>
      </x:c>
      <x:c r="O353" s="13" t="n">
        <x:v>-0.5575770337095302</x:v>
      </x:c>
      <x:c r="P353" s="13" t="n">
        <x:v>-0.6686580820758511</x:v>
      </x:c>
      <x:c r="Q353" s="13" t="n">
        <x:v>-0.28843092021122096</x:v>
      </x:c>
      <x:c r="R353" s="13" t="n">
        <x:v>-0.8053605830366992</x:v>
      </x:c>
      <x:c r="S353" s="13" t="n">
        <x:v>-0.05206830106886877</x:v>
      </x:c>
      <x:c r="T353" s="13" t="n">
        <x:v>0.7299766413668972</x:v>
      </x:c>
      <x:c r="U353" s="13" t="n">
        <x:v>-0.5322868505039611</x:v>
      </x:c>
      <x:c r="V353" s="13" t="n">
        <x:v>-0.5205383578453268</x:v>
      </x:c>
      <x:c r="W353" s="13" t="n">
        <x:v>-0.5977180542020689</x:v>
      </x:c>
      <x:c r="X353" s="13" t="n">
        <x:v>-0.3910667203118402</x:v>
      </x:c>
      <x:c r="Y353" s="13" t="n">
        <x:v>-0.5279393920103068</x:v>
      </x:c>
      <x:c r="Z353" s="13" t="n">
        <x:v>-0.45873869970083375</x:v>
      </x:c>
      <x:c r="AA353" s="13" t="n">
        <x:v>-0.30293804121787593</x:v>
      </x:c>
      <x:c r="AB353" s="13" t="n">
        <x:v>-0.22580211172786277</x:v>
      </x:c>
      <x:c r="AC353" s="13" t="n">
        <x:v>-0.6980651016988949</x:v>
      </x:c>
      <x:c r="AD353" s="13" t="n">
        <x:v>-0.8684588986515063</x:v>
      </x:c>
      <x:c r="AE353" s="13" t="n">
        <x:v>-1.1167585736437902</x:v>
      </x:c>
      <x:c r="AF353" s="13" t="n">
        <x:v>-0.5461589302665159</x:v>
      </x:c>
      <x:c r="AG353" s="13" t="n">
        <x:v>-0.27907176557744046</x:v>
      </x:c>
      <x:c r="AH353" s="13" t="n">
        <x:v>-0.6636638549621212</x:v>
      </x:c>
      <x:c r="AI353" s="13" t="n">
        <x:v>-0.3499534583032247</x:v>
      </x:c>
      <x:c r="AJ353" s="13" t="n">
        <x:v>-0.5941437300808277</x:v>
      </x:c>
      <x:c r="AK353" s="13" t="n">
        <x:v>1.7048235735840156</x:v>
      </x:c>
      <x:c r="AL353" s="13" t="n">
        <x:v>-0.9630849807327763</x:v>
      </x:c>
      <x:c r="AM353" s="13" t="n">
        <x:v>0.120466195710586</x:v>
      </x:c>
      <x:c r="AN353" s="13" t="n">
        <x:v>-0.9364772108797565</x:v>
      </x:c>
      <x:c r="AO353" s="13" t="n">
        <x:v>-0.67834135177919</x:v>
      </x:c>
      <x:c r="AP353" s="13" t="n">
        <x:v>-0.37006841787266614</x:v>
      </x:c>
    </x:row>
    <x:row r="354" ht="15" hidden="0" customHeight="1">
      <x:c r="A354" s="2" t="str">
        <x:v>E353</x:v>
      </x:c>
      <x:c r="B354" s="2" t="str">
        <x:v>***税务师事务所有限公司</x:v>
      </x:c>
      <x:c r="C354" s="2" t="str">
        <x:v>无信贷记录</x:v>
      </x:c>
      <x:c r="D354" s="2" t="str"/>
      <x:c r="E354" s="2" t="str"/>
      <x:c r="F354" s="13" t="n">
        <x:v>-0.5041796466981513</x:v>
      </x:c>
      <x:c r="G354" s="13" t="n">
        <x:v>-0.5040902004606681</x:v>
      </x:c>
      <x:c r="H354" s="13" t="n">
        <x:v>-0.4124165204873832</x:v>
      </x:c>
      <x:c r="I354" s="13" t="n">
        <x:v>-0.4173966045728936</x:v>
      </x:c>
      <x:c r="J354" s="13" t="n">
        <x:v>-0.5634484180592166</x:v>
      </x:c>
      <x:c r="K354" s="13" t="n">
        <x:v>-0.5657278153730317</x:v>
      </x:c>
      <x:c r="L354" s="13" t="n">
        <x:v>-0.3954658638611842</x:v>
      </x:c>
      <x:c r="M354" s="13" t="n">
        <x:v>0.4899329557158591</x:v>
      </x:c>
      <x:c r="N354" s="13" t="n">
        <x:v>-0.23948706651844825</x:v>
      </x:c>
      <x:c r="O354" s="13" t="n">
        <x:v>-0.7620573642989494</x:v>
      </x:c>
      <x:c r="P354" s="13" t="n">
        <x:v>-0.6893630711339466</x:v>
      </x:c>
      <x:c r="Q354" s="13" t="n">
        <x:v>-0.5782451636520444</x:v>
      </x:c>
      <x:c r="R354" s="13" t="n">
        <x:v>-0.6708795085926182</x:v>
      </x:c>
      <x:c r="S354" s="13" t="n">
        <x:v>-0.9822530663234394</x:v>
      </x:c>
      <x:c r="T354" s="13" t="n">
        <x:v>0.2590597127376754</x:v>
      </x:c>
      <x:c r="U354" s="13" t="n">
        <x:v>-0.517532150144267</x:v>
      </x:c>
      <x:c r="V354" s="13" t="n">
        <x:v>-0.5087566455660921</x:v>
      </x:c>
      <x:c r="W354" s="13" t="n">
        <x:v>-0.5452677783767343</x:v>
      </x:c>
      <x:c r="X354" s="13" t="n">
        <x:v>-0.3083290878285008</x:v>
      </x:c>
      <x:c r="Y354" s="13" t="n">
        <x:v>-0.5271335373088651</x:v>
      </x:c>
      <x:c r="Z354" s="13" t="n">
        <x:v>-0.4559071419882675</x:v>
      </x:c>
      <x:c r="AA354" s="13" t="n">
        <x:v>-0.3405361656777451</x:v>
      </x:c>
      <x:c r="AB354" s="13" t="n">
        <x:v>0.21869757796868505</x:v>
      </x:c>
      <x:c r="AC354" s="13" t="n">
        <x:v>1.2703956812233774</x:v>
      </x:c>
      <x:c r="AD354" s="13" t="n">
        <x:v>-0.7417314572711008</x:v>
      </x:c>
      <x:c r="AE354" s="13" t="n">
        <x:v>-0.9841478154300326</x:v>
      </x:c>
      <x:c r="AF354" s="13" t="n">
        <x:v>-0.5427833399670651</x:v>
      </x:c>
      <x:c r="AG354" s="13" t="n">
        <x:v>0.015794479502753866</x:v>
      </x:c>
      <x:c r="AH354" s="13" t="n">
        <x:v>-0.9723467481466664</x:v>
      </x:c>
      <x:c r="AI354" s="13" t="n">
        <x:v>-0.8531003452412171</x:v>
      </x:c>
      <x:c r="AJ354" s="13" t="n">
        <x:v>-0.37139587988100514</x:v>
      </x:c>
      <x:c r="AK354" s="13" t="n">
        <x:v>-0.30328640606273444</x:v>
      </x:c>
      <x:c r="AL354" s="13" t="n">
        <x:v>-0.043438194342721066</x:v>
      </x:c>
      <x:c r="AM354" s="13" t="n">
        <x:v>0.22498539952756677</x:v>
      </x:c>
      <x:c r="AN354" s="13" t="n">
        <x:v>-1.0055536410850854</x:v>
      </x:c>
      <x:c r="AO354" s="13" t="n">
        <x:v>-0.44832046863992164</x:v>
      </x:c>
      <x:c r="AP354" s="13" t="n">
        <x:v>-1.095360950360127</x:v>
      </x:c>
    </x:row>
    <x:row r="355" ht="15" hidden="0" customHeight="1">
      <x:c r="A355" s="2" t="str">
        <x:v>E354</x:v>
      </x:c>
      <x:c r="B355" s="2" t="str">
        <x:v>***广告有限公司</x:v>
      </x:c>
      <x:c r="C355" s="2" t="str">
        <x:v>无信贷记录</x:v>
      </x:c>
      <x:c r="D355" s="2" t="str"/>
      <x:c r="E355" s="2" t="str"/>
      <x:c r="F355" s="13" t="n">
        <x:v>-0.5815962116281477</x:v>
      </x:c>
      <x:c r="G355" s="13" t="n">
        <x:v>-0.58033030402463</x:v>
      </x:c>
      <x:c r="H355" s="13" t="n">
        <x:v>-0.497466327587347</x:v>
      </x:c>
      <x:c r="I355" s="13" t="n">
        <x:v>-0.46027843520127304</x:v>
      </x:c>
      <x:c r="J355" s="13" t="n">
        <x:v>-0.5568585511129177</x:v>
      </x:c>
      <x:c r="K355" s="13" t="n">
        <x:v>-0.5595158635325194</x:v>
      </x:c>
      <x:c r="L355" s="13" t="n">
        <x:v>-0.6814553731050008</x:v>
      </x:c>
      <x:c r="M355" s="13" t="n">
        <x:v>-0.004827410240960703</x:v>
      </x:c>
      <x:c r="N355" s="13" t="n">
        <x:v>-0.7216149855326618</x:v>
      </x:c>
      <x:c r="O355" s="13" t="n">
        <x:v>0.429208128976191</x:v>
      </x:c>
      <x:c r="P355" s="13" t="n">
        <x:v>0.7127438298511086</x:v>
      </x:c>
      <x:c r="Q355" s="13" t="n">
        <x:v>-0.5720392897879393</x:v>
      </x:c>
      <x:c r="R355" s="13" t="n">
        <x:v>0.1584303020077211</x:v>
      </x:c>
      <x:c r="S355" s="13" t="n">
        <x:v>0.18396980718039516</x:v>
      </x:c>
      <x:c r="T355" s="13" t="n">
        <x:v>-0.6827741445207682</x:v>
      </x:c>
      <x:c r="U355" s="13" t="n">
        <x:v>-0.38948242916549414</x:v>
      </x:c>
      <x:c r="V355" s="13" t="n">
        <x:v>-0.3825240140028642</x:v>
      </x:c>
      <x:c r="W355" s="13" t="n">
        <x:v>-0.4103956405401595</x:v>
      </x:c>
      <x:c r="X355" s="13" t="n">
        <x:v>-0.24627586346599628</x:v>
      </x:c>
      <x:c r="Y355" s="13" t="n">
        <x:v>-0.5320836563844079</x:v>
      </x:c>
      <x:c r="Z355" s="13" t="n">
        <x:v>-0.46099814958834334</x:v>
      </x:c>
      <x:c r="AA355" s="13" t="n">
        <x:v>-0.24419097174933033</x:v>
      </x:c>
      <x:c r="AB355" s="13" t="n">
        <x:v>-0.252833826603261</x:v>
      </x:c>
      <x:c r="AC355" s="13" t="n">
        <x:v>0.10141214460742057</x:v>
      </x:c>
      <x:c r="AD355" s="13" t="n">
        <x:v>-0.5142476284593374</x:v>
      </x:c>
      <x:c r="AE355" s="13" t="n">
        <x:v>-0.18637335947317543</x:v>
      </x:c>
      <x:c r="AF355" s="13" t="n">
        <x:v>-0.549804164469581</x:v>
      </x:c>
      <x:c r="AG355" s="13" t="n">
        <x:v>-0.005137860784726696</x:v>
      </x:c>
      <x:c r="AH355" s="13" t="n">
        <x:v>-0.41995679795622576</x:v>
      </x:c>
      <x:c r="AI355" s="13" t="n">
        <x:v>0.3544521834099646</x:v>
      </x:c>
      <x:c r="AJ355" s="13" t="n">
        <x:v>-0.38466045817714567</x:v>
      </x:c>
      <x:c r="AK355" s="13" t="n">
        <x:v>-0.24472819417974187</x:v>
      </x:c>
      <x:c r="AL355" s="13" t="n">
        <x:v>0.1618129719193609</x:v>
      </x:c>
      <x:c r="AM355" s="13" t="n">
        <x:v>0.3678180523040706</x:v>
      </x:c>
      <x:c r="AN355" s="13" t="n">
        <x:v>-0.006710596024544459</x:v>
      </x:c>
      <x:c r="AO355" s="13" t="n">
        <x:v>0.10413457468783228</x:v>
      </x:c>
      <x:c r="AP355" s="13" t="n">
        <x:v>-0.10273567695722734</x:v>
      </x:c>
    </x:row>
    <x:row r="356" ht="15" hidden="0" customHeight="1">
      <x:c r="A356" s="2" t="str">
        <x:v>E355</x:v>
      </x:c>
      <x:c r="B356" s="2" t="str">
        <x:v>***地毯经营部</x:v>
      </x:c>
      <x:c r="C356" s="2" t="str">
        <x:v>无信贷记录</x:v>
      </x:c>
      <x:c r="D356" s="2" t="str"/>
      <x:c r="E356" s="2" t="str"/>
      <x:c r="F356" s="13" t="n">
        <x:v>-0.6108012630688049</x:v>
      </x:c>
      <x:c r="G356" s="13" t="n">
        <x:v>-0.6100591494395083</x:v>
      </x:c>
      <x:c r="H356" s="13" t="n">
        <x:v>-0.5080975534748424</x:v>
      </x:c>
      <x:c r="I356" s="13" t="n">
        <x:v>-0.46027843520127304</x:v>
      </x:c>
      <x:c r="J356" s="13" t="n">
        <x:v>-0.5595149700372569</x:v>
      </x:c>
      <x:c r="K356" s="13" t="n">
        <x:v>-0.5621253209777255</x:v>
      </x:c>
      <x:c r="L356" s="13" t="n">
        <x:v>-0.7088373473943025</x:v>
      </x:c>
      <x:c r="M356" s="13" t="n">
        <x:v>3.7424680070460514</x:v>
      </x:c>
      <x:c r="N356" s="13" t="n">
        <x:v>-0.7216149855326618</x:v>
      </x:c>
      <x:c r="O356" s="13" t="n">
        <x:v>2.641733660007774</x:v>
      </x:c>
      <x:c r="P356" s="13" t="n">
        <x:v>2.2442843171743694</x:v>
      </x:c>
      <x:c r="Q356" s="13" t="n">
        <x:v>-0.5561652186027365</x:v>
      </x:c>
      <x:c r="R356" s="13" t="n">
        <x:v>2.0389777271134846</x:v>
      </x:c>
      <x:c r="S356" s="13" t="n">
        <x:v>2.5808657046323797</x:v>
      </x:c>
      <x:c r="T356" s="13" t="n">
        <x:v>-2.472258473311811</x:v>
      </x:c>
      <x:c r="U356" s="13" t="n">
        <x:v>-0.4126683868735847</x:v>
      </x:c>
      <x:c r="V356" s="13" t="n">
        <x:v>-0.39935503154462787</x:v>
      </x:c>
      <x:c r="W356" s="13" t="n">
        <x:v>-0.5152961921908288</x:v>
      </x:c>
      <x:c r="X356" s="13" t="n">
        <x:v>-0.3910667203118402</x:v>
      </x:c>
      <x:c r="Y356" s="13" t="n">
        <x:v>-0.5418738714814952</x:v>
      </x:c>
      <x:c r="Z356" s="13" t="n">
        <x:v>-0.46954904777711204</x:v>
      </x:c>
      <x:c r="AA356" s="13" t="n">
        <x:v>-0.14784577782091554</x:v>
      </x:c>
      <x:c r="AB356" s="13" t="n">
        <x:v>-0.5461468701753237</x:v>
      </x:c>
      <x:c r="AC356" s="13" t="n">
        <x:v>-0.6980651016988949</x:v>
      </x:c>
      <x:c r="AD356" s="13" t="n">
        <x:v>-0.8453168381898926</x:v>
      </x:c>
      <x:c r="AE356" s="13" t="n">
        <x:v>-1.08460745818564</x:v>
      </x:c>
      <x:c r="AF356" s="13" t="n">
        <x:v>-0.5564904943196328</x:v>
      </x:c>
      <x:c r="AG356" s="13" t="n">
        <x:v>-1.0140645399846833</x:v>
      </x:c>
      <x:c r="AH356" s="13" t="n">
        <x:v>0.4487392415736923</x:v>
      </x:c>
      <x:c r="AI356" s="13" t="n">
        <x:v>-0.14869470352802777</x:v>
      </x:c>
      <x:c r="AJ356" s="13" t="n">
        <x:v>-0.3988076562747402</x:v>
      </x:c>
      <x:c r="AK356" s="13" t="n">
        <x:v>-0.18868458012661773</x:v>
      </x:c>
      <x:c r="AL356" s="13" t="n">
        <x:v>-0.21453847235825196</x:v>
      </x:c>
      <x:c r="AM356" s="13" t="n">
        <x:v>-0.7815911692517314</x:v>
      </x:c>
      <x:c r="AN356" s="13" t="n">
        <x:v>1.383060388547426</x:v>
      </x:c>
      <x:c r="AO356" s="13" t="n">
        <x:v>0.9041854464230089</x:v>
      </x:c>
      <x:c r="AP356" s="13" t="n">
        <x:v>2.672337855261514</x:v>
      </x:c>
    </x:row>
    <x:row r="357" ht="15" hidden="0" customHeight="1">
      <x:c r="A357" s="2" t="str">
        <x:v>E356</x:v>
      </x:c>
      <x:c r="B357" s="2" t="str">
        <x:v>***建材装饰部</x:v>
      </x:c>
      <x:c r="C357" s="2" t="str">
        <x:v>无信贷记录</x:v>
      </x:c>
      <x:c r="D357" s="2" t="str"/>
      <x:c r="E357" s="2" t="str"/>
      <x:c r="F357" s="13" t="n">
        <x:v>-0.6112648353138947</x:v>
      </x:c>
      <x:c r="G357" s="13" t="n">
        <x:v>-0.6100591494395083</x:v>
      </x:c>
      <x:c r="H357" s="13" t="n">
        <x:v>-0.518728779362338</x:v>
      </x:c>
      <x:c r="I357" s="13" t="n">
        <x:v>-0.46027843520127304</x:v>
      </x:c>
      <x:c r="J357" s="13" t="n">
        <x:v>-0.569779858068207</x:v>
      </x:c>
      <x:c r="K357" s="13" t="n">
        <x:v>-0.5722087412738043</x:v>
      </x:c>
      <x:c r="L357" s="13" t="n">
        <x:v>-0.7088373473943025</x:v>
      </x:c>
      <x:c r="M357" s="13" t="n">
        <x:v>-1.151103901665672</x:v>
      </x:c>
      <x:c r="N357" s="13" t="n">
        <x:v>-0.7216149855326618</x:v>
      </x:c>
      <x:c r="O357" s="13" t="n">
        <x:v>2.405128211488002</x:v>
      </x:c>
      <x:c r="P357" s="13" t="n">
        <x:v>2.1191805708710856</x:v>
      </x:c>
      <x:c r="Q357" s="13" t="n">
        <x:v>-0.5850816501870416</x:v>
      </x:c>
      <x:c r="R357" s="13" t="n">
        <x:v>2.3219338709194726</x:v>
      </x:c>
      <x:c r="S357" s="13" t="n">
        <x:v>-3.9476126894836887</x:v>
      </x:c>
      <x:c r="T357" s="13" t="n">
        <x:v>-2.378075087585967</x:v>
      </x:c>
      <x:c r="U357" s="13" t="n">
        <x:v>-0.45904030228976583</x:v>
      </x:c>
      <x:c r="V357" s="13" t="n">
        <x:v>-0.44087154148097846</x:v>
      </x:c>
      <x:c r="W357" s="13" t="n">
        <x:v>-0.620196743841498</x:v>
      </x:c>
      <x:c r="X357" s="13" t="n">
        <x:v>-0.3910667203118402</x:v>
      </x:c>
      <x:c r="Y357" s="13" t="n">
        <x:v>-0.5388686458102409</x:v>
      </x:c>
      <x:c r="Z357" s="13" t="n">
        <x:v>-0.4672175982514086</x:v>
      </x:c>
      <x:c r="AA357" s="13" t="n">
        <x:v>-0.3898837040313234</x:v>
      </x:c>
      <x:c r="AB357" s="13" t="n">
        <x:v>-0.9331118273818685</x:v>
      </x:c>
      <x:c r="AC357" s="13" t="n">
        <x:v>-0.6980651016988949</x:v>
      </x:c>
      <x:c r="AD357" s="13" t="n">
        <x:v>2.5777642716981175</x:v>
      </x:c>
      <x:c r="AE357" s="13" t="n">
        <x:v>2.275638495113388</x:v>
      </x:c>
      <x:c r="AF357" s="13" t="n">
        <x:v>-0.5530465964570583</x:v>
      </x:c>
      <x:c r="AG357" s="13" t="n">
        <x:v>-0.7826420250267864</x:v>
      </x:c>
      <x:c r="AH357" s="13" t="n">
        <x:v>0.12952490787625778</x:v>
      </x:c>
      <x:c r="AI357" s="13" t="n">
        <x:v>-0.04806532614042929</x:v>
      </x:c>
      <x:c r="AJ357" s="13" t="n">
        <x:v>-0.3859288715684915</x:v>
      </x:c>
      <x:c r="AK357" s="13" t="n">
        <x:v>-0.3393147889713782</x:v>
      </x:c>
      <x:c r="AL357" s="13" t="n">
        <x:v>-1.0665517495888357</x:v>
      </x:c>
      <x:c r="AM357" s="13" t="n">
        <x:v>-0.7815911692517314</x:v>
      </x:c>
      <x:c r="AN357" s="13" t="n">
        <x:v>3.1377122917985374</x:v>
      </x:c>
      <x:c r="AO357" s="13" t="n">
        <x:v>1.2050072016777342</x:v>
      </x:c>
      <x:c r="AP357" s="13" t="n">
        <x:v>-3.3563144485995466</x:v>
      </x:c>
    </x:row>
    <x:row r="358" ht="15" hidden="0" customHeight="1">
      <x:c r="A358" s="2" t="str">
        <x:v>E357</x:v>
      </x:c>
      <x:c r="B358" s="2" t="str">
        <x:v>***家居经营部</x:v>
      </x:c>
      <x:c r="C358" s="2" t="str">
        <x:v>无信贷记录</x:v>
      </x:c>
      <x:c r="D358" s="2" t="str"/>
      <x:c r="E358" s="2" t="str"/>
      <x:c r="F358" s="13" t="n">
        <x:v>-0.6080198295982662</x:v>
      </x:c>
      <x:c r="G358" s="13" t="n">
        <x:v>-0.6067026668926672</x:v>
      </x:c>
      <x:c r="H358" s="13" t="n">
        <x:v>-0.518728779362338</x:v>
      </x:c>
      <x:c r="I358" s="13" t="n">
        <x:v>-0.4173966045728936</x:v>
      </x:c>
      <x:c r="J358" s="13" t="n">
        <x:v>-0.5687750165250964</x:v>
      </x:c>
      <x:c r="K358" s="13" t="n">
        <x:v>-0.5712106865283554</x:v>
      </x:c>
      <x:c r="L358" s="13" t="n">
        <x:v>-0.699710022631202</x:v>
      </x:c>
      <x:c r="M358" s="13" t="n">
        <x:v>-1.151103901665672</x:v>
      </x:c>
      <x:c r="N358" s="13" t="n">
        <x:v>4.5203208139493745</x:v>
      </x:c>
      <x:c r="O358" s="13" t="n">
        <x:v>1.130897509449132</x:v>
      </x:c>
      <x:c r="P358" s="13" t="n">
        <x:v>1.3003177798867709</x:v>
      </x:c>
      <x:c r="Q358" s="13" t="n">
        <x:v>-0.5842046370908769</x:v>
      </x:c>
      <x:c r="R358" s="13" t="n">
        <x:v>0.8389773737677445</x:v>
      </x:c>
      <x:c r="S358" s="13" t="n">
        <x:v>0.24131861149194792</x:v>
      </x:c>
      <x:c r="T358" s="13" t="n">
        <x:v>-1.907158158956745</x:v>
      </x:c>
      <x:c r="U358" s="13" t="n">
        <x:v>-0.4785375849079329</x:v>
      </x:c>
      <x:c r="V358" s="13" t="n">
        <x:v>-0.466118067793624</x:v>
      </x:c>
      <x:c r="W358" s="13" t="n">
        <x:v>-0.560253571469687</x:v>
      </x:c>
      <x:c r="X358" s="13" t="n">
        <x:v>-0.3910667203118402</x:v>
      </x:c>
      <x:c r="Y358" s="13" t="n">
        <x:v>-0.5405744206866274</x:v>
      </x:c>
      <x:c r="Z358" s="13" t="n">
        <x:v>-0.46854093581788436</x:v>
      </x:c>
      <x:c r="AA358" s="13" t="n">
        <x:v>-0.3640349934651633</x:v>
      </x:c>
      <x:c r="AB358" s="13" t="n">
        <x:v>-0.48351297078198385</x:v>
      </x:c>
      <x:c r="AC358" s="13" t="n">
        <x:v>-0.6980651016988949</x:v>
      </x:c>
      <x:c r="AD358" s="13" t="n">
        <x:v>0.011840162154688041</x:v>
      </x:c>
      <x:c r="AE358" s="13" t="n">
        <x:v>0.26069751612041453</x:v>
      </x:c>
      <x:c r="AF358" s="13" t="n">
        <x:v>-0.5580071766924918</x:v>
      </x:c>
      <x:c r="AG358" s="13" t="n">
        <x:v>-0.5348033503331637</x:v>
      </x:c>
      <x:c r="AH358" s="13" t="n">
        <x:v>1.0102853491330326</x:v>
      </x:c>
      <x:c r="AI358" s="13" t="n">
        <x:v>-0.3499534583032247</x:v>
      </x:c>
      <x:c r="AJ358" s="13" t="n">
        <x:v>-0.38952445446395445</x:v>
      </x:c>
      <x:c r="AK358" s="13" t="n">
        <x:v>-0.3255152424028518</x:v>
      </x:c>
      <x:c r="AL358" s="13" t="n">
        <x:v>-0.19904414098555348</x:v>
      </x:c>
      <x:c r="AM358" s="13" t="n">
        <x:v>-0.3998764184938676</x:v>
      </x:c>
      <x:c r="AN358" s="13" t="n">
        <x:v>0.8237744579409744</x:v>
      </x:c>
      <x:c r="AO358" s="13" t="n">
        <x:v>0.31618685335365765</x:v>
      </x:c>
      <x:c r="AP358" s="13" t="n">
        <x:v>0.6526899691294237</x:v>
      </x:c>
    </x:row>
    <x:row r="359" ht="15" hidden="0" customHeight="1">
      <x:c r="A359" s="2" t="str">
        <x:v>E358</x:v>
      </x:c>
      <x:c r="B359" s="2" t="str">
        <x:v>***五金经营部</x:v>
      </x:c>
      <x:c r="C359" s="2" t="str">
        <x:v>无信贷记录</x:v>
      </x:c>
      <x:c r="D359" s="2" t="str"/>
      <x:c r="E359" s="2" t="str"/>
      <x:c r="F359" s="13" t="n">
        <x:v>-0.6117284075589845</x:v>
      </x:c>
      <x:c r="G359" s="13" t="n">
        <x:v>-0.6105386469461999</x:v>
      </x:c>
      <x:c r="H359" s="13" t="n">
        <x:v>-0.518728779362338</x:v>
      </x:c>
      <x:c r="I359" s="13" t="n">
        <x:v>-0.46027843520127304</x:v>
      </x:c>
      <x:c r="J359" s="13" t="n">
        <x:v>-0.570091157160903</x:v>
      </x:c>
      <x:c r="K359" s="13" t="n">
        <x:v>-0.5725145370681644</x:v>
      </x:c>
      <x:c r="L359" s="13" t="n">
        <x:v>-0.7118797889820027</x:v>
      </x:c>
      <x:c r="M359" s="13" t="n">
        <x:v>-1.151103901665672</x:v>
      </x:c>
      <x:c r="N359" s="13" t="n">
        <x:v>-0.7216149855326618</x:v>
      </x:c>
      <x:c r="O359" s="13" t="n">
        <x:v>2.6494337955283003</x:v>
      </x:c>
      <x:c r="P359" s="13" t="n">
        <x:v>2.2482144815216887</x:v>
      </x:c>
      <x:c r="Q359" s="13" t="n">
        <x:v>-0.5857815131859803</x:v>
      </x:c>
      <x:c r="R359" s="13" t="n">
        <x:v>0.7484411172798281</x:v>
      </x:c>
      <x:c r="S359" s="13" t="n">
        <x:v>-0.3170324397406929</x:v>
      </x:c>
      <x:c r="T359" s="13" t="n">
        <x:v>-2.472258473311811</x:v>
      </x:c>
      <x:c r="U359" s="13" t="n">
        <x:v>-0.4010754080195394</x:v>
      </x:c>
      <x:c r="V359" s="13" t="n">
        <x:v>-0.40159916721686306</x:v>
      </x:c>
      <x:c r="W359" s="13" t="n">
        <x:v>-0.32048088198244296</x:v>
      </x:c>
      <x:c r="X359" s="13" t="n">
        <x:v>0.31220315579654445</x:v>
      </x:c>
      <x:c r="Y359" s="13" t="n">
        <x:v>-0.5379498944913677</x:v>
      </x:c>
      <x:c r="Z359" s="13" t="n">
        <x:v>-0.4619939392917426</x:v>
      </x:c>
      <x:c r="AA359" s="13" t="n">
        <x:v>-0.33818628289900327</x:v>
      </x:c>
      <x:c r="AB359" s="13" t="n">
        <x:v>0.13230810339311014</x:v>
      </x:c>
      <x:c r="AC359" s="13" t="n">
        <x:v>3.6948705451315043</x:v>
      </x:c>
      <x:c r="AD359" s="13" t="n">
        <x:v>-0.3205068752925585</x:v>
      </x:c>
      <x:c r="AE359" s="13" t="n">
        <x:v>-0.13384587477535156</x:v>
      </x:c>
      <x:c r="AF359" s="13" t="n">
        <x:v>-0.55323505178949</x:v>
      </x:c>
      <x:c r="AG359" s="13" t="n">
        <x:v>-0.7458422743413297</x:v>
      </x:c>
      <x:c r="AH359" s="13" t="n">
        <x:v>-0.11227711238809844</x:v>
      </x:c>
      <x:c r="AI359" s="13" t="n">
        <x:v>-0.14869470352802777</x:v>
      </x:c>
      <x:c r="AJ359" s="13" t="n">
        <x:v>-0.38416937460018347</x:v>
      </x:c>
      <x:c r="AK359" s="13" t="n">
        <x:v>-0.3429214597564249</x:v>
      </x:c>
      <x:c r="AL359" s="13" t="n">
        <x:v>1.130275984218862</x:v>
      </x:c>
      <x:c r="AM359" s="13" t="n">
        <x:v>5.277690058932323</x:v>
      </x:c>
      <x:c r="AN359" s="13" t="n">
        <x:v>1.712706086167832</x:v>
      </x:c>
      <x:c r="AO359" s="13" t="n">
        <x:v>0.1554323241093129</x:v>
      </x:c>
      <x:c r="AP359" s="13" t="n">
        <x:v>-0.25469899561116527</x:v>
      </x:c>
    </x:row>
    <x:row r="360" ht="15" hidden="0" customHeight="1">
      <x:c r="A360" s="2" t="str">
        <x:v>E359</x:v>
      </x:c>
      <x:c r="B360" s="2" t="str">
        <x:v>***厨房用品经营部</x:v>
      </x:c>
      <x:c r="C360" s="2" t="str">
        <x:v>无信贷记录</x:v>
      </x:c>
      <x:c r="D360" s="2" t="str"/>
      <x:c r="E360" s="2" t="str"/>
      <x:c r="F360" s="13" t="n">
        <x:v>-0.6117284075589845</x:v>
      </x:c>
      <x:c r="G360" s="13" t="n">
        <x:v>-0.6105386469461999</x:v>
      </x:c>
      <x:c r="H360" s="13" t="n">
        <x:v>-0.518728779362338</x:v>
      </x:c>
      <x:c r="I360" s="13" t="n">
        <x:v>-0.46027843520127304</x:v>
      </x:c>
      <x:c r="J360" s="13" t="n">
        <x:v>-0.570091157160903</x:v>
      </x:c>
      <x:c r="K360" s="13" t="n">
        <x:v>-0.5725145370681644</x:v>
      </x:c>
      <x:c r="L360" s="13" t="n">
        <x:v>-0.7118797889820027</x:v>
      </x:c>
      <x:c r="M360" s="13" t="n">
        <x:v>-1.151103901665672</x:v>
      </x:c>
      <x:c r="N360" s="13" t="n">
        <x:v>-0.7216149855326618</x:v>
      </x:c>
      <x:c r="O360" s="13" t="n">
        <x:v>2.6494337955283003</x:v>
      </x:c>
      <x:c r="P360" s="13" t="n">
        <x:v>2.2482144815216887</x:v>
      </x:c>
      <x:c r="Q360" s="13" t="n">
        <x:v>-0.5857841211396627</x:v>
      </x:c>
      <x:c r="R360" s="13" t="n">
        <x:v>0.8633211179845616</x:v>
      </x:c>
      <x:c r="S360" s="13" t="n">
        <x:v>-0.31703243974069223</x:v>
      </x:c>
      <x:c r="T360" s="13" t="n">
        <x:v>-2.472258473311811</x:v>
      </x:c>
      <x:c r="U360" s="13" t="n">
        <x:v>-0.431638715907477</x:v>
      </x:c>
      <x:c r="V360" s="13" t="n">
        <x:v>-0.42123535434892073</x:v>
      </x:c>
      <x:c r="W360" s="13" t="n">
        <x:v>-0.49281750255139967</x:v>
      </x:c>
      <x:c r="X360" s="13" t="n">
        <x:v>-0.32901349594933565</x:v>
      </x:c>
      <x:c r="Y360" s="13" t="n">
        <x:v>-0.5419082392741377</x:v>
      </x:c>
      <x:c r="Z360" s="13" t="n">
        <x:v>-0.46933830119379366</x:v>
      </x:c>
      <x:c r="AA360" s="13" t="n">
        <x:v>-0.314687455111585</x:v>
      </x:c>
      <x:c r="AB360" s="13" t="n">
        <x:v>-0.3740993333050473</x:v>
      </x:c>
      <x:c r="AC360" s="13" t="n">
        <x:v>-0.2498887627299847</x:v>
      </x:c>
      <x:c r="AD360" s="13" t="n">
        <x:v>-0.6055663505446139</x:v>
      </x:c>
      <x:c r="AE360" s="13" t="n">
        <x:v>-0.5828827181621686</x:v>
      </x:c>
      <x:c r="AF360" s="13" t="n">
        <x:v>-0.5552141711775275</x:v>
      </x:c>
      <x:c r="AG360" s="13" t="n">
        <x:v>-0.8271318561967282</x:v>
      </x:c>
      <x:c r="AH360" s="13" t="n">
        <x:v>-0.053717638669745965</x:v>
      </x:c>
      <x:c r="AI360" s="13" t="n">
        <x:v>-0.3499534583032247</x:v>
      </x:c>
      <x:c r="AJ360" s="13" t="n">
        <x:v>-0.39071674132035583</x:v>
      </x:c>
      <x:c r="AK360" s="13" t="n">
        <x:v>-0.34287847638492297</x:v>
      </x:c>
      <x:c r="AL360" s="13" t="n">
        <x:v>0.08475960910807717</x:v>
      </x:c>
      <x:c r="AM360" s="13" t="n">
        <x:v>-0.0012716345166294306</x:v>
      </x:c>
      <x:c r="AN360" s="13" t="n">
        <x:v>1.5366670566453189</x:v>
      </x:c>
      <x:c r="AO360" s="13" t="n">
        <x:v>0.19505152755063324</x:v>
      </x:c>
      <x:c r="AP360" s="13" t="n">
        <x:v>-0.22520747818244824</x:v>
      </x:c>
    </x:row>
    <x:row r="361" ht="15" hidden="0" customHeight="1">
      <x:c r="A361" s="2" t="str">
        <x:v>E360</x:v>
      </x:c>
      <x:c r="B361" s="2" t="str">
        <x:v>***建筑劳务有限公司</x:v>
      </x:c>
      <x:c r="C361" s="2" t="str">
        <x:v>无信贷记录</x:v>
      </x:c>
      <x:c r="D361" s="2" t="str"/>
      <x:c r="E361" s="2" t="str"/>
      <x:c r="F361" s="13" t="n">
        <x:v>-0.6112648353138947</x:v>
      </x:c>
      <x:c r="G361" s="13" t="n">
        <x:v>-0.6100591494395083</x:v>
      </x:c>
      <x:c r="H361" s="13" t="n">
        <x:v>-0.518728779362338</x:v>
      </x:c>
      <x:c r="I361" s="13" t="n">
        <x:v>-0.46027843520127304</x:v>
      </x:c>
      <x:c r="J361" s="13" t="n">
        <x:v>-0.5700855697412904</x:v>
      </x:c>
      <x:c r="K361" s="13" t="n">
        <x:v>-0.5725090484257015</x:v>
      </x:c>
      <x:c r="L361" s="13" t="n">
        <x:v>-0.7118797889820027</x:v>
      </x:c>
      <x:c r="M361" s="13" t="n">
        <x:v>-1.151103901665672</x:v>
      </x:c>
      <x:c r="N361" s="13" t="n">
        <x:v>-0.7216149855326618</x:v>
      </x:c>
      <x:c r="O361" s="13" t="n">
        <x:v>2.6494337955283003</x:v>
      </x:c>
      <x:c r="P361" s="13" t="n">
        <x:v>2.2482144815216887</x:v>
      </x:c>
      <x:c r="Q361" s="13" t="n">
        <x:v>-0.5856933643515118</x:v>
      </x:c>
      <x:c r="R361" s="13" t="n">
        <x:v>-0.20177190534339814</x:v>
      </x:c>
      <x:c r="S361" s="13" t="n">
        <x:v>-3.9476126894836887</x:v>
      </x:c>
      <x:c r="T361" s="13" t="n">
        <x:v>-2.472258473311811</x:v>
      </x:c>
      <x:c r="U361" s="13" t="n">
        <x:v>-0.5412450614366324</x:v>
      </x:c>
      <x:c r="V361" s="13" t="n">
        <x:v>-0.530636968370385</x:v>
      </x:c>
      <x:c r="W361" s="13" t="n">
        <x:v>-0.5902251576555926</x:v>
      </x:c>
      <x:c r="X361" s="13" t="n">
        <x:v>-0.3910667203118402</x:v>
      </x:c>
      <x:c r="Y361" s="13" t="n">
        <x:v>-0.528318359708455</x:v>
      </x:c>
      <x:c r="Z361" s="13" t="n">
        <x:v>-0.4590327022672818</x:v>
      </x:c>
      <x:c r="AA361" s="13" t="n">
        <x:v>-0.3945834695888071</x:v>
      </x:c>
      <x:c r="AB361" s="13" t="n">
        <x:v>0.3955903116234337</x:v>
      </x:c>
      <x:c r="AC361" s="13" t="n">
        <x:v>-0.6980651016988949</x:v>
      </x:c>
      <x:c r="AD361" s="13" t="n">
        <x:v>1.9461084776542887</x:v>
      </x:c>
      <x:c r="AE361" s="13" t="n">
        <x:v>1.8500734964366208</x:v>
      </x:c>
      <x:c r="AF361" s="13" t="n">
        <x:v>-0.5312599358813771</x:v>
      </x:c>
      <x:c r="AG361" s="13" t="n">
        <x:v>2.021075157052275</x:v>
      </x:c>
      <x:c r="AH361" s="13" t="n">
        <x:v>-3.3010844219728446</x:v>
      </x:c>
      <x:c r="AI361" s="13" t="n">
        <x:v>-2.2619116286675958</x:v>
      </x:c>
      <x:c r="AJ361" s="13" t="n">
        <x:v>-0.36824247708257896</x:v>
      </x:c>
      <x:c r="AK361" s="13" t="n">
        <x:v>-0.3429214597564249</x:v>
      </x:c>
      <x:c r="AL361" s="13" t="n">
        <x:v>1.4604026323215216</x:v>
      </x:c>
      <x:c r="AM361" s="13" t="n">
        <x:v>-0.7815911692517314</x:v>
      </x:c>
      <x:c r="AN361" s="13" t="n">
        <x:v>3.1124587752541246</x:v>
      </x:c>
      <x:c r="AO361" s="13" t="n">
        <x:v>0.8139336223800508</x:v>
      </x:c>
      <x:c r="AP361" s="13" t="n">
        <x:v>-3.3563144485995466</x:v>
      </x:c>
    </x:row>
    <x:row r="362" ht="15" hidden="0" customHeight="1">
      <x:c r="A362" s="2" t="str">
        <x:v>E361</x:v>
      </x:c>
      <x:c r="B362" s="2" t="str">
        <x:v>***勘察设计工程有限公司</x:v>
      </x:c>
      <x:c r="C362" s="2" t="str">
        <x:v>无信贷记录</x:v>
      </x:c>
      <x:c r="D362" s="2" t="str"/>
      <x:c r="E362" s="2" t="str"/>
      <x:c r="F362" s="13" t="n">
        <x:v>-0.5319939814035393</x:v>
      </x:c>
      <x:c r="G362" s="13" t="n">
        <x:v>-0.5295035683153221</x:v>
      </x:c>
      <x:c r="H362" s="13" t="n">
        <x:v>-0.4868351016998515</x:v>
      </x:c>
      <x:c r="I362" s="13" t="n">
        <x:v>-0.46027843520127304</x:v>
      </x:c>
      <x:c r="J362" s="13" t="n">
        <x:v>-0.503499739459287</x:v>
      </x:c>
      <x:c r="K362" s="13" t="n">
        <x:v>-0.507100355172311</x:v>
      </x:c>
      <x:c r="L362" s="13" t="n">
        <x:v>-0.6784129315173006</x:v>
      </x:c>
      <x:c r="M362" s="13" t="n">
        <x:v>-0.48903041092898525</x:v>
      </x:c>
      <x:c r="N362" s="13" t="n">
        <x:v>-0.7216149855326618</x:v>
      </x:c>
      <x:c r="O362" s="13" t="n">
        <x:v>-0.19740143362803095</x:v>
      </x:c>
      <x:c r="P362" s="13" t="n">
        <x:v>-0.04204279139380704</x:v>
      </x:c>
      <x:c r="Q362" s="13" t="n">
        <x:v>-0.5100406957314698</x:v>
      </x:c>
      <x:c r="R362" s="13" t="n">
        <x:v>-0.2057539094290142</x:v>
      </x:c>
      <x:c r="S362" s="13" t="n">
        <x:v>-0.9144383530142143</x:v>
      </x:c>
      <x:c r="T362" s="13" t="n">
        <x:v>-0.7769575302466126</x:v>
      </x:c>
      <x:c r="U362" s="13" t="n">
        <x:v>-0.4975079139418252</x:v>
      </x:c>
      <x:c r="V362" s="13" t="n">
        <x:v>-0.49641389936879876</x:v>
      </x:c>
      <x:c r="W362" s="13" t="n">
        <x:v>-0.42538143363311226</x:v>
      </x:c>
      <x:c r="X362" s="13" t="n">
        <x:v>-0.3910667203118402</x:v>
      </x:c>
      <x:c r="Y362" s="13" t="n">
        <x:v>-0.5051420018827782</x:v>
      </x:c>
      <x:c r="Z362" s="13" t="n">
        <x:v>-0.44105251895623826</x:v>
      </x:c>
      <x:c r="AA362" s="13" t="n">
        <x:v>-0.328786751784036</x:v>
      </x:c>
      <x:c r="AB362" s="13" t="n">
        <x:v>0.939260634268537</x:v>
      </x:c>
      <x:c r="AC362" s="13" t="n">
        <x:v>-0.6980651016988949</x:v>
      </x:c>
      <x:c r="AD362" s="13" t="n">
        <x:v>-0.5025784211300656</x:v>
      </x:c>
      <x:c r="AE362" s="13" t="n">
        <x:v>-0.4693566977895037</x:v>
      </x:c>
      <x:c r="AF362" s="13" t="n">
        <x:v>-0.5178745943691306</x:v>
      </x:c>
      <x:c r="AG362" s="13" t="n">
        <x:v>0.6747019678826232</x:v>
      </x:c>
      <x:c r="AH362" s="13" t="n">
        <x:v>-0.5339232973021083</x:v>
      </x:c>
      <x:c r="AI362" s="13" t="n">
        <x:v>-0.4505828356908232</x:v>
      </x:c>
      <x:c r="AJ362" s="13" t="n">
        <x:v>-0.38120411929722486</x:v>
      </x:c>
      <x:c r="AK362" s="13" t="n">
        <x:v>-0.11254153705907718</x:v>
      </x:c>
      <x:c r="AL362" s="13" t="n">
        <x:v>0.5746768688494925</x:v>
      </x:c>
      <x:c r="AM362" s="13" t="n">
        <x:v>-0.7815911692517314</x:v>
      </x:c>
      <x:c r="AN362" s="13" t="n">
        <x:v>-0.45100441684126075</x:v>
      </x:c>
      <x:c r="AO362" s="13" t="n">
        <x:v>0.1773000434818106</x:v>
      </x:c>
      <x:c r="AP362" s="13" t="n">
        <x:v>-0.833020112907179</x:v>
      </x:c>
    </x:row>
    <x:row r="363" ht="15" hidden="0" customHeight="1">
      <x:c r="A363" s="2" t="str">
        <x:v>E362</x:v>
      </x:c>
      <x:c r="B363" s="2" t="str">
        <x:v>***建材有限公司</x:v>
      </x:c>
      <x:c r="C363" s="2" t="str">
        <x:v>无信贷记录</x:v>
      </x:c>
      <x:c r="D363" s="2" t="str"/>
      <x:c r="E363" s="2" t="str"/>
      <x:c r="F363" s="13" t="n">
        <x:v>-0.5542454491678496</x:v>
      </x:c>
      <x:c r="G363" s="13" t="n">
        <x:v>-0.5529989461432098</x:v>
      </x:c>
      <x:c r="H363" s="13" t="n">
        <x:v>-0.476203875812356</x:v>
      </x:c>
      <x:c r="I363" s="13" t="n">
        <x:v>-0.2887511126877555</x:v>
      </x:c>
      <x:c r="J363" s="13" t="n">
        <x:v>-0.5610407586389522</x:v>
      </x:c>
      <x:c r="K363" s="13" t="n">
        <x:v>-0.5627773168158902</x:v>
      </x:c>
      <x:c r="L363" s="13" t="n">
        <x:v>-0.529333293719992</x:v>
      </x:c>
      <x:c r="M363" s="13" t="n">
        <x:v>0.06795204953203679</x:v>
      </x:c>
      <x:c r="N363" s="13" t="n">
        <x:v>2.8192589114897593</x:v>
      </x:c>
      <x:c r="O363" s="13" t="n">
        <x:v>-0.5319028539704008</x:v>
      </x:c>
      <x:c r="P363" s="13" t="n">
        <x:v>-0.7163224940196864</x:v>
      </x:c>
      <x:c r="Q363" s="13" t="n">
        <x:v>-0.5763896049778496</x:v>
      </x:c>
      <x:c r="R363" s="13" t="n">
        <x:v>1.0491510468390293</x:v>
      </x:c>
      <x:c r="S363" s="13" t="n">
        <x:v>-1.5572888661633526</x:v>
      </x:c>
      <x:c r="T363" s="13" t="n">
        <x:v>0.2590597127376754</x:v>
      </x:c>
      <x:c r="U363" s="13" t="n">
        <x:v>-0.5043583105373974</x:v>
      </x:c>
      <x:c r="V363" s="13" t="n">
        <x:v>-0.4936087297785048</x:v>
      </x:c>
      <x:c r="W363" s="13" t="n">
        <x:v>-0.560253571469687</x:v>
      </x:c>
      <x:c r="X363" s="13" t="n">
        <x:v>-0.3083290878285008</x:v>
      </x:c>
      <x:c r="Y363" s="13" t="n">
        <x:v>-0.5130278116549675</x:v>
      </x:c>
      <x:c r="Z363" s="13" t="n">
        <x:v>-0.4439273331974336</x:v>
      </x:c>
      <x:c r="AA363" s="13" t="n">
        <x:v>-0.36638487624390514</x:v>
      </x:c>
      <x:c r="AB363" s="13" t="n">
        <x:v>-0.23336163026011705</x:v>
      </x:c>
      <x:c r="AC363" s="13" t="n">
        <x:v>0.7109384060770474</x:v>
      </x:c>
      <x:c r="AD363" s="13" t="n">
        <x:v>-0.22966900330015624</x:v>
      </x:c>
      <x:c r="AE363" s="13" t="n">
        <x:v>-0.09093054524399101</x:v>
      </x:c>
      <x:c r="AF363" s="13" t="n">
        <x:v>-0.5329717025718053</x:v>
      </x:c>
      <x:c r="AG363" s="13" t="n">
        <x:v>2.4651888023094997</x:v>
      </x:c>
      <x:c r="AH363" s="13" t="n">
        <x:v>-1.7204497092931994</x:v>
      </x:c>
      <x:c r="AI363" s="13" t="n">
        <x:v>-1.054359100016414</x:v>
      </x:c>
      <x:c r="AJ363" s="13" t="n">
        <x:v>-0.3499188978172706</x:v>
      </x:c>
      <x:c r="AK363" s="13" t="n">
        <x:v>-0.30583178863752086</x:v>
      </x:c>
      <x:c r="AL363" s="13" t="n">
        <x:v>-0.20537155192130185</x:v>
      </x:c>
      <x:c r="AM363" s="13" t="n">
        <x:v>1.3855635447283983</x:v>
      </x:c>
      <x:c r="AN363" s="13" t="n">
        <x:v>-0.5234918845858078</x:v>
      </x:c>
      <x:c r="AO363" s="13" t="n">
        <x:v>1.8712268986191436</x:v>
      </x:c>
      <x:c r="AP363" s="13" t="n">
        <x:v>-1.8243870712391643</x:v>
      </x:c>
    </x:row>
    <x:row r="364" ht="15" hidden="0" customHeight="1">
      <x:c r="A364" s="2" t="str">
        <x:v>E363</x:v>
      </x:c>
      <x:c r="B364" s="2" t="str">
        <x:v>***建筑工程设计有限公司</x:v>
      </x:c>
      <x:c r="C364" s="2" t="str">
        <x:v>无信贷记录</x:v>
      </x:c>
      <x:c r="D364" s="2" t="str"/>
      <x:c r="E364" s="2" t="str"/>
      <x:c r="F364" s="13" t="n">
        <x:v>-0.5667618997852741</x:v>
      </x:c>
      <x:c r="G364" s="13" t="n">
        <x:v>-0.5669043738372657</x:v>
      </x:c>
      <x:c r="H364" s="13" t="n">
        <x:v>-0.4549414240373651</x:v>
      </x:c>
      <x:c r="I364" s="13" t="n">
        <x:v>-0.2887511126877555</x:v>
      </x:c>
      <x:c r="J364" s="13" t="n">
        <x:v>-0.5659224344730018</x:v>
      </x:c>
      <x:c r="K364" s="13" t="n">
        <x:v>-0.5683896199616356</x:v>
      </x:c>
      <x:c r="L364" s="13" t="n">
        <x:v>-0.599309450237096</x:v>
      </x:c>
      <x:c r="M364" s="13" t="n">
        <x:v>1.1761847324390449</x:v>
      </x:c>
      <x:c r="N364" s="13" t="n">
        <x:v>3.9234023847548154</x:v>
      </x:c>
      <x:c r="O364" s="13" t="n">
        <x:v>-0.632095747437568</x:v>
      </x:c>
      <x:c r="P364" s="13" t="n">
        <x:v>-0.8841286506384146</x:v>
      </x:c>
      <x:c r="Q364" s="13" t="n">
        <x:v>-0.5807428521889604</x:v>
      </x:c>
      <x:c r="R364" s="13" t="n">
        <x:v>0.2902003368284148</x:v>
      </x:c>
      <x:c r="S364" s="13" t="n">
        <x:v>-0.06541883318720698</x:v>
      </x:c>
      <x:c r="T364" s="13" t="n">
        <x:v>-0.30604060161739083</x:v>
      </x:c>
      <x:c r="U364" s="13" t="n">
        <x:v>-0.5391372470995333</x:v>
      </x:c>
      <x:c r="V364" s="13" t="n">
        <x:v>-0.5300759344523263</x:v>
      </x:c>
      <x:c r="W364" s="13" t="n">
        <x:v>-0.5677464680161635</x:v>
      </x:c>
      <x:c r="X364" s="13" t="n">
        <x:v>-0.3910667203118402</x:v>
      </x:c>
      <x:c r="Y364" s="13" t="n">
        <x:v>-0.54303799730952</x:v>
      </x:c>
      <x:c r="Z364" s="13" t="n">
        <x:v>-0.47045217483195134</x:v>
      </x:c>
      <x:c r="AA364" s="13" t="n">
        <x:v>-0.37343452458013066</x:v>
      </x:c>
      <x:c r="AB364" s="13" t="n">
        <x:v>0.885447112513507</x:v>
      </x:c>
      <x:c r="AC364" s="13" t="n">
        <x:v>-0.6980651016988949</x:v>
      </x:c>
      <x:c r="AD364" s="13" t="n">
        <x:v>0.3317947926028831</x:v>
      </x:c>
      <x:c r="AE364" s="13" t="n">
        <x:v>0.6673408784176003</x:v>
      </x:c>
      <x:c r="AF364" s="13" t="n">
        <x:v>-0.5586435413241795</x:v>
      </x:c>
      <x:c r="AG364" s="13" t="n">
        <x:v>0.47147381433294705</x:v>
      </x:c>
      <x:c r="AH364" s="13" t="n">
        <x:v>1.9706992517952389</x:v>
      </x:c>
      <x:c r="AI364" s="13" t="n">
        <x:v>-1.658135364342005</x:v>
      </x:c>
      <x:c r="AJ364" s="13" t="n">
        <x:v>-0.3957969681308263</x:v>
      </x:c>
      <x:c r="AK364" s="13" t="n">
        <x:v>-0.2746970885535827</x:v>
      </x:c>
      <x:c r="AL364" s="13" t="n">
        <x:v>0.6180171841958743</x:v>
      </x:c>
      <x:c r="AM364" s="13" t="n">
        <x:v>1.1300859564949686</x:v>
      </x:c>
      <x:c r="AN364" s="13" t="n">
        <x:v>-0.24895228543702488</x:v>
      </x:c>
      <x:c r="AO364" s="13" t="n">
        <x:v>0.4178912415741538</x:v>
      </x:c>
      <x:c r="AP364" s="13" t="n">
        <x:v>0.948461733289224</x:v>
      </x:c>
    </x:row>
    <x:row r="365" ht="15" hidden="0" customHeight="1">
      <x:c r="A365" s="2" t="str">
        <x:v>E364</x:v>
      </x:c>
      <x:c r="B365" s="2" t="str">
        <x:v>***电子有限公司</x:v>
      </x:c>
      <x:c r="C365" s="2" t="str">
        <x:v>无信贷记录</x:v>
      </x:c>
      <x:c r="D365" s="2" t="str"/>
      <x:c r="E365" s="2" t="str"/>
      <x:c r="F365" s="13" t="n">
        <x:v>-0.5477554377365924</x:v>
      </x:c>
      <x:c r="G365" s="13" t="n">
        <x:v>-0.5443679910227612</x:v>
      </x:c>
      <x:c r="H365" s="13" t="n">
        <x:v>-0.518728779362338</x:v>
      </x:c>
      <x:c r="I365" s="13" t="n">
        <x:v>-0.2458692820593761</x:v>
      </x:c>
      <x:c r="J365" s="13" t="n">
        <x:v>-0.5606417540201497</x:v>
      </x:c>
      <x:c r="K365" s="13" t="n">
        <x:v>-0.5625110167046241</x:v>
      </x:c>
      <x:c r="L365" s="13" t="n">
        <x:v>-0.6449460740525987</x:v>
      </x:c>
      <x:c r="M365" s="13" t="n">
        <x:v>-1.151103901665672</x:v>
      </x:c>
      <x:c r="N365" s="13" t="n">
        <x:v>3.1354083665810464</x:v>
      </x:c>
      <x:c r="O365" s="13" t="n">
        <x:v>-0.33684725948635313</x:v>
      </x:c>
      <x:c r="P365" s="13" t="n">
        <x:v>-0.3276441362786514</x:v>
      </x:c>
      <x:c r="Q365" s="13" t="n">
        <x:v>-0.5767514715749573</x:v>
      </x:c>
      <x:c r="R365" s="13" t="n">
        <x:v>0.1554035017701633</x:v>
      </x:c>
      <x:c r="S365" s="13" t="n">
        <x:v>-0.22243517924818504</x:v>
      </x:c>
      <x:c r="T365" s="13" t="n">
        <x:v>0.918343412818586</x:v>
      </x:c>
      <x:c r="U365" s="13" t="n">
        <x:v>-0.3831589861541967</x:v>
      </x:c>
      <x:c r="V365" s="13" t="n">
        <x:v>-0.3741085052319823</x:v>
      </x:c>
      <x:c r="W365" s="13" t="n">
        <x:v>-0.43287433017958865</x:v>
      </x:c>
      <x:c r="X365" s="13" t="n">
        <x:v>-0.2669602715868311</x:v>
      </x:c>
      <x:c r="Y365" s="13" t="n">
        <x:v>-0.5314687802627448</x:v>
      </x:c>
      <x:c r="Z365" s="13" t="n">
        <x:v>-0.4608280626421767</x:v>
      </x:c>
      <x:c r="AA365" s="13" t="n">
        <x:v>-0.2653399167580067</x:v>
      </x:c>
      <x:c r="AB365" s="13" t="n">
        <x:v>-0.35422366386833665</x:v>
      </x:c>
      <x:c r="AC365" s="13" t="n">
        <x:v>-0.04617224501684367</x:v>
      </x:c>
      <x:c r="AD365" s="13" t="n">
        <x:v>-0.8317207980012409</x:v>
      </x:c>
      <x:c r="AE365" s="13" t="n">
        <x:v>-0.934506668250718</x:v>
      </x:c>
      <x:c r="AF365" s="13" t="n">
        <x:v>-0.5510362999890309</x:v>
      </x:c>
      <x:c r="AG365" s="13" t="n">
        <x:v>-0.3732225335497886</x:v>
      </x:c>
      <x:c r="AH365" s="13" t="n">
        <x:v>-0.36439928194094884</x:v>
      </x:c>
      <x:c r="AI365" s="13" t="n">
        <x:v>0.4550815607975631</x:v>
      </x:c>
      <x:c r="AJ365" s="13" t="n">
        <x:v>-0.3807288800419077</x:v>
      </x:c>
      <x:c r="AK365" s="13" t="n">
        <x:v>-0.268093234113311</x:v>
      </x:c>
      <x:c r="AL365" s="13" t="n">
        <x:v>-0.26981789741004064</x:v>
      </x:c>
      <x:c r="AM365" s="13" t="n">
        <x:v>0.6617677320514408</x:v>
      </x:c>
      <x:c r="AN365" s="13" t="n">
        <x:v>-0.754743869936707</x:v>
      </x:c>
      <x:c r="AO365" s="13" t="n">
        <x:v>-0.07122870474893081</x:v>
      </x:c>
      <x:c r="AP365" s="13" t="n">
        <x:v>-0.323721238841363</x:v>
      </x:c>
    </x:row>
    <x:row r="366" ht="15" hidden="0" customHeight="1">
      <x:c r="A366" s="2" t="str">
        <x:v>E365</x:v>
      </x:c>
      <x:c r="B366" s="2" t="str">
        <x:v>***信息技术有限公司</x:v>
      </x:c>
      <x:c r="C366" s="2" t="str">
        <x:v>无信贷记录</x:v>
      </x:c>
      <x:c r="D366" s="2" t="str"/>
      <x:c r="E366" s="2" t="str"/>
      <x:c r="F366" s="13" t="n">
        <x:v>-0.5523911601874903</x:v>
      </x:c>
      <x:c r="G366" s="13" t="n">
        <x:v>-0.5510809561164434</x:v>
      </x:c>
      <x:c r="H366" s="13" t="n">
        <x:v>-0.476203875812356</x:v>
      </x:c>
      <x:c r="I366" s="13" t="n">
        <x:v>-0.4173966045728936</x:v>
      </x:c>
      <x:c r="J366" s="13" t="n">
        <x:v>-0.5287259167114513</x:v>
      </x:c>
      <x:c r="K366" s="13" t="n">
        <x:v>-0.5314885257764314</x:v>
      </x:c>
      <x:c r="L366" s="13" t="n">
        <x:v>-0.6114792165878968</x:v>
      </x:c>
      <x:c r="M366" s="13" t="n">
        <x:v>0.030442635649030495</x:v>
      </x:c>
      <x:c r="N366" s="13" t="n">
        <x:v>0.13550131493705114</x:v>
      </x:c>
      <x:c r="O366" s="13" t="n">
        <x:v>1.1291353108200064</x:v>
      </x:c>
      <x:c r="P366" s="13" t="n">
        <x:v>1.3510942893646953</x:v>
      </x:c>
      <x:c r="Q366" s="13" t="n">
        <x:v>-0.5461736998055038</x:v>
      </x:c>
      <x:c r="R366" s="13" t="n">
        <x:v>3.3318752781562284</x:v>
      </x:c>
      <x:c r="S366" s="13" t="n">
        <x:v>1.2133629619795145</x:v>
      </x:c>
      <x:c r="T366" s="13" t="n">
        <x:v>0.16487632701183103</x:v>
      </x:c>
      <x:c r="U366" s="13" t="n">
        <x:v>-0.5133165214700688</x:v>
      </x:c>
      <x:c r="V366" s="13" t="n">
        <x:v>-0.5042683742216219</x:v>
      </x:c>
      <x:c r="W366" s="13" t="n">
        <x:v>-0.5452677783767343</x:v>
      </x:c>
      <x:c r="X366" s="13" t="n">
        <x:v>-0.3910667203118402</x:v>
      </x:c>
      <x:c r="Y366" s="13" t="n">
        <x:v>-0.5180162386825484</x:v>
      </x:c>
      <x:c r="Z366" s="13" t="n">
        <x:v>-0.4510403323732885</x:v>
      </x:c>
      <x:c r="AA366" s="13" t="n">
        <x:v>-0.3593352279076797</x:v>
      </x:c>
      <x:c r="AB366" s="13" t="n">
        <x:v>0.10612947473384496</x:v>
      </x:c>
      <x:c r="AC366" s="13" t="n">
        <x:v>-0.6980651016988949</x:v>
      </x:c>
      <x:c r="AD366" s="13" t="n">
        <x:v>0.050473666780541444</x:v>
      </x:c>
      <x:c r="AE366" s="13" t="n">
        <x:v>0.41649126657899144</x:v>
      </x:c>
      <x:c r="AF366" s="13" t="n">
        <x:v>-0.5368980159686049</x:v>
      </x:c>
      <x:c r="AG366" s="13" t="n">
        <x:v>2.6549634349784847</x:v>
      </x:c>
      <x:c r="AH366" s="13" t="n">
        <x:v>1.3889738231881996</x:v>
      </x:c>
      <x:c r="AI366" s="13" t="n">
        <x:v>-0.3499534583032247</x:v>
      </x:c>
      <x:c r="AJ366" s="13" t="n">
        <x:v>-0.38306503729570374</x:v>
      </x:c>
      <x:c r="AK366" s="13" t="n">
        <x:v>-0.1457210914355886</x:v>
      </x:c>
      <x:c r="AL366" s="13" t="n">
        <x:v>0.0135916962405613</x:v>
      </x:c>
      <x:c r="AM366" s="13" t="n">
        <x:v>-0.49058091372345897</x:v>
      </x:c>
      <x:c r="AN366" s="13" t="n">
        <x:v>0.8463629105630734</x:v>
      </x:c>
      <x:c r="AO366" s="13" t="n">
        <x:v>2.998421837947341</x:v>
      </x:c>
      <x:c r="AP366" s="13" t="n">
        <x:v>1.4388818089928759</x:v>
      </x:c>
    </x:row>
    <x:row r="367" ht="15" hidden="0" customHeight="1">
      <x:c r="A367" s="2" t="str">
        <x:v>E366</x:v>
      </x:c>
      <x:c r="B367" s="2" t="str">
        <x:v>***房地产经纪有限公司</x:v>
      </x:c>
      <x:c r="C367" s="2" t="str">
        <x:v>无信贷记录</x:v>
      </x:c>
      <x:c r="D367" s="2" t="str"/>
      <x:c r="E367" s="2" t="str"/>
      <x:c r="F367" s="13" t="n">
        <x:v>-0.6029205349022784</x:v>
      </x:c>
      <x:c r="G367" s="13" t="n">
        <x:v>-0.6014281943190598</x:v>
      </x:c>
      <x:c r="H367" s="13" t="n">
        <x:v>-0.518728779362338</x:v>
      </x:c>
      <x:c r="I367" s="13" t="n">
        <x:v>-0.46027843520127304</x:v>
      </x:c>
      <x:c r="J367" s="13" t="n">
        <x:v>-0.5625181819378298</x:v>
      </x:c>
      <x:c r="K367" s="13" t="n">
        <x:v>-0.5650754406225141</x:v>
      </x:c>
      <x:c r="L367" s="13" t="n">
        <x:v>-0.6966675810435018</x:v>
      </x:c>
      <x:c r="M367" s="13" t="n">
        <x:v>-1.151103901665672</x:v>
      </x:c>
      <x:c r="N367" s="13" t="n">
        <x:v>-0.7216149855326618</x:v>
      </x:c>
      <x:c r="O367" s="13" t="n">
        <x:v>2.571019375854959</x:v>
      </x:c>
      <x:c r="P367" s="13" t="n">
        <x:v>2.2079154165577894</x:v>
      </x:c>
      <x:c r="Q367" s="13" t="n">
        <x:v>-0.5755889326085692</x:v>
      </x:c>
      <x:c r="R367" s="13" t="n">
        <x:v>1.3405982418868405</x:v>
      </x:c>
      <x:c r="S367" s="13" t="n">
        <x:v>2.5016208199858236</x:v>
      </x:c>
      <x:c r="T367" s="13" t="n">
        <x:v>-1.624608001779212</x:v>
      </x:c>
      <x:c r="U367" s="13" t="n">
        <x:v>-0.5491493652007542</x:v>
      </x:c>
      <x:c r="V367" s="13" t="n">
        <x:v>-0.5362473075509729</x:v>
      </x:c>
      <x:c r="W367" s="13" t="n">
        <x:v>-0.6276896403879745</x:v>
      </x:c>
      <x:c r="X367" s="13" t="n">
        <x:v>-0.3910667203118402</x:v>
      </x:c>
      <x:c r="Y367" s="13" t="n">
        <x:v>-0.5393500820962828</x:v>
      </x:c>
      <x:c r="Z367" s="13" t="n">
        <x:v>-0.4675910957932023</x:v>
      </x:c>
      <x:c r="AA367" s="13" t="n">
        <x:v>-0.38753382125258157</x:v>
      </x:c>
      <x:c r="AB367" s="13" t="n">
        <x:v>-0.6068018457534753</x:v>
      </x:c>
      <x:c r="AC367" s="13" t="n">
        <x:v>-0.6980651016988949</x:v>
      </x:c>
      <x:c r="AD367" s="13" t="n">
        <x:v>0.3211324432516328</x:v>
      </x:c>
      <x:c r="AE367" s="13" t="n">
        <x:v>0.43508488519233957</x:v>
      </x:c>
      <x:c r="AF367" s="13" t="n">
        <x:v>-0.5579754653497128</x:v>
      </x:c>
      <x:c r="AG367" s="13" t="n">
        <x:v>0.17994899669889838</x:v>
      </x:c>
      <x:c r="AH367" s="13" t="n">
        <x:v>0.015076558336099147</x:v>
      </x:c>
      <x:c r="AI367" s="13" t="n">
        <x:v>-1.255617854791611</x:v>
      </x:c>
      <x:c r="AJ367" s="13" t="n">
        <x:v>-0.3923195033349808</x:v>
      </x:c>
      <x:c r="AK367" s="13" t="n">
        <x:v>-0.252461724845933</x:v>
      </x:c>
      <x:c r="AL367" s="13" t="n">
        <x:v>-0.825457823624648</x:v>
      </x:c>
      <x:c r="AM367" s="13" t="n">
        <x:v>-0.7815911692517314</x:v>
      </x:c>
      <x:c r="AN367" s="13" t="n">
        <x:v>2.052450596760937</x:v>
      </x:c>
      <x:c r="AO367" s="13" t="n">
        <x:v>0.9928471627287065</x:v>
      </x:c>
      <x:c r="AP367" s="13" t="n">
        <x:v>1.53615614619599</x:v>
      </x:c>
    </x:row>
    <x:row r="368" ht="15" hidden="0" customHeight="1">
      <x:c r="A368" s="2" t="str">
        <x:v>E367</x:v>
      </x:c>
      <x:c r="B368" s="2" t="str">
        <x:v>***电子商务有限公司</x:v>
      </x:c>
      <x:c r="C368" s="2" t="str">
        <x:v>无信贷记录</x:v>
      </x:c>
      <x:c r="D368" s="2" t="str"/>
      <x:c r="E368" s="2" t="str"/>
      <x:c r="F368" s="13" t="n">
        <x:v>-0.6010662459219192</x:v>
      </x:c>
      <x:c r="G368" s="13" t="n">
        <x:v>-0.6004691993056767</x:v>
      </x:c>
      <x:c r="H368" s="13" t="n">
        <x:v>-0.497466327587347</x:v>
      </x:c>
      <x:c r="I368" s="13" t="n">
        <x:v>-0.46027843520127304</x:v>
      </x:c>
      <x:c r="J368" s="13" t="n">
        <x:v>-0.5653159557936412</x:v>
      </x:c>
      <x:c r="K368" s="13" t="n">
        <x:v>-0.5678237540572508</x:v>
      </x:c>
      <x:c r="L368" s="13" t="n">
        <x:v>-0.6662431651665</x:v>
      </x:c>
      <x:c r="M368" s="13" t="n">
        <x:v>1.920917095352554</x:v>
      </x:c>
      <x:c r="N368" s="13" t="n">
        <x:v>-0.7216149855326618</x:v>
      </x:c>
      <x:c r="O368" s="13" t="n">
        <x:v>2.158742631724153</x:v>
      </x:c>
      <x:c r="P368" s="13" t="n">
        <x:v>1.9865163345561356</x:v>
      </x:c>
      <x:c r="Q368" s="13" t="n">
        <x:v>-0.580534904024955</x:v>
      </x:c>
      <x:c r="R368" s="13" t="n">
        <x:v>3.4906279575237282</x:v>
      </x:c>
      <x:c r="S368" s="13" t="n">
        <x:v>0.7841407306070789</x:v>
      </x:c>
      <x:c r="T368" s="13" t="n">
        <x:v>-1.624608001779212</x:v>
      </x:c>
      <x:c r="U368" s="13" t="n">
        <x:v>-0.446393416267171</x:v>
      </x:c>
      <x:c r="V368" s="13" t="n">
        <x:v>-0.4358222362184493</x:v>
      </x:c>
      <x:c r="W368" s="13" t="n">
        <x:v>-0.5078032956443524</x:v>
      </x:c>
      <x:c r="X368" s="13" t="n">
        <x:v>-0.18422263910349174</x:v>
      </x:c>
      <x:c r="Y368" s="13" t="n">
        <x:v>-0.5340685174889652</x:v>
      </x:c>
      <x:c r="Z368" s="13" t="n">
        <x:v>-0.46205158940287366</x:v>
      </x:c>
      <x:c r="AA368" s="13" t="n">
        <x:v>-0.35463546235019605</x:v>
      </x:c>
      <x:c r="AB368" s="13" t="n">
        <x:v>-0.36683108304354495</x:v>
      </x:c>
      <x:c r="AC368" s="13" t="n">
        <x:v>0.9920274896990158</x:v>
      </x:c>
      <x:c r="AD368" s="13" t="n">
        <x:v>-0.1247840709165227</x:v>
      </x:c>
      <x:c r="AE368" s="13" t="n">
        <x:v>-0.12643351651978263</x:v>
      </x:c>
      <x:c r="AF368" s="13" t="n">
        <x:v>-0.5512985873119958</x:v>
      </x:c>
      <x:c r="AG368" s="13" t="n">
        <x:v>0.05620166002990942</x:v>
      </x:c>
      <x:c r="AH368" s="13" t="n">
        <x:v>-0.9309790814742199</x:v>
      </x:c>
      <x:c r="AI368" s="13" t="n">
        <x:v>-0.6518415904660202</x:v>
      </x:c>
      <x:c r="AJ368" s="13" t="n">
        <x:v>-0.3814280728227444</x:v>
      </x:c>
      <x:c r="AK368" s="13" t="n">
        <x:v>-0.30522130811144077</x:v>
      </x:c>
      <x:c r="AL368" s="13" t="n">
        <x:v>0.11242266232666298</x:v>
      </x:c>
      <x:c r="AM368" s="13" t="n">
        <x:v>1.8783215735858712</x:v>
      </x:c>
      <x:c r="AN368" s="13" t="n">
        <x:v>1.4800101935696275</x:v>
      </x:c>
      <x:c r="AO368" s="13" t="n">
        <x:v>2.7062797644033108</x:v>
      </x:c>
      <x:c r="AP368" s="13" t="n">
        <x:v>0.007572062658147584</x:v>
      </x:c>
    </x:row>
    <x:row r="369" ht="15" hidden="0" customHeight="1">
      <x:c r="A369" s="2" t="str">
        <x:v>E368</x:v>
      </x:c>
      <x:c r="B369" s="2" t="str">
        <x:v>***通信科技有限责任公司</x:v>
      </x:c>
      <x:c r="C369" s="2" t="str">
        <x:v>无信贷记录</x:v>
      </x:c>
      <x:c r="D369" s="2" t="str"/>
      <x:c r="E369" s="2" t="str"/>
      <x:c r="F369" s="13" t="n">
        <x:v>-0.5723247667263517</x:v>
      </x:c>
      <x:c r="G369" s="13" t="n">
        <x:v>-0.5716993489041815</x:v>
      </x:c>
      <x:c r="H369" s="13" t="n">
        <x:v>-0.476203875812356</x:v>
      </x:c>
      <x:c r="I369" s="13" t="n">
        <x:v>-0.46027843520127304</x:v>
      </x:c>
      <x:c r="J369" s="13" t="n">
        <x:v>-0.563554391853297</x:v>
      </x:c>
      <x:c r="K369" s="13" t="n">
        <x:v>-0.5660933319098926</x:v>
      </x:c>
      <x:c r="L369" s="13" t="n">
        <x:v>-0.599309450237096</x:v>
      </x:c>
      <x:c r="M369" s="13" t="n">
        <x:v>0.6144254069654924</x:v>
      </x:c>
      <x:c r="N369" s="13" t="n">
        <x:v>-0.7216149855326618</x:v>
      </x:c>
      <x:c r="O369" s="13" t="n">
        <x:v>-0.06931138926305068</x:v>
      </x:c>
      <x:c r="P369" s="13" t="n">
        <x:v>0.11333480254405087</x:v>
      </x:c>
      <x:c r="Q369" s="13" t="n">
        <x:v>-0.5791934743326477</x:v>
      </x:c>
      <x:c r="R369" s="13" t="n">
        <x:v>1.480595246654947</x:v>
      </x:c>
      <x:c r="S369" s="13" t="n">
        <x:v>-0.46988359289609627</x:v>
      </x:c>
      <x:c r="T369" s="13" t="n">
        <x:v>-0.871140915972457</x:v>
      </x:c>
      <x:c r="U369" s="13" t="n">
        <x:v>-0.5428259221894568</x:v>
      </x:c>
      <x:c r="V369" s="13" t="n">
        <x:v>-0.5345642057967965</x:v>
      </x:c>
      <x:c r="W369" s="13" t="n">
        <x:v>-0.560253571469687</x:v>
      </x:c>
      <x:c r="X369" s="13" t="n">
        <x:v>-0.3703823121910053</x:v>
      </x:c>
      <x:c r="Y369" s="13" t="n">
        <x:v>-0.5449804094561918</x:v>
      </x:c>
      <x:c r="Z369" s="13" t="n">
        <x:v>-0.47040367145194983</x:v>
      </x:c>
      <x:c r="AA369" s="13" t="n">
        <x:v>-0.38753382125258157</x:v>
      </x:c>
      <x:c r="AB369" s="13" t="n">
        <x:v>1.5601341415171956</x:v>
      </x:c>
      <x:c r="AC369" s="13" t="n">
        <x:v>0.8230182305592247</x:v>
      </x:c>
      <x:c r="AD369" s="13" t="n">
        <x:v>0.34836996237374634</x:v>
      </x:c>
      <x:c r="AE369" s="13" t="n">
        <x:v>0.16860795877143725</x:v>
      </x:c>
      <x:c r="AF369" s="13" t="n">
        <x:v>-0.5629976264833804</x:v>
      </x:c>
      <x:c r="AG369" s="13" t="n">
        <x:v>2.665635782005021</x:v>
      </x:c>
      <x:c r="AH369" s="13" t="n">
        <x:v>0.36436652688607657</x:v>
      </x:c>
      <x:c r="AI369" s="13" t="n">
        <x:v>-1.255617854791611</x:v>
      </x:c>
      <x:c r="AJ369" s="13" t="n">
        <x:v>-0.4008341578497087</x:v>
      </x:c>
      <x:c r="AK369" s="13" t="n">
        <x:v>-0.23739692239240875</x:v>
      </x:c>
      <x:c r="AL369" s="13" t="n">
        <x:v>0.7712829360436323</x:v>
      </x:c>
      <x:c r="AM369" s="13" t="n">
        <x:v>-0.22174286814019786</x:v>
      </x:c>
      <x:c r="AN369" s="13" t="n">
        <x:v>0.1667949959973933</x:v>
      </x:c>
      <x:c r="AO369" s="13" t="n">
        <x:v>2.2581458310328264</x:v>
      </x:c>
      <x:c r="AP369" s="13" t="n">
        <x:v>-0.1082905914367938</x:v>
      </x:c>
    </x:row>
    <x:row r="370" ht="15" hidden="0" customHeight="1">
      <x:c r="A370" s="2" t="str">
        <x:v>E369</x:v>
      </x:c>
      <x:c r="B370" s="2" t="str">
        <x:v>***网络技术有限公司</x:v>
      </x:c>
      <x:c r="C370" s="2" t="str">
        <x:v>无信贷记录</x:v>
      </x:c>
      <x:c r="D370" s="2" t="str"/>
      <x:c r="E370" s="2" t="str"/>
      <x:c r="F370" s="13" t="n">
        <x:v>-0.5380204205897066</x:v>
      </x:c>
      <x:c r="G370" s="13" t="n">
        <x:v>-0.5386140209424621</x:v>
      </x:c>
      <x:c r="H370" s="13" t="n">
        <x:v>-0.42304774637487863</x:v>
      </x:c>
      <x:c r="I370" s="13" t="n">
        <x:v>-0.46027843520127304</x:v>
      </x:c>
      <x:c r="J370" s="13" t="n">
        <x:v>-0.5553476693476471</x:v>
      </x:c>
      <x:c r="K370" s="13" t="n">
        <x:v>-0.5580316918775564</x:v>
      </x:c>
      <x:c r="L370" s="13" t="n">
        <x:v>-0.6206065413509974</x:v>
      </x:c>
      <x:c r="M370" s="13" t="n">
        <x:v>0.9954946210955109</x:v>
      </x:c>
      <x:c r="N370" s="13" t="n">
        <x:v>-0.7216149855326618</x:v>
      </x:c>
      <x:c r="O370" s="13" t="n">
        <x:v>-0.5790589828366933</x:v>
      </x:c>
      <x:c r="P370" s="13" t="n">
        <x:v>-0.8467788074084058</x:v>
      </x:c>
      <x:c r="Q370" s="13" t="n">
        <x:v>-0.5712972843044403</x:v>
      </x:c>
      <x:c r="R370" s="13" t="n">
        <x:v>-0.24610442122199172</x:v>
      </x:c>
      <x:c r="S370" s="13" t="n">
        <x:v>-0.77530573458381</x:v>
      </x:c>
      <x:c r="T370" s="13" t="n">
        <x:v>0.7299766413668972</x:v>
      </x:c>
      <x:c r="U370" s="13" t="n">
        <x:v>-0.4469203698514458</x:v>
      </x:c>
      <x:c r="V370" s="13" t="n">
        <x:v>-0.4347001683823317</x:v>
      </x:c>
      <x:c r="W370" s="13" t="n">
        <x:v>-0.5302819852837816</x:v>
      </x:c>
      <x:c r="X370" s="13" t="n">
        <x:v>-0.3496979040701705</x:v>
      </x:c>
      <x:c r="Y370" s="13" t="n">
        <x:v>-0.5380443673272014</x:v>
      </x:c>
      <x:c r="Z370" s="13" t="n">
        <x:v>-0.46642987878143166</x:v>
      </x:c>
      <x:c r="AA370" s="13" t="n">
        <x:v>-0.35463546235019605</x:v>
      </x:c>
      <x:c r="AB370" s="13" t="n">
        <x:v>-0.47950520564678706</x:v>
      </x:c>
      <x:c r="AC370" s="13" t="n">
        <x:v>-0.3634267686021086</x:v>
      </x:c>
      <x:c r="AD370" s="13" t="n">
        <x:v>0.010967777817755998</x:v>
      </x:c>
      <x:c r="AE370" s="13" t="n">
        <x:v>-0.017489315541739617</x:v>
      </x:c>
      <x:c r="AF370" s="13" t="n">
        <x:v>-0.5574776825230929</x:v>
      </x:c>
      <x:c r="AG370" s="13" t="n">
        <x:v>-0.36606559845622794</x:v>
      </x:c>
      <x:c r="AH370" s="13" t="n">
        <x:v>-0.554333078463544</x:v>
      </x:c>
      <x:c r="AI370" s="13" t="n">
        <x:v>0.4550815607975631</x:v>
      </x:c>
      <x:c r="AJ370" s="13" t="n">
        <x:v>-0.3956838366150269</x:v>
      </x:c>
      <x:c r="AK370" s="13" t="n">
        <x:v>-0.18389274520847737</x:v>
      </x:c>
      <x:c r="AL370" s="13" t="n">
        <x:v>-0.19291920719974903</x:v>
      </x:c>
      <x:c r="AM370" s="13" t="n">
        <x:v>-0.4475907623386006</x:v>
      </x:c>
      <x:c r="AN370" s="13" t="n">
        <x:v>-0.4088642715719242</x:v>
      </x:c>
      <x:c r="AO370" s="13" t="n">
        <x:v>-0.34010009395745755</x:v>
      </x:c>
      <x:c r="AP370" s="13" t="n">
        <x:v>-0.7580656431297758</x:v>
      </x:c>
    </x:row>
    <x:row r="371" ht="15" hidden="0" customHeight="1">
      <x:c r="A371" s="2" t="str">
        <x:v>E370</x:v>
      </x:c>
      <x:c r="B371" s="2" t="str">
        <x:v>***设计服务部</x:v>
      </x:c>
      <x:c r="C371" s="2" t="str">
        <x:v>无信贷记录</x:v>
      </x:c>
      <x:c r="D371" s="2" t="str"/>
      <x:c r="E371" s="2" t="str"/>
      <x:c r="F371" s="13" t="n">
        <x:v>-0.6108012630688049</x:v>
      </x:c>
      <x:c r="G371" s="13" t="n">
        <x:v>-0.6100591494395083</x:v>
      </x:c>
      <x:c r="H371" s="13" t="n">
        <x:v>-0.5080975534748424</x:v>
      </x:c>
      <x:c r="I371" s="13" t="n">
        <x:v>-0.46027843520127304</x:v>
      </x:c>
      <x:c r="J371" s="13" t="n">
        <x:v>-0.5700855697412904</x:v>
      </x:c>
      <x:c r="K371" s="13" t="n">
        <x:v>-0.5725090484257015</x:v>
      </x:c>
      <x:c r="L371" s="13" t="n">
        <x:v>-0.7057949058066023</x:v>
      </x:c>
      <x:c r="M371" s="13" t="n">
        <x:v>3.7424680070460514</x:v>
      </x:c>
      <x:c r="N371" s="13" t="n">
        <x:v>-0.7216149855326618</x:v>
      </x:c>
      <x:c r="O371" s="13" t="n">
        <x:v>1.02653675829911</x:v>
      </x:c>
      <x:c r="P371" s="13" t="n">
        <x:v>1.0070311505016036</x:v>
      </x:c>
      <x:c r="Q371" s="13" t="n">
        <x:v>-0.5857747325064057</x:v>
      </x:c>
      <x:c r="R371" s="13" t="n">
        <x:v>0.4999573929733468</x:v>
      </x:c>
      <x:c r="S371" s="13" t="n">
        <x:v>-0.017239837788146774</x:v>
      </x:c>
      <x:c r="T371" s="13" t="n">
        <x:v>-2.378075087585967</x:v>
      </x:c>
      <x:c r="U371" s="13" t="n">
        <x:v>-0.2972655519174066</x:v>
      </x:c>
      <x:c r="V371" s="13" t="n">
        <x:v>-0.28322101050645815</x:v>
      </x:c>
      <x:c r="W371" s="13" t="n">
        <x:v>-0.42538143363311226</x:v>
      </x:c>
      <x:c r="X371" s="13" t="n">
        <x:v>-0.2049070472243266</x:v>
      </x:c>
      <x:c r="Y371" s="13" t="n">
        <x:v>-0.5339592271852781</x:v>
      </x:c>
      <x:c r="Z371" s="13" t="n">
        <x:v>-0.46265020223466696</x:v>
      </x:c>
      <x:c r="AA371" s="13" t="n">
        <x:v>-0.1901436678382684</x:v>
      </x:c>
      <x:c r="AB371" s="13" t="n">
        <x:v>-0.5554153354414532</x:v>
      </x:c>
      <x:c r="AC371" s="13" t="n">
        <x:v>-0.057268293641219</x:v>
      </x:c>
      <x:c r="AD371" s="13" t="n">
        <x:v>-0.6618166496058354</x:v>
      </x:c>
      <x:c r="AE371" s="13" t="n">
        <x:v>-0.5222101868021692</x:v>
      </x:c>
      <x:c r="AF371" s="13" t="n">
        <x:v>-0.548247426617509</x:v>
      </x:c>
      <x:c r="AG371" s="13" t="n">
        <x:v>-0.5334799669975525</x:v>
      </x:c>
      <x:c r="AH371" s="13" t="n">
        <x:v>-0.6757953893027405</x:v>
      </x:c>
      <x:c r="AI371" s="13" t="n">
        <x:v>0.05256405124716919</x:v>
      </x:c>
      <x:c r="AJ371" s="13" t="n">
        <x:v>-0.37757284874484975</x:v>
      </x:c>
      <x:c r="AK371" s="13" t="n">
        <x:v>-0.3429001502095822</x:v>
      </x:c>
      <x:c r="AL371" s="13" t="n">
        <x:v>-0.2539489259180638</x:v>
      </x:c>
      <x:c r="AM371" s="13" t="n">
        <x:v>0.3369218213410787</x:v>
      </x:c>
      <x:c r="AN371" s="13" t="n">
        <x:v>0.33255981272478485</x:v>
      </x:c>
      <x:c r="AO371" s="13" t="n">
        <x:v>0.08693851821284623</x:v>
      </x:c>
      <x:c r="AP371" s="13" t="n">
        <x:v>-0.3548420094160772</x:v>
      </x:c>
    </x:row>
    <x:row r="372" ht="15" hidden="0" customHeight="1">
      <x:c r="A372" s="2" t="str">
        <x:v>E371</x:v>
      </x:c>
      <x:c r="B372" s="2" t="str">
        <x:v>***自动化科技有限公司</x:v>
      </x:c>
      <x:c r="C372" s="2" t="str">
        <x:v>无信贷记录</x:v>
      </x:c>
      <x:c r="D372" s="2" t="str"/>
      <x:c r="E372" s="2" t="str"/>
      <x:c r="F372" s="13" t="n">
        <x:v>-0.5751062001968904</x:v>
      </x:c>
      <x:c r="G372" s="13" t="n">
        <x:v>-0.5731378414242563</x:v>
      </x:c>
      <x:c r="H372" s="13" t="n">
        <x:v>-0.5080975534748424</x:v>
      </x:c>
      <x:c r="I372" s="13" t="n">
        <x:v>-0.46027843520127304</x:v>
      </x:c>
      <x:c r="J372" s="13" t="n">
        <x:v>-0.56601418588956</x:v>
      </x:c>
      <x:c r="K372" s="13" t="n">
        <x:v>-0.5685096404984172</x:v>
      </x:c>
      <x:c r="L372" s="13" t="n">
        <x:v>-0.6206065413509974</x:v>
      </x:c>
      <x:c r="M372" s="13" t="n">
        <x:v>-0.6770265873110074</x:v>
      </x:c>
      <x:c r="N372" s="13" t="n">
        <x:v>-0.7216149855326618</x:v>
      </x:c>
      <x:c r="O372" s="13" t="n">
        <x:v>-0.5385420711315042</x:v>
      </x:c>
      <x:c r="P372" s="13" t="n">
        <x:v>-0.6120038940926689</x:v>
      </x:c>
      <x:c r="Q372" s="13" t="n">
        <x:v>-0.5810142375148862</x:v>
      </x:c>
      <x:c r="R372" s="13" t="n">
        <x:v>1.674960889698111</x:v>
      </x:c>
      <x:c r="S372" s="13" t="n">
        <x:v>-1.6857479353174918</x:v>
      </x:c>
      <x:c r="T372" s="13" t="n">
        <x:v>-1.15369107314999</x:v>
      </x:c>
      <x:c r="U372" s="13" t="n">
        <x:v>-0.5428259221894568</x:v>
      </x:c>
      <x:c r="V372" s="13" t="n">
        <x:v>-0.5323200701245614</x:v>
      </x:c>
      <x:c r="W372" s="13" t="n">
        <x:v>-0.5902251576555926</x:v>
      </x:c>
      <x:c r="X372" s="13" t="n">
        <x:v>-0.3910667203118402</x:v>
      </x:c>
      <x:c r="Y372" s="13" t="n">
        <x:v>-0.5407982542512338</x:v>
      </x:c>
      <x:c r="Z372" s="13" t="n">
        <x:v>-0.4687145855584113</x:v>
      </x:c>
      <x:c r="AA372" s="13" t="n">
        <x:v>-0.3781342901376143</x:v>
      </x:c>
      <x:c r="AB372" s="13" t="n">
        <x:v>0.5282598618644953</x:v>
      </x:c>
      <x:c r="AC372" s="13" t="n">
        <x:v>-0.6980651016988949</x:v>
      </x:c>
      <x:c r="AD372" s="13" t="n">
        <x:v>-0.08633606878490603</x:v>
      </x:c>
      <x:c r="AE372" s="13" t="n">
        <x:v>-0.07186992585407403</x:v>
      </x:c>
      <x:c r="AF372" s="13" t="n">
        <x:v>-0.5573161356072939</x:v>
      </x:c>
      <x:c r="AG372" s="13" t="n">
        <x:v>1.2106322642104526</x:v>
      </x:c>
      <x:c r="AH372" s="13" t="n">
        <x:v>-1.1922747516481882</x:v>
      </x:c>
      <x:c r="AI372" s="13" t="n">
        <x:v>-0.9537297226288156</x:v>
      </x:c>
      <x:c r="AJ372" s="13" t="n">
        <x:v>-0.39202159934178393</x:v>
      </x:c>
      <x:c r="AK372" s="13" t="n">
        <x:v>-0.2885614606290916</x:v>
      </x:c>
      <x:c r="AL372" s="13" t="n">
        <x:v>-0.18241368923407308</x:v>
      </x:c>
      <x:c r="AM372" s="13" t="n">
        <x:v>-0.7815911692517314</x:v>
      </x:c>
      <x:c r="AN372" s="13" t="n">
        <x:v>-0.43976020638021956</x:v>
      </x:c>
      <x:c r="AO372" s="13" t="n">
        <x:v>1.704853169506249</x:v>
      </x:c>
      <x:c r="AP372" s="13" t="n">
        <x:v>-1.6370839610217518</x:v>
      </x:c>
    </x:row>
    <x:row r="373" ht="15" hidden="0" customHeight="1">
      <x:c r="A373" s="2" t="str">
        <x:v>E372</x:v>
      </x:c>
      <x:c r="B373" s="2" t="str">
        <x:v>***汽车维修有限责任公司</x:v>
      </x:c>
      <x:c r="C373" s="2" t="str">
        <x:v>无信贷记录</x:v>
      </x:c>
      <x:c r="D373" s="2" t="str"/>
      <x:c r="E373" s="2" t="str"/>
      <x:c r="F373" s="13" t="n">
        <x:v>-0.46245814464006946</x:v>
      </x:c>
      <x:c r="G373" s="13" t="n">
        <x:v>-0.4566199472982012</x:v>
      </x:c>
      <x:c r="H373" s="13" t="n">
        <x:v>-0.5080975534748424</x:v>
      </x:c>
      <x:c r="I373" s="13" t="n">
        <x:v>-0.46027843520127304</x:v>
      </x:c>
      <x:c r="J373" s="13" t="n">
        <x:v>-0.5575840436259808</x:v>
      </x:c>
      <x:c r="K373" s="13" t="n">
        <x:v>-0.5602285304324228</x:v>
      </x:c>
      <x:c r="L373" s="13" t="n">
        <x:v>-0.5506303848338933</x:v>
      </x:c>
      <x:c r="M373" s="13" t="n">
        <x:v>-1.0325845730770058</x:v>
      </x:c>
      <x:c r="N373" s="13" t="n">
        <x:v>-0.7216149855326618</x:v>
      </x:c>
      <x:c r="O373" s="13" t="n">
        <x:v>-0.6586777965339775</x:v>
      </x:c>
      <x:c r="P373" s="13" t="n">
        <x:v>-0.7620913191565544</x:v>
      </x:c>
      <x:c r="Q373" s="13" t="n">
        <x:v>-0.5738219551199871</x:v>
      </x:c>
      <x:c r="R373" s="13" t="n">
        <x:v>-0.3119349979842426</x:v>
      </x:c>
      <x:c r="S373" s="13" t="n">
        <x:v>-1.1790805004504936</x:v>
      </x:c>
      <x:c r="T373" s="13" t="n">
        <x:v>0.7299766413668972</x:v>
      </x:c>
      <x:c r="U373" s="13" t="n">
        <x:v>-0.2508936365012255</x:v>
      </x:c>
      <x:c r="V373" s="13" t="n">
        <x:v>-0.24619277191457792</x:v>
      </x:c>
      <x:c r="W373" s="13" t="n">
        <x:v>-0.26053770961063194</x:v>
      </x:c>
      <x:c r="X373" s="13" t="n">
        <x:v>0.043305850225691514</x:v>
      </x:c>
      <x:c r="Y373" s="13" t="n">
        <x:v>-0.5327285340028162</x:v>
      </x:c>
      <x:c r="Z373" s="13" t="n">
        <x:v>-0.4609862346470405</x:v>
      </x:c>
      <x:c r="AA373" s="13" t="n">
        <x:v>-0.04680081833501711</x:v>
      </x:c>
      <x:c r="AB373" s="13" t="n">
        <x:v>-0.31520051348301925</x:v>
      </x:c>
      <x:c r="AC373" s="13" t="n">
        <x:v>0.6130179197623948</x:v>
      </x:c>
      <x:c r="AD373" s="13" t="n">
        <x:v>-0.4421501988580118</x:v>
      </x:c>
      <x:c r="AE373" s="13" t="n">
        <x:v>-0.22170645346401843</x:v>
      </x:c>
      <x:c r="AF373" s="13" t="n">
        <x:v>-0.5522703427686296</x:v>
      </x:c>
      <x:c r="AG373" s="13" t="n">
        <x:v>-1.0147426553083367</x:v>
      </x:c>
      <x:c r="AH373" s="13" t="n">
        <x:v>-0.6820008010590435</x:v>
      </x:c>
      <x:c r="AI373" s="13" t="n">
        <x:v>0.9582284477355555</x:v>
      </x:c>
      <x:c r="AJ373" s="13" t="n">
        <x:v>-0.3851682185310161</x:v>
      </x:c>
      <x:c r="AK373" s="13" t="n">
        <x:v>-0.25017708188725163</x:v>
      </x:c>
      <x:c r="AL373" s="13" t="n">
        <x:v>-0.28348378758305776</x:v>
      </x:c>
      <x:c r="AM373" s="13" t="n">
        <x:v>0.6555048772569199</x:v>
      </x:c>
      <x:c r="AN373" s="13" t="n">
        <x:v>-0.746057062780038</x:v>
      </x:c>
      <x:c r="AO373" s="13" t="n">
        <x:v>-0.6901629060249006</x:v>
      </x:c>
      <x:c r="AP373" s="13" t="n">
        <x:v>-1.069715175980849</x:v>
      </x:c>
    </x:row>
    <x:row r="374" ht="15" hidden="0" customHeight="1">
      <x:c r="A374" s="2" t="str">
        <x:v>E373</x:v>
      </x:c>
      <x:c r="B374" s="2" t="str">
        <x:v>个体经营E373 </x:v>
      </x:c>
      <x:c r="C374" s="2" t="str">
        <x:v>无信贷记录</x:v>
      </x:c>
      <x:c r="D374" s="2" t="str"/>
      <x:c r="E374" s="2" t="str"/>
      <x:c r="F374" s="13" t="n">
        <x:v>-0.20424840412505182</x:v>
      </x:c>
      <x:c r="G374" s="13" t="n">
        <x:v>-0.19529380615128758</x:v>
      </x:c>
      <x:c r="H374" s="13" t="n">
        <x:v>-0.38052284282489673</x:v>
      </x:c>
      <x:c r="I374" s="13" t="n">
        <x:v>-0.37451477394451427</x:v>
      </x:c>
      <x:c r="J374" s="13" t="n">
        <x:v>-0.1163001048750168</x:v>
      </x:c>
      <x:c r="K374" s="13" t="n">
        <x:v>-0.11890490819756802</x:v>
      </x:c>
      <x:c r="L374" s="13" t="n">
        <x:v>-0.3954658638611842</x:v>
      </x:c>
      <x:c r="M374" s="13" t="n">
        <x:v>-0.5844711979023782</x:v>
      </x:c>
      <x:c r="N374" s="13" t="n">
        <x:v>-0.4727747692672612</x:v>
      </x:c>
      <x:c r="O374" s="13" t="n">
        <x:v>-0.5379401321659301</x:v>
      </x:c>
      <x:c r="P374" s="13" t="n">
        <x:v>-0.5336492357035988</x:v>
      </x:c>
      <x:c r="Q374" s="13" t="n">
        <x:v>-0.12688450486117384</x:v>
      </x:c>
      <x:c r="R374" s="13" t="n">
        <x:v>-0.7526171543612465</x:v>
      </x:c>
      <x:c r="S374" s="13" t="n">
        <x:v>0.22447116926815275</x:v>
      </x:c>
      <x:c r="T374" s="13" t="n">
        <x:v>0.7299766413668972</x:v>
      </x:c>
      <x:c r="U374" s="13" t="n">
        <x:v>-0.5006696354474739</x:v>
      </x:c>
      <x:c r="V374" s="13" t="n">
        <x:v>-0.4857542549256817</x:v>
      </x:c>
      <x:c r="W374" s="13" t="n">
        <x:v>-0.6127038472950217</x:v>
      </x:c>
      <x:c r="X374" s="13" t="n">
        <x:v>-0.3910667203118402</x:v>
      </x:c>
      <x:c r="Y374" s="13" t="n">
        <x:v>-0.5393176269455286</x:v>
      </x:c>
      <x:c r="Z374" s="13" t="n">
        <x:v>-0.4675659171363859</x:v>
      </x:c>
      <x:c r="AA374" s="13" t="n">
        <x:v>-0.35698534512893787</x:v>
      </x:c>
      <x:c r="AB374" s="13" t="n">
        <x:v>-0.7984356405461196</x:v>
      </x:c>
      <x:c r="AC374" s="13" t="n">
        <x:v>-0.6980651016988949</x:v>
      </x:c>
      <x:c r="AD374" s="13" t="n">
        <x:v>0.24771461513476983</x:v>
      </x:c>
      <x:c r="AE374" s="13" t="n">
        <x:v>0.49854471300753206</x:v>
      </x:c>
      <x:c r="AF374" s="13" t="n">
        <x:v>-0.5583442820824701</x:v>
      </x:c>
      <x:c r="AG374" s="13" t="n">
        <x:v>2.5944196479373285</x:v>
      </x:c>
      <x:c r="AH374" s="13" t="n">
        <x:v>1.7580291335317864</x:v>
      </x:c>
      <x:c r="AI374" s="13" t="n">
        <x:v>0.7569696929603585</x:v>
      </x:c>
      <x:c r="AJ374" s="13" t="n">
        <x:v>-0.7360266163553153</x:v>
      </x:c>
      <x:c r="AK374" s="13" t="n">
        <x:v>5.159159024810181</x:v>
      </x:c>
      <x:c r="AL374" s="13" t="n">
        <x:v>-0.9671841821673637</x:v>
      </x:c>
      <x:c r="AM374" s="13" t="n">
        <x:v>-0.6612553010496618</x:v>
      </x:c>
      <x:c r="AN374" s="13" t="n">
        <x:v>-0.23303283742465972</x:v>
      </x:c>
      <x:c r="AO374" s="13" t="n">
        <x:v>0.7103913173233929</x:v>
      </x:c>
      <x:c r="AP374" s="13" t="n">
        <x:v>1.0189452723707828</x:v>
      </x:c>
    </x:row>
    <x:row r="375" ht="15" hidden="0" customHeight="1">
      <x:c r="A375" s="2" t="str">
        <x:v>E374</x:v>
      </x:c>
      <x:c r="B375" s="2" t="str">
        <x:v>***建材经营部</x:v>
      </x:c>
      <x:c r="C375" s="2" t="str">
        <x:v>无信贷记录</x:v>
      </x:c>
      <x:c r="D375" s="2" t="str"/>
      <x:c r="E375" s="2" t="str"/>
      <x:c r="F375" s="13" t="n">
        <x:v>-0.6112648353138947</x:v>
      </x:c>
      <x:c r="G375" s="13" t="n">
        <x:v>-0.6100591494395083</x:v>
      </x:c>
      <x:c r="H375" s="13" t="n">
        <x:v>-0.518728779362338</x:v>
      </x:c>
      <x:c r="I375" s="13" t="n">
        <x:v>-0.46027843520127304</x:v>
      </x:c>
      <x:c r="J375" s="13" t="n">
        <x:v>-0.5691333137987614</x:v>
      </x:c>
      <x:c r="K375" s="13" t="n">
        <x:v>-0.5715736269316718</x:v>
      </x:c>
      <x:c r="L375" s="13" t="n">
        <x:v>-0.7088373473943025</x:v>
      </x:c>
      <x:c r="M375" s="13" t="n">
        <x:v>-1.151103901665672</x:v>
      </x:c>
      <x:c r="N375" s="13" t="n">
        <x:v>-0.7216149855326618</x:v>
      </x:c>
      <x:c r="O375" s="13" t="n">
        <x:v>2.5661854924968583</x:v>
      </x:c>
      <x:c r="P375" s="13" t="n">
        <x:v>2.2052740367911747</x:v>
      </x:c>
      <x:c r="Q375" s="13" t="n">
        <x:v>-0.5832954946440264</x:v>
      </x:c>
      <x:c r="R375" s="13" t="n">
        <x:v>2.142934210802522</x:v>
      </x:c>
      <x:c r="S375" s="13" t="n">
        <x:v>2.5808657046323797</x:v>
      </x:c>
      <x:c r="T375" s="13" t="n">
        <x:v>-2.378075087585967</x:v>
      </x:c>
      <x:c r="U375" s="13" t="n">
        <x:v>-0.42847699440182824</x:v>
      </x:c>
      <x:c r="V375" s="13" t="n">
        <x:v>-0.4324560327100966</x:v>
      </x:c>
      <x:c r="W375" s="13" t="n">
        <x:v>-0.29800219234301384</x:v>
      </x:c>
      <x:c r="X375" s="13" t="n">
        <x:v>-0.3910667203118402</x:v>
      </x:c>
      <x:c r="Y375" s="13" t="n">
        <x:v>-0.5411655483186689</x:v>
      </x:c>
      <x:c r="Z375" s="13" t="n">
        <x:v>-0.4689995317398266</x:v>
      </x:c>
      <x:c r="AA375" s="13" t="n">
        <x:v>-0.2700396823154904</x:v>
      </x:c>
      <x:c r="AB375" s="13" t="n">
        <x:v>0.4723148707989874</x:v>
      </x:c>
      <x:c r="AC375" s="13" t="n">
        <x:v>-0.6980651016988949</x:v>
      </x:c>
      <x:c r="AD375" s="13" t="n">
        <x:v>-0.705948101135524</x:v>
      </x:c>
      <x:c r="AE375" s="13" t="n">
        <x:v>-0.8365540320276841</x:v>
      </x:c>
      <x:c r="AF375" s="13" t="n">
        <x:v>-0.5540925578107341</x:v>
      </x:c>
      <x:c r="AG375" s="13" t="n">
        <x:v>-0.14366140696744759</x:v>
      </x:c>
      <x:c r="AH375" s="13" t="n">
        <x:v>-1.2651127555395207</x:v>
      </x:c>
      <x:c r="AI375" s="13" t="n">
        <x:v>-0.4505828356908232</x:v>
      </x:c>
      <x:c r="AJ375" s="13" t="n">
        <x:v>-0.3902261913449115</x:v>
      </x:c>
      <x:c r="AK375" s="13" t="n">
        <x:v>-0.3297344571656844</x:v>
      </x:c>
      <x:c r="AL375" s="13" t="n">
        <x:v>1.8144284103543937</x:v>
      </x:c>
      <x:c r="AM375" s="13" t="n">
        <x:v>-0.7815911692517314</x:v>
      </x:c>
      <x:c r="AN375" s="13" t="n">
        <x:v>1.4146919940620264</x:v>
      </x:c>
      <x:c r="AO375" s="13" t="n">
        <x:v>1.384498109341523</x:v>
      </x:c>
      <x:c r="AP375" s="13" t="n">
        <x:v>2.672337855261514</x:v>
      </x:c>
    </x:row>
    <x:row r="376" ht="15" hidden="0" customHeight="1">
      <x:c r="A376" s="2" t="str">
        <x:v>E375</x:v>
      </x:c>
      <x:c r="B376" s="2" t="str">
        <x:v>***电器经营部</x:v>
      </x:c>
      <x:c r="C376" s="2" t="str">
        <x:v>无信贷记录</x:v>
      </x:c>
      <x:c r="D376" s="2" t="str"/>
      <x:c r="E376" s="2" t="str"/>
      <x:c r="F376" s="13" t="n">
        <x:v>-0.6117284075589845</x:v>
      </x:c>
      <x:c r="G376" s="13" t="n">
        <x:v>-0.6105386469461999</x:v>
      </x:c>
      <x:c r="H376" s="13" t="n">
        <x:v>-0.518728779362338</x:v>
      </x:c>
      <x:c r="I376" s="13" t="n">
        <x:v>-0.46027843520127304</x:v>
      </x:c>
      <x:c r="J376" s="13" t="n">
        <x:v>-0.570091157160903</x:v>
      </x:c>
      <x:c r="K376" s="13" t="n">
        <x:v>-0.5725145370681644</x:v>
      </x:c>
      <x:c r="L376" s="13" t="n">
        <x:v>-0.7118797889820027</x:v>
      </x:c>
      <x:c r="M376" s="13" t="n">
        <x:v>-1.151103901665672</x:v>
      </x:c>
      <x:c r="N376" s="13" t="n">
        <x:v>-0.7216149855326618</x:v>
      </x:c>
      <x:c r="O376" s="13" t="n">
        <x:v>2.6494337955283003</x:v>
      </x:c>
      <x:c r="P376" s="13" t="n">
        <x:v>2.2482144815216887</x:v>
      </x:c>
      <x:c r="Q376" s="13" t="n">
        <x:v>-0.5857815131859803</x:v>
      </x:c>
      <x:c r="R376" s="13" t="n">
        <x:v>0.7484411172798281</x:v>
      </x:c>
      <x:c r="S376" s="13" t="n">
        <x:v>-0.3170324397406929</x:v>
      </x:c>
      <x:c r="T376" s="13" t="n">
        <x:v>-2.472258473311811</x:v>
      </x:c>
      <x:c r="U376" s="13" t="n">
        <x:v>-0.3610269356146557</x:v>
      </x:c>
      <x:c r="V376" s="13" t="n">
        <x:v>-0.34661784324710154</x:v>
      </x:c>
      <x:c r="W376" s="13" t="n">
        <x:v>-0.4853246060049233</x:v>
      </x:c>
      <x:c r="X376" s="13" t="n">
        <x:v>-0.3910667203118402</x:v>
      </x:c>
      <x:c r="Y376" s="13" t="n">
        <x:v>-0.5438685835421911</x:v>
      </x:c>
      <x:c r="Z376" s="13" t="n">
        <x:v>-0.4710965423737103</x:v>
      </x:c>
      <x:c r="AA376" s="13" t="n">
        <x:v>0.13883992118558697</x:v>
      </x:c>
      <x:c r="AB376" s="13" t="n">
        <x:v>-0.5816208288494836</x:v>
      </x:c>
      <x:c r="AC376" s="13" t="n">
        <x:v>-0.6980651016988949</x:v>
      </x:c>
      <x:c r="AD376" s="13" t="n">
        <x:v>-0.8957170678390712</x:v>
      </x:c>
      <x:c r="AE376" s="13" t="n">
        <x:v>-1.0913125586303358</x:v>
      </x:c>
      <x:c r="AF376" s="13" t="n">
        <x:v>-0.5613934479503476</x:v>
      </x:c>
      <x:c r="AG376" s="13" t="n">
        <x:v>-0.7364189137749201</x:v>
      </x:c>
      <x:c r="AH376" s="13" t="n">
        <x:v>-0.33723536243706115</x:v>
      </x:c>
      <x:c r="AI376" s="13" t="n">
        <x:v>0.3544521834099646</x:v>
      </x:c>
      <x:c r="AJ376" s="13" t="n">
        <x:v>-0.39395928170658073</x:v>
      </x:c>
      <x:c r="AK376" s="13" t="n">
        <x:v>-0.3428402658546018</x:v>
      </x:c>
      <x:c r="AL376" s="13" t="n">
        <x:v>-0.3395326977779625</x:v>
      </x:c>
      <x:c r="AM376" s="13" t="n">
        <x:v>-0.7815911692517314</x:v>
      </x:c>
      <x:c r="AN376" s="13" t="n">
        <x:v>1.3574839207659966</x:v>
      </x:c>
      <x:c r="AO376" s="13" t="n">
        <x:v>0.15986926987879657</x:v>
      </x:c>
      <x:c r="AP376" s="13" t="n">
        <x:v>-0.36799168304140367</x:v>
      </x:c>
    </x:row>
    <x:row r="377" ht="15" hidden="0" customHeight="1">
      <x:c r="A377" s="2" t="str">
        <x:v>E376</x:v>
      </x:c>
      <x:c r="B377" s="2" t="str">
        <x:v>***建筑装饰设计有限责任公司</x:v>
      </x:c>
      <x:c r="C377" s="2" t="str">
        <x:v>无信贷记录</x:v>
      </x:c>
      <x:c r="D377" s="2" t="str"/>
      <x:c r="E377" s="2" t="str"/>
      <x:c r="F377" s="13" t="n">
        <x:v>-0.6112648353138947</x:v>
      </x:c>
      <x:c r="G377" s="13" t="n">
        <x:v>-0.6100591494395083</x:v>
      </x:c>
      <x:c r="H377" s="13" t="n">
        <x:v>-0.518728779362338</x:v>
      </x:c>
      <x:c r="I377" s="13" t="n">
        <x:v>-0.46027843520127304</x:v>
      </x:c>
      <x:c r="J377" s="13" t="n">
        <x:v>-0.5699714267406353</x:v>
      </x:c>
      <x:c r="K377" s="13" t="n">
        <x:v>-0.5723969233011028</x:v>
      </x:c>
      <x:c r="L377" s="13" t="n">
        <x:v>-0.7088373473943025</x:v>
      </x:c>
      <x:c r="M377" s="13" t="n">
        <x:v>-1.151103901665672</x:v>
      </x:c>
      <x:c r="N377" s="13" t="n">
        <x:v>-0.7216149855326618</x:v>
      </x:c>
      <x:c r="O377" s="13" t="n">
        <x:v>2.0792234667873783</x:v>
      </x:c>
      <x:c r="P377" s="13" t="n">
        <x:v>1.9303504577238626</x:v>
      </x:c>
      <x:c r="Q377" s="13" t="n">
        <x:v>-0.5855645824221497</x:v>
      </x:c>
      <x:c r="R377" s="13" t="n">
        <x:v>2.46652431772447</x:v>
      </x:c>
      <x:c r="S377" s="13" t="n">
        <x:v>-3.9476126894836887</x:v>
      </x:c>
      <x:c r="T377" s="13" t="n">
        <x:v>-2.378075087585967</x:v>
      </x:c>
      <x:c r="U377" s="13" t="n">
        <x:v>-0.5317598969196863</x:v>
      </x:c>
      <x:c r="V377" s="13" t="n">
        <x:v>-0.5216604256814443</x:v>
      </x:c>
      <x:c r="W377" s="13" t="n">
        <x:v>-0.5752393645626398</x:v>
      </x:c>
      <x:c r="X377" s="13" t="n">
        <x:v>-0.3910667203118402</x:v>
      </x:c>
      <x:c r="Y377" s="13" t="n">
        <x:v>-0.5478838602544586</x:v>
      </x:c>
      <x:c r="Z377" s="13" t="n">
        <x:v>-0.47421158796776597</x:v>
      </x:c>
      <x:c r="AA377" s="13" t="n">
        <x:v>-0.368734759022647</x:v>
      </x:c>
      <x:c r="AB377" s="13" t="n">
        <x:v>0.22648530838115824</x:v>
      </x:c>
      <x:c r="AC377" s="13" t="n">
        <x:v>-0.6980651016988949</x:v>
      </x:c>
      <x:c r="AD377" s="13" t="n">
        <x:v>-0.023481612317369106</x:v>
      </x:c>
      <x:c r="AE377" s="13" t="n">
        <x:v>-0.009616329823430726</x:v>
      </x:c>
      <x:c r="AF377" s="13" t="n">
        <x:v>-0.5642385659369724</x:v>
      </x:c>
      <x:c r="AG377" s="13" t="n">
        <x:v>1.4749236154024505</x:v>
      </x:c>
      <x:c r="AH377" s="13" t="n">
        <x:v>0.8551488274188941</x:v>
      </x:c>
      <x:c r="AI377" s="13" t="n">
        <x:v>-1.5575059869544066</x:v>
      </x:c>
      <x:c r="AJ377" s="13" t="n">
        <x:v>-0.4006930564519891</x:v>
      </x:c>
      <x:c r="AK377" s="13" t="n">
        <x:v>-0.33901431581113606</x:v>
      </x:c>
      <x:c r="AL377" s="13" t="n">
        <x:v>1.2029293392067057</x:v>
      </x:c>
      <x:c r="AM377" s="13" t="n">
        <x:v>-0.7815911692517314</x:v>
      </x:c>
      <x:c r="AN377" s="13" t="n">
        <x:v>1.4852726143860888</x:v>
      </x:c>
      <x:c r="AO377" s="13" t="n">
        <x:v>2.366010652348195</x:v>
      </x:c>
      <x:c r="AP377" s="13" t="n">
        <x:v>-2.5309587987091153</x:v>
      </x:c>
    </x:row>
    <x:row r="378" ht="15" hidden="0" customHeight="1">
      <x:c r="A378" s="2" t="str">
        <x:v>E377</x:v>
      </x:c>
      <x:c r="B378" s="2" t="str">
        <x:v>***文化传播有限公司</x:v>
      </x:c>
      <x:c r="C378" s="2" t="str">
        <x:v>无信贷记录</x:v>
      </x:c>
      <x:c r="D378" s="2" t="str"/>
      <x:c r="E378" s="2" t="str"/>
      <x:c r="F378" s="13" t="n">
        <x:v>-0.5616626050892863</x:v>
      </x:c>
      <x:c r="G378" s="13" t="n">
        <x:v>-0.5597119112368919</x:v>
      </x:c>
      <x:c r="H378" s="13" t="n">
        <x:v>-0.497466327587347</x:v>
      </x:c>
      <x:c r="I378" s="13" t="n">
        <x:v>-0.46027843520127304</x:v>
      </x:c>
      <x:c r="J378" s="13" t="n">
        <x:v>-0.5650183388947213</x:v>
      </x:c>
      <x:c r="K378" s="13" t="n">
        <x:v>-0.5675313985761217</x:v>
      </x:c>
      <x:c r="L378" s="13" t="n">
        <x:v>-0.6266914245263977</x:v>
      </x:c>
      <x:c r="M378" s="13" t="n">
        <x:v>-0.4529173114342569</x:v>
      </x:c>
      <x:c r="N378" s="13" t="n">
        <x:v>-0.7216149855326618</x:v>
      </x:c>
      <x:c r="O378" s="13" t="n">
        <x:v>-0.15087911875982613</x:v>
      </x:c>
      <x:c r="P378" s="13" t="n">
        <x:v>-0.06935090831530588</x:v>
      </x:c>
      <x:c r="Q378" s="13" t="n">
        <x:v>-0.5786964854167416</x:v>
      </x:c>
      <x:c r="R378" s="13" t="n">
        <x:v>0.800225715011325</x:v>
      </x:c>
      <x:c r="S378" s="13" t="n">
        <x:v>-0.5872154565213393</x:v>
      </x:c>
      <x:c r="T378" s="13" t="n">
        <x:v>-0.21185721589154644</x:v>
      </x:c>
      <x:c r="U378" s="13" t="n">
        <x:v>-0.5138434750543436</x:v>
      </x:c>
      <x:c r="V378" s="13" t="n">
        <x:v>-0.5143669847466801</x:v>
      </x:c>
      <x:c r="W378" s="13" t="n">
        <x:v>-0.41788853708663587</x:v>
      </x:c>
      <x:c r="X378" s="13" t="n">
        <x:v>-0.3496979040701705</x:v>
      </x:c>
      <x:c r="Y378" s="13" t="n">
        <x:v>-0.5458367319170561</x:v>
      </x:c>
      <x:c r="Z378" s="13" t="n">
        <x:v>-0.47231013776941894</x:v>
      </x:c>
      <x:c r="AA378" s="13" t="n">
        <x:v>-0.33348651734151963</x:v>
      </x:c>
      <x:c r="AB378" s="13" t="n">
        <x:v>1.732113188125979</x:v>
      </x:c>
      <x:c r="AC378" s="13" t="n">
        <x:v>0.45586018484174756</x:v>
      </x:c>
      <x:c r="AD378" s="13" t="n">
        <x:v>-0.5829626841117374</x:v>
      </x:c>
      <x:c r="AE378" s="13" t="n">
        <x:v>-0.6745083548356454</x:v>
      </x:c>
      <x:c r="AF378" s="13" t="n">
        <x:v>-0.5630921974382034</x:v>
      </x:c>
      <x:c r="AG378" s="13" t="n">
        <x:v>0.5495536481780697</x:v>
      </x:c>
      <x:c r="AH378" s="13" t="n">
        <x:v>0.502989807637307</x:v>
      </x:c>
      <x:c r="AI378" s="13" t="n">
        <x:v>-0.4505828356908232</x:v>
      </x:c>
      <x:c r="AJ378" s="13" t="n">
        <x:v>-0.4011227660156002</x:v>
      </x:c>
      <x:c r="AK378" s="13" t="n">
        <x:v>-0.2354184021919298</x:v>
      </x:c>
      <x:c r="AL378" s="13" t="n">
        <x:v>1.451253835104244</x:v>
      </x:c>
      <x:c r="AM378" s="13" t="n">
        <x:v>-0.07334934254436973</x:v>
      </x:c>
      <x:c r="AN378" s="13" t="n">
        <x:v>-0.46712446903870775</x:v>
      </x:c>
      <x:c r="AO378" s="13" t="n">
        <x:v>0.8004758926316644</x:v>
      </x:c>
      <x:c r="AP378" s="13" t="n">
        <x:v>-0.11035556633163565</x:v>
      </x:c>
    </x:row>
    <x:row r="379" ht="15" hidden="0" customHeight="1">
      <x:c r="A379" s="2" t="str">
        <x:v>E378</x:v>
      </x:c>
      <x:c r="B379" s="2" t="str">
        <x:v>***商贸有限公司</x:v>
      </x:c>
      <x:c r="C379" s="2" t="str">
        <x:v>无信贷记录</x:v>
      </x:c>
      <x:c r="D379" s="2" t="str"/>
      <x:c r="E379" s="2" t="str"/>
      <x:c r="F379" s="13" t="n">
        <x:v>-0.2918635584470237</x:v>
      </x:c>
      <x:c r="G379" s="13" t="n">
        <x:v>-0.2830418498758476</x:v>
      </x:c>
      <x:c r="H379" s="13" t="n">
        <x:v>-0.4443101981498696</x:v>
      </x:c>
      <x:c r="I379" s="13" t="n">
        <x:v>-0.2887511126877555</x:v>
      </x:c>
      <x:c r="J379" s="13" t="n">
        <x:v>-0.5437933519390001</x:v>
      </x:c>
      <x:c r="K379" s="13" t="n">
        <x:v>-0.5466752517264973</x:v>
      </x:c>
      <x:c r="L379" s="13" t="n">
        <x:v>-0.529333293719992</x:v>
      </x:c>
      <x:c r="M379" s="13" t="n">
        <x:v>-0.7626619403375002</x:v>
      </x:c>
      <x:c r="N379" s="13" t="n">
        <x:v>-0.09097759073450805</x:v>
      </x:c>
      <x:c r="O379" s="13" t="n">
        <x:v>-0.07561670073542005</x:v>
      </x:c>
      <x:c r="P379" s="13" t="n">
        <x:v>0.23477092327875387</x:v>
      </x:c>
      <x:c r="Q379" s="13" t="n">
        <x:v>-0.5558833141837785</x:v>
      </x:c>
      <x:c r="R379" s="13" t="n">
        <x:v>-0.2318138875947039</x:v>
      </x:c>
      <x:c r="S379" s="13" t="n">
        <x:v>1.1996781667246823</x:v>
      </x:c>
      <x:c r="T379" s="13" t="n">
        <x:v>0.2590597127376754</x:v>
      </x:c>
      <x:c r="U379" s="13" t="n">
        <x:v>-0.3689312393787775</x:v>
      </x:c>
      <x:c r="V379" s="13" t="n">
        <x:v>-0.3797188444125702</x:v>
      </x:c>
      <x:c r="W379" s="13" t="n">
        <x:v>-0.15563715795996266</x:v>
      </x:c>
      <x:c r="X379" s="13" t="n">
        <x:v>-0.2049070472243266</x:v>
      </x:c>
      <x:c r="Y379" s="13" t="n">
        <x:v>-0.5441406341963158</x:v>
      </x:c>
      <x:c r="Z379" s="13" t="n">
        <x:v>-0.46988361458734723</x:v>
      </x:c>
      <x:c r="AA379" s="13" t="n">
        <x:v>-0.22069214396191209</x:v>
      </x:c>
      <x:c r="AB379" s="13" t="n">
        <x:v>0.43989493736384955</x:v>
      </x:c>
      <x:c r="AC379" s="13" t="n">
        <x:v>0.3125875821504598</x:v>
      </x:c>
      <x:c r="AD379" s="13" t="n">
        <x:v>-0.47829586994255113</x:v>
      </x:c>
      <x:c r="AE379" s="13" t="n">
        <x:v>-0.4431972481752309</x:v>
      </x:c>
      <x:c r="AF379" s="13" t="n">
        <x:v>-0.5634495275536234</x:v>
      </x:c>
      <x:c r="AG379" s="13" t="n">
        <x:v>1.318603381357946</x:v>
      </x:c>
      <x:c r="AH379" s="13" t="n">
        <x:v>1.8713610961029599</x:v>
      </x:c>
      <x:c r="AI379" s="13" t="n">
        <x:v>0.4550815607975631</x:v>
      </x:c>
      <x:c r="AJ379" s="13" t="n">
        <x:v>-0.4146687701489342</x:v>
      </x:c>
      <x:c r="AK379" s="13" t="n">
        <x:v>0.055653498299003776</x:v>
      </x:c>
      <x:c r="AL379" s="13" t="n">
        <x:v>-0.08968919069561655</x:v>
      </x:c>
      <x:c r="AM379" s="13" t="n">
        <x:v>-0.004182287240293751</x:v>
      </x:c>
      <x:c r="AN379" s="13" t="n">
        <x:v>-0.3482573438117876</x:v>
      </x:c>
      <x:c r="AO379" s="13" t="n">
        <x:v>0.462808160828344</x:v>
      </x:c>
      <x:c r="AP379" s="13" t="n">
        <x:v>1.673436643202317</x:v>
      </x:c>
    </x:row>
    <x:row r="380" ht="15" hidden="0" customHeight="1">
      <x:c r="A380" s="2" t="str">
        <x:v>E379</x:v>
      </x:c>
      <x:c r="B380" s="2" t="str">
        <x:v>***药业有限公司</x:v>
      </x:c>
      <x:c r="C380" s="2" t="str">
        <x:v>无信贷记录</x:v>
      </x:c>
      <x:c r="D380" s="2" t="str"/>
      <x:c r="E380" s="2" t="str"/>
      <x:c r="F380" s="13" t="n">
        <x:v>-0.4341802376895918</x:v>
      </x:c>
      <x:c r="G380" s="13" t="n">
        <x:v>-0.4345630619903883</x:v>
      </x:c>
      <x:c r="H380" s="13" t="n">
        <x:v>-0.3486291651624103</x:v>
      </x:c>
      <x:c r="I380" s="13" t="n">
        <x:v>-0.33163294331613485</x:v>
      </x:c>
      <x:c r="J380" s="13" t="n">
        <x:v>-0.5416061190161583</x:v>
      </x:c>
      <x:c r="K380" s="13" t="n">
        <x:v>-0.5444681094215444</x:v>
      </x:c>
      <x:c r="L380" s="13" t="n">
        <x:v>-0.425890279738186</x:v>
      </x:c>
      <x:c r="M380" s="13" t="n">
        <x:v>0.4447511617204195</x:v>
      </x:c>
      <x:c r="N380" s="13" t="n">
        <x:v>0.1564065905582638</x:v>
      </x:c>
      <x:c r="O380" s="13" t="n">
        <x:v>-0.1776902775970312</x:v>
      </x:c>
      <x:c r="P380" s="13" t="n">
        <x:v>-0.009512224875062533</x:v>
      </x:c>
      <x:c r="Q380" s="13" t="n">
        <x:v>-0.558513902025747</x:v>
      </x:c>
      <x:c r="R380" s="13" t="n">
        <x:v>-0.32941890741999047</x:v>
      </x:c>
      <x:c r="S380" s="13" t="n">
        <x:v>-1.3412868117017307</x:v>
      </x:c>
      <x:c r="T380" s="13" t="n">
        <x:v>0.918343412818586</x:v>
      </x:c>
      <x:c r="U380" s="13" t="n">
        <x:v>-0.4337465302445761</x:v>
      </x:c>
      <x:c r="V380" s="13" t="n">
        <x:v>-0.45994669469497734</x:v>
      </x:c>
      <x:c r="W380" s="13" t="n">
        <x:v>-0.00577922703043509</x:v>
      </x:c>
      <x:c r="X380" s="13" t="n">
        <x:v>-0.3910667203118402</x:v>
      </x:c>
      <x:c r="Y380" s="13" t="n">
        <x:v>-0.5302180279940529</x:v>
      </x:c>
      <x:c r="Z380" s="13" t="n">
        <x:v>-0.4605064620470599</x:v>
      </x:c>
      <x:c r="AA380" s="13" t="n">
        <x:v>-0.2794392134304577</x:v>
      </x:c>
      <x:c r="AB380" s="13" t="n">
        <x:v>1.8817853291076816</x:v>
      </x:c>
      <x:c r="AC380" s="13" t="n">
        <x:v>-0.6980651016988949</x:v>
      </x:c>
      <x:c r="AD380" s="13" t="n">
        <x:v>0.32100294325818934</x:v>
      </x:c>
      <x:c r="AE380" s="13" t="n">
        <x:v>0.763793993825341</x:v>
      </x:c>
      <x:c r="AF380" s="13" t="n">
        <x:v>-0.5498110749651636</x:v>
      </x:c>
      <x:c r="AG380" s="13" t="n">
        <x:v>-0.3278322969294082</x:v>
      </x:c>
      <x:c r="AH380" s="13" t="n">
        <x:v>-1.3499377736202387</x:v>
      </x:c>
      <x:c r="AI380" s="13" t="n">
        <x:v>0.3544521834099646</x:v>
      </x:c>
      <x:c r="AJ380" s="13" t="n">
        <x:v>-0.39332486609000245</x:v>
      </x:c>
      <x:c r="AK380" s="13" t="n">
        <x:v>-0.13683729745779868</x:v>
      </x:c>
      <x:c r="AL380" s="13" t="n">
        <x:v>1.5008391430991694</x:v>
      </x:c>
      <x:c r="AM380" s="13" t="n">
        <x:v>-0.4450411409117828</x:v>
      </x:c>
      <x:c r="AN380" s="13" t="n">
        <x:v>0.07180261329639928</x:v>
      </x:c>
      <x:c r="AO380" s="13" t="n">
        <x:v>-0.3785892490087635</x:v>
      </x:c>
      <x:c r="AP380" s="13" t="n">
        <x:v>-1.505467463568444</x:v>
      </x:c>
    </x:row>
    <x:row r="381" ht="15" hidden="0" customHeight="1">
      <x:c r="A381" s="2" t="str">
        <x:v>E380</x:v>
      </x:c>
      <x:c r="B381" s="2" t="str">
        <x:v>***建材有限公司</x:v>
      </x:c>
      <x:c r="C381" s="2" t="str">
        <x:v>无信贷记录</x:v>
      </x:c>
      <x:c r="D381" s="2" t="str"/>
      <x:c r="E381" s="2" t="str"/>
      <x:c r="F381" s="13" t="n">
        <x:v>-0.6117284075589845</x:v>
      </x:c>
      <x:c r="G381" s="13" t="n">
        <x:v>-0.6105386469461999</x:v>
      </x:c>
      <x:c r="H381" s="13" t="n">
        <x:v>-0.518728779362338</x:v>
      </x:c>
      <x:c r="I381" s="13" t="n">
        <x:v>-0.46027843520127304</x:v>
      </x:c>
      <x:c r="J381" s="13" t="n">
        <x:v>-0.570091157160903</x:v>
      </x:c>
      <x:c r="K381" s="13" t="n">
        <x:v>-0.5725145370681644</x:v>
      </x:c>
      <x:c r="L381" s="13" t="n">
        <x:v>-0.7088373473943025</x:v>
      </x:c>
      <x:c r="M381" s="13" t="n">
        <x:v>-1.151103901665672</x:v>
      </x:c>
      <x:c r="N381" s="13" t="n">
        <x:v>-0.7216149855326618</x:v>
      </x:c>
      <x:c r="O381" s="13" t="n">
        <x:v>0.8236746286454613</x:v>
      </x:c>
      <x:c r="P381" s="13" t="n">
        <x:v>0.3864394849915612</x:v>
      </x:c>
      <x:c r="Q381" s="13" t="n">
        <x:v>-0.5857875499281385</x:v>
      </x:c>
      <x:c r="R381" s="13" t="n">
        <x:v>1.3719547703836303</x:v>
      </x:c>
      <x:c r="S381" s="13" t="n">
        <x:v>-0.31703243974068956</x:v>
      </x:c>
      <x:c r="T381" s="13" t="n">
        <x:v>-2.472258473311811</x:v>
      </x:c>
      <x:c r="U381" s="13" t="n">
        <x:v>-0.4606211630425902</x:v>
      </x:c>
      <x:c r="V381" s="13" t="n">
        <x:v>-0.4537753215963306</x:v>
      </x:c>
      <x:c r="W381" s="13" t="n">
        <x:v>-0.47033881291197055</x:v>
      </x:c>
      <x:c r="X381" s="13" t="n">
        <x:v>-0.060116190378482696</x:v>
      </x:c>
      <x:c r="Y381" s="13" t="n">
        <x:v>-0.5415652770897413</x:v>
      </x:c>
      <x:c r="Z381" s="13" t="n">
        <x:v>-0.46733255042849187</x:v>
      </x:c>
      <x:c r="AA381" s="13" t="n">
        <x:v>-0.38518393847383975</x:v>
      </x:c>
      <x:c r="AB381" s="13" t="n">
        <x:v>-0.05354159368436778</x:v>
      </x:c>
      <x:c r="AC381" s="13" t="n">
        <x:v>2.5273646148966358</x:v>
      </x:c>
      <x:c r="AD381" s="13" t="n">
        <x:v>2.798075349927033</x:v>
      </x:c>
      <x:c r="AE381" s="13" t="n">
        <x:v>2.391952376242217</x:v>
      </x:c>
      <x:c r="AF381" s="13" t="n">
        <x:v>-0.5609267322316771</x:v>
      </x:c>
      <x:c r="AG381" s="13" t="n">
        <x:v>1.4135553656036028</x:v>
      </x:c>
      <x:c r="AH381" s="13" t="n">
        <x:v>0.27268637397226153</x:v>
      </x:c>
      <x:c r="AI381" s="13" t="n">
        <x:v>-1.255617854791611</x:v>
      </x:c>
      <x:c r="AJ381" s="13" t="n">
        <x:v>-0.3901494589547145</x:v>
      </x:c>
      <x:c r="AK381" s="13" t="n">
        <x:v>-0.3429072668814867</x:v>
      </x:c>
      <x:c r="AL381" s="13" t="n">
        <x:v>0.7394774116000374</x:v>
      </x:c>
      <x:c r="AM381" s="13" t="n">
        <x:v>4.816891841863603</x:v>
      </x:c>
      <x:c r="AN381" s="13" t="n">
        <x:v>2.3230515792885793</x:v>
      </x:c>
      <x:c r="AO381" s="13" t="n">
        <x:v>1.594946216672697</x:v>
      </x:c>
      <x:c r="AP381" s="13" t="n">
        <x:v>-0.0608250304519103</x:v>
      </x:c>
    </x:row>
    <x:row r="382" ht="15" hidden="0" customHeight="1">
      <x:c r="A382" s="2" t="str">
        <x:v>E381</x:v>
      </x:c>
      <x:c r="B382" s="2" t="str">
        <x:v>***通信网络工程有限公司</x:v>
      </x:c>
      <x:c r="C382" s="2" t="str">
        <x:v>无信贷记录</x:v>
      </x:c>
      <x:c r="D382" s="2" t="str"/>
      <x:c r="E382" s="2" t="str"/>
      <x:c r="F382" s="13" t="n">
        <x:v>0.23243665074953815</x:v>
      </x:c>
      <x:c r="G382" s="13" t="n">
        <x:v>0.23529495485775542</x:v>
      </x:c>
      <x:c r="H382" s="13" t="n">
        <x:v>0.08725109622490407</x:v>
      </x:c>
      <x:c r="I382" s="13" t="n">
        <x:v>-0.2887511126877555</x:v>
      </x:c>
      <x:c r="J382" s="13" t="n">
        <x:v>1.3733889080618107</x:v>
      </x:c>
      <x:c r="K382" s="13" t="n">
        <x:v>1.341112081045785</x:v>
      </x:c>
      <x:c r="L382" s="13" t="n">
        <x:v>-0.12164612096816829</x:v>
      </x:c>
      <x:c r="M382" s="13" t="n">
        <x:v>0.04956256041632823</x:v>
      </x:c>
      <x:c r="N382" s="13" t="n">
        <x:v>-0.47700195300902903</x:v>
      </x:c>
      <x:c r="O382" s="13" t="n">
        <x:v>-0.7997418658338343</x:v>
      </x:c>
      <x:c r="P382" s="13" t="n">
        <x:v>-0.8580684119307234</x:v>
      </x:c>
      <x:c r="Q382" s="13" t="n">
        <x:v>1.3265199293113128</x:v>
      </x:c>
      <x:c r="R382" s="13" t="n">
        <x:v>-0.547530909553272</x:v>
      </x:c>
      <x:c r="S382" s="13" t="n">
        <x:v>-1.2433587353426943</x:v>
      </x:c>
      <x:c r="T382" s="13" t="n">
        <x:v>0.8241600270927416</x:v>
      </x:c>
      <x:c r="U382" s="13" t="n">
        <x:v>-0.5164782429757174</x:v>
      </x:c>
      <x:c r="V382" s="13" t="n">
        <x:v>-0.5020242385493867</x:v>
      </x:c>
      <x:c r="W382" s="13" t="n">
        <x:v>-0.620196743841498</x:v>
      </x:c>
      <x:c r="X382" s="13" t="n">
        <x:v>-0.03943178225764785</x:v>
      </x:c>
      <x:c r="Y382" s="13" t="n">
        <x:v>-0.5373336451599326</x:v>
      </x:c>
      <x:c r="Z382" s="13" t="n">
        <x:v>-0.46296883179154164</x:v>
      </x:c>
      <x:c r="AA382" s="13" t="n">
        <x:v>-0.36638487624390514</x:v>
      </x:c>
      <x:c r="AB382" s="13" t="n">
        <x:v>-0.818210234755492</x:v>
      </x:c>
      <x:c r="AC382" s="13" t="n">
        <x:v>5.267905931214426</x:v>
      </x:c>
      <x:c r="AD382" s="13" t="n">
        <x:v>-0.26509715991908667</x:v>
      </x:c>
      <x:c r="AE382" s="13" t="n">
        <x:v>-0.23860757510554376</x:v>
      </x:c>
      <x:c r="AF382" s="13" t="n">
        <x:v>-0.5567814658492143</x:v>
      </x:c>
      <x:c r="AG382" s="13" t="n">
        <x:v>1.0011212716112023</x:v>
      </x:c>
      <x:c r="AH382" s="13" t="n">
        <x:v>-0.6163021375551349</x:v>
      </x:c>
      <x:c r="AI382" s="13" t="n">
        <x:v>-1.3562472321792094</x:v>
      </x:c>
      <x:c r="AJ382" s="13" t="n">
        <x:v>-1.4358539357567408</x:v>
      </x:c>
      <x:c r="AK382" s="13" t="n">
        <x:v>7.277012024670957</x:v>
      </x:c>
      <x:c r="AL382" s="13" t="n">
        <x:v>-0.7127800868349737</x:v>
      </x:c>
      <x:c r="AM382" s="13" t="n">
        <x:v>-0.11286662756650316</x:v>
      </x:c>
      <x:c r="AN382" s="13" t="n">
        <x:v>-0.7383605757860627</x:v>
      </x:c>
      <x:c r="AO382" s="13" t="n">
        <x:v>0.0992522315326924</x:v>
      </x:c>
      <x:c r="AP382" s="13" t="n">
        <x:v>-1.076005336469544</x:v>
      </x:c>
    </x:row>
    <x:row r="383" ht="15" hidden="0" customHeight="1">
      <x:c r="A383" s="2" t="str">
        <x:v>E382</x:v>
      </x:c>
      <x:c r="B383" s="2" t="str">
        <x:v>***教育信息咨询有限公司***分公司</x:v>
      </x:c>
      <x:c r="C383" s="2" t="str">
        <x:v>无信贷记录</x:v>
      </x:c>
      <x:c r="D383" s="2" t="str"/>
      <x:c r="E383" s="2" t="str"/>
      <x:c r="F383" s="13" t="n">
        <x:v>-0.6117284075589845</x:v>
      </x:c>
      <x:c r="G383" s="13" t="n">
        <x:v>-0.6105386469461999</x:v>
      </x:c>
      <x:c r="H383" s="13" t="n">
        <x:v>-0.518728779362338</x:v>
      </x:c>
      <x:c r="I383" s="13" t="n">
        <x:v>-0.46027843520127304</x:v>
      </x:c>
      <x:c r="J383" s="13" t="n">
        <x:v>-0.570087166146894</x:v>
      </x:c>
      <x:c r="K383" s="13" t="n">
        <x:v>-0.5725106166092623</x:v>
      </x:c>
      <x:c r="L383" s="13" t="n">
        <x:v>-0.7088373473943025</x:v>
      </x:c>
      <x:c r="M383" s="13" t="n">
        <x:v>-1.151103901665672</x:v>
      </x:c>
      <x:c r="N383" s="13" t="n">
        <x:v>-0.7216149855326618</x:v>
      </x:c>
      <x:c r="O383" s="13" t="n">
        <x:v>0.9501122440805609</x:v>
      </x:c>
      <x:c r="P383" s="13" t="n">
        <x:v>0.876380273552121</x:v>
      </x:c>
      <x:c r="Q383" s="13" t="n">
        <x:v>-0.5857729441953091</x:v>
      </x:c>
      <x:c r="R383" s="13" t="n">
        <x:v>0.9623519923075905</x:v>
      </x:c>
      <x:c r="S383" s="13" t="n">
        <x:v>-2.2104593994423882</x:v>
      </x:c>
      <x:c r="T383" s="13" t="n">
        <x:v>-2.472258473311811</x:v>
      </x:c>
      <x:c r="U383" s="13" t="n">
        <x:v>-0.5133165214700688</x:v>
      </x:c>
      <x:c r="V383" s="13" t="n">
        <x:v>-0.49753596720491633</x:v>
      </x:c>
      <x:c r="W383" s="13" t="n">
        <x:v>-0.6351825369344508</x:v>
      </x:c>
      <x:c r="X383" s="13" t="n">
        <x:v>-0.3910667203118402</x:v>
      </x:c>
      <x:c r="Y383" s="13" t="n">
        <x:v>-0.548363403509256</x:v>
      </x:c>
      <x:c r="Z383" s="13" t="n">
        <x:v>-0.47458361689878636</x:v>
      </x:c>
      <x:c r="AA383" s="13" t="n">
        <x:v>-0.21834226118317027</x:v>
      </x:c>
      <x:c r="AB383" s="13" t="n">
        <x:v>-1.0195515576145555</x:v>
      </x:c>
      <x:c r="AC383" s="13" t="n">
        <x:v>-0.6980651016988949</x:v>
      </x:c>
      <x:c r="AD383" s="13" t="n">
        <x:v>-0.9490421033339832</x:v>
      </x:c>
      <x:c r="AE383" s="13" t="n">
        <x:v>-1.3120639401541287</x:v>
      </x:c>
      <x:c r="AF383" s="13" t="n">
        <x:v>-0.5655371136286458</x:v>
      </x:c>
      <x:c r="AG383" s="13" t="n">
        <x:v>-0.5034429474877278</x:v>
      </x:c>
      <x:c r="AH383" s="13" t="n">
        <x:v>0.4377198269173957</x:v>
      </x:c>
      <x:c r="AI383" s="13" t="n">
        <x:v>-0.7524709678536187</x:v>
      </x:c>
      <x:c r="AJ383" s="13" t="n">
        <x:v>-0.4013970888494726</x:v>
      </x:c>
      <x:c r="AK383" s="13" t="n">
        <x:v>-0.3425262887767156</x:v>
      </x:c>
      <x:c r="AL383" s="13" t="n">
        <x:v>-1.2190361046933285</x:v>
      </x:c>
      <x:c r="AM383" s="13" t="n">
        <x:v>-0.7815911692517314</x:v>
      </x:c>
      <x:c r="AN383" s="13" t="n">
        <x:v>0.1001159048487227</x:v>
      </x:c>
      <x:c r="AO383" s="13" t="n">
        <x:v>0.4146065306577315</x:v>
      </x:c>
      <x:c r="AP383" s="13" t="n">
        <x:v>-1.1376320329454752</x:v>
      </x:c>
    </x:row>
    <x:row r="384" ht="15" hidden="0" customHeight="1">
      <x:c r="A384" s="2" t="str">
        <x:v>E383</x:v>
      </x:c>
      <x:c r="B384" s="2" t="str">
        <x:v>***通讯器材经营部</x:v>
      </x:c>
      <x:c r="C384" s="2" t="str">
        <x:v>无信贷记录</x:v>
      </x:c>
      <x:c r="D384" s="2" t="str"/>
      <x:c r="E384" s="2" t="str"/>
      <x:c r="F384" s="13" t="n">
        <x:v>-0.6066291128629967</x:v>
      </x:c>
      <x:c r="G384" s="13" t="n">
        <x:v>-0.6052641743725925</x:v>
      </x:c>
      <x:c r="H384" s="13" t="n">
        <x:v>-0.518728779362338</x:v>
      </x:c>
      <x:c r="I384" s="13" t="n">
        <x:v>-0.46027843520127304</x:v>
      </x:c>
      <x:c r="J384" s="13" t="n">
        <x:v>-0.5654218703211634</x:v>
      </x:c>
      <x:c r="K384" s="13" t="n">
        <x:v>-0.5679277961757081</x:v>
      </x:c>
      <x:c r="L384" s="13" t="n">
        <x:v>-0.6936251394558016</x:v>
      </x:c>
      <x:c r="M384" s="13" t="n">
        <x:v>-1.151103901665672</x:v>
      </x:c>
      <x:c r="N384" s="13" t="n">
        <x:v>-0.7216149855326618</x:v>
      </x:c>
      <x:c r="O384" s="13" t="n">
        <x:v>2.173150954381369</x:v>
      </x:c>
      <x:c r="P384" s="13" t="n">
        <x:v>1.9913522394082168</x:v>
      </x:c>
      <x:c r="Q384" s="13" t="n">
        <x:v>-0.5799395235018443</x:v>
      </x:c>
      <x:c r="R384" s="13" t="n">
        <x:v>3.4906279575237282</x:v>
      </x:c>
      <x:c r="S384" s="13" t="n">
        <x:v>1.282509038810337</x:v>
      </x:c>
      <x:c r="T384" s="13" t="n">
        <x:v>-2.0013415446825893</x:v>
      </x:c>
      <x:c r="U384" s="13" t="n">
        <x:v>-0.4932922852676269</x:v>
      </x:c>
      <x:c r="V384" s="13" t="n">
        <x:v>-0.4846321870895641</x:v>
      </x:c>
      <x:c r="W384" s="13" t="n">
        <x:v>-0.5227890887373051</x:v>
      </x:c>
      <x:c r="X384" s="13" t="n">
        <x:v>-0.24627586346599628</x:v>
      </x:c>
      <x:c r="Y384" s="13" t="n">
        <x:v>-0.5455310596041673</x:v>
      </x:c>
      <x:c r="Z384" s="13" t="n">
        <x:v>-0.4714777805498793</x:v>
      </x:c>
      <x:c r="AA384" s="13" t="n">
        <x:v>-0.3757844073588725</x:v>
      </x:c>
      <x:c r="AB384" s="13" t="n">
        <x:v>-0.03681414842150746</x:v>
      </x:c>
      <x:c r="AC384" s="13" t="n">
        <x:v>1.4122667286411987</x:v>
      </x:c>
      <x:c r="AD384" s="13" t="n">
        <x:v>2.220953531405776</x:v>
      </x:c>
      <x:c r="AE384" s="13" t="n">
        <x:v>2.072955166151891</x:v>
      </x:c>
      <x:c r="AF384" s="13" t="n">
        <x:v>-0.5590076705381888</x:v>
      </x:c>
      <x:c r="AG384" s="13" t="n">
        <x:v>0.22151890808070948</x:v>
      </x:c>
      <x:c r="AH384" s="13" t="n">
        <x:v>-2.0715316372709935</x:v>
      </x:c>
      <x:c r="AI384" s="13" t="n">
        <x:v>-1.255617854791611</x:v>
      </x:c>
      <x:c r="AJ384" s="13" t="n">
        <x:v>-0.4003062880516034</x:v>
      </x:c>
      <x:c r="AK384" s="13" t="n">
        <x:v>-0.2558410333314282</x:v>
      </x:c>
      <x:c r="AL384" s="13" t="n">
        <x:v>0.6046280897384647</x:v>
      </x:c>
      <x:c r="AM384" s="13" t="n">
        <x:v>2.536864486530342</x:v>
      </x:c>
      <x:c r="AN384" s="13" t="n">
        <x:v>2.9390068202557202</x:v>
      </x:c>
      <x:c r="AO384" s="13" t="n">
        <x:v>2.5272722855133516</x:v>
      </x:c>
      <x:c r="AP384" s="13" t="n">
        <x:v>-0.26152670274790535</x:v>
      </x:c>
    </x:row>
    <x:row r="385" ht="15" hidden="0" customHeight="1">
      <x:c r="A385" s="2" t="str">
        <x:v>E384</x:v>
      </x:c>
      <x:c r="B385" s="2" t="str">
        <x:v>个体经营E384 </x:v>
      </x:c>
      <x:c r="C385" s="2" t="str">
        <x:v>无信贷记录</x:v>
      </x:c>
      <x:c r="D385" s="2" t="str"/>
      <x:c r="E385" s="2" t="str"/>
      <x:c r="F385" s="13" t="n">
        <x:v>-0.49815320751198394</x:v>
      </x:c>
      <x:c r="G385" s="13" t="n">
        <x:v>-0.49833623038036906</x:v>
      </x:c>
      <x:c r="H385" s="13" t="n">
        <x:v>-0.4017852945998877</x:v>
      </x:c>
      <x:c r="I385" s="13" t="n">
        <x:v>-0.33163294331613485</x:v>
      </x:c>
      <x:c r="J385" s="13" t="n">
        <x:v>-0.5118536940636388</x:v>
      </x:c>
      <x:c r="K385" s="13" t="n">
        <x:v>-0.5143421915720522</x:v>
      </x:c>
      <x:c r="L385" s="13" t="n">
        <x:v>-0.477611786729089</x:v>
      </x:c>
      <x:c r="M385" s="13" t="n">
        <x:v>0.5590292444477128</x:v>
      </x:c>
      <x:c r="N385" s="13" t="n">
        <x:v>0.6512238347112006</x:v>
      </x:c>
      <x:c r="O385" s="13" t="n">
        <x:v>-0.711314512918253</x:v>
      </x:c>
      <x:c r="P385" s="13" t="n">
        <x:v>-0.7737633486675108</x:v>
      </x:c>
      <x:c r="Q385" s="13" t="n">
        <x:v>-0.5269084766947557</x:v>
      </x:c>
      <x:c r="R385" s="13" t="n">
        <x:v>-0.6140021610189508</x:v>
      </x:c>
      <x:c r="S385" s="13" t="n">
        <x:v>-0.3262833411906214</x:v>
      </x:c>
      <x:c r="T385" s="13" t="n">
        <x:v>0.6357932556410528</x:v>
      </x:c>
      <x:c r="U385" s="13" t="n">
        <x:v>-0.5428259221894568</x:v>
      </x:c>
      <x:c r="V385" s="13" t="n">
        <x:v>-0.5317590362065026</x:v>
      </x:c>
      <x:c r="W385" s="13" t="n">
        <x:v>-0.5977180542020689</x:v>
      </x:c>
      <x:c r="X385" s="13" t="n">
        <x:v>-0.3910667203118402</x:v>
      </x:c>
      <x:c r="Y385" s="13" t="n">
        <x:v>-0.5319232332323554</x:v>
      </x:c>
      <x:c r="Z385" s="13" t="n">
        <x:v>-0.4618293576891725</x:v>
      </x:c>
      <x:c r="AA385" s="13" t="n">
        <x:v>-0.3898837040313234</x:v>
      </x:c>
      <x:c r="AB385" s="13" t="n">
        <x:v>0.2702912919513201</x:v>
      </x:c>
      <x:c r="AC385" s="13" t="n">
        <x:v>-0.6980651016988949</x:v>
      </x:c>
      <x:c r="AD385" s="13" t="n">
        <x:v>1.7080578753784406</x:v>
      </x:c>
      <x:c r="AE385" s="13" t="n">
        <x:v>1.657525894729495</x:v>
      </x:c>
      <x:c r="AF385" s="13" t="n">
        <x:v>-0.5474270799998531</x:v>
      </x:c>
      <x:c r="AG385" s="13" t="n">
        <x:v>1.5658958656837059</x:v>
      </x:c>
      <x:c r="AH385" s="13" t="n">
        <x:v>1.2513824049306281</x:v>
      </x:c>
      <x:c r="AI385" s="13" t="n">
        <x:v>-1.9600234965048005</x:v>
      </x:c>
      <x:c r="AJ385" s="13" t="n">
        <x:v>-0.4190662835644222</x:v>
      </x:c>
      <x:c r="AK385" s="13" t="n">
        <x:v>0.11866266972872919</x:v>
      </x:c>
      <x:c r="AL385" s="13" t="n">
        <x:v>-0.2611616268386536</x:v>
      </x:c>
      <x:c r="AM385" s="13" t="n">
        <x:v>-0.11105042837670077</x:v>
      </x:c>
      <x:c r="AN385" s="13" t="n">
        <x:v>0.5438809825916264</x:v>
      </x:c>
      <x:c r="AO385" s="13" t="n">
        <x:v>0.3201031134397166</x:v>
      </x:c>
      <x:c r="AP385" s="13" t="n">
        <x:v>0.42639530562269834</x:v>
      </x:c>
    </x:row>
    <x:row r="386" ht="15" hidden="0" customHeight="1">
      <x:c r="A386" s="2" t="str">
        <x:v>E385</x:v>
      </x:c>
      <x:c r="B386" s="2" t="str">
        <x:v>***装饰工程有限公司</x:v>
      </x:c>
      <x:c r="C386" s="2" t="str">
        <x:v>无信贷记录</x:v>
      </x:c>
      <x:c r="D386" s="2" t="str"/>
      <x:c r="E386" s="2" t="str"/>
      <x:c r="F386" s="13" t="n">
        <x:v>-0.5982848124513803</x:v>
      </x:c>
      <x:c r="G386" s="13" t="n">
        <x:v>-0.5975922142655271</x:v>
      </x:c>
      <x:c r="H386" s="13" t="n">
        <x:v>-0.497466327587347</x:v>
      </x:c>
      <x:c r="I386" s="13" t="n">
        <x:v>-0.46027843520127304</x:v>
      </x:c>
      <x:c r="J386" s="13" t="n">
        <x:v>-0.5698113072585973</x:v>
      </x:c>
      <x:c r="K386" s="13" t="n">
        <x:v>-0.5722396344899524</x:v>
      </x:c>
      <x:c r="L386" s="13" t="n">
        <x:v>-0.6936251394558016</x:v>
      </x:c>
      <x:c r="M386" s="13" t="n">
        <x:v>1.326332386252252</x:v>
      </x:c>
      <x:c r="N386" s="13" t="n">
        <x:v>-0.7216149855326618</x:v>
      </x:c>
      <x:c r="O386" s="13" t="n">
        <x:v>0.0005184064771973052</x:v>
      </x:c>
      <x:c r="P386" s="13" t="n">
        <x:v>-0.03534497664691527</x:v>
      </x:c>
      <x:c r="Q386" s="13" t="n">
        <x:v>-0.585484313578559</x:v>
      </x:c>
      <x:c r="R386" s="13" t="n">
        <x:v>0.2017344399377571</x:v>
      </x:c>
      <x:c r="S386" s="13" t="n">
        <x:v>0.0310405044061088</x:v>
      </x:c>
      <x:c r="T386" s="13" t="n">
        <x:v>-1.2478744588758346</x:v>
      </x:c>
      <x:c r="U386" s="13" t="n">
        <x:v>-0.544933736526556</x:v>
      </x:c>
      <x:c r="V386" s="13" t="n">
        <x:v>-0.5401745449773845</x:v>
      </x:c>
      <x:c r="W386" s="13" t="n">
        <x:v>-0.5152961921908288</x:v>
      </x:c>
      <x:c r="X386" s="13" t="n">
        <x:v>-0.3703823121910053</x:v>
      </x:c>
      <x:c r="Y386" s="13" t="n">
        <x:v>-0.5487905011178519</x:v>
      </x:c>
      <x:c r="Z386" s="13" t="n">
        <x:v>-0.4740696709778335</x:v>
      </x:c>
      <x:c r="AA386" s="13" t="n">
        <x:v>-0.3804841729163561</x:v>
      </x:c>
      <x:c r="AB386" s="13" t="n">
        <x:v>3.697588006512075</x:v>
      </x:c>
      <x:c r="AC386" s="13" t="n">
        <x:v>2.0905876741076574</x:v>
      </x:c>
      <x:c r="AD386" s="13" t="n">
        <x:v>0.04745570189689569</x:v>
      </x:c>
      <x:c r="AE386" s="13" t="n">
        <x:v>-0.26658331934255786</x:v>
      </x:c>
      <x:c r="AF386" s="13" t="n">
        <x:v>-0.564243492192186</x:v>
      </x:c>
      <x:c r="AG386" s="13" t="n">
        <x:v>0.6691130571557949</x:v>
      </x:c>
      <x:c r="AH386" s="13" t="n">
        <x:v>0.990054405162351</x:v>
      </x:c>
      <x:c r="AI386" s="13" t="n">
        <x:v>-1.8593941191172019</x:v>
      </x:c>
      <x:c r="AJ386" s="13" t="n">
        <x:v>-0.4023160550466759</x:v>
      </x:c>
      <x:c r="AK386" s="13" t="n">
        <x:v>-0.33438498043969467</x:v>
      </x:c>
      <x:c r="AL386" s="13" t="n">
        <x:v>3.9805861369623043</x:v>
      </x:c>
      <x:c r="AM386" s="13" t="n">
        <x:v>0.6521666750582934</x:v>
      </x:c>
      <x:c r="AN386" s="13" t="n">
        <x:v>0.031280298340060214</x:v>
      </x:c>
      <x:c r="AO386" s="13" t="n">
        <x:v>0.45096473922825187</x:v>
      </x:c>
      <x:c r="AP386" s="13" t="n">
        <x:v>0.5136841618907169</x:v>
      </x:c>
    </x:row>
    <x:row r="387" ht="15" hidden="0" customHeight="1">
      <x:c r="A387" s="2" t="str">
        <x:v>E386</x:v>
      </x:c>
      <x:c r="B387" s="2" t="str">
        <x:v>个体经营E386 </x:v>
      </x:c>
      <x:c r="C387" s="2" t="str">
        <x:v>无信贷记录</x:v>
      </x:c>
      <x:c r="D387" s="2" t="str"/>
      <x:c r="E387" s="2" t="str"/>
      <x:c r="F387" s="13" t="n">
        <x:v>-0.42676308176815503</x:v>
      </x:c>
      <x:c r="G387" s="13" t="n">
        <x:v>-0.42065763429633235</x:v>
      </x:c>
      <x:c r="H387" s="13" t="n">
        <x:v>-0.4868351016998515</x:v>
      </x:c>
      <x:c r="I387" s="13" t="n">
        <x:v>-0.46027843520127304</x:v>
      </x:c>
      <x:c r="J387" s="13" t="n">
        <x:v>-0.5661662471152126</x:v>
      </x:c>
      <x:c r="K387" s="13" t="n">
        <x:v>-0.5686590135109985</x:v>
      </x:c>
      <x:c r="L387" s="13" t="n">
        <x:v>-0.3711263311595828</x:v>
      </x:c>
      <x:c r="M387" s="13" t="n">
        <x:v>-0.8638201425928951</x:v>
      </x:c>
      <x:c r="N387" s="13" t="n">
        <x:v>-0.7216149855326618</x:v>
      </x:c>
      <x:c r="O387" s="13" t="n">
        <x:v>-0.82517678824105</x:v>
      </x:c>
      <x:c r="P387" s="13" t="n">
        <x:v>-0.8575105420541788</x:v>
      </x:c>
      <x:c r="Q387" s="13" t="n">
        <x:v>-0.5806975423042315</x:v>
      </x:c>
      <x:c r="R387" s="13" t="n">
        <x:v>-0.34985827689482946</x:v>
      </x:c>
      <x:c r="S387" s="13" t="n">
        <x:v>-1.857608596825484</x:v>
      </x:c>
      <x:c r="T387" s="13" t="n">
        <x:v>-0.7769575302466126</x:v>
      </x:c>
      <x:c r="U387" s="13" t="n">
        <x:v>-0.5249095003241141</x:v>
      </x:c>
      <x:c r="V387" s="13" t="n">
        <x:v>-0.5166111204189152</x:v>
      </x:c>
      <x:c r="W387" s="13" t="n">
        <x:v>-0.5452677783767343</x:v>
      </x:c>
      <x:c r="X387" s="13" t="n">
        <x:v>-0.3083290878285008</x:v>
      </x:c>
      <x:c r="Y387" s="13" t="n">
        <x:v>-0.5136214007480988</x:v>
      </x:c>
      <x:c r="Z387" s="13" t="n">
        <x:v>-0.4433045940641969</x:v>
      </x:c>
      <x:c r="AA387" s="13" t="n">
        <x:v>-0.38283405569509793</x:v>
      </x:c>
      <x:c r="AB387" s="13" t="n">
        <x:v>0.4813564855166452</x:v>
      </x:c>
      <x:c r="AC387" s="13" t="n">
        <x:v>1.7807373656847072</x:v>
      </x:c>
      <x:c r="AD387" s="13" t="n">
        <x:v>0.637458345827957</x:v>
      </x:c>
      <x:c r="AE387" s="13" t="n">
        <x:v>0.3847400499292695</x:v>
      </x:c>
      <x:c r="AF387" s="13" t="n">
        <x:v>-0.5191546497876685</x:v>
      </x:c>
      <x:c r="AG387" s="13" t="n">
        <x:v>0.3627476667041683</x:v>
      </x:c>
      <x:c r="AH387" s="13" t="n">
        <x:v>-1.7497561145073735</x:v>
      </x:c>
      <x:c r="AI387" s="13" t="n">
        <x:v>-1.456876609566808</x:v>
      </x:c>
      <x:c r="AJ387" s="13" t="n">
        <x:v>-0.34695212195752356</x:v>
      </x:c>
      <x:c r="AK387" s="13" t="n">
        <x:v>-0.3285420994442442</x:v>
      </x:c>
      <x:c r="AL387" s="13" t="n">
        <x:v>-0.6931106073068951</x:v>
      </x:c>
      <x:c r="AM387" s="13" t="n">
        <x:v>-0.26137814609499677</x:v>
      </x:c>
      <x:c r="AN387" s="13" t="n">
        <x:v>-0.19931267699836397</x:v>
      </x:c>
      <x:c r="AO387" s="13" t="n">
        <x:v>-0.06729171581066494</x:v>
      </x:c>
      <x:c r="AP387" s="13" t="n">
        <x:v>-2.023123272375569</x:v>
      </x:c>
    </x:row>
    <x:row r="388" ht="15" hidden="0" customHeight="1">
      <x:c r="A388" s="2" t="str">
        <x:v>E387</x:v>
      </x:c>
      <x:c r="B388" s="2" t="str">
        <x:v>***农副产品经营部</x:v>
      </x:c>
      <x:c r="C388" s="2" t="str">
        <x:v>无信贷记录</x:v>
      </x:c>
      <x:c r="D388" s="2" t="str"/>
      <x:c r="E388" s="2" t="str"/>
      <x:c r="F388" s="13" t="n">
        <x:v>-0.6112648353138947</x:v>
      </x:c>
      <x:c r="G388" s="13" t="n">
        <x:v>-0.6100591494395083</x:v>
      </x:c>
      <x:c r="H388" s="13" t="n">
        <x:v>-0.518728779362338</x:v>
      </x:c>
      <x:c r="I388" s="13" t="n">
        <x:v>-0.46027843520127304</x:v>
      </x:c>
      <x:c r="J388" s="13" t="n">
        <x:v>-0.5700747940034664</x:v>
      </x:c>
      <x:c r="K388" s="13" t="n">
        <x:v>-0.572498463186666</x:v>
      </x:c>
      <x:c r="L388" s="13" t="n">
        <x:v>-0.7118797889820027</x:v>
      </x:c>
      <x:c r="M388" s="13" t="n">
        <x:v>-1.151103901665672</x:v>
      </x:c>
      <x:c r="N388" s="13" t="n">
        <x:v>-0.7216149855326618</x:v>
      </x:c>
      <x:c r="O388" s="13" t="n">
        <x:v>2.6494337955283003</x:v>
      </x:c>
      <x:c r="P388" s="13" t="n">
        <x:v>2.2482144815216887</x:v>
      </x:c>
      <x:c r="Q388" s="13" t="n">
        <x:v>-0.5857753137075121</x:v>
      </x:c>
      <x:c r="R388" s="13" t="n">
        <x:v>1.7042223279112139</x:v>
      </x:c>
      <x:c r="S388" s="13" t="n">
        <x:v>-1.833040513828072</x:v>
      </x:c>
      <x:c r="T388" s="13" t="n">
        <x:v>-2.378075087585967</x:v>
      </x:c>
      <x:c r="U388" s="13" t="n">
        <x:v>-0.51015479996442</x:v>
      </x:c>
      <x:c r="V388" s="13" t="n">
        <x:v>-0.4986580350410339</x:v>
      </x:c>
      <x:c r="W388" s="13" t="n">
        <x:v>-0.5752393645626398</x:v>
      </x:c>
      <x:c r="X388" s="13" t="n">
        <x:v>-0.3910667203118402</x:v>
      </x:c>
      <x:c r="Y388" s="13" t="n">
        <x:v>-0.5454082932564263</x:v>
      </x:c>
      <x:c r="Z388" s="13" t="n">
        <x:v>-0.4722910468388196</x:v>
      </x:c>
      <x:c r="AA388" s="13" t="n">
        <x:v>-0.3804841729163561</x:v>
      </x:c>
      <x:c r="AB388" s="13" t="n">
        <x:v>-0.316998856574419</x:v>
      </x:c>
      <x:c r="AC388" s="13" t="n">
        <x:v>-0.6980651016988949</x:v>
      </x:c>
      <x:c r="AD388" s="13" t="n">
        <x:v>1.379217935758816</x:v>
      </x:c>
      <x:c r="AE388" s="13" t="n">
        <x:v>1.5615887472341494</x:v>
      </x:c>
      <x:c r="AF388" s="13" t="n">
        <x:v>-0.5625567252265394</x:v>
      </x:c>
      <x:c r="AG388" s="13" t="n">
        <x:v>-1.3618772862157669</x:v>
      </x:c>
      <x:c r="AH388" s="13" t="n">
        <x:v>-0.3840243896644236</x:v>
      </x:c>
      <x:c r="AI388" s="13" t="n">
        <x:v>0.05256405124716919</x:v>
      </x:c>
      <x:c r="AJ388" s="13" t="n">
        <x:v>-0.39651867040974276</x:v>
      </x:c>
      <x:c r="AK388" s="13" t="n">
        <x:v>-0.342456498230233</x:v>
      </x:c>
      <x:c r="AL388" s="13" t="n">
        <x:v>0.16905462097762583</x:v>
      </x:c>
      <x:c r="AM388" s="13" t="n">
        <x:v>-0.7815911692517314</x:v>
      </x:c>
      <x:c r="AN388" s="13" t="n">
        <x:v>2.7623744261809</x:v>
      </x:c>
      <x:c r="AO388" s="13" t="n">
        <x:v>0.4628596460170546</x:v>
      </x:c>
      <x:c r="AP388" s="13" t="n">
        <x:v>-1.3202677344451481</x:v>
      </x:c>
    </x:row>
    <x:row r="389" ht="15" hidden="0" customHeight="1">
      <x:c r="A389" s="2" t="str">
        <x:v>E388</x:v>
      </x:c>
      <x:c r="B389" s="2" t="str">
        <x:v>***商贸有限公司</x:v>
      </x:c>
      <x:c r="C389" s="2" t="str">
        <x:v>无信贷记录</x:v>
      </x:c>
      <x:c r="D389" s="2" t="str"/>
      <x:c r="E389" s="2" t="str"/>
      <x:c r="F389" s="13" t="n">
        <x:v>-0.477292456482943</x:v>
      </x:c>
      <x:c r="G389" s="13" t="n">
        <x:v>-0.47196386751233194</x:v>
      </x:c>
      <x:c r="H389" s="13" t="n">
        <x:v>-0.5080975534748424</x:v>
      </x:c>
      <x:c r="I389" s="13" t="n">
        <x:v>-0.4173966045728936</x:v>
      </x:c>
      <x:c r="J389" s="13" t="n">
        <x:v>-0.567997914214377</x:v>
      </x:c>
      <x:c r="K389" s="13" t="n">
        <x:v>-0.5704435977782031</x:v>
      </x:c>
      <x:c r="L389" s="13" t="n">
        <x:v>-0.5445455016584929</x:v>
      </x:c>
      <x:c r="M389" s="13" t="n">
        <x:v>-1.019596153505645</x:v>
      </x:c>
      <x:c r="N389" s="13" t="n">
        <x:v>-0.35049246367979636</x:v>
      </x:c>
      <x:c r="O389" s="13" t="n">
        <x:v>0.13044508565909568</x:v>
      </x:c>
      <x:c r="P389" s="13" t="n">
        <x:v>0.5675292078994298</x:v>
      </x:c>
      <x:c r="Q389" s="13" t="n">
        <x:v>-0.5829778151932543</x:v>
      </x:c>
      <x:c r="R389" s="13" t="n">
        <x:v>-0.8200942505674828</x:v>
      </x:c>
      <x:c r="S389" s="13" t="n">
        <x:v>-0.35453274612794244</x:v>
      </x:c>
      <x:c r="T389" s="13" t="n">
        <x:v>-0.21185721589154644</x:v>
      </x:c>
      <x:c r="U389" s="13" t="n">
        <x:v>-0.37314686805297576</x:v>
      </x:c>
      <x:c r="V389" s="13" t="n">
        <x:v>-0.36793713213333556</x:v>
      </x:c>
      <x:c r="W389" s="13" t="n">
        <x:v>-0.37293115780777764</x:v>
      </x:c>
      <x:c r="X389" s="13" t="n">
        <x:v>-0.3910667203118402</x:v>
      </x:c>
      <x:c r="Y389" s="13" t="n">
        <x:v>-0.5434328276020114</x:v>
      </x:c>
      <x:c r="Z389" s="13" t="n">
        <x:v>-0.4707584835750742</x:v>
      </x:c>
      <x:c r="AA389" s="13" t="n">
        <x:v>-0.17839425394455927</x:v>
      </x:c>
      <x:c r="AB389" s="13" t="n">
        <x:v>-0.20337981099660027</x:v>
      </x:c>
      <x:c r="AC389" s="13" t="n">
        <x:v>-0.6980651016988949</x:v>
      </x:c>
      <x:c r="AD389" s="13" t="n">
        <x:v>-0.6565844859399679</x:v>
      </x:c>
      <x:c r="AE389" s="13" t="n">
        <x:v>-0.5203323266698883</x:v>
      </x:c>
      <x:c r="AF389" s="13" t="n">
        <x:v>-0.5627561669472844</x:v>
      </x:c>
      <x:c r="AG389" s="13" t="n">
        <x:v>-0.6984679271156026</x:v>
      </x:c>
      <x:c r="AH389" s="13" t="n">
        <x:v>-0.3005880206829446</x:v>
      </x:c>
      <x:c r="AI389" s="13" t="n">
        <x:v>0.7569696929603585</x:v>
      </x:c>
      <x:c r="AJ389" s="13" t="n">
        <x:v>-0.39485112031593356</x:v>
      </x:c>
      <x:c r="AK389" s="13" t="n">
        <x:v>-0.3072610117081405</x:v>
      </x:c>
      <x:c r="AL389" s="13" t="n">
        <x:v>-0.2889012120761976</x:v>
      </x:c>
      <x:c r="AM389" s="13" t="n">
        <x:v>-0.685223838732533</x:v>
      </x:c>
      <x:c r="AN389" s="13" t="n">
        <x:v>-0.30988310707411393</x:v>
      </x:c>
      <x:c r="AO389" s="13" t="n">
        <x:v>-0.8858022135266631</x:v>
      </x:c>
      <x:c r="AP389" s="13" t="n">
        <x:v>-0.3725083075481663</x:v>
      </x:c>
    </x:row>
    <x:row r="390" ht="15" hidden="0" customHeight="1">
      <x:c r="A390" s="2" t="str">
        <x:v>E389</x:v>
      </x:c>
      <x:c r="B390" s="2" t="str">
        <x:v>***清洁服务有限公司</x:v>
      </x:c>
      <x:c r="C390" s="2" t="str">
        <x:v>无信贷记录</x:v>
      </x:c>
      <x:c r="D390" s="2" t="str"/>
      <x:c r="E390" s="2" t="str"/>
      <x:c r="F390" s="13" t="n">
        <x:v>-0.6117284075589845</x:v>
      </x:c>
      <x:c r="G390" s="13" t="n">
        <x:v>-0.6105386469461999</x:v>
      </x:c>
      <x:c r="H390" s="13" t="n">
        <x:v>-0.518728779362338</x:v>
      </x:c>
      <x:c r="I390" s="13" t="n">
        <x:v>-0.46027843520127304</x:v>
      </x:c>
      <x:c r="J390" s="13" t="n">
        <x:v>-0.5700448613983995</x:v>
      </x:c>
      <x:c r="K390" s="13" t="n">
        <x:v>-0.5724690597449006</x:v>
      </x:c>
      <x:c r="L390" s="13" t="n">
        <x:v>-0.7088373473943025</x:v>
      </x:c>
      <x:c r="M390" s="13" t="n">
        <x:v>-1.151103901665672</x:v>
      </x:c>
      <x:c r="N390" s="13" t="n">
        <x:v>-0.7216149855326618</x:v>
      </x:c>
      <x:c r="O390" s="13" t="n">
        <x:v>1.6351231472600567</x:v>
      </x:c>
      <x:c r="P390" s="13" t="n">
        <x:v>1.6276228160116464</x:v>
      </x:c>
      <x:c r="Q390" s="13" t="n">
        <x:v>-0.5855538760859794</x:v>
      </x:c>
      <x:c r="R390" s="13" t="n">
        <x:v>0.6955428652692799</x:v>
      </x:c>
      <x:c r="S390" s="13" t="n">
        <x:v>2.5808657046323797</x:v>
      </x:c>
      <x:c r="T390" s="13" t="n">
        <x:v>-2.472258473311811</x:v>
      </x:c>
      <x:c r="U390" s="13" t="n">
        <x:v>-0.5259634074926636</x:v>
      </x:c>
      <x:c r="V390" s="13" t="n">
        <x:v>-0.5115618151563861</x:v>
      </x:c>
      <x:c r="W390" s="13" t="n">
        <x:v>-0.6276896403879745</x:v>
      </x:c>
      <x:c r="X390" s="13" t="n">
        <x:v>-0.3910667203118402</x:v>
      </x:c>
      <x:c r="Y390" s="13" t="n">
        <x:v>-0.5488883367608579</x:v>
      </x:c>
      <x:c r="Z390" s="13" t="n">
        <x:v>-0.47499085932060503</x:v>
      </x:c>
      <x:c r="AA390" s="13" t="n">
        <x:v>-0.3945834695888071</x:v>
      </x:c>
      <x:c r="AB390" s="13" t="n">
        <x:v>-0.8905672726579679</x:v>
      </x:c>
      <x:c r="AC390" s="13" t="n">
        <x:v>-0.6980651016988949</x:v>
      </x:c>
      <x:c r="AD390" s="13" t="n">
        <x:v>3.170179953038927</x:v>
      </x:c>
      <x:c r="AE390" s="13" t="n">
        <x:v>2.576981748627009</x:v>
      </x:c>
      <x:c r="AF390" s="13" t="n">
        <x:v>-0.5630075460381665</x:v>
      </x:c>
      <x:c r="AG390" s="13" t="n">
        <x:v>-0.16289783829671586</x:v>
      </x:c>
      <x:c r="AH390" s="13" t="n">
        <x:v>-1.2941252125332379</x:v>
      </x:c>
      <x:c r="AI390" s="13" t="n">
        <x:v>-1.658135364342005</x:v>
      </x:c>
      <x:c r="AJ390" s="13" t="n">
        <x:v>-0.4022979545637301</x:v>
      </x:c>
      <x:c r="AK390" s="13" t="n">
        <x:v>-0.340869791952627</x:v>
      </x:c>
      <x:c r="AL390" s="13" t="n">
        <x:v>-0.9836430970183588</x:v>
      </x:c>
      <x:c r="AM390" s="13" t="n">
        <x:v>-0.7815911692517314</x:v>
      </x:c>
      <x:c r="AN390" s="13" t="n">
        <x:v>3.1377122917985374</x:v>
      </x:c>
      <x:c r="AO390" s="13" t="n">
        <x:v>0.39404152221714356</x:v>
      </x:c>
      <x:c r="AP390" s="13" t="n">
        <x:v>2.672337855261514</x:v>
      </x:c>
    </x:row>
    <x:row r="391" ht="15" hidden="0" customHeight="1">
      <x:c r="A391" s="2" t="str">
        <x:v>E390</x:v>
      </x:c>
      <x:c r="B391" s="2" t="str">
        <x:v>***建筑工程有限公司</x:v>
      </x:c>
      <x:c r="C391" s="2" t="str">
        <x:v>无信贷记录</x:v>
      </x:c>
      <x:c r="D391" s="2" t="str"/>
      <x:c r="E391" s="2" t="str"/>
      <x:c r="F391" s="13" t="n">
        <x:v>-0.6052383961277273</x:v>
      </x:c>
      <x:c r="G391" s="13" t="n">
        <x:v>-0.6038256818525177</x:v>
      </x:c>
      <x:c r="H391" s="13" t="n">
        <x:v>-0.518728779362338</x:v>
      </x:c>
      <x:c r="I391" s="13" t="n">
        <x:v>-0.46027843520127304</x:v>
      </x:c>
      <x:c r="J391" s="13" t="n">
        <x:v>-0.5699570830362872</x:v>
      </x:c>
      <x:c r="K391" s="13" t="n">
        <x:v>-0.5723828331718088</x:v>
      </x:c>
      <x:c r="L391" s="13" t="n">
        <x:v>-0.6723280483419003</x:v>
      </x:c>
      <x:c r="M391" s="13" t="n">
        <x:v>-1.151103901665672</x:v>
      </x:c>
      <x:c r="N391" s="13" t="n">
        <x:v>-0.7216149855326618</x:v>
      </x:c>
      <x:c r="O391" s="13" t="n">
        <x:v>-0.44656486705057796</x:v>
      </x:c>
      <x:c r="P391" s="13" t="n">
        <x:v>-0.31664991304960155</x:v>
      </x:c>
      <x:c r="Q391" s="13" t="n">
        <x:v>-0.5856265573600511</x:v>
      </x:c>
      <x:c r="R391" s="13" t="n">
        <x:v>0.8919873010477395</x:v>
      </x:c>
      <x:c r="S391" s="13" t="n">
        <x:v>-1.0917542464796444</x:v>
      </x:c>
      <x:c r="T391" s="13" t="n">
        <x:v>-1.8129747732309007</x:v>
      </x:c>
      <x:c r="U391" s="13" t="n">
        <x:v>-0.5523110867064029</x:v>
      </x:c>
      <x:c r="V391" s="13" t="n">
        <x:v>-0.5390524771412669</x:v>
      </x:c>
      <x:c r="W391" s="13" t="n">
        <x:v>-0.6351825369344508</x:v>
      </x:c>
      <x:c r="X391" s="13" t="n">
        <x:v>-0.3910667203118402</x:v>
      </x:c>
      <x:c r="Y391" s="13" t="n">
        <x:v>-0.5457056629246211</x:v>
      </x:c>
      <x:c r="Z391" s="13" t="n">
        <x:v>-0.47252174577717315</x:v>
      </x:c>
      <x:c r="AA391" s="13" t="n">
        <x:v>-0.3945834695888071</x:v>
      </x:c>
      <x:c r="AB391" s="13" t="n">
        <x:v>-1.0195515576145555</x:v>
      </x:c>
      <x:c r="AC391" s="13" t="n">
        <x:v>-0.6980651016988949</x:v>
      </x:c>
      <x:c r="AD391" s="13" t="n">
        <x:v>3.170179953038927</x:v>
      </x:c>
      <x:c r="AE391" s="13" t="n">
        <x:v>2.576981748627009</x:v>
      </x:c>
      <x:c r="AF391" s="13" t="n">
        <x:v>-0.5571223307171461</x:v>
      </x:c>
      <x:c r="AG391" s="13" t="n">
        <x:v>0.9325127917591974</x:v>
      </x:c>
      <x:c r="AH391" s="13" t="n">
        <x:v>-0.6013253002646061</x:v>
      </x:c>
      <x:c r="AI391" s="13" t="n">
        <x:v>-2.2619116286675958</x:v>
      </x:c>
      <x:c r="AJ391" s="13" t="n">
        <x:v>-0.3971012227567035</x:v>
      </x:c>
      <x:c r="AK391" s="13" t="n">
        <x:v>-0.33985262402980465</x:v>
      </x:c>
      <x:c r="AL391" s="13" t="n">
        <x:v>-1.2190361046933285</x:v>
      </x:c>
      <x:c r="AM391" s="13" t="n">
        <x:v>-0.7815911692517314</x:v>
      </x:c>
      <x:c r="AN391" s="13" t="n">
        <x:v>1.6841885586518954</x:v>
      </x:c>
      <x:c r="AO391" s="13" t="n">
        <x:v>1.043009093566364</x:v>
      </x:c>
      <x:c r="AP391" s="13" t="n">
        <x:v>-0.9755892662510186</x:v>
      </x:c>
    </x:row>
    <x:row r="392" ht="15" hidden="0" customHeight="1">
      <x:c r="A392" s="2" t="str">
        <x:v>E391</x:v>
      </x:c>
      <x:c r="B392" s="2" t="str">
        <x:v>***五金店</x:v>
      </x:c>
      <x:c r="C392" s="2" t="str">
        <x:v>无信贷记录</x:v>
      </x:c>
      <x:c r="D392" s="2" t="str"/>
      <x:c r="E392" s="2" t="str"/>
      <x:c r="F392" s="13" t="n">
        <x:v>-0.6112648353138947</x:v>
      </x:c>
      <x:c r="G392" s="13" t="n">
        <x:v>-0.6100591494395083</x:v>
      </x:c>
      <x:c r="H392" s="13" t="n">
        <x:v>-0.518728779362338</x:v>
      </x:c>
      <x:c r="I392" s="13" t="n">
        <x:v>-0.46027843520127304</x:v>
      </x:c>
      <x:c r="J392" s="13" t="n">
        <x:v>-0.5700845719877883</x:v>
      </x:c>
      <x:c r="K392" s="13" t="n">
        <x:v>-0.572508068310976</x:v>
      </x:c>
      <x:c r="L392" s="13" t="n">
        <x:v>-0.7088373473943025</x:v>
      </x:c>
      <x:c r="M392" s="13" t="n">
        <x:v>-1.151103901665672</x:v>
      </x:c>
      <x:c r="N392" s="13" t="n">
        <x:v>-0.7216149855326618</x:v>
      </x:c>
      <x:c r="O392" s="13" t="n">
        <x:v>0.9456070360789951</x:v>
      </x:c>
      <x:c r="P392" s="13" t="n">
        <x:v>0.8675723492633919</x:v>
      </x:c>
      <x:c r="Q392" s="13" t="n">
        <x:v>-0.5857875499281385</x:v>
      </x:c>
      <x:c r="R392" s="13" t="n">
        <x:v>1.2554123631494725</x:v>
      </x:c>
      <x:c r="S392" s="13" t="n">
        <x:v>-0.534686532772288</x:v>
      </x:c>
      <x:c r="T392" s="13" t="n">
        <x:v>-2.378075087585967</x:v>
      </x:c>
      <x:c r="U392" s="13" t="n">
        <x:v>-0.3752546823900749</x:v>
      </x:c>
      <x:c r="V392" s="13" t="n">
        <x:v>-0.3684981660513944</x:v>
      </x:c>
      <x:c r="W392" s="13" t="n">
        <x:v>-0.39540984744720675</x:v>
      </x:c>
      <x:c r="X392" s="13" t="n">
        <x:v>-0.32901349594933565</x:v>
      </x:c>
      <x:c r="Y392" s="13" t="n">
        <x:v>-0.5407194794104536</x:v>
      </x:c>
      <x:c r="Z392" s="13" t="n">
        <x:v>-0.4685144075216112</x:v>
      </x:c>
      <x:c r="AA392" s="13" t="n">
        <x:v>-0.15959519171462466</x:v>
      </x:c>
      <x:c r="AB392" s="13" t="n">
        <x:v>-0.2648092273542946</x:v>
      </x:c>
      <x:c r="AC392" s="13" t="n">
        <x:v>-0.38236856104154937</x:v>
      </x:c>
      <x:c r="AD392" s="13" t="n">
        <x:v>-0.7774456267738381</x:v>
      </x:c>
      <x:c r="AE392" s="13" t="n">
        <x:v>-0.9007319082353573</x:v>
      </x:c>
      <x:c r="AF392" s="13" t="n">
        <x:v>-0.5604226969465852</x:v>
      </x:c>
      <x:c r="AG392" s="13" t="n">
        <x:v>-0.8108311069553481</x:v>
      </x:c>
      <x:c r="AH392" s="13" t="n">
        <x:v>-0.5302647346248849</x:v>
      </x:c>
      <x:c r="AI392" s="13" t="n">
        <x:v>1.058857825123154</x:v>
      </x:c>
      <x:c r="AJ392" s="13" t="n">
        <x:v>-0.38875552622160997</x:v>
      </x:c>
      <x:c r="AK392" s="13" t="n">
        <x:v>-0.3428057370932262</x:v>
      </x:c>
      <x:c r="AL392" s="13" t="n">
        <x:v>0.3090666742996046</x:v>
      </x:c>
      <x:c r="AM392" s="13" t="n">
        <x:v>-0.23220732236658176</x:v>
      </x:c>
      <x:c r="AN392" s="13" t="n">
        <x:v>0.2028394368977759</x:v>
      </x:c>
      <x:c r="AO392" s="13" t="n">
        <x:v>0.46858290988355444</x:v>
      </x:c>
      <x:c r="AP392" s="13" t="n">
        <x:v>-0.5985401876984281</x:v>
      </x:c>
    </x:row>
    <x:row r="393" ht="15" hidden="0" customHeight="1">
      <x:c r="A393" s="2" t="str">
        <x:v>E392</x:v>
      </x:c>
      <x:c r="B393" s="2" t="str">
        <x:v>***科技有限公司</x:v>
      </x:c>
      <x:c r="C393" s="2" t="str">
        <x:v>无信贷记录</x:v>
      </x:c>
      <x:c r="D393" s="2" t="str"/>
      <x:c r="E393" s="2" t="str"/>
      <x:c r="F393" s="13" t="n">
        <x:v>-0.5296761201780902</x:v>
      </x:c>
      <x:c r="G393" s="13" t="n">
        <x:v>-0.5256675882617894</x:v>
      </x:c>
      <x:c r="H393" s="13" t="n">
        <x:v>-0.518728779362338</x:v>
      </x:c>
      <x:c r="I393" s="13" t="n">
        <x:v>-0.46027843520127304</x:v>
      </x:c>
      <x:c r="J393" s="13" t="n">
        <x:v>-0.5682275579586531</x:v>
      </x:c>
      <x:c r="K393" s="13" t="n">
        <x:v>-0.5706838834884016</x:v>
      </x:c>
      <x:c r="L393" s="13" t="n">
        <x:v>-0.6206065413509974</x:v>
      </x:c>
      <x:c r="M393" s="13" t="n">
        <x:v>-1.151103901665672</x:v>
      </x:c>
      <x:c r="N393" s="13" t="n">
        <x:v>-0.7216149855326618</x:v>
      </x:c>
      <x:c r="O393" s="13" t="n">
        <x:v>-0.3654464063627747</x:v>
      </x:c>
      <x:c r="P393" s="13" t="n">
        <x:v>-0.14603071323742162</x:v>
      </x:c>
      <x:c r="Q393" s="13" t="n">
        <x:v>-0.583461808633137</x:v>
      </x:c>
      <x:c r="R393" s="13" t="n">
        <x:v>-0.25386366627492896</x:v>
      </x:c>
      <x:c r="S393" s="13" t="n">
        <x:v>-0.010505294885482776</x:v>
      </x:c>
      <x:c r="T393" s="13" t="n">
        <x:v>0.07069294128598666</x:v>
      </x:c>
      <x:c r="U393" s="13" t="n">
        <x:v>-0.42268050497480564</x:v>
      </x:c>
      <x:c r="V393" s="13" t="n">
        <x:v>-0.4195522525947444</x:v>
      </x:c>
      <x:c r="W393" s="13" t="n">
        <x:v>-0.38791695090073036</x:v>
      </x:c>
      <x:c r="X393" s="13" t="n">
        <x:v>-0.3496979040701705</x:v>
      </x:c>
      <x:c r="Y393" s="13" t="n">
        <x:v>-0.5436429914326036</x:v>
      </x:c>
      <x:c r="Z393" s="13" t="n">
        <x:v>-0.47085951906437545</x:v>
      </x:c>
      <x:c r="AA393" s="13" t="n">
        <x:v>-0.009202693875147933</x:v>
      </x:c>
      <x:c r="AB393" s="13" t="n">
        <x:v>0.028197710955878794</x:v>
      </x:c>
      <x:c r="AC393" s="13" t="n">
        <x:v>-0.4032295659308012</x:v>
      </x:c>
      <x:c r="AD393" s="13" t="n">
        <x:v>-0.8611090911025648</x:v>
      </x:c>
      <x:c r="AE393" s="13" t="n">
        <x:v>-0.9265883626368628</x:v>
      </x:c>
      <x:c r="AF393" s="13" t="n">
        <x:v>-0.5624210609621958</x:v>
      </x:c>
      <x:c r="AG393" s="13" t="n">
        <x:v>-0.004805546114769366</x:v>
      </x:c>
      <x:c r="AH393" s="13" t="n">
        <x:v>-0.14399760265563044</x:v>
      </x:c>
      <x:c r="AI393" s="13" t="n">
        <x:v>0.4550815607975631</x:v>
      </x:c>
      <x:c r="AJ393" s="13" t="n">
        <x:v>-0.39502183067923297</x:v>
      </x:c>
      <x:c r="AK393" s="13" t="n">
        <x:v>-0.31096721905750324</x:v>
      </x:c>
      <x:c r="AL393" s="13" t="n">
        <x:v>0.04400627042566691</x:v>
      </x:c>
      <x:c r="AM393" s="13" t="n">
        <x:v>-0.4920144617802485</x:v>
      </x:c>
      <x:c r="AN393" s="13" t="n">
        <x:v>-0.7934996291230322</x:v>
      </x:c>
      <x:c r="AO393" s="13" t="n">
        <x:v>-0.1752635999835791</x:v>
      </x:c>
      <x:c r="AP393" s="13" t="n">
        <x:v>-0.08289426062892619</x:v>
      </x:c>
    </x:row>
    <x:row r="394" ht="15" hidden="0" customHeight="1">
      <x:c r="A394" s="2" t="str">
        <x:v>E393</x:v>
      </x:c>
      <x:c r="B394" s="2" t="str">
        <x:v>***商贸有限责任公司</x:v>
      </x:c>
      <x:c r="C394" s="2" t="str">
        <x:v>无信贷记录</x:v>
      </x:c>
      <x:c r="D394" s="2" t="str"/>
      <x:c r="E394" s="2" t="str"/>
      <x:c r="F394" s="13" t="n">
        <x:v>-0.601529818167009</x:v>
      </x:c>
      <x:c r="G394" s="13" t="n">
        <x:v>-0.6004691993056767</x:v>
      </x:c>
      <x:c r="H394" s="13" t="n">
        <x:v>-0.5080975534748424</x:v>
      </x:c>
      <x:c r="I394" s="13" t="n">
        <x:v>-0.46027843520127304</x:v>
      </x:c>
      <x:c r="J394" s="13" t="n">
        <x:v>-0.5615769625458903</x:v>
      </x:c>
      <x:c r="K394" s="13" t="n">
        <x:v>-0.5641508605695092</x:v>
      </x:c>
      <x:c r="L394" s="13" t="n">
        <x:v>-0.6966675810435018</x:v>
      </x:c>
      <x:c r="M394" s="13" t="n">
        <x:v>0.4489070342813207</x:v>
      </x:c>
      <x:c r="N394" s="13" t="n">
        <x:v>-0.7216149855326618</x:v>
      </x:c>
      <x:c r="O394" s="13" t="n">
        <x:v>0.9342671233878916</x:v>
      </x:c>
      <x:c r="P394" s="13" t="n">
        <x:v>0.8980601332394976</x:v>
      </x:c>
      <x:c r="Q394" s="13" t="n">
        <x:v>-0.5754693530102317</x:v>
      </x:c>
      <x:c r="R394" s="13" t="n">
        <x:v>-0.2361665486751422</x:v>
      </x:c>
      <x:c r="S394" s="13" t="n">
        <x:v>1.0569953680669277</x:v>
      </x:c>
      <x:c r="T394" s="13" t="n">
        <x:v>-1.15369107314999</x:v>
      </x:c>
      <x:c r="U394" s="13" t="n">
        <x:v>-0.23982761123145496</x:v>
      </x:c>
      <x:c r="V394" s="13" t="n">
        <x:v>-0.2417045005701076</x:v>
      </x:c>
      <x:c r="W394" s="13" t="n">
        <x:v>-0.16313005450643903</x:v>
      </x:c>
      <x:c r="X394" s="13" t="n">
        <x:v>-0.18422263910349174</x:v>
      </x:c>
      <x:c r="Y394" s="13" t="n">
        <x:v>-0.5447511453232617</x:v>
      </x:c>
      <x:c r="Z394" s="13" t="n">
        <x:v>-0.47133261686876954</x:v>
      </x:c>
      <x:c r="AA394" s="13" t="n">
        <x:v>-0.006852811096406108</x:v>
      </x:c>
      <x:c r="AB394" s="13" t="n">
        <x:v>-0.16277291355366413</x:v>
      </x:c>
      <x:c r="AC394" s="13" t="n">
        <x:v>-0.08292110703568475</x:v>
      </x:c>
      <x:c r="AD394" s="13" t="n">
        <x:v>-0.7348192438989886</x:v>
      </x:c>
      <x:c r="AE394" s="13" t="n">
        <x:v>-0.7550783826171475</x:v>
      </x:c>
      <x:c r="AF394" s="13" t="n">
        <x:v>-0.5638147556321195</x:v>
      </x:c>
      <x:c r="AG394" s="13" t="n">
        <x:v>-1.3618772862157669</x:v>
      </x:c>
      <x:c r="AH394" s="13" t="n">
        <x:v>-0.338810385075723</x:v>
      </x:c>
      <x:c r="AI394" s="13" t="n">
        <x:v>0.857599070347957</x:v>
      </x:c>
      <x:c r="AJ394" s="13" t="n">
        <x:v>-0.40197832633219205</x:v>
      </x:c>
      <x:c r="AK394" s="13" t="n">
        <x:v>-0.18746422338324512</x:v>
      </x:c>
      <x:c r="AL394" s="13" t="n">
        <x:v>0.4935516528673917</x:v>
      </x:c>
      <x:c r="AM394" s="13" t="n">
        <x:v>0.255164943917775</x:v>
      </x:c>
      <x:c r="AN394" s="13" t="n">
        <x:v>0.22099252865411662</x:v>
      </x:c>
      <x:c r="AO394" s="13" t="n">
        <x:v>-0.8066912560148315</x:v>
      </x:c>
      <x:c r="AP394" s="13" t="n">
        <x:v>0.4729497823103258</x:v>
      </x:c>
    </x:row>
    <x:row r="395" ht="15" hidden="0" customHeight="1">
      <x:c r="A395" s="2" t="str">
        <x:v>E394</x:v>
      </x:c>
      <x:c r="B395" s="2" t="str">
        <x:v>***环保设计研究院（有限合伙）</x:v>
      </x:c>
      <x:c r="C395" s="2" t="str">
        <x:v>无信贷记录</x:v>
      </x:c>
      <x:c r="D395" s="2" t="str"/>
      <x:c r="E395" s="2" t="str"/>
      <x:c r="F395" s="13" t="n">
        <x:v>-0.3572272450046853</x:v>
      </x:c>
      <x:c r="G395" s="13" t="n">
        <x:v>-0.35592547089296844</x:v>
      </x:c>
      <x:c r="H395" s="13" t="n">
        <x:v>-0.3273667133874194</x:v>
      </x:c>
      <x:c r="I395" s="13" t="n">
        <x:v>-0.2887511126877555</x:v>
      </x:c>
      <x:c r="J395" s="13" t="n">
        <x:v>-0.5547353546085012</x:v>
      </x:c>
      <x:c r="K395" s="13" t="n">
        <x:v>-0.5567603092062136</x:v>
      </x:c>
      <x:c r="L395" s="13" t="n">
        <x:v>-0.3163623825809796</x:v>
      </x:c>
      <x:c r="M395" s="13" t="n">
        <x:v>0.10335113341436584</x:v>
      </x:c>
      <x:c r="N395" s="13" t="n">
        <x:v>0.08886646932050021</x:v>
      </x:c>
      <x:c r="O395" s="13" t="n">
        <x:v>-0.7275797930627794</x:v>
      </x:c>
      <x:c r="P395" s="13" t="n">
        <x:v>-0.9660548824671217</x:v>
      </x:c>
      <x:c r="Q395" s="13" t="n">
        <x:v>-0.5706947855154857</x:v>
      </x:c>
      <x:c r="R395" s="13" t="n">
        <x:v>-0.4277745965581966</x:v>
      </x:c>
      <x:c r="S395" s="13" t="n">
        <x:v>-0.7141383208528379</x:v>
      </x:c>
      <x:c r="T395" s="13" t="n">
        <x:v>0.6357932556410528</x:v>
      </x:c>
      <x:c r="U395" s="13" t="n">
        <x:v>-0.5180591037285418</x:v>
      </x:c>
      <x:c r="V395" s="13" t="n">
        <x:v>-0.5351252397148554</x:v>
      </x:c>
      <x:c r="W395" s="13" t="n">
        <x:v>-0.20059453723882092</x:v>
      </x:c>
      <x:c r="X395" s="13" t="n">
        <x:v>-0.3910667203118402</x:v>
      </x:c>
      <x:c r="Y395" s="13" t="n">
        <x:v>-0.5430452757395482</x:v>
      </x:c>
      <x:c r="Z395" s="13" t="n">
        <x:v>-0.47045782142694736</x:v>
      </x:c>
      <x:c r="AA395" s="13" t="n">
        <x:v>-0.37108464180138884</x:v>
      </x:c>
      <x:c r="AB395" s="13" t="n">
        <x:v>5.041077122877255</x:v>
      </x:c>
      <x:c r="AC395" s="13" t="n">
        <x:v>-0.6980651016988949</x:v>
      </x:c>
      <x:c r="AD395" s="13" t="n">
        <x:v>-0.21839497054031937</x:v>
      </x:c>
      <x:c r="AE395" s="13" t="n">
        <x:v>-0.34626303464585645</x:v>
      </x:c>
      <x:c r="AF395" s="13" t="n">
        <x:v>-0.5581234700618325</x:v>
      </x:c>
      <x:c r="AG395" s="13" t="n">
        <x:v>1.2166338742966727</x:v>
      </x:c>
      <x:c r="AH395" s="13" t="n">
        <x:v>2.2321518992725773</x:v>
      </x:c>
      <x:c r="AI395" s="13" t="n">
        <x:v>-1.7587647417296035</x:v>
      </x:c>
      <x:c r="AJ395" s="13" t="n">
        <x:v>-0.40442739280625467</x:v>
      </x:c>
      <x:c r="AK395" s="13" t="n">
        <x:v>-0.08235239261854466</x:v>
      </x:c>
      <x:c r="AL395" s="13" t="n">
        <x:v>0.822441028270367</x:v>
      </x:c>
      <x:c r="AM395" s="13" t="n">
        <x:v>-0.3571574391671753</x:v>
      </x:c>
      <x:c r="AN395" s="13" t="n">
        <x:v>-0.6575235537123351</x:v>
      </x:c>
      <x:c r="AO395" s="13" t="n">
        <x:v>0.28192574018408056</x:v>
      </x:c>
      <x:c r="AP395" s="13" t="n">
        <x:v>0.6827255705564577</x:v>
      </x:c>
    </x:row>
    <x:row r="396" ht="15" hidden="0" customHeight="1">
      <x:c r="A396" s="2" t="str">
        <x:v>E395</x:v>
      </x:c>
      <x:c r="B396" s="2" t="str">
        <x:v>***网络科技有限公司</x:v>
      </x:c>
      <x:c r="C396" s="2" t="str">
        <x:v>无信贷记录</x:v>
      </x:c>
      <x:c r="D396" s="2" t="str"/>
      <x:c r="E396" s="2" t="str"/>
      <x:c r="F396" s="13" t="n">
        <x:v>-0.5491461544718618</x:v>
      </x:c>
      <x:c r="G396" s="13" t="n">
        <x:v>-0.5477244735696023</x:v>
      </x:c>
      <x:c r="H396" s="13" t="n">
        <x:v>-0.476203875812356</x:v>
      </x:c>
      <x:c r="I396" s="13" t="n">
        <x:v>-0.33163294331613485</x:v>
      </x:c>
      <x:c r="J396" s="13" t="n">
        <x:v>-0.5648250935973078</x:v>
      </x:c>
      <x:c r="K396" s="13" t="n">
        <x:v>-0.5672314438734797</x:v>
      </x:c>
      <x:c r="L396" s="13" t="n">
        <x:v>-0.6023518918247963</x:v>
      </x:c>
      <x:c r="M396" s="13" t="n">
        <x:v>-0.029928355308655123</x:v>
      </x:c>
      <x:c r="N396" s="13" t="n">
        <x:v>1.7143997631707328</x:v>
      </x:c>
      <x:c r="O396" s="13" t="n">
        <x:v>-0.22477055356553707</x:v>
      </x:c>
      <x:c r="P396" s="13" t="n">
        <x:v>-0.2392627079500388</x:v>
      </x:c>
      <x:c r="Q396" s="13" t="n">
        <x:v>-0.5799933661514979</x:v>
      </x:c>
      <x:c r="R396" s="13" t="n">
        <x:v>-0.39501932958171465</x:v>
      </x:c>
      <x:c r="S396" s="13" t="n">
        <x:v>-1.1477456129474584</x:v>
      </x:c>
      <x:c r="T396" s="13" t="n">
        <x:v>0.2590597127376754</x:v>
      </x:c>
      <x:c r="U396" s="13" t="n">
        <x:v>-0.4864418886720547</x:v>
      </x:c>
      <x:c r="V396" s="13" t="n">
        <x:v>-0.49416976369656357</x:v>
      </x:c>
      <x:c r="W396" s="13" t="n">
        <x:v>-0.29800219234301384</x:v>
      </x:c>
      <x:c r="X396" s="13" t="n">
        <x:v>-0.32901349594933565</x:v>
      </x:c>
      <x:c r="Y396" s="13" t="n">
        <x:v>-0.5327057812877799</x:v>
      </x:c>
      <x:c r="Z396" s="13" t="n">
        <x:v>-0.4624342941709088</x:v>
      </x:c>
      <x:c r="AA396" s="13" t="n">
        <x:v>-0.3499356967927124</x:v>
      </x:c>
      <x:c r="AB396" s="13" t="n">
        <x:v>1.6529285911262515</x:v>
      </x:c>
      <x:c r="AC396" s="13" t="n">
        <x:v>0.36992957839723156</x:v>
      </x:c>
      <x:c r="AD396" s="13" t="n">
        <x:v>-0.13413921907545734</x:v>
      </x:c>
      <x:c r="AE396" s="13" t="n">
        <x:v>-0.16527456314713262</x:v>
      </x:c>
      <x:c r="AF396" s="13" t="n">
        <x:v>-0.5483420263009259</x:v>
      </x:c>
      <x:c r="AG396" s="13" t="n">
        <x:v>0.3067337078787855</x:v>
      </x:c>
      <x:c r="AH396" s="13" t="n">
        <x:v>-2.0373765422145365</x:v>
      </x:c>
      <x:c r="AI396" s="13" t="n">
        <x:v>0.05256405124716919</x:v>
      </x:c>
      <x:c r="AJ396" s="13" t="n">
        <x:v>-0.37955217016833276</x:v>
      </x:c>
      <x:c r="AK396" s="13" t="n">
        <x:v>-0.2994379076616377</x:v>
      </x:c>
      <x:c r="AL396" s="13" t="n">
        <x:v>1.7967037995964898</x:v>
      </x:c>
      <x:c r="AM396" s="13" t="n">
        <x:v>0.7721728382384276</x:v>
      </x:c>
      <x:c r="AN396" s="13" t="n">
        <x:v>-0.24319474868752286</x:v>
      </x:c>
      <x:c r="AO396" s="13" t="n">
        <x:v>-0.12428694081876802</x:v>
      </x:c>
      <x:c r="AP396" s="13" t="n">
        <x:v>-1.733108896785148</x:v>
      </x:c>
    </x:row>
    <x:row r="397" ht="15" hidden="0" customHeight="1">
      <x:c r="A397" s="2" t="str">
        <x:v>E396</x:v>
      </x:c>
      <x:c r="B397" s="2" t="str">
        <x:v>***文化传播有限公司</x:v>
      </x:c>
      <x:c r="C397" s="2" t="str">
        <x:v>无信贷记录</x:v>
      </x:c>
      <x:c r="D397" s="2" t="str"/>
      <x:c r="E397" s="2" t="str"/>
      <x:c r="F397" s="13" t="n">
        <x:v>-0.5148418083352166</x:v>
      </x:c>
      <x:c r="G397" s="13" t="n">
        <x:v>-0.5165571356346493</x:v>
      </x:c>
      <x:c r="H397" s="13" t="n">
        <x:v>-0.38052284282489673</x:v>
      </x:c>
      <x:c r="I397" s="13" t="n">
        <x:v>-0.46027843520127304</x:v>
      </x:c>
      <x:c r="J397" s="13" t="n">
        <x:v>-0.560150415695845</x:v>
      </x:c>
      <x:c r="K397" s="13" t="n">
        <x:v>-0.5627495329156973</x:v>
      </x:c>
      <x:c r="L397" s="13" t="n">
        <x:v>-0.4228478381504858</x:v>
      </x:c>
      <x:c r="M397" s="13" t="n">
        <x:v>1.2147890462749047</x:v>
      </x:c>
      <x:c r="N397" s="13" t="n">
        <x:v>-0.7216149855326618</x:v>
      </x:c>
      <x:c r="O397" s="13" t="n">
        <x:v>-0.6949130418624311</x:v>
      </x:c>
      <x:c r="P397" s="13" t="n">
        <x:v>-0.8170120267498798</x:v>
      </x:c>
      <x:c r="Q397" s="13" t="n">
        <x:v>-0.5757510278481552</x:v>
      </x:c>
      <x:c r="R397" s="13" t="n">
        <x:v>-0.14872849130625326</x:v>
      </x:c>
      <x:c r="S397" s="13" t="n">
        <x:v>-0.5418912905644058</x:v>
      </x:c>
      <x:c r="T397" s="13" t="n">
        <x:v>0.2590597127376754</x:v>
      </x:c>
      <x:c r="U397" s="13" t="n">
        <x:v>-0.5228016859870149</x:v>
      </x:c>
      <x:c r="V397" s="13" t="n">
        <x:v>-0.5104397473202685</x:v>
      </x:c>
      <x:c r="W397" s="13" t="n">
        <x:v>-0.5977180542020689</x:v>
      </x:c>
      <x:c r="X397" s="13" t="n">
        <x:v>-0.32901349594933565</x:v>
      </x:c>
      <x:c r="Y397" s="13" t="n">
        <x:v>-0.5472177032287167</x:v>
      </x:c>
      <x:c r="Z397" s="13" t="n">
        <x:v>-0.4733658899537204</x:v>
      </x:c>
      <x:c r="AA397" s="13" t="n">
        <x:v>-0.36638487624390514</x:v>
      </x:c>
      <x:c r="AB397" s="13" t="n">
        <x:v>-0.4299091120987267</x:v>
      </x:c>
      <x:c r="AC397" s="13" t="n">
        <x:v>0.8464195125939651</x:v>
      </x:c>
      <x:c r="AD397" s="13" t="n">
        <x:v>-0.1254617251152108</x:v>
      </x:c>
      <x:c r="AE397" s="13" t="n">
        <x:v>0.1213845877136297</x:v>
      </x:c>
      <x:c r="AF397" s="13" t="n">
        <x:v>-0.5655317006318166</x:v>
      </x:c>
      <x:c r="AG397" s="13" t="n">
        <x:v>1.3783159221600474</x:v>
      </x:c>
      <x:c r="AH397" s="13" t="n">
        <x:v>-1.4676810667495974</x:v>
      </x:c>
      <x:c r="AI397" s="13" t="n">
        <x:v>-1.3562472321792094</x:v>
      </x:c>
      <x:c r="AJ397" s="13" t="n">
        <x:v>-0.40715717165031284</x:v>
      </x:c>
      <x:c r="AK397" s="13" t="n">
        <x:v>-0.08835999030874543</x:v>
      </x:c>
      <x:c r="AL397" s="13" t="n">
        <x:v>-0.14628569321879695</x:v>
      </x:c>
      <x:c r="AM397" s="13" t="n">
        <x:v>-0.11105042837670077</x:v>
      </x:c>
      <x:c r="AN397" s="13" t="n">
        <x:v>-0.5765945959866414</x:v>
      </x:c>
      <x:c r="AO397" s="13" t="n">
        <x:v>0.5472593293497763</x:v>
      </x:c>
      <x:c r="AP397" s="13" t="n">
        <x:v>-1.075052185740578</x:v>
      </x:c>
    </x:row>
    <x:row r="398" ht="15" hidden="0" customHeight="1">
      <x:c r="A398" s="2" t="str">
        <x:v>E397</x:v>
      </x:c>
      <x:c r="B398" s="2" t="str">
        <x:v>***大闸蟹经营部</x:v>
      </x:c>
      <x:c r="C398" s="2" t="str">
        <x:v>无信贷记录</x:v>
      </x:c>
      <x:c r="D398" s="2" t="str"/>
      <x:c r="E398" s="2" t="str"/>
      <x:c r="F398" s="13" t="n">
        <x:v>-0.603847679392458</x:v>
      </x:c>
      <x:c r="G398" s="13" t="n">
        <x:v>-0.602387189332443</x:v>
      </x:c>
      <x:c r="H398" s="13" t="n">
        <x:v>-0.518728779362338</x:v>
      </x:c>
      <x:c r="I398" s="13" t="n">
        <x:v>-0.46027843520127304</x:v>
      </x:c>
      <x:c r="J398" s="13" t="n">
        <x:v>-0.5612694197955795</x:v>
      </x:c>
      <x:c r="K398" s="13" t="n">
        <x:v>-0.5638487547110678</x:v>
      </x:c>
      <x:c r="L398" s="13" t="n">
        <x:v>-0.7027524642189021</x:v>
      </x:c>
      <x:c r="M398" s="13" t="n">
        <x:v>-1.151103901665672</x:v>
      </x:c>
      <x:c r="N398" s="13" t="n">
        <x:v>-0.7216149855326618</x:v>
      </x:c>
      <x:c r="O398" s="13" t="n">
        <x:v>2.2193660056513727</x:v>
      </x:c>
      <x:c r="P398" s="13" t="n">
        <x:v>2.015702910474821</x:v>
      </x:c>
      <x:c r="Q398" s="13" t="n">
        <x:v>-0.5743304675780383</x:v>
      </x:c>
      <x:c r="R398" s="13" t="n">
        <x:v>3.4906279575237282</x:v>
      </x:c>
      <x:c r="S398" s="13" t="n">
        <x:v>0.0985754726038912</x:v>
      </x:c>
      <x:c r="T398" s="13" t="n">
        <x:v>-1.8129747732309007</x:v>
      </x:c>
      <x:c r="U398" s="13" t="n">
        <x:v>-0.4632559309639641</x:v>
      </x:c>
      <x:c r="V398" s="13" t="n">
        <x:v>-0.47285047481032955</x:v>
      </x:c>
      <x:c r="W398" s="13" t="n">
        <x:v>-0.25304481306415555</x:v>
      </x:c>
      <x:c r="X398" s="13" t="n">
        <x:v>-0.3910667203118402</x:v>
      </x:c>
      <x:c r="Y398" s="13" t="n">
        <x:v>-0.5470829074704313</x:v>
      </x:c>
      <x:c r="Z398" s="13" t="n">
        <x:v>-0.4735902100105985</x:v>
      </x:c>
      <x:c r="AA398" s="13" t="n">
        <x:v>-0.17604437116581742</x:v>
      </x:c>
      <x:c r="AB398" s="13" t="n">
        <x:v>1.281020606857039</x:v>
      </x:c>
      <x:c r="AC398" s="13" t="n">
        <x:v>-0.6980651016988949</x:v>
      </x:c>
      <x:c r="AD398" s="13" t="n">
        <x:v>-0.7098222841929744</x:v>
      </x:c>
      <x:c r="AE398" s="13" t="n">
        <x:v>-0.753981665648958</x:v>
      </x:c>
      <x:c r="AF398" s="13" t="n">
        <x:v>-0.5646496954910319</x:v>
      </x:c>
      <x:c r="AG398" s="13" t="n">
        <x:v>0.36695398258630796</x:v>
      </x:c>
      <x:c r="AH398" s="13" t="n">
        <x:v>-0.47185732085904325</x:v>
      </x:c>
      <x:c r="AI398" s="13" t="n">
        <x:v>-1.3562472321792094</x:v>
      </x:c>
      <x:c r="AJ398" s="13" t="n">
        <x:v>-0.40607214377211964</x:v>
      </x:c>
      <x:c r="AK398" s="13" t="n">
        <x:v>-0.1064958702518026</x:v>
      </x:c>
      <x:c r="AL398" s="13" t="n">
        <x:v>3.079807676392678</x:v>
      </x:c>
      <x:c r="AM398" s="13" t="n">
        <x:v>-0.7815911692517314</x:v>
      </x:c>
      <x:c r="AN398" s="13" t="n">
        <x:v>1.1624005621869413</x:v>
      </x:c>
      <x:c r="AO398" s="13" t="n">
        <x:v>2.5531360136351218</x:v>
      </x:c>
      <x:c r="AP398" s="13" t="n">
        <x:v>-0.18118653173399282</x:v>
      </x:c>
    </x:row>
    <x:row r="399" ht="15" hidden="0" customHeight="1">
      <x:c r="A399" s="2" t="str">
        <x:v>E398</x:v>
      </x:c>
      <x:c r="B399" s="2" t="str">
        <x:v>***医疗管理咨询有限公司</x:v>
      </x:c>
      <x:c r="C399" s="2" t="str">
        <x:v>无信贷记录</x:v>
      </x:c>
      <x:c r="D399" s="2" t="str"/>
      <x:c r="E399" s="2" t="str"/>
      <x:c r="F399" s="13" t="n">
        <x:v>-0.5783512059125191</x:v>
      </x:c>
      <x:c r="G399" s="13" t="n">
        <x:v>-0.5764943239710973</x:v>
      </x:c>
      <x:c r="H399" s="13" t="n">
        <x:v>-0.5080975534748424</x:v>
      </x:c>
      <x:c r="I399" s="13" t="n">
        <x:v>-0.46027843520127304</x:v>
      </x:c>
      <x:c r="J399" s="13" t="n">
        <x:v>-0.5684897470253173</x:v>
      </x:c>
      <x:c r="K399" s="13" t="n">
        <x:v>-0.5709414374479032</x:v>
      </x:c>
      <x:c r="L399" s="13" t="n">
        <x:v>-0.6540733988156993</x:v>
      </x:c>
      <x:c r="M399" s="13" t="n">
        <x:v>-0.6321814359531336</x:v>
      </x:c>
      <x:c r="N399" s="13" t="n">
        <x:v>-0.7216149855326618</x:v>
      </x:c>
      <x:c r="O399" s="13" t="n">
        <x:v>-0.20028670172334753</x:v>
      </x:c>
      <x:c r="P399" s="13" t="n">
        <x:v>-0.055294972198129455</x:v>
      </x:c>
      <x:c r="Q399" s="13" t="n">
        <x:v>-0.5839215730130525</x:v>
      </x:c>
      <x:c r="R399" s="13" t="n">
        <x:v>-0.30325570814251857</x:v>
      </x:c>
      <x:c r="S399" s="13" t="n">
        <x:v>-0.3564306937143103</x:v>
      </x:c>
      <x:c r="T399" s="13" t="n">
        <x:v>0.2590597127376754</x:v>
      </x:c>
      <x:c r="U399" s="13" t="n">
        <x:v>-0.512789567885794</x:v>
      </x:c>
      <x:c r="V399" s="13" t="n">
        <x:v>-0.49697493328685755</x:v>
      </x:c>
      <x:c r="W399" s="13" t="n">
        <x:v>-0.6351825369344508</x:v>
      </x:c>
      <x:c r="X399" s="13" t="n">
        <x:v>-0.3910667203118402</x:v>
      </x:c>
      <x:c r="Y399" s="13" t="n">
        <x:v>-0.547382998185157</x:v>
      </x:c>
      <x:c r="Z399" s="13" t="n">
        <x:v>-0.47382301993273096</x:v>
      </x:c>
      <x:c r="AA399" s="13" t="n">
        <x:v>-0.3428860484564869</x:v>
      </x:c>
      <x:c r="AB399" s="13" t="n">
        <x:v>-1.0195515576145555</x:v>
      </x:c>
      <x:c r="AC399" s="13" t="n">
        <x:v>-0.6980651016988949</x:v>
      </x:c>
      <x:c r="AD399" s="13" t="n">
        <x:v>1.7570612287118914</x:v>
      </x:c>
      <x:c r="AE399" s="13" t="n">
        <x:v>1.813441261738536</x:v>
      </x:c>
      <x:c r="AF399" s="13" t="n">
        <x:v>-0.565922263955373</x:v>
      </x:c>
      <x:c r="AG399" s="13" t="n">
        <x:v>1.7884692486238476</x:v>
      </x:c>
      <x:c r="AH399" s="13" t="n">
        <x:v>0.4720041307192035</x:v>
      </x:c>
      <x:c r="AI399" s="13" t="n">
        <x:v>-0.7524709678536187</x:v>
      </x:c>
      <x:c r="AJ399" s="13" t="n">
        <x:v>-0.4010060645503781</x:v>
      </x:c>
      <x:c r="AK399" s="13" t="n">
        <x:v>-0.297665819705905</x:v>
      </x:c>
      <x:c r="AL399" s="13" t="n">
        <x:v>-1.1380241601562209</x:v>
      </x:c>
      <x:c r="AM399" s="13" t="n">
        <x:v>-0.7815911692517314</x:v>
      </x:c>
      <x:c r="AN399" s="13" t="n">
        <x:v>0.9423614488553601</x:v>
      </x:c>
      <x:c r="AO399" s="13" t="n">
        <x:v>0.6356014284567238</x:v>
      </x:c>
      <x:c r="AP399" s="13" t="n">
        <x:v>0.01541916081411917</x:v>
      </x:c>
    </x:row>
    <x:row r="400" ht="15" hidden="0" customHeight="1">
      <x:c r="A400" s="2" t="str">
        <x:v>E399</x:v>
      </x:c>
      <x:c r="B400" s="2" t="str">
        <x:v>***装饰工程有限公司</x:v>
      </x:c>
      <x:c r="C400" s="2" t="str">
        <x:v>无信贷记录</x:v>
      </x:c>
      <x:c r="D400" s="2" t="str"/>
      <x:c r="E400" s="2" t="str"/>
      <x:c r="F400" s="13" t="n">
        <x:v>-0.5885497953044946</x:v>
      </x:c>
      <x:c r="G400" s="13" t="n">
        <x:v>-0.5865637716116207</x:v>
      </x:c>
      <x:c r="H400" s="13" t="n">
        <x:v>-0.518728779362338</x:v>
      </x:c>
      <x:c r="I400" s="13" t="n">
        <x:v>-0.46027843520127304</x:v>
      </x:c>
      <x:c r="J400" s="13" t="n">
        <x:v>-0.569699814291244</x:v>
      </x:c>
      <x:c r="K400" s="13" t="n">
        <x:v>-0.5721301125500647</x:v>
      </x:c>
      <x:c r="L400" s="13" t="n">
        <x:v>-0.6753704899296005</x:v>
      </x:c>
      <x:c r="M400" s="13" t="n">
        <x:v>-1.151103901665672</x:v>
      </x:c>
      <x:c r="N400" s="13" t="n">
        <x:v>-0.7216149855326618</x:v>
      </x:c>
      <x:c r="O400" s="13" t="n">
        <x:v>0.1640684698202811</x:v>
      </x:c>
      <x:c r="P400" s="13" t="n">
        <x:v>0.33851801387440184</x:v>
      </x:c>
      <x:c r="Q400" s="13" t="n">
        <x:v>-0.585229240395997</x:v>
      </x:c>
      <x:c r="R400" s="13" t="n">
        <x:v>-0.1581363864514203</x:v>
      </x:c>
      <x:c r="S400" s="13" t="n">
        <x:v>-1.0486836282194398</x:v>
      </x:c>
      <x:c r="T400" s="13" t="n">
        <x:v>-0.40022398734323517</x:v>
      </x:c>
      <x:c r="U400" s="13" t="n">
        <x:v>-0.549676318785029</x:v>
      </x:c>
      <x:c r="V400" s="13" t="n">
        <x:v>-0.5384914432232081</x:v>
      </x:c>
      <x:c r="W400" s="13" t="n">
        <x:v>-0.6052109507485454</x:v>
      </x:c>
      <x:c r="X400" s="13" t="n">
        <x:v>-0.3910667203118402</x:v>
      </x:c>
      <x:c r="Y400" s="13" t="n">
        <x:v>-0.5490746118531961</x:v>
      </x:c>
      <x:c r="Z400" s="13" t="n">
        <x:v>-0.4751353712552115</x:v>
      </x:c>
      <x:c r="AA400" s="13" t="n">
        <x:v>-0.3781342901376143</x:v>
      </x:c>
      <x:c r="AB400" s="13" t="n">
        <x:v>0.7183419660110452</x:v>
      </x:c>
      <x:c r="AC400" s="13" t="n">
        <x:v>-0.6980651016988949</x:v>
      </x:c>
      <x:c r="AD400" s="13" t="n">
        <x:v>0.05132599686212711</x:v>
      </x:c>
      <x:c r="AE400" s="13" t="n">
        <x:v>-0.04994856435791943</x:v>
      </x:c>
      <x:c r="AF400" s="13" t="n">
        <x:v>-0.5662925357176998</x:v>
      </x:c>
      <x:c r="AG400" s="13" t="n">
        <x:v>1.6726873609381818</x:v>
      </x:c>
      <x:c r="AH400" s="13" t="n">
        <x:v>-1.4987620909702442</x:v>
      </x:c>
      <x:c r="AI400" s="13" t="n">
        <x:v>-2.060652873892399</x:v>
      </x:c>
      <x:c r="AJ400" s="13" t="n">
        <x:v>-0.40287188596401435</x:v>
      </x:c>
      <x:c r="AK400" s="13" t="n">
        <x:v>-0.3271862566871255</x:v>
      </x:c>
      <x:c r="AL400" s="13" t="n">
        <x:v>-0.27844869230600205</x:v>
      </x:c>
      <x:c r="AM400" s="13" t="n">
        <x:v>-0.7815911692517314</x:v>
      </x:c>
      <x:c r="AN400" s="13" t="n">
        <x:v>0.15151552815022654</x:v>
      </x:c>
      <x:c r="AO400" s="13" t="n">
        <x:v>0.6794837667055619</x:v>
      </x:c>
      <x:c r="AP400" s="13" t="n">
        <x:v>-1.401168020397775</x:v>
      </x:c>
    </x:row>
    <x:row r="401" ht="15" hidden="0" customHeight="1">
      <x:c r="A401" s="2" t="str">
        <x:v>E400</x:v>
      </x:c>
      <x:c r="B401" s="2" t="str">
        <x:v>***办公用品经营部</x:v>
      </x:c>
      <x:c r="C401" s="2" t="str">
        <x:v>无信贷记录</x:v>
      </x:c>
      <x:c r="D401" s="2" t="str"/>
      <x:c r="E401" s="2" t="str"/>
      <x:c r="F401" s="13" t="n">
        <x:v>-0.6052383961277273</x:v>
      </x:c>
      <x:c r="G401" s="13" t="n">
        <x:v>-0.6038256818525177</x:v>
      </x:c>
      <x:c r="H401" s="13" t="n">
        <x:v>-0.518728779362338</x:v>
      </x:c>
      <x:c r="I401" s="13" t="n">
        <x:v>-0.46027843520127304</x:v>
      </x:c>
      <x:c r="J401" s="13" t="n">
        <x:v>-0.5686726779461261</x:v>
      </x:c>
      <x:c r="K401" s="13" t="n">
        <x:v>-0.571121134426</x:v>
      </x:c>
      <x:c r="L401" s="13" t="n">
        <x:v>-0.7027524642189021</x:v>
      </x:c>
      <x:c r="M401" s="13" t="n">
        <x:v>-1.151103901665672</x:v>
      </x:c>
      <x:c r="N401" s="13" t="n">
        <x:v>-0.7216149855326618</x:v>
      </x:c>
      <x:c r="O401" s="13" t="n">
        <x:v>1.096012742139947</x:v>
      </x:c>
      <x:c r="P401" s="13" t="n">
        <x:v>1.1392284582045888</x:v>
      </x:c>
      <x:c r="Q401" s="13" t="n">
        <x:v>-0.5842845574424755</x:v>
      </x:c>
      <x:c r="R401" s="13" t="n">
        <x:v>2.8331596997358965</x:v>
      </x:c>
      <x:c r="S401" s="13" t="n">
        <x:v>1.0996583605922516</x:v>
      </x:c>
      <x:c r="T401" s="13" t="n">
        <x:v>-1.624608001779212</x:v>
      </x:c>
      <x:c r="U401" s="13" t="n">
        <x:v>-0.48907665659342864</x:v>
      </x:c>
      <x:c r="V401" s="13" t="n">
        <x:v>-0.47846081399091744</x:v>
      </x:c>
      <x:c r="W401" s="13" t="n">
        <x:v>-0.5452677783767343</x:v>
      </x:c>
      <x:c r="X401" s="13" t="n">
        <x:v>-0.3910667203118402</x:v>
      </x:c>
      <x:c r="Y401" s="13" t="n">
        <x:v>-0.5454972688849241</x:v>
      </x:c>
      <x:c r="Z401" s="13" t="n">
        <x:v>-0.4723600739966949</x:v>
      </x:c>
      <x:c r="AA401" s="13" t="n">
        <x:v>-0.3475858140139706</x:v>
      </x:c>
      <x:c r="AB401" s="13" t="n">
        <x:v>-0.28029834234097906</x:v>
      </x:c>
      <x:c r="AC401" s="13" t="n">
        <x:v>-0.6980651016988949</x:v>
      </x:c>
      <x:c r="AD401" s="13" t="n">
        <x:v>-0.5620274539154487</x:v>
      </x:c>
      <x:c r="AE401" s="13" t="n">
        <x:v>-0.744006902251195</x:v>
      </x:c>
      <x:c r="AF401" s="13" t="n">
        <x:v>-0.5645659538291423</x:v>
      </x:c>
      <x:c r="AG401" s="13" t="n">
        <x:v>-0.00895381481402756</x:v>
      </x:c>
      <x:c r="AH401" s="13" t="n">
        <x:v>-0.8539273312472467</x:v>
      </x:c>
      <x:c r="AI401" s="13" t="n">
        <x:v>-0.6518415904660202</x:v>
      </x:c>
      <x:c r="AJ401" s="13" t="n">
        <x:v>-0.3977460146245189</x:v>
      </x:c>
      <x:c r="AK401" s="13" t="n">
        <x:v>-0.3125249300230688</x:v>
      </x:c>
      <x:c r="AL401" s="13" t="n">
        <x:v>0.12669097398677578</x:v>
      </x:c>
      <x:c r="AM401" s="13" t="n">
        <x:v>-0.7815911692517314</x:v>
      </x:c>
      <x:c r="AN401" s="13" t="n">
        <x:v>0.44424537109766304</x:v>
      </x:c>
      <x:c r="AO401" s="13" t="n">
        <x:v>1.9159298035815542</x:v>
      </x:c>
      <x:c r="AP401" s="13" t="n">
        <x:v>0.23966389858949907</x:v>
      </x:c>
    </x:row>
    <x:row r="402" ht="15" hidden="0" customHeight="1">
      <x:c r="A402" s="2" t="str">
        <x:v>E401</x:v>
      </x:c>
      <x:c r="B402" s="2" t="str">
        <x:v>***遮阳技术发展中心</x:v>
      </x:c>
      <x:c r="C402" s="2" t="str">
        <x:v>无信贷记录</x:v>
      </x:c>
      <x:c r="D402" s="2" t="str"/>
      <x:c r="E402" s="2" t="str"/>
      <x:c r="F402" s="13" t="n">
        <x:v>-0.5996755291866498</x:v>
      </x:c>
      <x:c r="G402" s="13" t="n">
        <x:v>-0.5980717117722186</x:v>
      </x:c>
      <x:c r="H402" s="13" t="n">
        <x:v>-0.518728779362338</x:v>
      </x:c>
      <x:c r="I402" s="13" t="n">
        <x:v>-0.46027843520127304</x:v>
      </x:c>
      <x:c r="J402" s="13" t="n">
        <x:v>-0.5663693200850722</x:v>
      </x:c>
      <x:c r="K402" s="13" t="n">
        <x:v>-0.5688584964571051</x:v>
      </x:c>
      <x:c r="L402" s="13" t="n">
        <x:v>-0.684497814692701</x:v>
      </x:c>
      <x:c r="M402" s="13" t="n">
        <x:v>-1.151103901665672</x:v>
      </x:c>
      <x:c r="N402" s="13" t="n">
        <x:v>-0.7216149855326618</x:v>
      </x:c>
      <x:c r="O402" s="13" t="n">
        <x:v>0.12509189953484298</x:v>
      </x:c>
      <x:c r="P402" s="13" t="n">
        <x:v>0.25533547183536776</x:v>
      </x:c>
      <x:c r="Q402" s="13" t="n">
        <x:v>-0.5811289603341813</x:v>
      </x:c>
      <x:c r="R402" s="13" t="n">
        <x:v>0.6956542778035635</x:v>
      </x:c>
      <x:c r="S402" s="13" t="n">
        <x:v>0.775942016743846</x:v>
      </x:c>
      <x:c r="T402" s="13" t="n">
        <x:v>-0.9653243016983014</x:v>
      </x:c>
      <x:c r="U402" s="13" t="n">
        <x:v>-0.5191130108970914</x:v>
      </x:c>
      <x:c r="V402" s="13" t="n">
        <x:v>-0.5250266291897971</x:v>
      </x:c>
      <x:c r="W402" s="13" t="n">
        <x:v>-0.35045246816834846</x:v>
      </x:c>
      <x:c r="X402" s="13" t="n">
        <x:v>-0.3910667203118402</x:v>
      </x:c>
      <x:c r="Y402" s="13" t="n">
        <x:v>-0.5499587805917596</x:v>
      </x:c>
      <x:c r="Z402" s="13" t="n">
        <x:v>-0.47582130802391526</x:v>
      </x:c>
      <x:c r="AA402" s="13" t="n">
        <x:v>-0.3640349934651633</x:v>
      </x:c>
      <x:c r="AB402" s="13" t="n">
        <x:v>3.054341702312989</x:v>
      </x:c>
      <x:c r="AC402" s="13" t="n">
        <x:v>-0.6980651016988949</x:v>
      </x:c>
      <x:c r="AD402" s="13" t="n">
        <x:v>0.016962000255070758</x:v>
      </x:c>
      <x:c r="AE402" s="13" t="n">
        <x:v>0.3535936164618384</x:v>
      </x:c>
      <x:c r="AF402" s="13" t="n">
        <x:v>-0.5683835317722705</x:v>
      </x:c>
      <x:c r="AG402" s="13" t="n">
        <x:v>1.9840110046295916</x:v>
      </x:c>
      <x:c r="AH402" s="13" t="n">
        <x:v>0.9653956264521342</x:v>
      </x:c>
      <x:c r="AI402" s="13" t="n">
        <x:v>-1.054359100016414</x:v>
      </x:c>
      <x:c r="AJ402" s="13" t="n">
        <x:v>-0.4069001309874072</x:v>
      </x:c>
      <x:c r="AK402" s="13" t="n">
        <x:v>-0.15721366480076848</x:v>
      </x:c>
      <x:c r="AL402" s="13" t="n">
        <x:v>4.836049153918829</x:v>
      </x:c>
      <x:c r="AM402" s="13" t="n">
        <x:v>-0.7815911692517314</x:v>
      </x:c>
      <x:c r="AN402" s="13" t="n">
        <x:v>0.10220961682868862</x:v>
      </x:c>
      <x:c r="AO402" s="13" t="n">
        <x:v>1.4049791711747173</x:v>
      </x:c>
      <x:c r="AP402" s="13" t="n">
        <x:v>0.9575950999272469</x:v>
      </x:c>
    </x:row>
    <x:row r="403" ht="15" hidden="0" customHeight="1">
      <x:c r="A403" s="2" t="str">
        <x:v>E402</x:v>
      </x:c>
      <x:c r="B403" s="2" t="str">
        <x:v>***商贸有限公司</x:v>
      </x:c>
      <x:c r="C403" s="2" t="str">
        <x:v>无信贷记录</x:v>
      </x:c>
      <x:c r="D403" s="2" t="str"/>
      <x:c r="E403" s="2" t="str"/>
      <x:c r="F403" s="13" t="n">
        <x:v>-0.5862319340790456</x:v>
      </x:c>
      <x:c r="G403" s="13" t="n">
        <x:v>-0.5841662840781627</x:v>
      </x:c>
      <x:c r="H403" s="13" t="n">
        <x:v>-0.518728779362338</x:v>
      </x:c>
      <x:c r="I403" s="13" t="n">
        <x:v>-0.46027843520127304</x:v>
      </x:c>
      <x:c r="J403" s="13" t="n">
        <x:v>-0.5604798375840542</x:v>
      </x:c>
      <x:c r="K403" s="13" t="n">
        <x:v>-0.5630731311218856</x:v>
      </x:c>
      <x:c r="L403" s="13" t="n">
        <x:v>-0.699710022631202</x:v>
      </x:c>
      <x:c r="M403" s="13" t="n">
        <x:v>-1.151103901665672</x:v>
      </x:c>
      <x:c r="N403" s="13" t="n">
        <x:v>-0.7216149855326618</x:v>
      </x:c>
      <x:c r="O403" s="13" t="n">
        <x:v>2.629361360934821</x:v>
      </x:c>
      <x:c r="P403" s="13" t="n">
        <x:v>2.237959831265401</x:v>
      </x:c>
      <x:c r="Q403" s="13" t="n">
        <x:v>-0.5755117466166585</x:v>
      </x:c>
      <x:c r="R403" s="13" t="n">
        <x:v>0.3573948790205079</x:v>
      </x:c>
      <x:c r="S403" s="13" t="n">
        <x:v>-1.1377558107628383</x:v>
      </x:c>
      <x:c r="T403" s="13" t="n">
        <x:v>-1.3420578446016789</x:v>
      </x:c>
      <x:c r="U403" s="13" t="n">
        <x:v>-0.5465145972793802</x:v>
      </x:c>
      <x:c r="V403" s="13" t="n">
        <x:v>-0.5345642057967965</x:v>
      </x:c>
      <x:c r="W403" s="13" t="n">
        <x:v>-0.6127038472950217</x:v>
      </x:c>
      <x:c r="X403" s="13" t="n">
        <x:v>-0.3496979040701705</x:v>
      </x:c>
      <x:c r="Y403" s="13" t="n">
        <x:v>-0.5482083091546505</x:v>
      </x:c>
      <x:c r="Z403" s="13" t="n">
        <x:v>-0.4737422566510469</x:v>
      </x:c>
      <x:c r="AA403" s="13" t="n">
        <x:v>-0.3898837040313234</x:v>
      </x:c>
      <x:c r="AB403" s="13" t="n">
        <x:v>-0.028952249147963058</x:v>
      </x:c>
      <x:c r="AC403" s="13" t="n">
        <x:v>2.3441015628173445</x:v>
      </x:c>
      <x:c r="AD403" s="13" t="n">
        <x:v>0.5044229718715261</x:v>
      </x:c>
      <x:c r="AE403" s="13" t="n">
        <x:v>0.23256856943717177</x:v>
      </x:c>
      <x:c r="AF403" s="13" t="n">
        <x:v>-0.5653209070397744</x:v>
      </x:c>
      <x:c r="AG403" s="13" t="n">
        <x:v>0.7653396647074288</x:v>
      </x:c>
      <x:c r="AH403" s="13" t="n">
        <x:v>-0.3260971279597344</x:v>
      </x:c>
      <x:c r="AI403" s="13" t="n">
        <x:v>-1.658135364342005</x:v>
      </x:c>
      <x:c r="AJ403" s="13" t="n">
        <x:v>-0.40854191755163943</x:v>
      </x:c>
      <x:c r="AK403" s="13" t="n">
        <x:v>-0.07697376764128305</x:v>
      </x:c>
      <x:c r="AL403" s="13" t="n">
        <x:v>-0.6166532627449499</x:v>
      </x:c>
      <x:c r="AM403" s="13" t="n">
        <x:v>0.7066131754751297</x:v>
      </x:c>
      <x:c r="AN403" s="13" t="n">
        <x:v>2.207680021423551</x:v>
      </x:c>
      <x:c r="AO403" s="13" t="n">
        <x:v>0.6018176694697411</x:v>
      </x:c>
      <x:c r="AP403" s="13" t="n">
        <x:v>-0.8651605499532656</x:v>
      </x:c>
    </x:row>
    <x:row r="404" ht="15" hidden="0" customHeight="1">
      <x:c r="A404" s="2" t="str">
        <x:v>E403</x:v>
      </x:c>
      <x:c r="B404" s="2" t="str">
        <x:v>***机械有限公司</x:v>
      </x:c>
      <x:c r="C404" s="2" t="str">
        <x:v>无信贷记录</x:v>
      </x:c>
      <x:c r="D404" s="2" t="str"/>
      <x:c r="E404" s="2" t="str"/>
      <x:c r="F404" s="13" t="n">
        <x:v>-0.5616626050892863</x:v>
      </x:c>
      <x:c r="G404" s="13" t="n">
        <x:v>-0.5597119112368919</x:v>
      </x:c>
      <x:c r="H404" s="13" t="n">
        <x:v>-0.497466327587347</x:v>
      </x:c>
      <x:c r="I404" s="13" t="n">
        <x:v>-0.46027843520127304</x:v>
      </x:c>
      <x:c r="J404" s="13" t="n">
        <x:v>-0.5681057969104577</x:v>
      </x:c>
      <x:c r="K404" s="13" t="n">
        <x:v>-0.5705642749918507</x:v>
      </x:c>
      <x:c r="L404" s="13" t="n">
        <x:v>-0.5536728264215934</x:v>
      </x:c>
      <x:c r="M404" s="13" t="n">
        <x:v>-0.4529173114342569</x:v>
      </x:c>
      <x:c r="N404" s="13" t="n">
        <x:v>-0.7216149855326618</x:v>
      </x:c>
      <x:c r="O404" s="13" t="n">
        <x:v>-0.7968459090966654</x:v>
      </x:c>
      <x:c r="P404" s="13" t="n">
        <x:v>-1.0547352023521546</x:v>
      </x:c>
      <x:c r="Q404" s="13" t="n">
        <x:v>-0.5836775469471064</x:v>
      </x:c>
      <x:c r="R404" s="13" t="n">
        <x:v>-0.35130564936606845</x:v>
      </x:c>
      <x:c r="S404" s="13" t="n">
        <x:v>-0.5996590443535034</x:v>
      </x:c>
      <x:c r="T404" s="13" t="n">
        <x:v>0.16487632701183103</x:v>
      </x:c>
      <x:c r="U404" s="13" t="n">
        <x:v>-0.5228016859870149</x:v>
      </x:c>
      <x:c r="V404" s="13" t="n">
        <x:v>-0.5126838829925037</x:v>
      </x:c>
      <x:c r="W404" s="13" t="n">
        <x:v>-0.5677464680161635</x:v>
      </x:c>
      <x:c r="X404" s="13" t="n">
        <x:v>-0.3910667203118402</x:v>
      </x:c>
      <x:c r="Y404" s="13" t="n">
        <x:v>-0.5417572680806229</x:v>
      </x:c>
      <x:c r="Z404" s="13" t="n">
        <x:v>-0.4694585870352584</x:v>
      </x:c>
      <x:c r="AA404" s="13" t="n">
        <x:v>-0.37343452458013066</x:v>
      </x:c>
      <x:c r="AB404" s="13" t="n">
        <x:v>0.04180484431393633</x:v>
      </x:c>
      <x:c r="AC404" s="13" t="n">
        <x:v>-0.6980651016988949</x:v>
      </x:c>
      <x:c r="AD404" s="13" t="n">
        <x:v>0.3193484198224246</x:v>
      </x:c>
      <x:c r="AE404" s="13" t="n">
        <x:v>0.4878432144262205</x:v>
      </x:c>
      <x:c r="AF404" s="13" t="n">
        <x:v>-0.5614125520155832</x:v>
      </x:c>
      <x:c r="AG404" s="13" t="n">
        <x:v>0.09041330625930204</x:v>
      </x:c>
      <x:c r="AH404" s="13" t="n">
        <x:v>-0.9026434712343984</x:v>
      </x:c>
      <x:c r="AI404" s="13" t="n">
        <x:v>0.9582284477355555</x:v>
      </x:c>
      <x:c r="AJ404" s="13" t="n">
        <x:v>-0.39199652145403047</x:v>
      </x:c>
      <x:c r="AK404" s="13" t="n">
        <x:v>-0.31422400235108644</x:v>
      </x:c>
      <x:c r="AL404" s="13" t="n">
        <x:v>-0.19672409030911242</x:v>
      </x:c>
      <x:c r="AM404" s="13" t="n">
        <x:v>-0.7815911692517314</x:v>
      </x:c>
      <x:c r="AN404" s="13" t="n">
        <x:v>-0.3753484130766161</x:v>
      </x:c>
      <x:c r="AO404" s="13" t="n">
        <x:v>-0.19650047714654248</x:v>
      </x:c>
      <x:c r="AP404" s="13" t="n">
        <x:v>-0.8258786734493988</x:v>
      </x:c>
    </x:row>
    <x:row r="405" ht="15" hidden="0" customHeight="1">
      <x:c r="A405" s="2" t="str">
        <x:v>E404</x:v>
      </x:c>
      <x:c r="B405" s="2" t="str">
        <x:v>个体经营E404 </x:v>
      </x:c>
      <x:c r="C405" s="2" t="str">
        <x:v>无信贷记录</x:v>
      </x:c>
      <x:c r="D405" s="2" t="str"/>
      <x:c r="E405" s="2" t="str"/>
      <x:c r="F405" s="13" t="n">
        <x:v>-0.5992119569415599</x:v>
      </x:c>
      <x:c r="G405" s="13" t="n">
        <x:v>-0.5995102042922934</x:v>
      </x:c>
      <x:c r="H405" s="13" t="n">
        <x:v>-0.476203875812356</x:v>
      </x:c>
      <x:c r="I405" s="13" t="n">
        <x:v>-0.46027843520127304</x:v>
      </x:c>
      <x:c r="J405" s="13" t="n">
        <x:v>-0.5514047306943742</x:v>
      </x:c>
      <x:c r="K405" s="13" t="n">
        <x:v>-0.5541584584313922</x:v>
      </x:c>
      <x:c r="L405" s="13" t="n">
        <x:v>-0.6784129315173006</x:v>
      </x:c>
      <x:c r="M405" s="13" t="n">
        <x:v>3.7424680070460514</x:v>
      </x:c>
      <x:c r="N405" s="13" t="n">
        <x:v>-0.7216149855326618</x:v>
      </x:c>
      <x:c r="O405" s="13" t="n">
        <x:v>-0.14402808158254207</x:v>
      </x:c>
      <x:c r="P405" s="13" t="n">
        <x:v>-0.22452855057791565</x:v>
      </x:c>
      <x:c r="Q405" s="13" t="n">
        <x:v>-0.5663662480600627</x:v>
      </x:c>
      <x:c r="R405" s="13" t="n">
        <x:v>0.9695156732882068</x:v>
      </x:c>
      <x:c r="S405" s="13" t="n">
        <x:v>0.6922440469125672</x:v>
      </x:c>
      <x:c r="T405" s="13" t="n">
        <x:v>-1.3420578446016789</x:v>
      </x:c>
      <x:c r="U405" s="13" t="n">
        <x:v>-0.5486224116164794</x:v>
      </x:c>
      <x:c r="V405" s="13" t="n">
        <x:v>-0.5384914432232081</x:v>
      </x:c>
      <x:c r="W405" s="13" t="n">
        <x:v>-0.5902251576555926</x:v>
      </x:c>
      <x:c r="X405" s="13" t="n">
        <x:v>-0.3910667203118402</x:v>
      </x:c>
      <x:c r="Y405" s="13" t="n">
        <x:v>-0.5447930302195496</x:v>
      </x:c>
      <x:c r="Z405" s="13" t="n">
        <x:v>-0.4718137267063484</x:v>
      </x:c>
      <x:c r="AA405" s="13" t="n">
        <x:v>-0.38753382125258157</x:v>
      </x:c>
      <x:c r="AB405" s="13" t="n">
        <x:v>1.3390182244487598</x:v>
      </x:c>
      <x:c r="AC405" s="13" t="n">
        <x:v>-0.6980651016988949</x:v>
      </x:c>
      <x:c r="AD405" s="13" t="n">
        <x:v>0.9423789553432989</x:v>
      </x:c>
      <x:c r="AE405" s="13" t="n">
        <x:v>0.7537150399341247</x:v>
      </x:c>
      <x:c r="AF405" s="13" t="n">
        <x:v>-0.5636120032777432</x:v>
      </x:c>
      <x:c r="AG405" s="13" t="n">
        <x:v>3.3934958042987535</x:v>
      </x:c>
      <x:c r="AH405" s="13" t="n">
        <x:v>-1.2517191124460827</x:v>
      </x:c>
      <x:c r="AI405" s="13" t="n">
        <x:v>-2.161282251279997</x:v>
      </x:c>
      <x:c r="AJ405" s="13" t="n">
        <x:v>-0.4098841662658811</x:v>
      </x:c>
      <x:c r="AK405" s="13" t="n">
        <x:v>0.023012994306424946</x:v>
      </x:c>
      <x:c r="AL405" s="13" t="n">
        <x:v>2.1813278530430065</x:v>
      </x:c>
      <x:c r="AM405" s="13" t="n">
        <x:v>-0.7815911692517314</x:v>
      </x:c>
      <x:c r="AN405" s="13" t="n">
        <x:v>0.47978968466461364</x:v>
      </x:c>
      <x:c r="AO405" s="13" t="n">
        <x:v>2.3157399086478767</x:v>
      </x:c>
      <x:c r="AP405" s="13" t="n">
        <x:v>-0.21025416915912776</x:v>
      </x:c>
    </x:row>
    <x:row r="406" ht="15" hidden="0" customHeight="1">
      <x:c r="A406" s="2" t="str">
        <x:v>E405</x:v>
      </x:c>
      <x:c r="B406" s="2" t="str">
        <x:v>***职业技能服务有限公司</x:v>
      </x:c>
      <x:c r="C406" s="2" t="str">
        <x:v>无信贷记录</x:v>
      </x:c>
      <x:c r="D406" s="2" t="str"/>
      <x:c r="E406" s="2" t="str"/>
      <x:c r="F406" s="13" t="n">
        <x:v>-0.6043112516375477</x:v>
      </x:c>
      <x:c r="G406" s="13" t="n">
        <x:v>-0.6033461843458261</x:v>
      </x:c>
      <x:c r="H406" s="13" t="n">
        <x:v>-0.5080975534748424</x:v>
      </x:c>
      <x:c r="I406" s="13" t="n">
        <x:v>-0.46027843520127304</x:v>
      </x:c>
      <x:c r="J406" s="13" t="n">
        <x:v>-0.5682796534627145</x:v>
      </x:c>
      <x:c r="K406" s="13" t="n">
        <x:v>-0.5707350580225419</x:v>
      </x:c>
      <x:c r="L406" s="13" t="n">
        <x:v>-0.699710022631202</x:v>
      </x:c>
      <x:c r="M406" s="13" t="n">
        <x:v>0.9822440129303183</x:v>
      </x:c>
      <x:c r="N406" s="13" t="n">
        <x:v>-0.7216149855326618</x:v>
      </x:c>
      <x:c r="O406" s="13" t="n">
        <x:v>2.2505633705482233</x:v>
      </x:c>
      <x:c r="P406" s="13" t="n">
        <x:v>2.036469880851635</x:v>
      </x:c>
      <x:c r="Q406" s="13" t="n">
        <x:v>-0.5826555119647914</x:v>
      </x:c>
      <x:c r="R406" s="13" t="n">
        <x:v>2.823908945725218</x:v>
      </x:c>
      <x:c r="S406" s="13" t="n">
        <x:v>-3.9476126894836887</x:v>
      </x:c>
      <x:c r="T406" s="13" t="n">
        <x:v>-2.1897083161342783</x:v>
      </x:c>
      <x:c r="U406" s="13" t="n">
        <x:v>-0.5359755255938845</x:v>
      </x:c>
      <x:c r="V406" s="13" t="n">
        <x:v>-0.5328811040426201</x:v>
      </x:c>
      <x:c r="W406" s="13" t="n">
        <x:v>-0.4853246060049233</x:v>
      </x:c>
      <x:c r="X406" s="13" t="n">
        <x:v>-0.3910667203118402</x:v>
      </x:c>
      <x:c r="Y406" s="13" t="n">
        <x:v>-0.5476456260643559</x:v>
      </x:c>
      <x:c r="Z406" s="13" t="n">
        <x:v>-0.47402676624378226</x:v>
      </x:c>
      <x:c r="AA406" s="13" t="n">
        <x:v>-0.32408698622655235</x:v>
      </x:c>
      <x:c r="AB406" s="13" t="n">
        <x:v>2.6493347700394905</x:v>
      </x:c>
      <x:c r="AC406" s="13" t="n">
        <x:v>-0.6980651016988949</x:v>
      </x:c>
      <x:c r="AD406" s="13" t="n">
        <x:v>0.24408077964314712</x:v>
      </x:c>
      <x:c r="AE406" s="13" t="n">
        <x:v>0.5165767636583853</x:v>
      </x:c>
      <x:c r="AF406" s="13" t="n">
        <x:v>-0.5653529937638591</x:v>
      </x:c>
      <x:c r="AG406" s="13" t="n">
        <x:v>2.2509640824182813</x:v>
      </x:c>
      <x:c r="AH406" s="13" t="n">
        <x:v>-0.4822096031640334</x:v>
      </x:c>
      <x:c r="AI406" s="13" t="n">
        <x:v>-1.255617854791611</x:v>
      </x:c>
      <x:c r="AJ406" s="13" t="n">
        <x:v>-0.40160232204724094</x:v>
      </x:c>
      <x:c r="AK406" s="13" t="n">
        <x:v>-0.2893757911996169</x:v>
      </x:c>
      <x:c r="AL406" s="13" t="n">
        <x:v>4.464257718661039</x:v>
      </x:c>
      <x:c r="AM406" s="13" t="n">
        <x:v>-0.7815911692517314</x:v>
      </x:c>
      <x:c r="AN406" s="13" t="n">
        <x:v>1.7739643357734494</x:v>
      </x:c>
      <x:c r="AO406" s="13" t="n">
        <x:v>2.9737292555283013</x:v>
      </x:c>
      <x:c r="AP406" s="13" t="n">
        <x:v>-2.9002799246443223</x:v>
      </x:c>
    </x:row>
    <x:row r="407" ht="15" hidden="0" customHeight="1">
      <x:c r="A407" s="2" t="str">
        <x:v>E406</x:v>
      </x:c>
      <x:c r="B407" s="2" t="str">
        <x:v>***招投标代理有限公司</x:v>
      </x:c>
      <x:c r="C407" s="2" t="str">
        <x:v>无信贷记录</x:v>
      </x:c>
      <x:c r="D407" s="2" t="str"/>
      <x:c r="E407" s="2" t="str"/>
      <x:c r="F407" s="13" t="n">
        <x:v>-0.5885497953044946</x:v>
      </x:c>
      <x:c r="G407" s="13" t="n">
        <x:v>-0.5865637716116207</x:v>
      </x:c>
      <x:c r="H407" s="13" t="n">
        <x:v>-0.518728779362338</x:v>
      </x:c>
      <x:c r="I407" s="13" t="n">
        <x:v>-0.46027843520127304</x:v>
      </x:c>
      <x:c r="J407" s="13" t="n">
        <x:v>-0.5661507534001778</x:v>
      </x:c>
      <x:c r="K407" s="13" t="n">
        <x:v>-0.5686437937014719</x:v>
      </x:c>
      <x:c r="L407" s="13" t="n">
        <x:v>-0.6114792165878968</x:v>
      </x:c>
      <x:c r="M407" s="13" t="n">
        <x:v>-1.151103901665672</x:v>
      </x:c>
      <x:c r="N407" s="13" t="n">
        <x:v>-0.7216149855326618</x:v>
      </x:c>
      <x:c r="O407" s="13" t="n">
        <x:v>-0.4500107939361779</x:v>
      </x:c>
      <x:c r="P407" s="13" t="n">
        <x:v>-0.7046532616151223</x:v>
      </x:c>
      <x:c r="Q407" s="13" t="n">
        <x:v>-0.5802821643800764</x:v>
      </x:c>
      <x:c r="R407" s="13" t="n">
        <x:v>0.26246225078765684</x:v>
      </x:c>
      <x:c r="S407" s="13" t="n">
        <x:v>0.8341089014517967</x:v>
      </x:c>
      <x:c r="T407" s="13" t="n">
        <x:v>-0.7769575302466126</x:v>
      </x:c>
      <x:c r="U407" s="13" t="n">
        <x:v>-0.5433528757737316</x:v>
      </x:c>
      <x:c r="V407" s="13" t="n">
        <x:v>-0.533442137960679</x:v>
      </x:c>
      <x:c r="W407" s="13" t="n">
        <x:v>-0.5827322611091162</x:v>
      </x:c>
      <x:c r="X407" s="13" t="n">
        <x:v>-0.3703823121910053</x:v>
      </x:c>
      <x:c r="Y407" s="13" t="n">
        <x:v>-0.5453449216004528</x:v>
      </x:c>
      <x:c r="Z407" s="13" t="n">
        <x:v>-0.47180724132751867</x:v>
      </x:c>
      <x:c r="AA407" s="13" t="n">
        <x:v>-0.38753382125258157</x:v>
      </x:c>
      <x:c r="AB407" s="13" t="n">
        <x:v>0.8444793991774195</x:v>
      </x:c>
      <x:c r="AC407" s="13" t="n">
        <x:v>0.6962612862043813</x:v>
      </x:c>
      <x:c r="AD407" s="13" t="n">
        <x:v>0.34902320294577827</x:v>
      </x:c>
      <x:c r="AE407" s="13" t="n">
        <x:v>0.4468619451185794</x:v>
      </x:c>
      <x:c r="AF407" s="13" t="n">
        <x:v>-0.5631195656451985</x:v>
      </x:c>
      <x:c r="AG407" s="13" t="n">
        <x:v>2.033674104259574</x:v>
      </x:c>
      <x:c r="AH407" s="13" t="n">
        <x:v>1.0596960941661127</x:v>
      </x:c>
      <x:c r="AI407" s="13" t="n">
        <x:v>-1.5575059869544066</x:v>
      </x:c>
      <x:c r="AJ407" s="13" t="n">
        <x:v>-0.3994368809985356</x:v>
      </x:c>
      <x:c r="AK407" s="13" t="n">
        <x:v>-0.2657518198449821</x:v>
      </x:c>
      <x:c r="AL407" s="13" t="n">
        <x:v>0.2009549575671213</x:v>
      </x:c>
      <x:c r="AM407" s="13" t="n">
        <x:v>-0.008116542716060183</x:v>
      </x:c>
      <x:c r="AN407" s="13" t="n">
        <x:v>-0.10711250989941591</x:v>
      </x:c>
      <x:c r="AO407" s="13" t="n">
        <x:v>1.1346383048446287</x:v>
      </x:c>
      <x:c r="AP407" s="13" t="n">
        <x:v>1.040719627100259</x:v>
      </x:c>
    </x:row>
    <x:row r="408" ht="15" hidden="0" customHeight="1">
      <x:c r="A408" s="2" t="str">
        <x:v>E407</x:v>
      </x:c>
      <x:c r="B408" s="2" t="str">
        <x:v>***装饰工程有限公司</x:v>
      </x:c>
      <x:c r="C408" s="2" t="str">
        <x:v>无信贷记录</x:v>
      </x:c>
      <x:c r="D408" s="2" t="str"/>
      <x:c r="E408" s="2" t="str"/>
      <x:c r="F408" s="13" t="n">
        <x:v>-0.5435832875307842</x:v>
      </x:c>
      <x:c r="G408" s="13" t="n">
        <x:v>-0.5405320109692285</x:v>
      </x:c>
      <x:c r="H408" s="13" t="n">
        <x:v>-0.5080975534748424</x:v>
      </x:c>
      <x:c r="I408" s="13" t="n">
        <x:v>-0.37451477394451427</x:v>
      </x:c>
      <x:c r="J408" s="13" t="n">
        <x:v>-0.5618959255827877</x:v>
      </x:c>
      <x:c r="K408" s="13" t="n">
        <x:v>-0.5644103177157846</x:v>
      </x:c>
      <x:c r="L408" s="13" t="n">
        <x:v>-0.5506303848338933</x:v>
      </x:c>
      <x:c r="M408" s="13" t="n">
        <x:v>-0.8933840193654851</x:v>
      </x:c>
      <x:c r="N408" s="13" t="n">
        <x:v>0.7377992558076604</x:v>
      </x:c>
      <x:c r="O408" s="13" t="n">
        <x:v>-0.22868407906366936</x:v>
      </x:c>
      <x:c r="P408" s="13" t="n">
        <x:v>0.12204364370900704</x:v>
      </x:c>
      <x:c r="Q408" s="13" t="n">
        <x:v>-0.5761776918898858</x:v>
      </x:c>
      <x:c r="R408" s="13" t="n">
        <x:v>1.4565032695441096</x:v>
      </x:c>
      <x:c r="S408" s="13" t="n">
        <x:v>1.5734877199127684</x:v>
      </x:c>
      <x:c r="T408" s="13" t="n">
        <x:v>-0.11767383016570207</x:v>
      </x:c>
      <x:c r="U408" s="13" t="n">
        <x:v>-0.5365024791781593</x:v>
      </x:c>
      <x:c r="V408" s="13" t="n">
        <x:v>-0.5295149005342674</x:v>
      </x:c>
      <x:c r="W408" s="13" t="n">
        <x:v>-0.5377748818302579</x:v>
      </x:c>
      <x:c r="X408" s="13" t="n">
        <x:v>-0.3496979040701705</x:v>
      </x:c>
      <x:c r="Y408" s="13" t="n">
        <x:v>-0.5356075069070424</x:v>
      </x:c>
      <x:c r="Z408" s="13" t="n">
        <x:v>-0.46194766615525196</x:v>
      </x:c>
      <x:c r="AA408" s="13" t="n">
        <x:v>-0.38753382125258157</x:v>
      </x:c>
      <x:c r="AB408" s="13" t="n">
        <x:v>1.4194240124736457</x:v>
      </x:c>
      <x:c r="AC408" s="13" t="n">
        <x:v>1.460891886022307</x:v>
      </x:c>
      <x:c r="AD408" s="13" t="n">
        <x:v>0.4844020194220743</x:v>
      </x:c>
      <x:c r="AE408" s="13" t="n">
        <x:v>0.6036531079212029</x:v>
      </x:c>
      <x:c r="AF408" s="13" t="n">
        <x:v>-0.5486688377940188</x:v>
      </x:c>
      <x:c r="AG408" s="13" t="n">
        <x:v>0.7143621928819432</x:v>
      </x:c>
      <x:c r="AH408" s="13" t="n">
        <x:v>2.033413828485309</x:v>
      </x:c>
      <x:c r="AI408" s="13" t="n">
        <x:v>-1.456876609566808</x:v>
      </x:c>
      <x:c r="AJ408" s="13" t="n">
        <x:v>-0.38660841240959254</x:v>
      </x:c>
      <x:c r="AK408" s="13" t="n">
        <x:v>-0.2781788159212473</x:v>
      </x:c>
      <x:c r="AL408" s="13" t="n">
        <x:v>-0.0010584692706065552</x:v>
      </x:c>
      <x:c r="AM408" s="13" t="n">
        <x:v>0.5320193696691852</x:v>
      </x:c>
      <x:c r="AN408" s="13" t="n">
        <x:v>0.13596671800834678</x:v>
      </x:c>
      <x:c r="AO408" s="13" t="n">
        <x:v>1.3230621898719173</x:v>
      </x:c>
      <x:c r="AP408" s="13" t="n">
        <x:v>1.9840462309595317</x:v>
      </x:c>
    </x:row>
    <x:row r="409" ht="15" hidden="0" customHeight="1">
      <x:c r="A409" s="2" t="str">
        <x:v>E408</x:v>
      </x:c>
      <x:c r="B409" s="2" t="str">
        <x:v>***空调制冷有限责任公司</x:v>
      </x:c>
      <x:c r="C409" s="2" t="str">
        <x:v>无信贷记录</x:v>
      </x:c>
      <x:c r="D409" s="2" t="str"/>
      <x:c r="E409" s="2" t="str"/>
      <x:c r="F409" s="13" t="n">
        <x:v>-0.5941126622455722</x:v>
      </x:c>
      <x:c r="G409" s="13" t="n">
        <x:v>-0.5927972391986113</x:v>
      </x:c>
      <x:c r="H409" s="13" t="n">
        <x:v>-0.5080975534748424</x:v>
      </x:c>
      <x:c r="I409" s="13" t="n">
        <x:v>-0.46027843520127304</x:v>
      </x:c>
      <x:c r="J409" s="13" t="n">
        <x:v>-0.5687498942892144</x:v>
      </x:c>
      <x:c r="K409" s="13" t="n">
        <x:v>-0.5711969857006304</x:v>
      </x:c>
      <x:c r="L409" s="13" t="n">
        <x:v>-0.6784129315173006</x:v>
      </x:c>
      <x:c r="M409" s="13" t="n">
        <x:v>-0.1910973400974762</x:v>
      </x:c>
      <x:c r="N409" s="13" t="n">
        <x:v>-0.7216149855326618</x:v>
      </x:c>
      <x:c r="O409" s="13" t="n">
        <x:v>-0.15443587350996243</x:v>
      </x:c>
      <x:c r="P409" s="13" t="n">
        <x:v>-0.07433774933848782</x:v>
      </x:c>
      <x:c r="Q409" s="13" t="n">
        <x:v>-0.5842270937954539</x:v>
      </x:c>
      <x:c r="R409" s="13" t="n">
        <x:v>0.19747114977643615</x:v>
      </x:c>
      <x:c r="S409" s="13" t="n">
        <x:v>-1.033878419718568</x:v>
      </x:c>
      <x:c r="T409" s="13" t="n">
        <x:v>-0.9653243016983014</x:v>
      </x:c>
      <x:c r="U409" s="13" t="n">
        <x:v>-0.5428259221894568</x:v>
      </x:c>
      <x:c r="V409" s="13" t="n">
        <x:v>-0.5323200701245614</x:v>
      </x:c>
      <x:c r="W409" s="13" t="n">
        <x:v>-0.5902251576555926</x:v>
      </x:c>
      <x:c r="X409" s="13" t="n">
        <x:v>-0.3910667203118402</x:v>
      </x:c>
      <x:c r="Y409" s="13" t="n">
        <x:v>-0.5483087632368381</x:v>
      </x:c>
      <x:c r="Z409" s="13" t="n">
        <x:v>-0.47454122705817253</x:v>
      </x:c>
      <x:c r="AA409" s="13" t="n">
        <x:v>-0.3757844073588725</x:v>
      </x:c>
      <x:c r="AB409" s="13" t="n">
        <x:v>0.5282598618644953</x:v>
      </x:c>
      <x:c r="AC409" s="13" t="n">
        <x:v>-0.6980651016988949</x:v>
      </x:c>
      <x:c r="AD409" s="13" t="n">
        <x:v>0.15221444047981914</x:v>
      </x:c>
      <x:c r="AE409" s="13" t="n">
        <x:v>0.368003640352864</x:v>
      </x:c>
      <x:c r="AF409" s="13" t="n">
        <x:v>-0.567100533054659</x:v>
      </x:c>
      <x:c r="AG409" s="13" t="n">
        <x:v>0.4507944995716203</x:v>
      </x:c>
      <x:c r="AH409" s="13" t="n">
        <x:v>-0.6010509117907685</x:v>
      </x:c>
      <x:c r="AI409" s="13" t="n">
        <x:v>-1.255617854791611</x:v>
      </x:c>
      <x:c r="AJ409" s="13" t="n">
        <x:v>-0.4023369276133349</x:v>
      </x:c>
      <x:c r="AK409" s="13" t="n">
        <x:v>-0.29793791890536364</x:v>
      </x:c>
      <x:c r="AL409" s="13" t="n">
        <x:v>0.4215694149624385</x:v>
      </x:c>
      <x:c r="AM409" s="13" t="n">
        <x:v>-0.7815911692517314</x:v>
      </x:c>
      <x:c r="AN409" s="13" t="n">
        <x:v>-0.015677216357536536</x:v>
      </x:c>
      <x:c r="AO409" s="13" t="n">
        <x:v>0.34527974478131307</x:v>
      </x:c>
      <x:c r="AP409" s="13" t="n">
        <x:v>-0.9399961275952503</x:v>
      </x:c>
    </x:row>
    <x:row r="410" ht="15" hidden="0" customHeight="1">
      <x:c r="A410" s="2" t="str">
        <x:v>E409</x:v>
      </x:c>
      <x:c r="B410" s="2" t="str">
        <x:v>***塑胶有限公司</x:v>
      </x:c>
      <x:c r="C410" s="2" t="str">
        <x:v>无信贷记录</x:v>
      </x:c>
      <x:c r="D410" s="2" t="str"/>
      <x:c r="E410" s="2" t="str"/>
      <x:c r="F410" s="13" t="n">
        <x:v>-0.6057019683728172</x:v>
      </x:c>
      <x:c r="G410" s="13" t="n">
        <x:v>-0.6043051793592092</x:v>
      </x:c>
      <x:c r="H410" s="13" t="n">
        <x:v>-0.518728779362338</x:v>
      </x:c>
      <x:c r="I410" s="13" t="n">
        <x:v>-0.46027843520127304</x:v>
      </x:c>
      <x:c r="J410" s="13" t="n">
        <x:v>-0.5691105849739806</x:v>
      </x:c>
      <x:c r="K410" s="13" t="n">
        <x:v>-0.5715512999182246</x:v>
      </x:c>
      <x:c r="L410" s="13" t="n">
        <x:v>-0.699710022631202</x:v>
      </x:c>
      <x:c r="M410" s="13" t="n">
        <x:v>-1.151103901665672</x:v>
      </x:c>
      <x:c r="N410" s="13" t="n">
        <x:v>-0.7216149855326618</x:v>
      </x:c>
      <x:c r="O410" s="13" t="n">
        <x:v>0.5812044036449094</x:v>
      </x:c>
      <x:c r="P410" s="13" t="n">
        <x:v>0.7123877786153492</x:v>
      </x:c>
      <x:c r="Q410" s="13" t="n">
        <x:v>-0.5843711608945413</x:v>
      </x:c>
      <x:c r="R410" s="13" t="n">
        <x:v>0.9198746125364771</x:v>
      </x:c>
      <x:c r="S410" s="13" t="n">
        <x:v>0.6121029674403462</x:v>
      </x:c>
      <x:c r="T410" s="13" t="n">
        <x:v>-1.7187913875050564</x:v>
      </x:c>
      <x:c r="U410" s="13" t="n">
        <x:v>-0.5064661248744966</x:v>
      </x:c>
      <x:c r="V410" s="13" t="n">
        <x:v>-0.49641389936879876</x:v>
      </x:c>
      <x:c r="W410" s="13" t="n">
        <x:v>-0.5527606749232107</x:v>
      </x:c>
      <x:c r="X410" s="13" t="n">
        <x:v>-0.3910667203118402</x:v>
      </x:c>
      <x:c r="Y410" s="13" t="n">
        <x:v>-0.5512355136175726</x:v>
      </x:c>
      <x:c r="Z410" s="13" t="n">
        <x:v>-0.476811795572306</x:v>
      </x:c>
      <x:c r="AA410" s="13" t="n">
        <x:v>-0.30293804121787593</x:v>
      </x:c>
      <x:c r="AB410" s="13" t="n">
        <x:v>-0.1204927793032917</x:v>
      </x:c>
      <x:c r="AC410" s="13" t="n">
        <x:v>-0.6980651016988949</x:v>
      </x:c>
      <x:c r="AD410" s="13" t="n">
        <x:v>-0.6473917945686734</x:v>
      </x:c>
      <x:c r="AE410" s="13" t="n">
        <x:v>-0.8876245964929952</x:v>
      </x:c>
      <x:c r="AF410" s="13" t="n">
        <x:v>-0.5697472338633446</x:v>
      </x:c>
      <x:c r="AG410" s="13" t="n">
        <x:v>0.103686340079856</x:v>
      </x:c>
      <x:c r="AH410" s="13" t="n">
        <x:v>0.19201751863676716</x:v>
      </x:c>
      <x:c r="AI410" s="13" t="n">
        <x:v>-0.14869470352802777</x:v>
      </x:c>
      <x:c r="AJ410" s="13" t="n">
        <x:v>-0.406900096705316</x:v>
      </x:c>
      <x:c r="AK410" s="13" t="n">
        <x:v>-0.2632485388287756</x:v>
      </x:c>
      <x:c r="AL410" s="13" t="n">
        <x:v>0.3805685193874018</x:v>
      </x:c>
      <x:c r="AM410" s="13" t="n">
        <x:v>-0.7815911692517314</x:v>
      </x:c>
      <x:c r="AN410" s="13" t="n">
        <x:v>0.02058606819854649</x:v>
      </x:c>
      <x:c r="AO410" s="13" t="n">
        <x:v>0.6716688943534131</x:v>
      </x:c>
      <x:c r="AP410" s="13" t="n">
        <x:v>0.4677406948729928</x:v>
      </x:c>
    </x:row>
    <x:row r="411" ht="15" hidden="0" customHeight="1">
      <x:c r="A411" s="2" t="str">
        <x:v>E410</x:v>
      </x:c>
      <x:c r="B411" s="2" t="str">
        <x:v>***网络科技有限公司</x:v>
      </x:c>
      <x:c r="C411" s="2" t="str">
        <x:v>无信贷记录</x:v>
      </x:c>
      <x:c r="D411" s="2" t="str"/>
      <x:c r="E411" s="2" t="str"/>
      <x:c r="F411" s="13" t="n">
        <x:v>-0.5639804663147353</x:v>
      </x:c>
      <x:c r="G411" s="13" t="n">
        <x:v>-0.5611504037569667</x:v>
      </x:c>
      <x:c r="H411" s="13" t="n">
        <x:v>-0.518728779362338</x:v>
      </x:c>
      <x:c r="I411" s="13" t="n">
        <x:v>-0.2887511126877555</x:v>
      </x:c>
      <x:c r="J411" s="13" t="n">
        <x:v>-0.5697256567056038</x:v>
      </x:c>
      <x:c r="K411" s="13" t="n">
        <x:v>-0.5721414887416837</x:v>
      </x:c>
      <x:c r="L411" s="13" t="n">
        <x:v>-0.684497814692701</x:v>
      </x:c>
      <x:c r="M411" s="13" t="n">
        <x:v>-1.151103901665672</x:v>
      </x:c>
      <x:c r="N411" s="13" t="n">
        <x:v>3.392543256721961</x:v>
      </x:c>
      <x:c r="O411" s="13" t="n">
        <x:v>0.41477709103738475</x:v>
      </x:c>
      <x:c r="P411" s="13" t="n">
        <x:v>0.7358326386062761</x:v>
      </x:c>
      <x:c r="Q411" s="13" t="n">
        <x:v>-0.5853425350800461</x:v>
      </x:c>
      <x:c r="R411" s="13" t="n">
        <x:v>0.3362245416783733</x:v>
      </x:c>
      <x:c r="S411" s="13" t="n">
        <x:v>1.5765944467970159</x:v>
      </x:c>
      <x:c r="T411" s="13" t="n">
        <x:v>-0.9653243016983014</x:v>
      </x:c>
      <x:c r="U411" s="13" t="n">
        <x:v>-0.5249095003241141</x:v>
      </x:c>
      <x:c r="V411" s="13" t="n">
        <x:v>-0.5104397473202685</x:v>
      </x:c>
      <x:c r="W411" s="13" t="n">
        <x:v>-0.6276896403879745</x:v>
      </x:c>
      <x:c r="X411" s="13" t="n">
        <x:v>-0.3703823121910053</x:v>
      </x:c>
      <x:c r="Y411" s="13" t="n">
        <x:v>-0.549470233820871</x:v>
      </x:c>
      <x:c r="Z411" s="13" t="n">
        <x:v>-0.47531293991090634</x:v>
      </x:c>
      <x:c r="AA411" s="13" t="n">
        <x:v>-0.30293804121787593</x:v>
      </x:c>
      <x:c r="AB411" s="13" t="n">
        <x:v>-0.894475887353622</x:v>
      </x:c>
      <x:c r="AC411" s="13" t="n">
        <x:v>-0.18323689693460826</x:v>
      </x:c>
      <x:c r="AD411" s="13" t="n">
        <x:v>-0.6791216923203348</x:v>
      </x:c>
      <x:c r="AE411" s="13" t="n">
        <x:v>-0.8382252244085614</x:v>
      </x:c>
      <x:c r="AF411" s="13" t="n">
        <x:v>-0.5680830327868684</x:v>
      </x:c>
      <x:c r="AG411" s="13" t="n">
        <x:v>0.22615477135148743</x:v>
      </x:c>
      <x:c r="AH411" s="13" t="n">
        <x:v>-0.6026085843094254</x:v>
      </x:c>
      <x:c r="AI411" s="13" t="n">
        <x:v>-0.14869470352802777</x:v>
      </x:c>
      <x:c r="AJ411" s="13" t="n">
        <x:v>-0.40350636245820753</x:v>
      </x:c>
      <x:c r="AK411" s="13" t="n">
        <x:v>-0.3267622392591597</x:v>
      </x:c>
      <x:c r="AL411" s="13" t="n">
        <x:v>-1.1429384425060607</x:v>
      </x:c>
      <x:c r="AM411" s="13" t="n">
        <x:v>0.9473521135927102</x:v>
      </x:c>
      <x:c r="AN411" s="13" t="n">
        <x:v>-0.1189270996604014</x:v>
      </x:c>
      <x:c r="AO411" s="13" t="n">
        <x:v>0.33359047303358524</x:v>
      </x:c>
      <x:c r="AP411" s="13" t="n">
        <x:v>0.6584050317571055</x:v>
      </x:c>
    </x:row>
    <x:row r="412" ht="15" hidden="0" customHeight="1">
      <x:c r="A412" s="2" t="str">
        <x:v>E411</x:v>
      </x:c>
      <x:c r="B412" s="2" t="str">
        <x:v>***机电设备有限公司</x:v>
      </x:c>
      <x:c r="C412" s="2" t="str">
        <x:v>无信贷记录</x:v>
      </x:c>
      <x:c r="D412" s="2" t="str"/>
      <x:c r="E412" s="2" t="str"/>
      <x:c r="F412" s="13" t="n">
        <x:v>-0.5621261773343761</x:v>
      </x:c>
      <x:c r="G412" s="13" t="n">
        <x:v>-0.5592324137302003</x:v>
      </x:c>
      <x:c r="H412" s="13" t="n">
        <x:v>-0.518728779362338</x:v>
      </x:c>
      <x:c r="I412" s="13" t="n">
        <x:v>-0.46027843520127304</x:v>
      </x:c>
      <x:c r="J412" s="13" t="n">
        <x:v>-0.5650796203161762</x:v>
      </x:c>
      <x:c r="K412" s="13" t="n">
        <x:v>-0.5675915966344938</x:v>
      </x:c>
      <x:c r="L412" s="13" t="n">
        <x:v>-0.614521658175597</x:v>
      </x:c>
      <x:c r="M412" s="13" t="n">
        <x:v>-1.151103901665672</x:v>
      </x:c>
      <x:c r="N412" s="13" t="n">
        <x:v>-0.7216149855326618</x:v>
      </x:c>
      <x:c r="O412" s="13" t="n">
        <x:v>1.3398801320012126</x:v>
      </x:c>
      <x:c r="P412" s="13" t="n">
        <x:v>1.4981666175751338</x:v>
      </x:c>
      <x:c r="Q412" s="13" t="n">
        <x:v>-0.5801010057590777</x:v>
      </x:c>
      <x:c r="R412" s="13" t="n">
        <x:v>1.2647006275829615</x:v>
      </x:c>
      <x:c r="S412" s="13" t="n">
        <x:v>0.49267228111973893</x:v>
      </x:c>
      <x:c r="T412" s="13" t="n">
        <x:v>-0.30604060161739083</x:v>
      </x:c>
      <x:c r="U412" s="13" t="n">
        <x:v>-0.5085739392115957</x:v>
      </x:c>
      <x:c r="V412" s="13" t="n">
        <x:v>-0.509317679484151</x:v>
      </x:c>
      <x:c r="W412" s="13" t="n">
        <x:v>-0.4103956405401595</x:v>
      </x:c>
      <x:c r="X412" s="13" t="n">
        <x:v>-0.3083290878285008</x:v>
      </x:c>
      <x:c r="Y412" s="13" t="n">
        <x:v>-0.5508137488029056</x:v>
      </x:c>
      <x:c r="Z412" s="13" t="n">
        <x:v>-0.4761854178635855</x:v>
      </x:c>
      <x:c r="AA412" s="13" t="n">
        <x:v>-0.32173710344781054</x:v>
      </x:c>
      <x:c r="AB412" s="13" t="n">
        <x:v>1.5335394435880025</x:v>
      </x:c>
      <x:c r="AC412" s="13" t="n">
        <x:v>1.2997756929087847</x:v>
      </x:c>
      <x:c r="AD412" s="13" t="n">
        <x:v>-0.5965894261841108</x:v>
      </x:c>
      <x:c r="AE412" s="13" t="n">
        <x:v>-0.7078631834875921</x:v>
      </x:c>
      <x:c r="AF412" s="13" t="n">
        <x:v>-0.5698468612775865</x:v>
      </x:c>
      <x:c r="AG412" s="13" t="n">
        <x:v>0.5581182711453619</x:v>
      </x:c>
      <x:c r="AH412" s="13" t="n">
        <x:v>0.08590665464030567</x:v>
      </x:c>
      <x:c r="AI412" s="13" t="n">
        <x:v>-0.14869470352802777</x:v>
      </x:c>
      <x:c r="AJ412" s="13" t="n">
        <x:v>-0.4093078740132463</x:v>
      </x:c>
      <x:c r="AK412" s="13" t="n">
        <x:v>-0.0522593318485095</x:v>
      </x:c>
      <x:c r="AL412" s="13" t="n">
        <x:v>1.2504244126939048</x:v>
      </x:c>
      <x:c r="AM412" s="13" t="n">
        <x:v>0.5544104584007917</x:v>
      </x:c>
      <x:c r="AN412" s="13" t="n">
        <x:v>0.5986188992503078</x:v>
      </x:c>
      <x:c r="AO412" s="13" t="n">
        <x:v>1.1194442763299113</x:v>
      </x:c>
      <x:c r="AP412" s="13" t="n">
        <x:v>0.3411378188130154</x:v>
      </x:c>
    </x:row>
    <x:row r="413" ht="15" hidden="0" customHeight="1">
      <x:c r="A413" s="2" t="str">
        <x:v>E412</x:v>
      </x:c>
      <x:c r="B413" s="2" t="str">
        <x:v>***汽车贸易有限公司</x:v>
      </x:c>
      <x:c r="C413" s="2" t="str">
        <x:v>无信贷记录</x:v>
      </x:c>
      <x:c r="D413" s="2" t="str"/>
      <x:c r="E413" s="2" t="str"/>
      <x:c r="F413" s="13" t="n">
        <x:v>-0.5727883389714414</x:v>
      </x:c>
      <x:c r="G413" s="13" t="n">
        <x:v>-0.5716993489041815</x:v>
      </x:c>
      <x:c r="H413" s="13" t="n">
        <x:v>-0.4868351016998515</x:v>
      </x:c>
      <x:c r="I413" s="13" t="n">
        <x:v>-0.46027843520127304</x:v>
      </x:c>
      <x:c r="J413" s="13" t="n">
        <x:v>-0.5687078645215851</x:v>
      </x:c>
      <x:c r="K413" s="13" t="n">
        <x:v>-0.571155698955887</x:v>
      </x:c>
      <x:c r="L413" s="13" t="n">
        <x:v>-0.6571158404033994</x:v>
      </x:c>
      <x:c r="M413" s="13" t="n">
        <x:v>0.18844013773181037</x:v>
      </x:c>
      <x:c r="N413" s="13" t="n">
        <x:v>-0.7216149855326618</x:v>
      </x:c>
      <x:c r="O413" s="13" t="n">
        <x:v>-0.4030552397097281</x:v>
      </x:c>
      <x:c r="P413" s="13" t="n">
        <x:v>-0.49578421506665227</x:v>
      </x:c>
      <x:c r="Q413" s="13" t="n">
        <x:v>-0.5843648972071891</x:v>
      </x:c>
      <x:c r="R413" s="13" t="n">
        <x:v>-0.032313298648040646</x:v>
      </x:c>
      <x:c r="S413" s="13" t="n">
        <x:v>0.5315422271523097</x:v>
      </x:c>
      <x:c r="T413" s="13" t="n">
        <x:v>-0.7769575302466126</x:v>
      </x:c>
      <x:c r="U413" s="13" t="n">
        <x:v>-0.4811723528293068</x:v>
      </x:c>
      <x:c r="V413" s="13" t="n">
        <x:v>-0.47004530522003557</x:v>
      </x:c>
      <x:c r="W413" s="13" t="n">
        <x:v>-0.5452677783767343</x:v>
      </x:c>
      <x:c r="X413" s="13" t="n">
        <x:v>-0.3910667203118402</x:v>
      </x:c>
      <x:c r="Y413" s="13" t="n">
        <x:v>-0.5502300951496815</x:v>
      </x:c>
      <x:c r="Z413" s="13" t="n">
        <x:v>-0.4760317934471679</x:v>
      </x:c>
      <x:c r="AA413" s="13" t="n">
        <x:v>-0.1924935506170102</x:v>
      </x:c>
      <x:c r="AB413" s="13" t="n">
        <x:v>-0.35471980696583577</x:v>
      </x:c>
      <x:c r="AC413" s="13" t="n">
        <x:v>-0.6980651016988949</x:v>
      </x:c>
      <x:c r="AD413" s="13" t="n">
        <x:v>-0.8772040992761841</x:v>
      </x:c>
      <x:c r="AE413" s="13" t="n">
        <x:v>-1.107792471391991</x:v>
      </x:c>
      <x:c r="AF413" s="13" t="n">
        <x:v>-0.5693309696249004</x:v>
      </x:c>
      <x:c r="AG413" s="13" t="n">
        <x:v>-0.1419843868447573</x:v>
      </x:c>
      <x:c r="AH413" s="13" t="n">
        <x:v>-0.5852775871780701</x:v>
      </x:c>
      <x:c r="AI413" s="13" t="n">
        <x:v>0.5557109381851616</x:v>
      </x:c>
      <x:c r="AJ413" s="13" t="n">
        <x:v>-0.40554731816221806</x:v>
      </x:c>
      <x:c r="AK413" s="13" t="n">
        <x:v>-0.26750299861725085</x:v>
      </x:c>
      <x:c r="AL413" s="13" t="n">
        <x:v>-0.1501749884392412</x:v>
      </x:c>
      <x:c r="AM413" s="13" t="n">
        <x:v>-0.7815911692517314</x:v>
      </x:c>
      <x:c r="AN413" s="13" t="n">
        <x:v>-0.8305379758303644</x:v>
      </x:c>
      <x:c r="AO413" s="13" t="n">
        <x:v>-0.089632085086537</x:v>
      </x:c>
      <x:c r="AP413" s="13" t="n">
        <x:v>0.02693023453326837</x:v>
      </x:c>
    </x:row>
    <x:row r="414" ht="15" hidden="0" customHeight="1">
      <x:c r="A414" s="2" t="str">
        <x:v>E413</x:v>
      </x:c>
      <x:c r="B414" s="2" t="str">
        <x:v>***石材工艺品有限公司</x:v>
      </x:c>
      <x:c r="C414" s="2" t="str">
        <x:v>无信贷记录</x:v>
      </x:c>
      <x:c r="D414" s="2" t="str"/>
      <x:c r="E414" s="2" t="str"/>
      <x:c r="F414" s="13" t="n">
        <x:v>-0.5839140728535966</x:v>
      </x:c>
      <x:c r="G414" s="13" t="n">
        <x:v>-0.5817687965447048</x:v>
      </x:c>
      <x:c r="H414" s="13" t="n">
        <x:v>-0.518728779362338</x:v>
      </x:c>
      <x:c r="I414" s="13" t="n">
        <x:v>-0.46027843520127304</x:v>
      </x:c>
      <x:c r="J414" s="13" t="n">
        <x:v>-0.5695586780673395</x:v>
      </x:c>
      <x:c r="K414" s="13" t="n">
        <x:v>-0.571991471401682</x:v>
      </x:c>
      <x:c r="L414" s="13" t="n">
        <x:v>-0.6875402562804012</x:v>
      </x:c>
      <x:c r="M414" s="13" t="n">
        <x:v>-1.151103901665672</x:v>
      </x:c>
      <x:c r="N414" s="13" t="n">
        <x:v>-0.7216149855326618</x:v>
      </x:c>
      <x:c r="O414" s="13" t="n">
        <x:v>-0.08461502434817171</x:v>
      </x:c>
      <x:c r="P414" s="13" t="n">
        <x:v>-0.18100214982165488</x:v>
      </x:c>
      <x:c r="Q414" s="13" t="n">
        <x:v>-0.5848257800324625</x:v>
      </x:c>
      <x:c r="R414" s="13" t="n">
        <x:v>-0.009751824180469423</x:v>
      </x:c>
      <x:c r="S414" s="13" t="n">
        <x:v>0.1371114781392073</x:v>
      </x:c>
      <x:c r="T414" s="13" t="n">
        <x:v>-1.0595076874241458</x:v>
      </x:c>
      <x:c r="U414" s="13" t="n">
        <x:v>-0.5386102935152585</x:v>
      </x:c>
      <x:c r="V414" s="13" t="n">
        <x:v>-0.5283928326981499</x:v>
      </x:c>
      <x:c r="W414" s="13" t="n">
        <x:v>-0.5827322611091162</x:v>
      </x:c>
      <x:c r="X414" s="13" t="n">
        <x:v>-0.3910667203118402</x:v>
      </x:c>
      <x:c r="Y414" s="13" t="n">
        <x:v>-0.5505601552034143</x:v>
      </x:c>
      <x:c r="Z414" s="13" t="n">
        <x:v>-0.47628785353712705</x:v>
      </x:c>
      <x:c r="AA414" s="13" t="n">
        <x:v>-0.3804841729163561</x:v>
      </x:c>
      <x:c r="AB414" s="13" t="n">
        <x:v>0.4250724338992251</x:v>
      </x:c>
      <x:c r="AC414" s="13" t="n">
        <x:v>-0.6980651016988949</x:v>
      </x:c>
      <x:c r="AD414" s="13" t="n">
        <x:v>0.8991733709263067</x:v>
      </x:c>
      <x:c r="AE414" s="13" t="n">
        <x:v>1.1471568152756049</x:v>
      </x:c>
      <x:c r="AF414" s="13" t="n">
        <x:v>-0.5693175338761973</x:v>
      </x:c>
      <x:c r="AG414" s="13" t="n">
        <x:v>3.2705359367817493</x:v>
      </x:c>
      <x:c r="AH414" s="13" t="n">
        <x:v>2.4225974372556913</x:v>
      </x:c>
      <x:c r="AI414" s="13" t="n">
        <x:v>-2.060652873892399</x:v>
      </x:c>
      <x:c r="AJ414" s="13" t="n">
        <x:v>-0.4054378034839031</x:v>
      </x:c>
      <x:c r="AK414" s="13" t="n">
        <x:v>-0.31005132882094155</x:v>
      </x:c>
      <x:c r="AL414" s="13" t="n">
        <x:v>-0.06802951455123292</x:v>
      </x:c>
      <x:c r="AM414" s="13" t="n">
        <x:v>-0.7815911692517314</x:v>
      </x:c>
      <x:c r="AN414" s="13" t="n">
        <x:v>0.49591775255447706</x:v>
      </x:c>
      <x:c r="AO414" s="13" t="n">
        <x:v>1.5324350748157196</x:v>
      </x:c>
      <x:c r="AP414" s="13" t="n">
        <x:v>1.3001159583518138</x:v>
      </x:c>
    </x:row>
    <x:row r="415" ht="15" hidden="0" customHeight="1">
      <x:c r="A415" s="2" t="str">
        <x:v>E414</x:v>
      </x:c>
      <x:c r="B415" s="2" t="str">
        <x:v>***物流有限责任公司***分公司</x:v>
      </x:c>
      <x:c r="C415" s="2" t="str">
        <x:v>无信贷记录</x:v>
      </x:c>
      <x:c r="D415" s="2" t="str"/>
      <x:c r="E415" s="2" t="str"/>
      <x:c r="F415" s="13" t="n">
        <x:v>-0.6098741185786253</x:v>
      </x:c>
      <x:c r="G415" s="13" t="n">
        <x:v>-0.6086206569194336</x:v>
      </x:c>
      <x:c r="H415" s="13" t="n">
        <x:v>-0.518728779362338</x:v>
      </x:c>
      <x:c r="I415" s="13" t="n">
        <x:v>-0.46027843520127304</x:v>
      </x:c>
      <x:c r="J415" s="13" t="n">
        <x:v>-0.5698971473847562</x:v>
      </x:c>
      <x:c r="K415" s="13" t="n">
        <x:v>-0.5723239570921784</x:v>
      </x:c>
      <x:c r="L415" s="13" t="n">
        <x:v>-0.7027524642189021</x:v>
      </x:c>
      <x:c r="M415" s="13" t="n">
        <x:v>-1.151103901665672</x:v>
      </x:c>
      <x:c r="N415" s="13" t="n">
        <x:v>-0.7216149855326618</x:v>
      </x:c>
      <x:c r="O415" s="13" t="n">
        <x:v>0.6283986390764802</x:v>
      </x:c>
      <x:c r="P415" s="13" t="n">
        <x:v>0.586033393368851</x:v>
      </x:c>
      <x:c r="Q415" s="13" t="n">
        <x:v>-0.5855387452147687</x:v>
      </x:c>
      <x:c r="R415" s="13" t="n">
        <x:v>1.6391051974032842</x:v>
      </x:c>
      <x:c r="S415" s="13" t="n">
        <x:v>-1.0692597199868425</x:v>
      </x:c>
      <x:c r="T415" s="13" t="n">
        <x:v>-2.1897083161342783</x:v>
      </x:c>
      <x:c r="U415" s="13" t="n">
        <x:v>-0.5523110867064029</x:v>
      </x:c>
      <x:c r="V415" s="13" t="n">
        <x:v>-0.5407355788954432</x:v>
      </x:c>
      <x:c r="W415" s="13" t="n">
        <x:v>-0.6127038472950217</x:v>
      </x:c>
      <x:c r="X415" s="13" t="n">
        <x:v>-0.3910667203118402</x:v>
      </x:c>
      <x:c r="Y415" s="13" t="n">
        <x:v>-0.5496975499941656</x:v>
      </x:c>
      <x:c r="Z415" s="13" t="n">
        <x:v>-0.47561864572181756</x:v>
      </x:c>
      <x:c r="AA415" s="13" t="n">
        <x:v>-0.38518393847383975</x:v>
      </x:c>
      <x:c r="AB415" s="13" t="n">
        <x:v>0.749375778932931</x:v>
      </x:c>
      <x:c r="AC415" s="13" t="n">
        <x:v>-0.6980651016988949</x:v>
      </x:c>
      <x:c r="AD415" s="13" t="n">
        <x:v>0.3893045774877039</x:v>
      </x:c>
      <x:c r="AE415" s="13" t="n">
        <x:v>0.4375089058019348</x:v>
      </x:c>
      <x:c r="AF415" s="13" t="n">
        <x:v>-0.5630836067211191</x:v>
      </x:c>
      <x:c r="AG415" s="13" t="n">
        <x:v>1.2047752337939592</x:v>
      </x:c>
      <x:c r="AH415" s="13" t="n">
        <x:v>-3.3010844219728446</x:v>
      </x:c>
      <x:c r="AI415" s="13" t="n">
        <x:v>-2.060652873892399</x:v>
      </x:c>
      <x:c r="AJ415" s="13" t="n">
        <x:v>-0.40375024433243095</x:v>
      </x:c>
      <x:c r="AK415" s="13" t="n">
        <x:v>-0.3335629519858109</x:v>
      </x:c>
      <x:c r="AL415" s="13" t="n">
        <x:v>1.3252291534362435</x:v>
      </x:c>
      <x:c r="AM415" s="13" t="n">
        <x:v>-0.7815911692517314</x:v>
      </x:c>
      <x:c r="AN415" s="13" t="n">
        <x:v>0.694805468525089</x:v>
      </x:c>
      <x:c r="AO415" s="13" t="n">
        <x:v>1.6777835731087702</x:v>
      </x:c>
      <x:c r="AP415" s="13" t="n">
        <x:v>-3.3563144485995466</x:v>
      </x:c>
    </x:row>
    <x:row r="416" ht="15" hidden="0" customHeight="1">
      <x:c r="A416" s="2" t="str">
        <x:v>E415</x:v>
      </x:c>
      <x:c r="B416" s="2" t="str">
        <x:v>***广告设计服务部</x:v>
      </x:c>
      <x:c r="C416" s="2" t="str">
        <x:v>无信贷记录</x:v>
      </x:c>
      <x:c r="D416" s="2" t="str"/>
      <x:c r="E416" s="2" t="str"/>
      <x:c r="F416" s="13" t="n">
        <x:v>-0.6117284075589845</x:v>
      </x:c>
      <x:c r="G416" s="13" t="n">
        <x:v>-0.6105386469461999</x:v>
      </x:c>
      <x:c r="H416" s="13" t="n">
        <x:v>-0.518728779362338</x:v>
      </x:c>
      <x:c r="I416" s="13" t="n">
        <x:v>-0.46027843520127304</x:v>
      </x:c>
      <x:c r="J416" s="13" t="n">
        <x:v>-0.5697431407393249</x:v>
      </x:c>
      <x:c r="K416" s="13" t="n">
        <x:v>-0.5721726730519054</x:v>
      </x:c>
      <x:c r="L416" s="13" t="n">
        <x:v>-0.7118797889820027</x:v>
      </x:c>
      <x:c r="M416" s="13" t="n">
        <x:v>-1.151103901665672</x:v>
      </x:c>
      <x:c r="N416" s="13" t="n">
        <x:v>-0.7216149855326618</x:v>
      </x:c>
      <x:c r="O416" s="13" t="n">
        <x:v>2.6494337955283003</x:v>
      </x:c>
      <x:c r="P416" s="13" t="n">
        <x:v>2.2482144815216887</x:v>
      </x:c>
      <x:c r="Q416" s="13" t="n">
        <x:v>-0.5839472701704724</x:v>
      </x:c>
      <x:c r="R416" s="13" t="n">
        <x:v>0.05906666070619283</x:v>
      </x:c>
      <x:c r="S416" s="13" t="n">
        <x:v>-0.31703243974069234</x:v>
      </x:c>
      <x:c r="T416" s="13" t="n">
        <x:v>-2.472258473311811</x:v>
      </x:c>
      <x:c r="U416" s="13" t="n">
        <x:v>-0.4500820913570945</x:v>
      </x:c>
      <x:c r="V416" s="13" t="n">
        <x:v>-0.4302118970378614</x:v>
      </x:c>
      <x:c r="W416" s="13" t="n">
        <x:v>-0.6351825369344508</x:v>
      </x:c>
      <x:c r="X416" s="13" t="n">
        <x:v>-0.24627586346599628</x:v>
      </x:c>
      <x:c r="Y416" s="13" t="n">
        <x:v>-0.5524905034582676</x:v>
      </x:c>
      <x:c r="Z416" s="13" t="n">
        <x:v>-0.4777349709523757</x:v>
      </x:c>
      <x:c r="AA416" s="13" t="n">
        <x:v>0.03544507892094672</x:v>
      </x:c>
      <x:c r="AB416" s="13" t="n">
        <x:v>-1.0195515576145555</x:v>
      </x:c>
      <x:c r="AC416" s="13" t="n">
        <x:v>0.42812159622298207</x:v>
      </x:c>
      <x:c r="AD416" s="13" t="n">
        <x:v>-0.967767785226084</x:v>
      </x:c>
      <x:c r="AE416" s="13" t="n">
        <x:v>-1.2136636814488635</x:v>
      </x:c>
      <x:c r="AF416" s="13" t="n">
        <x:v>-0.5711418898057883</x:v>
      </x:c>
      <x:c r="AG416" s="13" t="n">
        <x:v>-0.6195736560798097</x:v>
      </x:c>
      <x:c r="AH416" s="13" t="n">
        <x:v>-0.13794922633764342</x:v>
      </x:c>
      <x:c r="AI416" s="13" t="n">
        <x:v>-0.4505828356908232</x:v>
      </x:c>
      <x:c r="AJ416" s="13" t="n">
        <x:v>-0.4084886207371779</x:v>
      </x:c>
      <x:c r="AK416" s="13" t="n">
        <x:v>-0.2751474119292905</x:v>
      </x:c>
      <x:c r="AL416" s="13" t="n">
        <x:v>-1.2190361046933285</x:v>
      </x:c>
      <x:c r="AM416" s="13" t="n">
        <x:v>1.1778778846386357</x:v>
      </x:c>
      <x:c r="AN416" s="13" t="n">
        <x:v>1.312988861080661</x:v>
      </x:c>
      <x:c r="AO416" s="13" t="n">
        <x:v>-0.25254288779970785</x:v>
      </x:c>
      <x:c r="AP416" s="13" t="n">
        <x:v>-0.2676278958881107</x:v>
      </x:c>
    </x:row>
    <x:row r="417" ht="15" hidden="0" customHeight="1">
      <x:c r="A417" s="2" t="str">
        <x:v>E416</x:v>
      </x:c>
      <x:c r="B417" s="2" t="str">
        <x:v>***科技有限公司</x:v>
      </x:c>
      <x:c r="C417" s="2" t="str">
        <x:v>无信贷记录</x:v>
      </x:c>
      <x:c r="D417" s="2" t="str"/>
      <x:c r="E417" s="2" t="str"/>
      <x:c r="F417" s="13" t="n">
        <x:v>-0.6089469740884458</x:v>
      </x:c>
      <x:c r="G417" s="13" t="n">
        <x:v>-0.6081411594127419</x:v>
      </x:c>
      <x:c r="H417" s="13" t="n">
        <x:v>-0.5080975534748424</x:v>
      </x:c>
      <x:c r="I417" s="13" t="n">
        <x:v>-0.46027843520127304</x:v>
      </x:c>
      <x:c r="J417" s="13" t="n">
        <x:v>-0.5678721988695015</x:v>
      </x:c>
      <x:c r="K417" s="13" t="n">
        <x:v>-0.5703348066118548</x:v>
      </x:c>
      <x:c r="L417" s="13" t="n">
        <x:v>-0.699710022631202</x:v>
      </x:c>
      <x:c r="M417" s="13" t="n">
        <x:v>3.648928906175306</x:v>
      </x:c>
      <x:c r="N417" s="13" t="n">
        <x:v>-0.7216149855326618</x:v>
      </x:c>
      <x:c r="O417" s="13" t="n">
        <x:v>2.540848502054027</x:v>
      </x:c>
      <x:c r="P417" s="13" t="n">
        <x:v>2.192316778675235</x:v>
      </x:c>
      <x:c r="Q417" s="13" t="n">
        <x:v>-0.5831963153535679</x:v>
      </x:c>
      <x:c r="R417" s="13" t="n">
        <x:v>2.5537473902933128</x:v>
      </x:c>
      <x:c r="S417" s="13" t="n">
        <x:v>2.377477206477369</x:v>
      </x:c>
      <x:c r="T417" s="13" t="n">
        <x:v>-2.0013415446825893</x:v>
      </x:c>
      <x:c r="U417" s="13" t="n">
        <x:v>-0.5465145972793802</x:v>
      </x:c>
      <x:c r="V417" s="13" t="n">
        <x:v>-0.5340031718787378</x:v>
      </x:c>
      <x:c r="W417" s="13" t="n">
        <x:v>-0.620196743841498</x:v>
      </x:c>
      <x:c r="X417" s="13" t="n">
        <x:v>-0.3910667203118402</x:v>
      </x:c>
      <x:c r="Y417" s="13" t="n">
        <x:v>-0.5513026783995844</x:v>
      </x:c>
      <x:c r="Z417" s="13" t="n">
        <x:v>-0.4768639019085001</x:v>
      </x:c>
      <x:c r="AA417" s="13" t="n">
        <x:v>-0.38753382125258157</x:v>
      </x:c>
      <x:c r="AB417" s="13" t="n">
        <x:v>-0.35915201863682716</x:v>
      </x:c>
      <x:c r="AC417" s="13" t="n">
        <x:v>-0.6980651016988949</x:v>
      </x:c>
      <x:c r="AD417" s="13" t="n">
        <x:v>0.7081233496476937</x:v>
      </x:c>
      <x:c r="AE417" s="13" t="n">
        <x:v>0.8098885807977496</x:v>
      </x:c>
      <x:c r="AF417" s="13" t="n">
        <x:v>-0.5702273613383769</x:v>
      </x:c>
      <x:c r="AG417" s="13" t="n">
        <x:v>1.398882912712752</x:v>
      </x:c>
      <x:c r="AH417" s="13" t="n">
        <x:v>1.1903058169057033</x:v>
      </x:c>
      <x:c r="AI417" s="13" t="n">
        <x:v>-1.9600234965048005</x:v>
      </x:c>
      <x:c r="AJ417" s="13" t="n">
        <x:v>-0.4079652288258516</x:v>
      </x:c>
      <x:c r="AK417" s="13" t="n">
        <x:v>-0.1576053890222333</x:v>
      </x:c>
      <x:c r="AL417" s="13" t="n">
        <x:v>0.31347614481006947</x:v>
      </x:c>
      <x:c r="AM417" s="13" t="n">
        <x:v>-0.7815911692517314</x:v>
      </x:c>
      <x:c r="AN417" s="13" t="n">
        <x:v>2.2696981170308628</x:v>
      </x:c>
      <x:c r="AO417" s="13" t="n">
        <x:v>2.389348572139649</x:v>
      </x:c>
      <x:c r="AP417" s="13" t="n">
        <x:v>2.051970145906458</x:v>
      </x:c>
    </x:row>
    <x:row r="418" ht="15" hidden="0" customHeight="1">
      <x:c r="A418" s="2" t="str">
        <x:v>E417</x:v>
      </x:c>
      <x:c r="B418" s="2" t="str">
        <x:v>***园林景观工程有限公司</x:v>
      </x:c>
      <x:c r="C418" s="2" t="str">
        <x:v>无信贷记录</x:v>
      </x:c>
      <x:c r="D418" s="2" t="str"/>
      <x:c r="E418" s="2" t="str"/>
      <x:c r="F418" s="13" t="n">
        <x:v>-0.55331830467767</x:v>
      </x:c>
      <x:c r="G418" s="13" t="n">
        <x:v>-0.5506014586097518</x:v>
      </x:c>
      <x:c r="H418" s="13" t="n">
        <x:v>-0.5080975534748424</x:v>
      </x:c>
      <x:c r="I418" s="13" t="n">
        <x:v>-0.46027843520127304</x:v>
      </x:c>
      <x:c r="J418" s="13" t="n">
        <x:v>-0.5666337724557808</x:v>
      </x:c>
      <x:c r="K418" s="13" t="n">
        <x:v>-0.5691182737088499</x:v>
      </x:c>
      <x:c r="L418" s="13" t="n">
        <x:v>-0.6449460740525987</x:v>
      </x:c>
      <x:c r="M418" s="13" t="n">
        <x:v>-0.8511018511756107</x:v>
      </x:c>
      <x:c r="N418" s="13" t="n">
        <x:v>-0.7216149855326618</x:v>
      </x:c>
      <x:c r="O418" s="13" t="n">
        <x:v>0.17511359375866342</x:v>
      </x:c>
      <x:c r="P418" s="13" t="n">
        <x:v>0.49120986783558895</x:v>
      </x:c>
      <x:c r="Q418" s="13" t="n">
        <x:v>-0.582101318008039</x:v>
      </x:c>
      <x:c r="R418" s="13" t="n">
        <x:v>1.6736299871718188</x:v>
      </x:c>
      <x:c r="S418" s="13" t="n">
        <x:v>-2.037811715354206</x:v>
      </x:c>
      <x:c r="T418" s="13" t="n">
        <x:v>0.2590597127376754</x:v>
      </x:c>
      <x:c r="U418" s="13" t="n">
        <x:v>-0.554713995050696</x:v>
      </x:c>
      <x:c r="V418" s="13" t="n">
        <x:v>-0.5431368040647349</x:v>
      </x:c>
      <x:c r="W418" s="13" t="n">
        <x:v>-0.6351825369344508</x:v>
      </x:c>
      <x:c r="X418" s="13" t="n">
        <x:v>-0.3910667203118402</x:v>
      </x:c>
      <x:c r="Y418" s="13" t="n">
        <x:v>-0.5517597346589218</x:v>
      </x:c>
      <x:c r="Z418" s="13" t="n">
        <x:v>-0.47721848546248896</x:v>
      </x:c>
      <x:c r="AA418" s="13" t="n">
        <x:v>-0.3945834695888071</x:v>
      </x:c>
      <x:c r="AB418" s="13" t="n">
        <x:v>-1.0195515576145555</x:v>
      </x:c>
      <x:c r="AC418" s="13" t="n">
        <x:v>-0.6980651016988949</x:v>
      </x:c>
      <x:c r="AD418" s="13" t="n">
        <x:v>1.1869589411731793</x:v>
      </x:c>
      <x:c r="AE418" s="13" t="n">
        <x:v>0.9533951437773315</x:v>
      </x:c>
      <x:c r="AF418" s="13" t="n">
        <x:v>-0.569129509591447</x:v>
      </x:c>
      <x:c r="AG418" s="13" t="n">
        <x:v>2.008298092333795</x:v>
      </x:c>
      <x:c r="AH418" s="13" t="n">
        <x:v>-2.7479997031279857</x:v>
      </x:c>
      <x:c r="AI418" s="13" t="n">
        <x:v>-2.3625410060551943</x:v>
      </x:c>
      <x:c r="AJ418" s="13" t="n">
        <x:v>-0.40967529855152296</x:v>
      </x:c>
      <x:c r="AK418" s="13" t="n">
        <x:v>0.03054002516303148</x:v>
      </x:c>
      <x:c r="AL418" s="13" t="n">
        <x:v>-1.1152910200696025</x:v>
      </x:c>
      <x:c r="AM418" s="13" t="n">
        <x:v>-0.7815911692517314</x:v>
      </x:c>
      <x:c r="AN418" s="13" t="n">
        <x:v>0.8607863512007765</x:v>
      </x:c>
      <x:c r="AO418" s="13" t="n">
        <x:v>2.0795280236783054</x:v>
      </x:c>
      <x:c r="AP418" s="13" t="n">
        <x:v>-2.6362483359237543</x:v>
      </x:c>
    </x:row>
    <x:row r="419" ht="15" hidden="0" customHeight="1">
      <x:c r="A419" s="2" t="str">
        <x:v>E418</x:v>
      </x:c>
      <x:c r="B419" s="2" t="str">
        <x:v>***营销策划有限公司</x:v>
      </x:c>
      <x:c r="C419" s="2" t="str">
        <x:v>无信贷记录</x:v>
      </x:c>
      <x:c r="D419" s="2" t="str"/>
      <x:c r="E419" s="2" t="str"/>
      <x:c r="F419" s="13" t="n">
        <x:v>-0.5797419226477885</x:v>
      </x:c>
      <x:c r="G419" s="13" t="n">
        <x:v>-0.5774533189844805</x:v>
      </x:c>
      <x:c r="H419" s="13" t="n">
        <x:v>-0.518728779362338</x:v>
      </x:c>
      <x:c r="I419" s="13" t="n">
        <x:v>-0.46027843520127304</x:v>
      </x:c>
      <x:c r="J419" s="13" t="n">
        <x:v>-0.5691246245630612</x:v>
      </x:c>
      <x:c r="K419" s="13" t="n">
        <x:v>-0.5715650913085502</x:v>
      </x:c>
      <x:c r="L419" s="13" t="n">
        <x:v>-0.6206065413509974</x:v>
      </x:c>
      <x:c r="M419" s="13" t="n">
        <x:v>-1.151103901665672</x:v>
      </x:c>
      <x:c r="N419" s="13" t="n">
        <x:v>-0.7216149855326618</x:v>
      </x:c>
      <x:c r="O419" s="13" t="n">
        <x:v>-0.4218419980756979</x:v>
      </x:c>
      <x:c r="P419" s="13" t="n">
        <x:v>-0.2916683959475344</x:v>
      </x:c>
      <x:c r="Q419" s="13" t="n">
        <x:v>-0.5846671825541826</x:v>
      </x:c>
      <x:c r="R419" s="13" t="n">
        <x:v>0.72409899033164</x:v>
      </x:c>
      <x:c r="S419" s="13" t="n">
        <x:v>-1.0650071997534032</x:v>
      </x:c>
      <x:c r="T419" s="13" t="n">
        <x:v>-0.871140915972457</x:v>
      </x:c>
      <x:c r="U419" s="13" t="n">
        <x:v>-0.5475685044479298</x:v>
      </x:c>
      <x:c r="V419" s="13" t="n">
        <x:v>-0.5356862736329141</x:v>
      </x:c>
      <x:c r="W419" s="13" t="n">
        <x:v>-0.6127038472950217</x:v>
      </x:c>
      <x:c r="X419" s="13" t="n">
        <x:v>-0.3910667203118402</x:v>
      </x:c>
      <x:c r="Y419" s="13" t="n">
        <x:v>-0.54922827751199</x:v>
      </x:c>
      <x:c r="Z419" s="13" t="n">
        <x:v>-0.4752545848406467</x:v>
      </x:c>
      <x:c r="AA419" s="13" t="n">
        <x:v>-0.368734759022647</x:v>
      </x:c>
      <x:c r="AB419" s="13" t="n">
        <x:v>0.05718682115347977</x:v>
      </x:c>
      <x:c r="AC419" s="13" t="n">
        <x:v>-0.6980651016988949</x:v>
      </x:c>
      <x:c r="AD419" s="13" t="n">
        <x:v>0.5391976401779786</x:v>
      </x:c>
      <x:c r="AE419" s="13" t="n">
        <x:v>0.9032814611618784</x:v>
      </x:c>
      <x:c r="AF419" s="13" t="n">
        <x:v>-0.5662689075689683</x:v>
      </x:c>
      <x:c r="AG419" s="13" t="n">
        <x:v>2.7631861826960793</x:v>
      </x:c>
      <x:c r="AH419" s="13" t="n">
        <x:v>-3.2773967844549015</x:v>
      </x:c>
      <x:c r="AI419" s="13" t="n">
        <x:v>-1.8593941191172019</x:v>
      </x:c>
      <x:c r="AJ419" s="13" t="n">
        <x:v>-0.40356917816416404</x:v>
      </x:c>
      <x:c r="AK419" s="13" t="n">
        <x:v>-0.30308454239076665</x:v>
      </x:c>
      <x:c r="AL419" s="13" t="n">
        <x:v>-0.6966209669116429</x:v>
      </x:c>
      <x:c r="AM419" s="13" t="n">
        <x:v>-0.7815911692517314</x:v>
      </x:c>
      <x:c r="AN419" s="13" t="n">
        <x:v>0.030626956028439515</x:v>
      </x:c>
      <x:c r="AO419" s="13" t="n">
        <x:v>1.7911370514525329</x:v>
      </x:c>
      <x:c r="AP419" s="13" t="n">
        <x:v>-2.306917688726959</x:v>
      </x:c>
    </x:row>
    <x:row r="420" ht="15" hidden="0" customHeight="1">
      <x:c r="A420" s="2" t="str">
        <x:v>E419</x:v>
      </x:c>
      <x:c r="B420" s="2" t="str">
        <x:v>***科技有限公司</x:v>
      </x:c>
      <x:c r="C420" s="2" t="str">
        <x:v>无信贷记录</x:v>
      </x:c>
      <x:c r="D420" s="2" t="str"/>
      <x:c r="E420" s="2" t="str"/>
      <x:c r="F420" s="13" t="n">
        <x:v>-0.008157344452067151</x:v>
      </x:c>
      <x:c r="G420" s="13" t="n">
        <x:v>0.0013001715922621143</x:v>
      </x:c>
      <x:c r="H420" s="13" t="n">
        <x:v>-0.2423169062874556</x:v>
      </x:c>
      <x:c r="I420" s="13" t="n">
        <x:v>0.09718536296765899</x:v>
      </x:c>
      <x:c r="J420" s="13" t="n">
        <x:v>-0.33244543937521276</x:v>
      </x:c>
      <x:c r="K420" s="13" t="n">
        <x:v>-0.33732522820340666</x:v>
      </x:c>
      <x:c r="L420" s="13" t="n">
        <x:v>-0.12468856255586847</x:v>
      </x:c>
      <x:c r="M420" s="13" t="n">
        <x:v>-0.38545449673398213</x:v>
      </x:c>
      <x:c r="N420" s="13" t="n">
        <x:v>0.3769425263369703</x:v>
      </x:c>
      <x:c r="O420" s="13" t="n">
        <x:v>1.0273008637077665</x:v>
      </x:c>
      <x:c r="P420" s="13" t="n">
        <x:v>1.2809021567055954</x:v>
      </x:c>
      <x:c r="Q420" s="13" t="n">
        <x:v>-0.35812224495142275</x:v>
      </x:c>
      <x:c r="R420" s="13" t="n">
        <x:v>-0.669290589939792</x:v>
      </x:c>
      <x:c r="S420" s="13" t="n">
        <x:v>0.8548853208604877</x:v>
      </x:c>
      <x:c r="T420" s="13" t="n">
        <x:v>0.918343412818586</x:v>
      </x:c>
      <x:c r="U420" s="13" t="n">
        <x:v>-0.554713995050696</x:v>
      </x:c>
      <x:c r="V420" s="13" t="n">
        <x:v>-0.5431368040647349</x:v>
      </x:c>
      <x:c r="W420" s="13" t="n">
        <x:v>-0.6351825369344508</x:v>
      </x:c>
      <x:c r="X420" s="13" t="n">
        <x:v>-0.3910667203118402</x:v>
      </x:c>
      <x:c r="Y420" s="13" t="n">
        <x:v>-0.5527111236097718</x:v>
      </x:c>
      <x:c r="Z420" s="13" t="n">
        <x:v>-0.47793410401723485</x:v>
      </x:c>
      <x:c r="AA420" s="13" t="n">
        <x:v>-0.3945834695888071</x:v>
      </x:c>
      <x:c r="AB420" s="13" t="n">
        <x:v>-1.0195515576145555</x:v>
      </x:c>
      <x:c r="AC420" s="13" t="n">
        <x:v>-0.6980651016988949</x:v>
      </x:c>
      <x:c r="AD420" s="13" t="n">
        <x:v>1.5453872360276382</x:v>
      </x:c>
      <x:c r="AE420" s="13" t="n">
        <x:v>1.4940098913916413</x:v>
      </x:c>
      <x:c r="AF420" s="13" t="n">
        <x:v>-0.571450518738912</x:v>
      </x:c>
      <x:c r="AG420" s="13" t="n">
        <x:v>1.272936271077909</x:v>
      </x:c>
      <x:c r="AH420" s="13" t="n">
        <x:v>1.0768642441947567</x:v>
      </x:c>
      <x:c r="AI420" s="13" t="n">
        <x:v>-2.3625410060551943</x:v>
      </x:c>
      <x:c r="AJ420" s="13" t="n">
        <x:v>-0.5918023831640995</x:v>
      </x:c>
      <x:c r="AK420" s="13" t="n">
        <x:v>7.277012024670957</x:v>
      </x:c>
      <x:c r="AL420" s="13" t="n">
        <x:v>-0.9027218966107139</x:v>
      </x:c>
      <x:c r="AM420" s="13" t="n">
        <x:v>-0.185496839285083</x:v>
      </x:c>
      <x:c r="AN420" s="13" t="n">
        <x:v>1.6961734074782835</x:v>
      </x:c>
      <x:c r="AO420" s="13" t="n">
        <x:v>0.1446762949753484</x:v>
      </x:c>
      <x:c r="AP420" s="13" t="n">
        <x:v>1.062093504525229</x:v>
      </x:c>
    </x:row>
    <x:row r="421" ht="15" hidden="0" customHeight="1">
      <x:c r="A421" s="2" t="str">
        <x:v>E420</x:v>
      </x:c>
      <x:c r="B421" s="2" t="str">
        <x:v>***康药房</x:v>
      </x:c>
      <x:c r="C421" s="2" t="str">
        <x:v>无信贷记录</x:v>
      </x:c>
      <x:c r="D421" s="2" t="str"/>
      <x:c r="E421" s="2" t="str"/>
      <x:c r="F421" s="13" t="n">
        <x:v>-0.541728998550425</x:v>
      </x:c>
      <x:c r="G421" s="13" t="n">
        <x:v>-0.5390935184491538</x:v>
      </x:c>
      <x:c r="H421" s="13" t="n">
        <x:v>-0.497466327587347</x:v>
      </x:c>
      <x:c r="I421" s="13" t="n">
        <x:v>-0.46027843520127304</x:v>
      </x:c>
      <x:c r="J421" s="13" t="n">
        <x:v>-0.5274465865947039</x:v>
      </x:c>
      <x:c r="K421" s="13" t="n">
        <x:v>-0.5306238581763676</x:v>
      </x:c>
      <x:c r="L421" s="13" t="n">
        <x:v>-0.6540733988156993</x:v>
      </x:c>
      <x:c r="M421" s="13" t="n">
        <x:v>-0.6491396864666154</x:v>
      </x:c>
      <x:c r="N421" s="13" t="n">
        <x:v>-0.7216149855326618</x:v>
      </x:c>
      <x:c r="O421" s="13" t="n">
        <x:v>-0.09677286448046299</x:v>
      </x:c>
      <x:c r="P421" s="13" t="n">
        <x:v>-0.06854916446605089</x:v>
      </x:c>
      <x:c r="Q421" s="13" t="n">
        <x:v>-0.5387559733630672</x:v>
      </x:c>
      <x:c r="R421" s="13" t="n">
        <x:v>-1.0187696977827554</x:v>
      </x:c>
      <x:c r="S421" s="13" t="n">
        <x:v>-0.4097778357940787</x:v>
      </x:c>
      <x:c r="T421" s="13" t="n">
        <x:v>0.35324309846351976</x:v>
      </x:c>
      <x:c r="U421" s="13" t="n">
        <x:v>-0.4932922852676269</x:v>
      </x:c>
      <x:c r="V421" s="13" t="n">
        <x:v>-0.4829490853353878</x:v>
      </x:c>
      <x:c r="W421" s="13" t="n">
        <x:v>-0.5452677783767343</x:v>
      </x:c>
      <x:c r="X421" s="13" t="n">
        <x:v>-0.3910667203118402</x:v>
      </x:c>
      <x:c r="Y421" s="13" t="n">
        <x:v>-0.5525422855025895</x:v>
      </x:c>
      <x:c r="Z421" s="13" t="n">
        <x:v>-0.4778255872221869</x:v>
      </x:c>
      <x:c r="AA421" s="13" t="n">
        <x:v>-0.22539190951939572</x:v>
      </x:c>
      <x:c r="AB421" s="13" t="n">
        <x:v>-0.23336163026011705</x:v>
      </x:c>
      <x:c r="AC421" s="13" t="n">
        <x:v>-0.6980651016988949</x:v>
      </x:c>
      <x:c r="AD421" s="13" t="n">
        <x:v>-0.8963430410711252</x:v>
      </x:c>
      <x:c r="AE421" s="13" t="n">
        <x:v>-1.1827033547485428</x:v>
      </x:c>
      <x:c r="AF421" s="13" t="n">
        <x:v>-0.5715556561446711</x:v>
      </x:c>
      <x:c r="AG421" s="13" t="n">
        <x:v>-0.3245672497358108</x:v>
      </x:c>
      <x:c r="AH421" s="13" t="n">
        <x:v>-0.9368785663826754</x:v>
      </x:c>
      <x:c r="AI421" s="13" t="n">
        <x:v>0.2538228060223661</x:v>
      </x:c>
      <x:c r="AJ421" s="13" t="n">
        <x:v>-0.44115900519161283</x:v>
      </x:c>
      <x:c r="AK421" s="13" t="n">
        <x:v>7.277012024670957</x:v>
      </x:c>
      <x:c r="AL421" s="13" t="n">
        <x:v>-0.38389979165682747</x:v>
      </x:c>
      <x:c r="AM421" s="13" t="n">
        <x:v>-0.7815911692517314</x:v>
      </x:c>
      <x:c r="AN421" s="13" t="n">
        <x:v>-0.6216671421939568</x:v>
      </x:c>
      <x:c r="AO421" s="13" t="n">
        <x:v>-0.8444640770522897</x:v>
      </x:c>
      <x:c r="AP421" s="13" t="n">
        <x:v>-0.726798080205829</x:v>
      </x:c>
    </x:row>
    <x:row r="422" ht="15" hidden="0" customHeight="1">
      <x:c r="A422" s="2" t="str">
        <x:v>E421</x:v>
      </x:c>
      <x:c r="B422" s="2" t="str">
        <x:v>***保温材料有限公司</x:v>
      </x:c>
      <x:c r="C422" s="2" t="str">
        <x:v>无信贷记录</x:v>
      </x:c>
      <x:c r="D422" s="2" t="str"/>
      <x:c r="E422" s="2" t="str"/>
      <x:c r="F422" s="13" t="n">
        <x:v>-0.603847679392458</x:v>
      </x:c>
      <x:c r="G422" s="13" t="n">
        <x:v>-0.602387189332443</x:v>
      </x:c>
      <x:c r="H422" s="13" t="n">
        <x:v>-0.518728779362338</x:v>
      </x:c>
      <x:c r="I422" s="13" t="n">
        <x:v>-0.46027843520127304</x:v>
      </x:c>
      <x:c r="J422" s="13" t="n">
        <x:v>-0.5694603773967927</x:v>
      </x:c>
      <x:c r="K422" s="13" t="n">
        <x:v>-0.571894908538695</x:v>
      </x:c>
      <x:c r="L422" s="13" t="n">
        <x:v>-0.699710022631202</x:v>
      </x:c>
      <x:c r="M422" s="13" t="n">
        <x:v>-1.151103901665672</x:v>
      </x:c>
      <x:c r="N422" s="13" t="n">
        <x:v>-0.7216149855326618</x:v>
      </x:c>
      <x:c r="O422" s="13" t="n">
        <x:v>2.116395032850108</x:v>
      </x:c>
      <x:c r="P422" s="13" t="n">
        <x:v>1.9623217714545822</x:v>
      </x:c>
      <x:c r="Q422" s="13" t="n">
        <x:v>-0.5849807183877632</x:v>
      </x:c>
      <x:c r="R422" s="13" t="n">
        <x:v>0.18054774236718377</x:v>
      </x:c>
      <x:c r="S422" s="13" t="n">
        <x:v>0.5271086210856641</x:v>
      </x:c>
      <x:c r="T422" s="13" t="n">
        <x:v>-1.4362412303275232</x:v>
      </x:c>
      <x:c r="U422" s="13" t="n">
        <x:v>-0.5444067829422812</x:v>
      </x:c>
      <x:c r="V422" s="13" t="n">
        <x:v>-0.5311980022884438</x:v>
      </x:c>
      <x:c r="W422" s="13" t="n">
        <x:v>-0.6276896403879745</x:v>
      </x:c>
      <x:c r="X422" s="13" t="n">
        <x:v>-0.3910667203118402</x:v>
      </x:c>
      <x:c r="Y422" s="13" t="n">
        <x:v>-0.5509553094897647</x:v>
      </x:c>
      <x:c r="Z422" s="13" t="n">
        <x:v>-0.47659441363419514</x:v>
      </x:c>
      <x:c r="AA422" s="13" t="n">
        <x:v>-0.38518393847383975</x:v>
      </x:c>
      <x:c r="AB422" s="13" t="n">
        <x:v>-0.7348965839172588</x:v>
      </x:c>
      <x:c r="AC422" s="13" t="n">
        <x:v>-0.6980651016988949</x:v>
      </x:c>
      <x:c r="AD422" s="13" t="n">
        <x:v>0.8976802586083381</x:v>
      </x:c>
      <x:c r="AE422" s="13" t="n">
        <x:v>1.1183916948958947</x:v>
      </x:c>
      <x:c r="AF422" s="13" t="n">
        <x:v>-0.5696791674630379</x:v>
      </x:c>
      <x:c r="AG422" s="13" t="n">
        <x:v>3.3934958042987535</x:v>
      </x:c>
      <x:c r="AH422" s="13" t="n">
        <x:v>-0.08164617939836674</x:v>
      </x:c>
      <x:c r="AI422" s="13" t="n">
        <x:v>-2.2619116286675958</x:v>
      </x:c>
      <x:c r="AJ422" s="13" t="n">
        <x:v>-0.40616714467362863</x:v>
      </x:c>
      <x:c r="AK422" s="13" t="n">
        <x:v>-0.2975431409573708</x:v>
      </x:c>
      <x:c r="AL422" s="13" t="n">
        <x:v>-0.8863591538812269</x:v>
      </x:c>
      <x:c r="AM422" s="13" t="n">
        <x:v>-0.7815911692517314</x:v>
      </x:c>
      <x:c r="AN422" s="13" t="n">
        <x:v>2.0809216796869117</x:v>
      </x:c>
      <x:c r="AO422" s="13" t="n">
        <x:v>1.8526990138554211</x:v>
      </x:c>
      <x:c r="AP422" s="13" t="n">
        <x:v>0.2778512794348631</x:v>
      </x:c>
    </x:row>
    <x:row r="423" ht="15" hidden="0" customHeight="1">
      <x:c r="A423" s="2" t="str">
        <x:v>E422</x:v>
      </x:c>
      <x:c r="B423" s="2" t="str">
        <x:v>***童装店</x:v>
      </x:c>
      <x:c r="C423" s="2" t="str">
        <x:v>无信贷记录</x:v>
      </x:c>
      <x:c r="D423" s="2" t="str"/>
      <x:c r="E423" s="2" t="str"/>
      <x:c r="F423" s="13" t="n">
        <x:v>-0.6112648353138947</x:v>
      </x:c>
      <x:c r="G423" s="13" t="n">
        <x:v>-0.6100591494395083</x:v>
      </x:c>
      <x:c r="H423" s="13" t="n">
        <x:v>-0.518728779362338</x:v>
      </x:c>
      <x:c r="I423" s="13" t="n">
        <x:v>-0.46027843520127304</x:v>
      </x:c>
      <x:c r="J423" s="13" t="n">
        <x:v>-0.5700831751328851</x:v>
      </x:c>
      <x:c r="K423" s="13" t="n">
        <x:v>-0.5725066961503602</x:v>
      </x:c>
      <x:c r="L423" s="13" t="n">
        <x:v>-0.7088373473943025</x:v>
      </x:c>
      <x:c r="M423" s="13" t="n">
        <x:v>-1.151103901665672</x:v>
      </x:c>
      <x:c r="N423" s="13" t="n">
        <x:v>-0.7216149855326618</x:v>
      </x:c>
      <x:c r="O423" s="13" t="n">
        <x:v>1.4449399007097605</x:v>
      </x:c>
      <x:c r="P423" s="13" t="n">
        <x:v>1.4724748996341355</x:v>
      </x:c>
      <x:c r="Q423" s="13" t="n">
        <x:v>-0.5857655993461625</x:v>
      </x:c>
      <x:c r="R423" s="13" t="n">
        <x:v>0.5771222315511311</x:v>
      </x:c>
      <x:c r="S423" s="13" t="n">
        <x:v>-1.1779752966328647</x:v>
      </x:c>
      <x:c r="T423" s="13" t="n">
        <x:v>-2.378075087585967</x:v>
      </x:c>
      <x:c r="U423" s="13" t="n">
        <x:v>-0.5438798293580064</x:v>
      </x:c>
      <x:c r="V423" s="13" t="n">
        <x:v>-0.5317590362065026</x:v>
      </x:c>
      <x:c r="W423" s="13" t="n">
        <x:v>-0.6127038472950217</x:v>
      </x:c>
      <x:c r="X423" s="13" t="n">
        <x:v>-0.3910667203118402</x:v>
      </x:c>
      <x:c r="Y423" s="13" t="n">
        <x:v>-0.5527111236097718</x:v>
      </x:c>
      <x:c r="Z423" s="13" t="n">
        <x:v>-0.47793410401723485</x:v>
      </x:c>
      <x:c r="AA423" s="13" t="n">
        <x:v>-0.35228557957145423</x:v>
      </x:c>
      <x:c r="AB423" s="13" t="n">
        <x:v>-0.19405213389239506</x:v>
      </x:c>
      <x:c r="AC423" s="13" t="n">
        <x:v>-0.6980651016988949</x:v>
      </x:c>
      <x:c r="AD423" s="13" t="n">
        <x:v>-0.45210706062040446</x:v>
      </x:c>
      <x:c r="AE423" s="13" t="n">
        <x:v>-0.2331031089550937</x:v>
      </x:c>
      <x:c r="AF423" s="13" t="n">
        <x:v>-0.5715556561446711</x:v>
      </x:c>
      <x:c r="AG423" s="13" t="n">
        <x:v>1.2052092877096732</x:v>
      </x:c>
      <x:c r="AH423" s="13" t="n">
        <x:v>2.3545430439289174</x:v>
      </x:c>
      <x:c r="AI423" s="13" t="n">
        <x:v>-1.456876609566808</x:v>
      </x:c>
      <x:c r="AJ423" s="13" t="n">
        <x:v>-0.4091496131221776</x:v>
      </x:c>
      <x:c r="AK423" s="13" t="n">
        <x:v>-0.33070388586851307</x:v>
      </x:c>
      <x:c r="AL423" s="13" t="n">
        <x:v>0.31347614481006947</x:v>
      </x:c>
      <x:c r="AM423" s="13" t="n">
        <x:v>-0.7815911692517314</x:v>
      </x:c>
      <x:c r="AN423" s="13" t="n">
        <x:v>0.7635445164948282</x:v>
      </x:c>
      <x:c r="AO423" s="13" t="n">
        <x:v>0.957913696773932</x:v>
      </x:c>
      <x:c r="AP423" s="13" t="n">
        <x:v>0.4602154714737396</x:v>
      </x:c>
    </x:row>
    <x:row r="424" ht="15" hidden="0" customHeight="1">
      <x:c r="A424" s="2" t="str">
        <x:v>E423</x:v>
      </x:c>
      <x:c r="B424" s="2" t="str">
        <x:v>***通风设备有限公司</x:v>
      </x:c>
      <x:c r="C424" s="2" t="str">
        <x:v>无信贷记录</x:v>
      </x:c>
      <x:c r="D424" s="2" t="str"/>
      <x:c r="E424" s="2" t="str"/>
      <x:c r="F424" s="13" t="n">
        <x:v>-0.6029205349022784</x:v>
      </x:c>
      <x:c r="G424" s="13" t="n">
        <x:v>-0.6014281943190598</x:v>
      </x:c>
      <x:c r="H424" s="13" t="n">
        <x:v>-0.518728779362338</x:v>
      </x:c>
      <x:c r="I424" s="13" t="n">
        <x:v>-0.4173966045728936</x:v>
      </x:c>
      <x:c r="J424" s="13" t="n">
        <x:v>-0.5687244004899282</x:v>
      </x:c>
      <x:c r="K424" s="13" t="n">
        <x:v>-0.570776760335929</x:v>
      </x:c>
      <x:c r="L424" s="13" t="n">
        <x:v>-0.6905826978681014</x:v>
      </x:c>
      <x:c r="M424" s="13" t="n">
        <x:v>-1.151103901665672</x:v>
      </x:c>
      <x:c r="N424" s="13" t="n">
        <x:v>4.421082817285615</x:v>
      </x:c>
      <x:c r="O424" s="13" t="n">
        <x:v>0.8458988744654997</x:v>
      </x:c>
      <x:c r="P424" s="13" t="n">
        <x:v>1.0741269544396241</x:v>
      </x:c>
      <x:c r="Q424" s="13" t="n">
        <x:v>-0.5836342793861482</x:v>
      </x:c>
      <x:c r="R424" s="13" t="n">
        <x:v>-0.018467628222897176</x:v>
      </x:c>
      <x:c r="S424" s="13" t="n">
        <x:v>-1.392965091950951</x:v>
      </x:c>
      <x:c r="T424" s="13" t="n">
        <x:v>-1.624608001779212</x:v>
      </x:c>
      <x:c r="U424" s="13" t="n">
        <x:v>-0.554713995050696</x:v>
      </x:c>
      <x:c r="V424" s="13" t="n">
        <x:v>-0.5431368040647349</x:v>
      </x:c>
      <x:c r="W424" s="13" t="n">
        <x:v>-0.6276896403879745</x:v>
      </x:c>
      <x:c r="X424" s="13" t="n">
        <x:v>-0.3910667203118402</x:v>
      </x:c>
      <x:c r="Y424" s="13" t="n">
        <x:v>-0.552610613539661</x:v>
      </x:c>
      <x:c r="Z424" s="13" t="n">
        <x:v>-0.477878596009895</x:v>
      </x:c>
      <x:c r="AA424" s="13" t="n">
        <x:v>-0.39223358681006526</x:v>
      </x:c>
      <x:c r="AB424" s="13" t="n">
        <x:v>0.15973333341710214</x:v>
      </x:c>
      <x:c r="AC424" s="13" t="n">
        <x:v>-0.6980651016988949</x:v>
      </x:c>
      <x:c r="AD424" s="13" t="n">
        <x:v>0.6471606895888683</x:v>
      </x:c>
      <x:c r="AE424" s="13" t="n">
        <x:v>0.6939368870207054</x:v>
      </x:c>
      <x:c r="AF424" s="13" t="n">
        <x:v>-0.5715556561446711</x:v>
      </x:c>
      <x:c r="AG424" s="13" t="n">
        <x:v>2.386886133212866</x:v>
      </x:c>
      <x:c r="AH424" s="13" t="n">
        <x:v>-1.1148698604730112</x:v>
      </x:c>
      <x:c r="AI424" s="13" t="n">
        <x:v>-2.161282251279997</x:v>
      </x:c>
      <x:c r="AJ424" s="13" t="n">
        <x:v>-0.40947211551504564</x:v>
      </x:c>
      <x:c r="AK424" s="13" t="n">
        <x:v>0.08284085284261751</x:v>
      </x:c>
      <x:c r="AL424" s="13" t="n">
        <x:v>-0.631567874236357</x:v>
      </x:c>
      <x:c r="AM424" s="13" t="n">
        <x:v>1.395596668404232</x:v>
      </x:c>
      <x:c r="AN424" s="13" t="n">
        <x:v>1.0107636376200573</x:v>
      </x:c>
      <x:c r="AO424" s="13" t="n">
        <x:v>1.1104629250520377</x:v>
      </x:c>
      <x:c r="AP424" s="13" t="n">
        <x:v>-1.418741694426411</x:v>
      </x:c>
    </x:row>
    <x:row r="425" ht="15" hidden="0" customHeight="1">
      <x:c r="A425" s="2" t="str">
        <x:v>E424</x:v>
      </x:c>
      <x:c r="B425" s="2" t="str">
        <x:v>***贸易有限公司</x:v>
      </x:c>
      <x:c r="C425" s="2" t="str">
        <x:v>无信贷记录</x:v>
      </x:c>
      <x:c r="D425" s="2" t="str"/>
      <x:c r="E425" s="2" t="str"/>
      <x:c r="F425" s="13" t="n">
        <x:v>-0.6010662459219192</x:v>
      </x:c>
      <x:c r="G425" s="13" t="n">
        <x:v>-0.5995102042922934</x:v>
      </x:c>
      <x:c r="H425" s="13" t="n">
        <x:v>-0.518728779362338</x:v>
      </x:c>
      <x:c r="I425" s="13" t="n">
        <x:v>-0.46027843520127304</x:v>
      </x:c>
      <x:c r="J425" s="13" t="n">
        <x:v>-0.5646745651205853</x:v>
      </x:c>
      <x:c r="K425" s="13" t="n">
        <x:v>-0.5671937022036985</x:v>
      </x:c>
      <x:c r="L425" s="13" t="n">
        <x:v>-0.6753704899296005</x:v>
      </x:c>
      <x:c r="M425" s="13" t="n">
        <x:v>-1.151103901665672</x:v>
      </x:c>
      <x:c r="N425" s="13" t="n">
        <x:v>-0.7216149855326618</x:v>
      </x:c>
      <x:c r="O425" s="13" t="n">
        <x:v>1.6050262242505569</x:v>
      </x:c>
      <x:c r="P425" s="13" t="n">
        <x:v>1.6474455849776637</x:v>
      </x:c>
      <x:c r="Q425" s="13" t="n">
        <x:v>-0.576833237810896</x:v>
      </x:c>
      <x:c r="R425" s="13" t="n">
        <x:v>0.007934219641930775</x:v>
      </x:c>
      <x:c r="S425" s="13" t="n">
        <x:v>-1.0426033088329383</x:v>
      </x:c>
      <x:c r="T425" s="13" t="n">
        <x:v>-1.5304246160533677</x:v>
      </x:c>
      <x:c r="U425" s="13" t="n">
        <x:v>-0.5370294327624341</x:v>
      </x:c>
      <x:c r="V425" s="13" t="n">
        <x:v>-0.5261486970259147</x:v>
      </x:c>
      <x:c r="W425" s="13" t="n">
        <x:v>-0.5902251576555926</x:v>
      </x:c>
      <x:c r="X425" s="13" t="n">
        <x:v>-0.3496979040701705</x:v>
      </x:c>
      <x:c r="Y425" s="13" t="n">
        <x:v>-0.5525712686399796</x:v>
      </x:c>
      <x:c r="Z425" s="13" t="n">
        <x:v>-0.47783004215721375</x:v>
      </x:c>
      <x:c r="AA425" s="13" t="n">
        <x:v>-0.3499356967927124</x:v>
      </x:c>
      <x:c r="AB425" s="13" t="n">
        <x:v>0.13230810339311014</x:v>
      </x:c>
      <x:c r="AC425" s="13" t="n">
        <x:v>1.1107907528783285</x:v>
      </x:c>
      <x:c r="AD425" s="13" t="n">
        <x:v>1.9003318809523</x:v>
      </x:c>
      <x:c r="AE425" s="13" t="n">
        <x:v>1.8844216912152054</x:v>
      </x:c>
      <x:c r="AF425" s="13" t="n">
        <x:v>-0.5714030148644335</x:v>
      </x:c>
      <x:c r="AG425" s="13" t="n">
        <x:v>3.3934958042987535</x:v>
      </x:c>
      <x:c r="AH425" s="13" t="n">
        <x:v>-2.886310482988939</x:v>
      </x:c>
      <x:c r="AI425" s="13" t="n">
        <x:v>-1.456876609566808</x:v>
      </x:c>
      <x:c r="AJ425" s="13" t="n">
        <x:v>-0.4125269786700044</x:v>
      </x:c>
      <x:c r="AK425" s="13" t="n">
        <x:v>0.8484145929612038</x:v>
      </x:c>
      <x:c r="AL425" s="13" t="n">
        <x:v>0.2676954656867132</x:v>
      </x:c>
      <x:c r="AM425" s="13" t="n">
        <x:v>1.114669205480882</x:v>
      </x:c>
      <x:c r="AN425" s="13" t="n">
        <x:v>2.33164707102841</x:v>
      </x:c>
      <x:c r="AO425" s="13" t="n">
        <x:v>2.1635469025774965</x:v>
      </x:c>
      <x:c r="AP425" s="13" t="n">
        <x:v>-2.0962354638500194</x:v>
      </x:c>
    </x:row>
    <x:row r="426" ht="15" hidden="0" customHeight="1">
      <x:c r="A426" s="2" t="str">
        <x:v>E425</x:v>
      </x:c>
      <x:c r="B426" s="2" t="str">
        <x:v>***商贸有限公司</x:v>
      </x:c>
      <x:c r="C426" s="2" t="str">
        <x:v>无信贷记录</x:v>
      </x:c>
      <x:c r="D426" s="2" t="str"/>
      <x:c r="E426" s="2" t="str"/>
      <x:c r="F426" s="13" t="n">
        <x:v>-0.5579540271285679</x:v>
      </x:c>
      <x:c r="G426" s="13" t="n">
        <x:v>-0.5558759311833592</x:v>
      </x:c>
      <x:c r="H426" s="13" t="n">
        <x:v>-0.497466327587347</x:v>
      </x:c>
      <x:c r="I426" s="13" t="n">
        <x:v>-0.33163294331613485</x:v>
      </x:c>
      <x:c r="J426" s="13" t="n">
        <x:v>-0.5688634933146602</x:v>
      </x:c>
      <x:c r="K426" s="13" t="n">
        <x:v>-0.5712868767266579</x:v>
      </x:c>
      <x:c r="L426" s="13" t="n">
        <x:v>-0.6297338661140979</x:v>
      </x:c>
      <x:c r="M426" s="13" t="n">
        <x:v>-0.5002519955177426</x:v>
      </x:c>
      <x:c r="N426" s="13" t="n">
        <x:v>2.0714019246186446</x:v>
      </x:c>
      <x:c r="O426" s="13" t="n">
        <x:v>-0.6925175189454195</x:v>
      </x:c>
      <x:c r="P426" s="13" t="n">
        <x:v>-0.838915853420134</x:v>
      </x:c>
      <x:c r="Q426" s="13" t="n">
        <x:v>-0.5839361572939606</x:v>
      </x:c>
      <x:c r="R426" s="13" t="n">
        <x:v>-0.2990734035408396</x:v>
      </x:c>
      <x:c r="S426" s="13" t="n">
        <x:v>-0.9887708705743131</x:v>
      </x:c>
      <x:c r="T426" s="13" t="n">
        <x:v>-0.6827741445207682</x:v>
      </x:c>
      <x:c r="U426" s="13" t="n">
        <x:v>-0.5502032723693038</x:v>
      </x:c>
      <x:c r="V426" s="13" t="n">
        <x:v>-0.541296612813502</x:v>
      </x:c>
      <x:c r="W426" s="13" t="n">
        <x:v>-0.5752393645626398</x:v>
      </x:c>
      <x:c r="X426" s="13" t="n">
        <x:v>-0.3910667203118402</x:v>
      </x:c>
      <x:c r="Y426" s="13" t="n">
        <x:v>-0.5524924849697627</x:v>
      </x:c>
      <x:c r="Z426" s="13" t="n">
        <x:v>-0.47778695204422017</x:v>
      </x:c>
      <x:c r="AA426" s="13" t="n">
        <x:v>-0.3945834695888071</x:v>
      </x:c>
      <x:c r="AB426" s="13" t="n">
        <x:v>2.6493347700394905</x:v>
      </x:c>
      <x:c r="AC426" s="13" t="n">
        <x:v>-0.6980651016988949</x:v>
      </x:c>
      <x:c r="AD426" s="13" t="n">
        <x:v>2.787445573990802</x:v>
      </x:c>
      <x:c r="AE426" s="13" t="n">
        <x:v>2.3815189733729114</x:v>
      </x:c>
      <x:c r="AF426" s="13" t="n">
        <x:v>-0.5705831804355357</x:v>
      </x:c>
      <x:c r="AG426" s="13" t="n">
        <x:v>2.0778295866725296</x:v>
      </x:c>
      <x:c r="AH426" s="13" t="n">
        <x:v>-3.3010844219728446</x:v>
      </x:c>
      <x:c r="AI426" s="13" t="n">
        <x:v>-2.3625410060551943</x:v>
      </x:c>
      <x:c r="AJ426" s="13" t="n">
        <x:v>-0.4091695676052111</x:v>
      </x:c>
      <x:c r="AK426" s="13" t="n">
        <x:v>-0.08511572816929504</x:v>
      </x:c>
      <x:c r="AL426" s="13" t="n">
        <x:v>0.015901730508253564</x:v>
      </x:c>
      <x:c r="AM426" s="13" t="n">
        <x:v>0.6180295835271022</x:v>
      </x:c>
      <x:c r="AN426" s="13" t="n">
        <x:v>1.2240030139367273</x:v>
      </x:c>
      <x:c r="AO426" s="13" t="n">
        <x:v>0.7746812048850864</x:v>
      </x:c>
      <x:c r="AP426" s="13" t="n">
        <x:v>-3.3563144485995466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</x:cols>
  <x:sheetData>
    <x:row r="1" ht="24" hidden="0" customHeight="1">
      <x:c r="A1" s="4" t="str">
        <x:v>企业代号</x:v>
      </x:c>
      <x:c r="B1" s="4" t="str">
        <x:v>企业名称</x:v>
      </x:c>
      <x:c r="C1" s="4" t="str">
        <x:v>样本类型</x:v>
      </x:c>
      <x:c r="D1" s="4" t="str">
        <x:v>信誉评级</x:v>
      </x:c>
      <x:c r="E1" s="4" t="str">
        <x:v>是否违约</x:v>
      </x:c>
      <x:c r="F1" s="4" t="str">
        <x:v>进项_发票总数</x:v>
      </x:c>
      <x:c r="G1" s="4" t="str">
        <x:v>进项_有效票数</x:v>
      </x:c>
      <x:c r="H1" s="4" t="str">
        <x:v>进项_作废票数</x:v>
      </x:c>
      <x:c r="I1" s="4" t="str">
        <x:v>进项_负数票数</x:v>
      </x:c>
      <x:c r="J1" s="4" t="str">
        <x:v>进项_有效价税合计</x:v>
      </x:c>
      <x:c r="K1" s="4" t="str">
        <x:v>进项_有效绝对额</x:v>
      </x:c>
      <x:c r="L1" s="4" t="str">
        <x:v>进项_交易对手数</x:v>
      </x:c>
      <x:c r="M1" s="4" t="str">
        <x:v>进项_作废率</x:v>
      </x:c>
      <x:c r="N1" s="4" t="str">
        <x:v>进项_负数率</x:v>
      </x:c>
      <x:c r="O1" s="4" t="str">
        <x:v>进项_交易集中度HHI</x:v>
      </x:c>
      <x:c r="P1" s="4" t="str">
        <x:v>进项_最大交易对手占比</x:v>
      </x:c>
      <x:c r="Q1" s="4" t="str">
        <x:v>进项_月均额</x:v>
      </x:c>
      <x:c r="R1" s="4" t="str">
        <x:v>进项_月波动率</x:v>
      </x:c>
      <x:c r="S1" s="4" t="str">
        <x:v>进项_月趋势</x:v>
      </x:c>
      <x:c r="T1" s="4" t="str">
        <x:v>进项_活跃月数</x:v>
      </x:c>
      <x:c r="U1" s="4" t="str">
        <x:v>销项_发票总数</x:v>
      </x:c>
      <x:c r="V1" s="4" t="str">
        <x:v>销项_有效票数</x:v>
      </x:c>
      <x:c r="W1" s="4" t="str">
        <x:v>销项_作废票数</x:v>
      </x:c>
      <x:c r="X1" s="4" t="str">
        <x:v>销项_负数票数</x:v>
      </x:c>
      <x:c r="Y1" s="4" t="str">
        <x:v>销项_有效价税合计</x:v>
      </x:c>
      <x:c r="Z1" s="4" t="str">
        <x:v>销项_有效绝对额</x:v>
      </x:c>
      <x:c r="AA1" s="4" t="str">
        <x:v>销项_交易对手数</x:v>
      </x:c>
      <x:c r="AB1" s="4" t="str">
        <x:v>销项_作废率</x:v>
      </x:c>
      <x:c r="AC1" s="4" t="str">
        <x:v>销项_负数率</x:v>
      </x:c>
      <x:c r="AD1" s="4" t="str">
        <x:v>销项_交易集中度HHI</x:v>
      </x:c>
      <x:c r="AE1" s="4" t="str">
        <x:v>销项_最大交易对手占比</x:v>
      </x:c>
      <x:c r="AF1" s="4" t="str">
        <x:v>销项_月均额</x:v>
      </x:c>
      <x:c r="AG1" s="4" t="str">
        <x:v>销项_月波动率</x:v>
      </x:c>
      <x:c r="AH1" s="4" t="str">
        <x:v>销项_月趋势</x:v>
      </x:c>
      <x:c r="AI1" s="4" t="str">
        <x:v>销项_活跃月数</x:v>
      </x:c>
      <x:c r="AJ1" s="4" t="str">
        <x:v>净流入代理</x:v>
      </x:c>
      <x:c r="AK1" s="4" t="str">
        <x:v>进销比</x:v>
      </x:c>
      <x:c r="AL1" s="4" t="str">
        <x:v>综合作废率</x:v>
      </x:c>
      <x:c r="AM1" s="4" t="str">
        <x:v>综合负数率</x:v>
      </x:c>
      <x:c r="AN1" s="4" t="str">
        <x:v>上下游集中度</x:v>
      </x:c>
      <x:c r="AO1" s="4" t="str">
        <x:v>经营波动率</x:v>
      </x:c>
      <x:c r="AP1" s="4" t="str">
        <x:v>经营趋势</x:v>
      </x:c>
    </x:row>
    <x:row r="2" ht="15" hidden="0" customHeight="1">
      <x:c r="A2" s="2" t="str">
        <x:v>E1</x:v>
      </x:c>
      <x:c r="B2" s="2" t="str">
        <x:v>***电器销售有限公司</x:v>
      </x:c>
      <x:c r="C2" s="2" t="str">
        <x:v>有信贷记录</x:v>
      </x:c>
      <x:c r="D2" s="2" t="str">
        <x:v>A</x:v>
      </x:c>
      <x:c r="E2" s="2" t="str">
        <x:v>否</x:v>
      </x:c>
      <x:c r="F2" s="13" t="n">
        <x:v>0.25706921657801185</x:v>
      </x:c>
      <x:c r="G2" s="13" t="n">
        <x:v>0.24774685414142408</x:v>
      </x:c>
      <x:c r="H2" s="13" t="n">
        <x:v>0.3490909090909091</x:v>
      </x:c>
      <x:c r="I2" s="13" t="n">
        <x:v>0.4740918803418811</x:v>
      </x:c>
      <x:c r="J2" s="13" t="n">
        <x:v>1</x:v>
      </x:c>
      <x:c r="K2" s="13" t="n">
        <x:v>1</x:v>
      </x:c>
      <x:c r="L2" s="13" t="n">
        <x:v>0.27121849262235936</x:v>
      </x:c>
      <x:c r="M2" s="13" t="n">
        <x:v>0.43784941558680784</x:v>
      </x:c>
      <x:c r="N2" s="13" t="n">
        <x:v>0.45022254579136833</x:v>
      </x:c>
      <x:c r="O2" s="13" t="n">
        <x:v>0.9909785738829022</x:v>
      </x:c>
      <x:c r="P2" s="13" t="n">
        <x:v>0.9953273582329236</x:v>
      </x:c>
      <x:c r="Q2" s="13" t="n">
        <x:v>1</x:v>
      </x:c>
      <x:c r="R2" s="13" t="n">
        <x:v>0.03732385611966508</x:v>
      </x:c>
      <x:c r="S2" s="13" t="n">
        <x:v>0.5181855886033375</x:v>
      </x:c>
      <x:c r="T2" s="13" t="n">
        <x:v>0.8055555555555556</x:v>
      </x:c>
      <x:c r="U2" s="13" t="n">
        <x:v>0.7077073613950489</x:v>
      </x:c>
      <x:c r="V2" s="13" t="n">
        <x:v>0.7352790769724645</x:v>
      </x:c>
      <x:c r="W2" s="13" t="n">
        <x:v>0.2766251728907333</x:v>
      </x:c>
      <x:c r="X2" s="13" t="n">
        <x:v>0.6461852397687347</x:v>
      </x:c>
      <x:c r="Y2" s="13" t="n">
        <x:v>1</x:v>
      </x:c>
      <x:c r="Z2" s="13" t="n">
        <x:v>1</x:v>
      </x:c>
      <x:c r="AA2" s="13" t="n">
        <x:v>0.13297279629161907</x:v>
      </x:c>
      <x:c r="AB2" s="13" t="n">
        <x:v>0.03394724552895344</x:v>
      </x:c>
      <x:c r="AC2" s="13" t="n">
        <x:v>0.16217078620085543</x:v>
      </x:c>
      <x:c r="AD2" s="13" t="n">
        <x:v>0.0691795513386927</x:v>
      </x:c>
      <x:c r="AE2" s="13" t="n">
        <x:v>0.15471412748064534</x:v>
      </x:c>
      <x:c r="AF2" s="13" t="n">
        <x:v>1</x:v>
      </x:c>
      <x:c r="AG2" s="13" t="n">
        <x:v>0.06231395721782485</x:v>
      </x:c>
      <x:c r="AH2" s="13" t="n">
        <x:v>0.45572818278664246</x:v>
      </x:c>
      <x:c r="AI2" s="13" t="n">
        <x:v>0.7647058823529411</x:v>
      </x:c>
      <x:c r="AJ2" s="13" t="n">
        <x:v>0</x:v>
      </x:c>
      <x:c r="AK2" s="13" t="n">
        <x:v>0.07313636232221639</x:v>
      </x:c>
      <x:c r="AL2" s="13" t="n">
        <x:v>0.09786869942788572</x:v>
      </x:c>
      <x:c r="AM2" s="13" t="n">
        <x:v>0.260507073970069</x:v>
      </x:c>
      <x:c r="AN2" s="13" t="n">
        <x:v>0.6117929484421915</x:v>
      </x:c>
      <x:c r="AO2" s="13" t="n">
        <x:v>0.04109296323948172</x:v>
      </x:c>
      <x:c r="AP2" s="13" t="n">
        <x:v>0.4431897101958259</x:v>
      </x:c>
    </x:row>
    <x:row r="3" ht="15" hidden="0" customHeight="1">
      <x:c r="A3" s="2" t="str">
        <x:v>E2</x:v>
      </x:c>
      <x:c r="B3" s="2" t="str">
        <x:v>***技术有限责任公司</x:v>
      </x:c>
      <x:c r="C3" s="2" t="str">
        <x:v>有信贷记录</x:v>
      </x:c>
      <x:c r="D3" s="2" t="str">
        <x:v>A</x:v>
      </x:c>
      <x:c r="E3" s="2" t="str">
        <x:v>否</x:v>
      </x:c>
      <x:c r="F3" s="13" t="n">
        <x:v>1</x:v>
      </x:c>
      <x:c r="G3" s="13" t="n">
        <x:v>1</x:v>
      </x:c>
      <x:c r="H3" s="13" t="n">
        <x:v>1</x:v>
      </x:c>
      <x:c r="I3" s="13" t="n">
        <x:v>1</x:v>
      </x:c>
      <x:c r="J3" s="13" t="n">
        <x:v>0.5560477420669053</x:v>
      </x:c>
      <x:c r="K3" s="13" t="n">
        <x:v>0.5589937533234289</x:v>
      </x:c>
      <x:c r="L3" s="13" t="n">
        <x:v>1</x:v>
      </x:c>
      <x:c r="M3" s="13" t="n">
        <x:v>0.17594683663618738</x:v>
      </x:c>
      <x:c r="N3" s="13" t="n">
        <x:v>0.10224209401428849</x:v>
      </x:c>
      <x:c r="O3" s="13" t="n">
        <x:v>0.058049544701709116</x:v>
      </x:c>
      <x:c r="P3" s="13" t="n">
        <x:v>0.2151886345761971</x:v>
      </x:c>
      <x:c r="Q3" s="13" t="n">
        <x:v>0.5444090687696307</x:v>
      </x:c>
      <x:c r="R3" s="13" t="n">
        <x:v>0.08400139943559744</x:v>
      </x:c>
      <x:c r="S3" s="13" t="n">
        <x:v>0.6088851790271489</x:v>
      </x:c>
      <x:c r="T3" s="13" t="n">
        <x:v>1</x:v>
      </x:c>
      <x:c r="U3" s="13" t="n">
        <x:v>0.9210532753228154</x:v>
      </x:c>
      <x:c r="V3" s="13" t="n">
        <x:v>0.9024117117890574</x:v>
      </x:c>
      <x:c r="W3" s="13" t="n">
        <x:v>1</x:v>
      </x:c>
      <x:c r="X3" s="13" t="n">
        <x:v>0.8729169028454837</x:v>
      </x:c>
      <x:c r="Y3" s="13" t="n">
        <x:v>0.7892990266970219</x:v>
      </x:c>
      <x:c r="Z3" s="13" t="n">
        <x:v>0.5574802618309518</x:v>
      </x:c>
      <x:c r="AA3" s="13" t="n">
        <x:v>0.5976347185285337</x:v>
      </x:c>
      <x:c r="AB3" s="13" t="n">
        <x:v>0.10191794255525183</x:v>
      </x:c>
      <x:c r="AC3" s="13" t="n">
        <x:v>0.17852725333256433</x:v>
      </x:c>
      <x:c r="AD3" s="13" t="n">
        <x:v>0.004758073448349051</x:v>
      </x:c>
      <x:c r="AE3" s="13" t="n">
        <x:v>0.01900027787105774</x:v>
      </x:c>
      <x:c r="AF3" s="13" t="n">
        <x:v>0.7776618732952683</x:v>
      </x:c>
      <x:c r="AG3" s="13" t="n">
        <x:v>0.12564885358293573</x:v>
      </x:c>
      <x:c r="AH3" s="13" t="n">
        <x:v>0.6029877014946747</x:v>
      </x:c>
      <x:c r="AI3" s="13" t="n">
        <x:v>0.9705882352941176</x:v>
      </x:c>
      <x:c r="AJ3" s="13" t="n">
        <x:v>0.9287810438208933</x:v>
      </x:c>
      <x:c r="AK3" s="13" t="n">
        <x:v>0.01367484199361055</x:v>
      </x:c>
      <x:c r="AL3" s="13" t="n">
        <x:v>0.10170263818690026</x:v>
      </x:c>
      <x:c r="AM3" s="13" t="n">
        <x:v>0.10949339699633773</x:v>
      </x:c>
      <x:c r="AN3" s="13" t="n">
        <x:v>0.014621985897060513</x:v>
      </x:c>
      <x:c r="AO3" s="13" t="n">
        <x:v>0.10723247888387315</x:v>
      </x:c>
      <x:c r="AP3" s="13" t="n">
        <x:v>0.5745306883406619</x:v>
      </x:c>
    </x:row>
    <x:row r="4" ht="15" hidden="0" customHeight="1">
      <x:c r="A4" s="2" t="str">
        <x:v>E3</x:v>
      </x:c>
      <x:c r="B4" s="2" t="str">
        <x:v>***电子(中国)有限公司***分公司</x:v>
      </x:c>
      <x:c r="C4" s="2" t="str">
        <x:v>有信贷记录</x:v>
      </x:c>
      <x:c r="D4" s="2" t="str">
        <x:v>C</x:v>
      </x:c>
      <x:c r="E4" s="2" t="str">
        <x:v>否</x:v>
      </x:c>
      <x:c r="F4" s="13" t="n">
        <x:v>0.34079050839754466</x:v>
      </x:c>
      <x:c r="G4" s="13" t="n">
        <x:v>0.33305051380576417</x:v>
      </x:c>
      <x:c r="H4" s="13" t="n">
        <x:v>0.3527272727272727</x:v>
      </x:c>
      <x:c r="I4" s="13" t="n">
        <x:v>0.17361111111111138</x:v>
      </x:c>
      <x:c r="J4" s="13" t="n">
        <x:v>0.18540511987592048</x:v>
      </x:c>
      <x:c r="K4" s="13" t="n">
        <x:v>0.18634847077595265</x:v>
      </x:c>
      <x:c r="L4" s="13" t="n">
        <x:v>0.3558187563761228</x:v>
      </x:c>
      <x:c r="M4" s="13" t="n">
        <x:v>0.3337719807112794</x:v>
      </x:c>
      <x:c r="N4" s="13" t="n">
        <x:v>0.12266163748336611</x:v>
      </x:c>
      <x:c r="O4" s="13" t="n">
        <x:v>0.3926924175809844</x:v>
      </x:c>
      <x:c r="P4" s="13" t="n">
        <x:v>0.6052405276574768</x:v>
      </x:c>
      <x:c r="Q4" s="13" t="n">
        <x:v>0.18152238805642085</x:v>
      </x:c>
      <x:c r="R4" s="13" t="n">
        <x:v>0.07350537579059557</x:v>
      </x:c>
      <x:c r="S4" s="13" t="n">
        <x:v>0.5417256886716609</x:v>
      </x:c>
      <x:c r="T4" s="13" t="n">
        <x:v>1</x:v>
      </x:c>
      <x:c r="U4" s="13" t="n">
        <x:v>1</x:v>
      </x:c>
      <x:c r="V4" s="13" t="n">
        <x:v>1</x:v>
      </x:c>
      <x:c r="W4" s="13" t="n">
        <x:v>0.47544951590594786</x:v>
      </x:c>
      <x:c r="X4" s="13" t="n">
        <x:v>1</x:v>
      </x:c>
      <x:c r="Y4" s="13" t="n">
        <x:v>0.9881412169352671</x:v>
      </x:c>
      <x:c r="Z4" s="13" t="n">
        <x:v>1</x:v>
      </x:c>
      <x:c r="AA4" s="13" t="n">
        <x:v>0.04977194051138814</x:v>
      </x:c>
      <x:c r="AB4" s="13" t="n">
        <x:v>0.019656576958872077</x:v>
      </x:c>
      <x:c r="AC4" s="13" t="n">
        <x:v>1</x:v>
      </x:c>
      <x:c r="AD4" s="13" t="n">
        <x:v>0.13948144101402582</x:v>
      </x:c>
      <x:c r="AE4" s="13" t="n">
        <x:v>0.23627168731047707</x:v>
      </x:c>
      <x:c r="AF4" s="13" t="n">
        <x:v>0.9479598435059902</x:v>
      </x:c>
      <x:c r="AG4" s="13" t="n">
        <x:v>0.142769165505813</x:v>
      </x:c>
      <x:c r="AH4" s="13" t="n">
        <x:v>0.39353140058723185</x:v>
      </x:c>
      <x:c r="AI4" s="13" t="n">
        <x:v>1</x:v>
      </x:c>
      <x:c r="AJ4" s="13" t="n">
        <x:v>1</x:v>
      </x:c>
      <x:c r="AK4" s="13" t="n">
        <x:v>0.0022701233532452275</x:v>
      </x:c>
      <x:c r="AL4" s="13" t="n">
        <x:v>0.0532094478937595</x:v>
      </x:c>
      <x:c r="AM4" s="13" t="n">
        <x:v>1</x:v>
      </x:c>
      <x:c r="AN4" s="13" t="n">
        <x:v>0.2948974416256784</x:v>
      </x:c>
      <x:c r="AO4" s="13" t="n">
        <x:v>0.10824978785436877</x:v>
      </x:c>
      <x:c r="AP4" s="13" t="n">
        <x:v>0.4287459807408951</x:v>
      </x:c>
    </x:row>
    <x:row r="5" ht="15" hidden="0" customHeight="1">
      <x:c r="A5" s="2" t="str">
        <x:v>E4</x:v>
      </x:c>
      <x:c r="B5" s="2" t="str">
        <x:v>***发展有限责任公司</x:v>
      </x:c>
      <x:c r="C5" s="2" t="str">
        <x:v>有信贷记录</x:v>
      </x:c>
      <x:c r="D5" s="2" t="str">
        <x:v>C</x:v>
      </x:c>
      <x:c r="E5" s="2" t="str">
        <x:v>否</x:v>
      </x:c>
      <x:c r="F5" s="13" t="n">
        <x:v>0.041561641296125204</x:v>
      </x:c>
      <x:c r="G5" s="13" t="n">
        <x:v>0.03959982054185374</x:v>
      </x:c>
      <x:c r="H5" s="13" t="n">
        <x:v>0.06727272727272728</x:v>
      </x:c>
      <x:c r="I5" s="13" t="n">
        <x:v>0.026709401709401753</x:v>
      </x:c>
      <x:c r="J5" s="13" t="n">
        <x:v>0.8712101323750772</x:v>
      </x:c>
      <x:c r="K5" s="13" t="n">
        <x:v>0.8947652933055595</x:v>
      </x:c>
      <x:c r="L5" s="13" t="n">
        <x:v>0.08086789917639155</x:v>
      </x:c>
      <x:c r="M5" s="13" t="n">
        <x:v>0.5203262586270312</x:v>
      </x:c>
      <x:c r="N5" s="13" t="n">
        <x:v>0.15817610243314922</x:v>
      </x:c>
      <x:c r="O5" s="13" t="n">
        <x:v>0.8800207876856501</x:v>
      </x:c>
      <x:c r="P5" s="13" t="n">
        <x:v>0.9357123035643166</x:v>
      </x:c>
      <x:c r="Q5" s="13" t="n">
        <x:v>0.852976478066778</x:v>
      </x:c>
      <x:c r="R5" s="13" t="n">
        <x:v>0.34816128954784054</x:v>
      </x:c>
      <x:c r="S5" s="13" t="n">
        <x:v>0.5432561860367209</x:v>
      </x:c>
      <x:c r="T5" s="13" t="n">
        <x:v>1</x:v>
      </x:c>
      <x:c r="U5" s="13" t="n">
        <x:v>0.19408712061644934</x:v>
      </x:c>
      <x:c r="V5" s="13" t="n">
        <x:v>0.18983505100764855</x:v>
      </x:c>
      <x:c r="W5" s="13" t="n">
        <x:v>0.23463742343410413</x:v>
      </x:c>
      <x:c r="X5" s="13" t="n">
        <x:v>0.025507312096134264</x:v>
      </x:c>
      <x:c r="Y5" s="13" t="n">
        <x:v>1</x:v>
      </x:c>
      <x:c r="Z5" s="13" t="n">
        <x:v>1</x:v>
      </x:c>
      <x:c r="AA5" s="13" t="n">
        <x:v>0.00891437740502474</x:v>
      </x:c>
      <x:c r="AB5" s="13" t="n">
        <x:v>0.10467221344441226</x:v>
      </x:c>
      <x:c r="AC5" s="13" t="n">
        <x:v>0.024733982696432594</x:v>
      </x:c>
      <x:c r="AD5" s="13" t="n">
        <x:v>0.3313003535783706</x:v>
      </x:c>
      <x:c r="AE5" s="13" t="n">
        <x:v>0.5411450347642648</x:v>
      </x:c>
      <x:c r="AF5" s="13" t="n">
        <x:v>1</x:v>
      </x:c>
      <x:c r="AG5" s="13" t="n">
        <x:v>0.3383978224127087</x:v>
      </x:c>
      <x:c r="AH5" s="13" t="n">
        <x:v>0.23291795468908355</x:v>
      </x:c>
      <x:c r="AI5" s="13" t="n">
        <x:v>0.9117647058823529</x:v>
      </x:c>
      <x:c r="AJ5" s="13" t="n">
        <x:v>1</x:v>
      </x:c>
      <x:c r="AK5" s="13" t="n">
        <x:v>0.005703563816504895</x:v>
      </x:c>
      <x:c r="AL5" s="13" t="n">
        <x:v>0.2261812611554368</x:v>
      </x:c>
      <x:c r="AM5" s="13" t="n">
        <x:v>0.04922693324944369</x:v>
      </x:c>
      <x:c r="AN5" s="13" t="n">
        <x:v>0.7004634302103989</x:v>
      </x:c>
      <x:c r="AO5" s="13" t="n">
        <x:v>0.40772393504521254</x:v>
      </x:c>
      <x:c r="AP5" s="13" t="n">
        <x:v>0.35213583892424394</x:v>
      </x:c>
    </x:row>
    <x:row r="6" ht="15" hidden="0" customHeight="1">
      <x:c r="A6" s="2" t="str">
        <x:v>E5</x:v>
      </x:c>
      <x:c r="B6" s="2" t="str">
        <x:v>***供应链管理有限公司</x:v>
      </x:c>
      <x:c r="C6" s="2" t="str">
        <x:v>有信贷记录</x:v>
      </x:c>
      <x:c r="D6" s="2" t="str">
        <x:v>B</x:v>
      </x:c>
      <x:c r="E6" s="2" t="str">
        <x:v>否</x:v>
      </x:c>
      <x:c r="F6" s="13" t="n">
        <x:v>0.1619857494401139</x:v>
      </x:c>
      <x:c r="G6" s="13" t="n">
        <x:v>0.15885708356096243</x:v>
      </x:c>
      <x:c r="H6" s="13" t="n">
        <x:v>0.15454545454545454</x:v>
      </x:c>
      <x:c r="I6" s="13" t="n">
        <x:v>0.10683760683760701</x:v>
      </x:c>
      <x:c r="J6" s="13" t="n">
        <x:v>0.777950320139323</x:v>
      </x:c>
      <x:c r="K6" s="13" t="n">
        <x:v>0.7797834328933608</x:v>
      </x:c>
      <x:c r="L6" s="13" t="n">
        <x:v>0.2438478190549653</x:v>
      </x:c>
      <x:c r="M6" s="13" t="n">
        <x:v>0.3075159115133402</x:v>
      </x:c>
      <x:c r="N6" s="13" t="n">
        <x:v>0.15817610243314922</x:v>
      </x:c>
      <x:c r="O6" s="13" t="n">
        <x:v>0.13264502479594445</x:v>
      </x:c>
      <x:c r="P6" s="13" t="n">
        <x:v>0.23917762428634662</x:v>
      </x:c>
      <x:c r="Q6" s="13" t="n">
        <x:v>0.7822539476671347</x:v>
      </x:c>
      <x:c r="R6" s="13" t="n">
        <x:v>0.1460480472037136</x:v>
      </x:c>
      <x:c r="S6" s="13" t="n">
        <x:v>0.6770804314855006</x:v>
      </x:c>
      <x:c r="T6" s="13" t="n">
        <x:v>0.9722222222222222</x:v>
      </x:c>
      <x:c r="U6" s="13" t="n">
        <x:v>0.09178242560849899</x:v>
      </x:c>
      <x:c r="V6" s="13" t="n">
        <x:v>0.09315754700430393</x:v>
      </x:c>
      <x:c r="W6" s="13" t="n">
        <x:v>0.06792135941513541</x:v>
      </x:c>
      <x:c r="X6" s="13" t="n">
        <x:v>0.028341457884593628</x:v>
      </x:c>
      <x:c r="Y6" s="13" t="n">
        <x:v>0.348651477354719</x:v>
      </x:c>
      <x:c r="Z6" s="13" t="n">
        <x:v>0.23252855205455283</x:v>
      </x:c>
      <x:c r="AA6" s="13" t="n">
        <x:v>0.011514404148156958</x:v>
      </x:c>
      <x:c r="AB6" s="13" t="n">
        <x:v>0.06377261147317084</x:v>
      </x:c>
      <x:c r="AC6" s="13" t="n">
        <x:v>0.05581211573622877</x:v>
      </x:c>
      <x:c r="AD6" s="13" t="n">
        <x:v>0.20270499024184171</x:v>
      </x:c>
      <x:c r="AE6" s="13" t="n">
        <x:v>0.3759789939263836</x:v>
      </x:c>
      <x:c r="AF6" s="13" t="n">
        <x:v>0.3434849374885474</x:v>
      </x:c>
      <x:c r="AG6" s="13" t="n">
        <x:v>0.2301769463825696</x:v>
      </x:c>
      <x:c r="AH6" s="13" t="n">
        <x:v>0.6908399796797213</x:v>
      </x:c>
      <x:c r="AI6" s="13" t="n">
        <x:v>0.8529411764705882</x:v>
      </x:c>
      <x:c r="AJ6" s="13" t="n">
        <x:v>0.15622078381557294</x:v>
      </x:c>
      <x:c r="AK6" s="13" t="n">
        <x:v>0.045762426800294305</x:v>
      </x:c>
      <x:c r="AL6" s="13" t="n">
        <x:v>0.11863216862182513</x:v>
      </x:c>
      <x:c r="AM6" s="13" t="n">
        <x:v>0.08165710779221413</x:v>
      </x:c>
      <x:c r="AN6" s="13" t="n">
        <x:v>0.17649419358928958</x:v>
      </x:c>
      <x:c r="AO6" s="13" t="n">
        <x:v>0.20545420857389204</x:v>
      </x:c>
      <x:c r="AP6" s="13" t="n">
        <x:v>0.6622305434826935</x:v>
      </x:c>
    </x:row>
    <x:row r="7" ht="15" hidden="0" customHeight="1">
      <x:c r="A7" s="2" t="str">
        <x:v>E6</x:v>
      </x:c>
      <x:c r="B7" s="2" t="str">
        <x:v>***装饰设计工程有限公司</x:v>
      </x:c>
      <x:c r="C7" s="2" t="str">
        <x:v>有信贷记录</x:v>
      </x:c>
      <x:c r="D7" s="2" t="str">
        <x:v>A</x:v>
      </x:c>
      <x:c r="E7" s="2" t="str">
        <x:v>否</x:v>
      </x:c>
      <x:c r="F7" s="13" t="n">
        <x:v>0.847304323905718</x:v>
      </x:c>
      <x:c r="G7" s="13" t="n">
        <x:v>0.8249581111724907</x:v>
      </x:c>
      <x:c r="H7" s="13" t="n">
        <x:v>0.9509090909090909</x:v>
      </x:c>
      <x:c r="I7" s="13" t="n">
        <x:v>0.5208333333333341</x:v>
      </x:c>
      <x:c r="J7" s="13" t="n">
        <x:v>1</x:v>
      </x:c>
      <x:c r="K7" s="13" t="n">
        <x:v>1</x:v>
      </x:c>
      <x:c r="L7" s="13" t="n">
        <x:v>0.9473985418895718</x:v>
      </x:c>
      <x:c r="M7" s="13" t="n">
        <x:v>0.36200265898114287</x:v>
      </x:c>
      <x:c r="N7" s="13" t="n">
        <x:v>0.14860274761139075</x:v>
      </x:c>
      <x:c r="O7" s="13" t="n">
        <x:v>0.10422468700785324</x:v>
      </x:c>
      <x:c r="P7" s="13" t="n">
        <x:v>0.29647593578094805</x:v>
      </x:c>
      <x:c r="Q7" s="13" t="n">
        <x:v>1</x:v>
      </x:c>
      <x:c r="R7" s="13" t="n">
        <x:v>0.08411259776127943</x:v>
      </x:c>
      <x:c r="S7" s="13" t="n">
        <x:v>0.6463607712935028</x:v>
      </x:c>
      <x:c r="T7" s="13" t="n">
        <x:v>0.9722222222222222</x:v>
      </x:c>
      <x:c r="U7" s="13" t="n">
        <x:v>0.09108350369554971</x:v>
      </x:c>
      <x:c r="V7" s="13" t="n">
        <x:v>0.08457228603103395</x:v>
      </x:c>
      <x:c r="W7" s="13" t="n">
        <x:v>0.17165579924916038</x:v>
      </x:c>
      <x:c r="X7" s="13" t="n">
        <x:v>0.06518535313456535</x:v>
      </x:c>
      <x:c r="Y7" s="13" t="n">
        <x:v>0.5917330686057789</x:v>
      </x:c>
      <x:c r="Z7" s="13" t="n">
        <x:v>0.39506080377010855</x:v>
      </x:c>
      <x:c r="AA7" s="13" t="n">
        <x:v>0.055343426389528605</x:v>
      </x:c>
      <x:c r="AB7" s="13" t="n">
        <x:v>0.16239641504419272</x:v>
      </x:c>
      <x:c r="AC7" s="13" t="n">
        <x:v>0.14130307286340943</x:v>
      </x:c>
      <x:c r="AD7" s="13" t="n">
        <x:v>0.06754486749722724</x:v>
      </x:c>
      <x:c r="AE7" s="13" t="n">
        <x:v>0.15256722201771752</x:v>
      </x:c>
      <x:c r="AF7" s="13" t="n">
        <x:v>0.5829970387085212</x:v>
      </x:c>
      <x:c r="AG7" s="13" t="n">
        <x:v>0.13488558767498068</x:v>
      </x:c>
      <x:c r="AH7" s="13" t="n">
        <x:v>0.6161987404517507</x:v>
      </x:c>
      <x:c r="AI7" s="13" t="n">
        <x:v>0.9705882352941176</x:v>
      </x:c>
      <x:c r="AJ7" s="13" t="n">
        <x:v>0.3039400211660781</x:v>
      </x:c>
      <x:c r="AK7" s="13" t="n">
        <x:v>0.038362916571474434</x:v>
      </x:c>
      <x:c r="AL7" s="13" t="n">
        <x:v>0.14712811004491183</x:v>
      </x:c>
      <x:c r="AM7" s="13" t="n">
        <x:v>0.08355510755254178</x:v>
      </x:c>
      <x:c r="AN7" s="13" t="n">
        <x:v>0.0794573829164449</x:v>
      </x:c>
      <x:c r="AO7" s="13" t="n">
        <x:v>0.11199340799134176</x:v>
      </x:c>
      <x:c r="AP7" s="13" t="n">
        <x:v>0.6057767413035524</x:v>
      </x:c>
    </x:row>
    <x:row r="8" ht="15" hidden="0" customHeight="1">
      <x:c r="A8" s="2" t="str">
        <x:v>E7</x:v>
      </x:c>
      <x:c r="B8" s="2" t="str">
        <x:v>***家电有限公司***分公司</x:v>
      </x:c>
      <x:c r="C8" s="2" t="str">
        <x:v>有信贷记录</x:v>
      </x:c>
      <x:c r="D8" s="2" t="str">
        <x:v>A</x:v>
      </x:c>
      <x:c r="E8" s="2" t="str">
        <x:v>否</x:v>
      </x:c>
      <x:c r="F8" s="13" t="n">
        <x:v>0.9788663539078409</x:v>
      </x:c>
      <x:c r="G8" s="13" t="n">
        <x:v>0.9645112359722027</x:v>
      </x:c>
      <x:c r="H8" s="13" t="n">
        <x:v>0.8254545454545454</x:v>
      </x:c>
      <x:c r="I8" s="13" t="n">
        <x:v>1</x:v>
      </x:c>
      <x:c r="J8" s="13" t="n">
        <x:v>0.2172737108819229</x:v>
      </x:c>
      <x:c r="K8" s="13" t="n">
        <x:v>0.2658805529537341</x:v>
      </x:c>
      <x:c r="L8" s="13" t="n">
        <x:v>0.9872104307148722</x:v>
      </x:c>
      <x:c r="M8" s="13" t="n">
        <x:v>0.27201461805881494</x:v>
      </x:c>
      <x:c r="N8" s="13" t="n">
        <x:v>0.7332988059687542</x:v>
      </x:c>
      <x:c r="O8" s="13" t="n">
        <x:v>0.06585032153029644</x:v>
      </x:c>
      <x:c r="P8" s="13" t="n">
        <x:v>0.18975848684963198</x:v>
      </x:c>
      <x:c r="Q8" s="13" t="n">
        <x:v>0.2127241077637027</x:v>
      </x:c>
      <x:c r="R8" s="13" t="n">
        <x:v>0.09129291442837419</x:v>
      </x:c>
      <x:c r="S8" s="13" t="n">
        <x:v>0.5714669775098662</x:v>
      </x:c>
      <x:c r="T8" s="13" t="n">
        <x:v>1</x:v>
      </x:c>
      <x:c r="U8" s="13" t="n">
        <x:v>0.7111146057206766</x:v>
      </x:c>
      <x:c r="V8" s="13" t="n">
        <x:v>0.7489035128648277</x:v>
      </x:c>
      <x:c r="W8" s="13" t="n">
        <x:v>0.14448725548310623</x:v>
      </x:c>
      <x:c r="X8" s="13" t="n">
        <x:v>1</x:v>
      </x:c>
      <x:c r="Y8" s="13" t="n">
        <x:v>0.8912122155688141</x:v>
      </x:c>
      <x:c r="Z8" s="13" t="n">
        <x:v>1</x:v>
      </x:c>
      <x:c r="AA8" s="13" t="n">
        <x:v>0.4509189237375015</x:v>
      </x:c>
      <x:c r="AB8" s="13" t="n">
        <x:v>0.017646513849781116</x:v>
      </x:c>
      <x:c r="AC8" s="13" t="n">
        <x:v>1</x:v>
      </x:c>
      <x:c r="AD8" s="13" t="n">
        <x:v>0.031761470650780194</x:v>
      </x:c>
      <x:c r="AE8" s="13" t="n">
        <x:v>0.06655161933515233</x:v>
      </x:c>
      <x:c r="AF8" s="13" t="n">
        <x:v>0.85496748642202</x:v>
      </x:c>
      <x:c r="AG8" s="13" t="n">
        <x:v>0.1389313222122085</x:v>
      </x:c>
      <x:c r="AH8" s="13" t="n">
        <x:v>0.37613687163985454</x:v>
      </x:c>
      <x:c r="AI8" s="13" t="n">
        <x:v>1</x:v>
      </x:c>
      <x:c r="AJ8" s="13" t="n">
        <x:v>1</x:v>
      </x:c>
      <x:c r="AK8" s="13" t="n">
        <x:v>0.0034716354314715658</x:v>
      </x:c>
      <x:c r="AL8" s="13" t="n">
        <x:v>0.07202760534837899</x:v>
      </x:c>
      <x:c r="AM8" s="13" t="n">
        <x:v>1</x:v>
      </x:c>
      <x:c r="AN8" s="13" t="n">
        <x:v>0.03528079426901716</x:v>
      </x:c>
      <x:c r="AO8" s="13" t="n">
        <x:v>0.11928115011421385</x:v>
      </x:c>
      <x:c r="AP8" s="13" t="n">
        <x:v>0.4400692856786786</x:v>
      </x:c>
    </x:row>
    <x:row r="9" ht="15" hidden="0" customHeight="1">
      <x:c r="A9" s="2" t="str">
        <x:v>E8</x:v>
      </x:c>
      <x:c r="B9" s="2" t="str">
        <x:v>***科学研究院有限公司</x:v>
      </x:c>
      <x:c r="C9" s="2" t="str">
        <x:v>有信贷记录</x:v>
      </x:c>
      <x:c r="D9" s="2" t="str">
        <x:v>A</x:v>
      </x:c>
      <x:c r="E9" s="2" t="str">
        <x:v>否</x:v>
      </x:c>
      <x:c r="F9" s="13" t="n">
        <x:v>1</x:v>
      </x:c>
      <x:c r="G9" s="13" t="n">
        <x:v>1</x:v>
      </x:c>
      <x:c r="H9" s="13" t="n">
        <x:v>1</x:v>
      </x:c>
      <x:c r="I9" s="13" t="n">
        <x:v>0.5141559829059837</x:v>
      </x:c>
      <x:c r="J9" s="13" t="n">
        <x:v>0.5831874998046999</x:v>
      </x:c>
      <x:c r="K9" s="13" t="n">
        <x:v>0.5834482401786485</x:v>
      </x:c>
      <x:c r="L9" s="13" t="n">
        <x:v>1</x:v>
      </x:c>
      <x:c r="M9" s="13" t="n">
        <x:v>0.26428539286839253</x:v>
      </x:c>
      <x:c r="N9" s="13" t="n">
        <x:v>0.07284693370655562</x:v>
      </x:c>
      <x:c r="O9" s="13" t="n">
        <x:v>0.06459031173217271</x:v>
      </x:c>
      <x:c r="P9" s="13" t="n">
        <x:v>0.1670869278329153</x:v>
      </x:c>
      <x:c r="Q9" s="13" t="n">
        <x:v>0.5709809091656715</x:v>
      </x:c>
      <x:c r="R9" s="13" t="n">
        <x:v>0.026406939305595234</x:v>
      </x:c>
      <x:c r="S9" s="13" t="n">
        <x:v>0.5696370611232267</x:v>
      </x:c>
      <x:c r="T9" s="13" t="n">
        <x:v>1</x:v>
      </x:c>
      <x:c r="U9" s="13" t="n">
        <x:v>0.8225926508360861</x:v>
      </x:c>
      <x:c r="V9" s="13" t="n">
        <x:v>0.7794185165415591</x:v>
      </x:c>
      <x:c r="W9" s="13" t="n">
        <x:v>1</x:v>
      </x:c>
      <x:c r="X9" s="13" t="n">
        <x:v>0.6943657181725439</x:v>
      </x:c>
      <x:c r="Y9" s="13" t="n">
        <x:v>0.5691546985726018</x:v>
      </x:c>
      <x:c r="Z9" s="13" t="n">
        <x:v>0.40618327546474425</x:v>
      </x:c>
      <x:c r="AA9" s="13" t="n">
        <x:v>1</x:v>
      </x:c>
      <x:c r="AB9" s="13" t="n">
        <x:v>0.13901229816295946</x:v>
      </x:c>
      <x:c r="AC9" s="13" t="n">
        <x:v>0.16440170112636593</x:v>
      </x:c>
      <x:c r="AD9" s="13" t="n">
        <x:v>0</x:v>
      </x:c>
      <x:c r="AE9" s="13" t="n">
        <x:v>0</x:v>
      </x:c>
      <x:c r="AF9" s="13" t="n">
        <x:v>0.5459899131479191</x:v>
      </x:c>
      <x:c r="AG9" s="13" t="n">
        <x:v>0.06454097517151623</x:v>
      </x:c>
      <x:c r="AH9" s="13" t="n">
        <x:v>0.559821256552878</x:v>
      </x:c>
      <x:c r="AI9" s="13" t="n">
        <x:v>1</x:v>
      </x:c>
      <x:c r="AJ9" s="13" t="n">
        <x:v>0.595374040708576</x:v>
      </x:c>
      <x:c r="AK9" s="13" t="n">
        <x:v>0.019595301342121847</x:v>
      </x:c>
      <x:c r="AL9" s="13" t="n">
        <x:v>0.15749543470528124</x:v>
      </x:c>
      <x:c r="AM9" s="13" t="n">
        <x:v>0.1036594304823111</x:v>
      </x:c>
      <x:c r="AN9" s="13" t="n">
        <x:v>0.015203153633244882</x:v>
      </x:c>
      <x:c r="AO9" s="13" t="n">
        <x:v>0.034257515918381165</x:v>
      </x:c>
      <x:c r="AP9" s="13" t="n">
        <x:v>0.5276311212101681</x:v>
      </x:c>
    </x:row>
    <x:row r="10" ht="15" hidden="0" customHeight="1">
      <x:c r="A10" s="2" t="str">
        <x:v>E9</x:v>
      </x:c>
      <x:c r="B10" s="2" t="str">
        <x:v>***生活用品服务有限公司***分公司</x:v>
      </x:c>
      <x:c r="C10" s="2" t="str">
        <x:v>有信贷记录</x:v>
      </x:c>
      <x:c r="D10" s="2" t="str">
        <x:v>A</x:v>
      </x:c>
      <x:c r="E10" s="2" t="str">
        <x:v>否</x:v>
      </x:c>
      <x:c r="F10" s="13" t="n">
        <x:v>0.320757199283585</x:v>
      </x:c>
      <x:c r="G10" s="13" t="n">
        <x:v>0.3202320747864358</x:v>
      </x:c>
      <x:c r="H10" s="13" t="n">
        <x:v>0.1709090909090909</x:v>
      </x:c>
      <x:c r="I10" s="13" t="n">
        <x:v>0.17361111111111138</x:v>
      </x:c>
      <x:c r="J10" s="13" t="n">
        <x:v>0.09011394094730484</x:v>
      </x:c>
      <x:c r="K10" s="13" t="n">
        <x:v>0.09025175601038045</x:v>
      </x:c>
      <x:c r="L10" s="13" t="n">
        <x:v>0.4603249645425365</x:v>
      </x:c>
      <x:c r="M10" s="13" t="n">
        <x:v>0.1718205810685216</x:v>
      </x:c>
      <x:c r="N10" s="13" t="n">
        <x:v>0.12756927146698258</x:v>
      </x:c>
      <x:c r="O10" s="13" t="n">
        <x:v>0.1198511686970603</x:v>
      </x:c>
      <x:c r="P10" s="13" t="n">
        <x:v>0.2524459252948869</x:v>
      </x:c>
      <x:c r="Q10" s="13" t="n">
        <x:v>0.08822523993502762</x:v>
      </x:c>
      <x:c r="R10" s="13" t="n">
        <x:v>0.02440049807342743</x:v>
      </x:c>
      <x:c r="S10" s="13" t="n">
        <x:v>0.559876949493366</x:v>
      </x:c>
      <x:c r="T10" s="13" t="n">
        <x:v>1</x:v>
      </x:c>
      <x:c r="U10" s="13" t="n">
        <x:v>0.5151543743775232</x:v>
      </x:c>
      <x:c r="V10" s="13" t="n">
        <x:v>0.536884894046682</x:v>
      </x:c>
      <x:c r="W10" s="13" t="n">
        <x:v>0.18030033590199582</x:v>
      </x:c>
      <x:c r="X10" s="13" t="n">
        <x:v>0.34576578619204223</x:v>
      </x:c>
      <x:c r="Y10" s="13" t="n">
        <x:v>0.5521399168326788</x:v>
      </x:c>
      <x:c r="Z10" s="13" t="n">
        <x:v>0.3857953476116049</x:v>
      </x:c>
      <x:c r="AA10" s="13" t="n">
        <x:v>0.045314751808875765</x:v>
      </x:c>
      <x:c r="AB10" s="13" t="n">
        <x:v>0.030383429337154568</x:v>
      </x:c>
      <x:c r="AC10" s="13" t="n">
        <x:v>0.11880422761144113</x:v>
      </x:c>
      <x:c r="AD10" s="13" t="n">
        <x:v>0.05448172145363433</x:v>
      </x:c>
      <x:c r="AE10" s="13" t="n">
        <x:v>0.11587301191997537</x:v>
      </x:c>
      <x:c r="AF10" s="13" t="n">
        <x:v>0.5296661644559992</x:v>
      </x:c>
      <x:c r="AG10" s="13" t="n">
        <x:v>0.021935886257836566</x:v>
      </x:c>
      <x:c r="AH10" s="13" t="n">
        <x:v>0.5268314137748401</x:v>
      </x:c>
      <x:c r="AI10" s="13" t="n">
        <x:v>1</x:v>
      </x:c>
      <x:c r="AJ10" s="13" t="n">
        <x:v>0.8804640768461274</x:v>
      </x:c>
      <x:c r="AK10" s="13" t="n">
        <x:v>0.0031785882653862538</x:v>
      </x:c>
      <x:c r="AL10" s="13" t="n">
        <x:v>0.06257197386033139</x:v>
      </x:c>
      <x:c r="AM10" s="13" t="n">
        <x:v>0.14417319967088957</x:v>
      </x:c>
      <x:c r="AN10" s="13" t="n">
        <x:v>0.08108862623422744</x:v>
      </x:c>
      <x:c r="AO10" s="13" t="n">
        <x:v>0.011207879368766147</x:v>
      </x:c>
      <x:c r="AP10" s="13" t="n">
        <x:v>0.5052121298381004</x:v>
      </x:c>
    </x:row>
    <x:row r="11" ht="15" hidden="0" customHeight="1">
      <x:c r="A11" s="2" t="str">
        <x:v>E10</x:v>
      </x:c>
      <x:c r="B11" s="2" t="str">
        <x:v>***建筑劳务有限公司</x:v>
      </x:c>
      <x:c r="C11" s="2" t="str">
        <x:v>有信贷记录</x:v>
      </x:c>
      <x:c r="D11" s="2" t="str">
        <x:v>B</x:v>
      </x:c>
      <x:c r="E11" s="2" t="str">
        <x:v>否</x:v>
      </x:c>
      <x:c r="F11" s="13" t="n">
        <x:v>0.30610597321516675</x:v>
      </x:c>
      <x:c r="G11" s="13" t="n">
        <x:v>0.2943662960510053</x:v>
      </x:c>
      <x:c r="H11" s="13" t="n">
        <x:v>0.4309090909090909</x:v>
      </x:c>
      <x:c r="I11" s="13" t="n">
        <x:v>0.2270299145299149</x:v>
      </x:c>
      <x:c r="J11" s="13" t="n">
        <x:v>0.018538877552677656</x:v>
      </x:c>
      <x:c r="K11" s="13" t="n">
        <x:v>0.019602182258821536</x:v>
      </x:c>
      <x:c r="L11" s="13" t="n">
        <x:v>0.5480355321107766</x:v>
      </x:c>
      <x:c r="M11" s="13" t="n">
        <x:v>0.45393179187401705</x:v>
      </x:c>
      <x:c r="N11" s="13" t="n">
        <x:v>0.18147224601689152</x:v>
      </x:c>
      <x:c r="O11" s="13" t="n">
        <x:v>0.008377875884638633</x:v>
      </x:c>
      <x:c r="P11" s="13" t="n">
        <x:v>0.040047500415411066</x:v>
      </x:c>
      <x:c r="Q11" s="13" t="n">
        <x:v>0.01970388759944033</x:v>
      </x:c>
      <x:c r="R11" s="13" t="n">
        <x:v>0.07388990178897102</x:v>
      </x:c>
      <x:c r="S11" s="13" t="n">
        <x:v>0.66707049888654</x:v>
      </x:c>
      <x:c r="T11" s="13" t="n">
        <x:v>0.9166666666666666</x:v>
      </x:c>
      <x:c r="U11" s="13" t="n">
        <x:v>0.04879872796211848</x:v>
      </x:c>
      <x:c r="V11" s="13" t="n">
        <x:v>0.04752501857029281</x:v>
      </x:c>
      <x:c r="W11" s="13" t="n">
        <x:v>0.06421655799249165</x:v>
      </x:c>
      <x:c r="X11" s="13" t="n">
        <x:v>0.005668291576918725</x:v>
      </x:c>
      <x:c r="Y11" s="13" t="n">
        <x:v>0.5253056189484588</x:v>
      </x:c>
      <x:c r="Z11" s="13" t="n">
        <x:v>0.34913323701759424</x:v>
      </x:c>
      <x:c r="AA11" s="13" t="n">
        <x:v>0.009285809796900772</x:v>
      </x:c>
      <x:c r="AB11" s="13" t="n">
        <x:v>0.11252068964152294</x:v>
      </x:c>
      <x:c r="AC11" s="13" t="n">
        <x:v>0.021740766013530973</x:v>
      </x:c>
      <x:c r="AD11" s="13" t="n">
        <x:v>0.1052377197128953</x:v>
      </x:c>
      <x:c r="AE11" s="13" t="n">
        <x:v>0.1624616390977539</x:v>
      </x:c>
      <x:c r="AF11" s="13" t="n">
        <x:v>0.5175450315687604</x:v>
      </x:c>
      <x:c r="AG11" s="13" t="n">
        <x:v>0.5036434420151442</x:v>
      </x:c>
      <x:c r="AH11" s="13" t="n">
        <x:v>0.4310652940493707</x:v>
      </x:c>
      <x:c r="AI11" s="13" t="n">
        <x:v>0.9117647058823529</x:v>
      </x:c>
      <x:c r="AJ11" s="13" t="n">
        <x:v>0.8868339629204121</x:v>
      </x:c>
      <x:c r="AK11" s="13" t="n">
        <x:v>0.0007513264303555833</x:v>
      </x:c>
      <x:c r="AL11" s="13" t="n">
        <x:v>0.1712093772981386</x:v>
      </x:c>
      <x:c r="AM11" s="13" t="n">
        <x:v>0.07981118175120745</x:v>
      </x:c>
      <x:c r="AN11" s="13" t="n">
        <x:v>0.044335138994126534</x:v>
      </x:c>
      <x:c r="AO11" s="13" t="n">
        <x:v>0.29136802205361945</x:v>
      </x:c>
      <x:c r="AP11" s="13" t="n">
        <x:v>0.530039315752253</x:v>
      </x:c>
    </x:row>
    <x:row r="12" ht="15" hidden="0" customHeight="1">
      <x:c r="A12" s="2" t="str">
        <x:v>E11</x:v>
      </x:c>
      <x:c r="B12" s="2" t="str">
        <x:v>***建设工程有限公司</x:v>
      </x:c>
      <x:c r="C12" s="2" t="str">
        <x:v>有信贷记录</x:v>
      </x:c>
      <x:c r="D12" s="2" t="str">
        <x:v>C</x:v>
      </x:c>
      <x:c r="E12" s="2" t="str">
        <x:v>否</x:v>
      </x:c>
      <x:c r="F12" s="13" t="n">
        <x:v>0.2118447687647821</x:v>
      </x:c>
      <x:c r="G12" s="13" t="n">
        <x:v>0.20700253011570174</x:v>
      </x:c>
      <x:c r="H12" s="13" t="n">
        <x:v>0.22</x:v>
      </x:c>
      <x:c r="I12" s="13" t="n">
        <x:v>0.16025641025641052</x:v>
      </x:c>
      <x:c r="J12" s="13" t="n">
        <x:v>0.4935054557477481</x:v>
      </x:c>
      <x:c r="K12" s="13" t="n">
        <x:v>0.4931827093373129</x:v>
      </x:c>
      <x:c r="L12" s="13" t="n">
        <x:v>0.28988031550921894</x:v>
      </x:c>
      <x:c r="M12" s="13" t="n">
        <x:v>0.3348014745738182</x:v>
      </x:c>
      <x:c r="N12" s="13" t="n">
        <x:v>0.18212099307772542</x:v>
      </x:c>
      <x:c r="O12" s="13" t="n">
        <x:v>0.07216991770341473</x:v>
      </x:c>
      <x:c r="P12" s="13" t="n">
        <x:v>0.1395130015692608</x:v>
      </x:c>
      <x:c r="Q12" s="13" t="n">
        <x:v>0.5563846732892076</x:v>
      </x:c>
      <x:c r="R12" s="13" t="n">
        <x:v>0.1617746425881211</x:v>
      </x:c>
      <x:c r="S12" s="13" t="n">
        <x:v>0.7774741078862153</x:v>
      </x:c>
      <x:c r="T12" s="13" t="n">
        <x:v>0.8055555555555556</x:v>
      </x:c>
      <x:c r="U12" s="13" t="n">
        <x:v>0.09676224423826257</x:v>
      </x:c>
      <x:c r="V12" s="13" t="n">
        <x:v>0.09745017749093893</x:v>
      </x:c>
      <x:c r="W12" s="13" t="n">
        <x:v>0.08150563129816249</x:v>
      </x:c>
      <x:c r="X12" s="13" t="n">
        <x:v>0.0028341457884593626</x:v>
      </x:c>
      <x:c r="Y12" s="13" t="n">
        <x:v>0.2428964491230733</x:v>
      </x:c>
      <x:c r="Z12" s="13" t="n">
        <x:v>0.16065246841432415</x:v>
      </x:c>
      <x:c r="AA12" s="13" t="n">
        <x:v>0.015600160458793297</x:v>
      </x:c>
      <x:c r="AB12" s="13" t="n">
        <x:v>0.07262198907240223</x:v>
      </x:c>
      <x:c r="AC12" s="13" t="n">
        <x:v>0.005336933997612742</x:v>
      </x:c>
      <x:c r="AD12" s="13" t="n">
        <x:v>0.40096989219799406</x:v>
      </x:c>
      <x:c r="AE12" s="13" t="n">
        <x:v>0.4548810395770822</x:v>
      </x:c>
      <x:c r="AF12" s="13" t="n">
        <x:v>0.3689709462344605</x:v>
      </x:c>
      <x:c r="AG12" s="13" t="n">
        <x:v>0.16413930130920598</x:v>
      </x:c>
      <x:c r="AH12" s="13" t="n">
        <x:v>0.6605594009832324</x:v>
      </x:c>
      <x:c r="AI12" s="13" t="n">
        <x:v>0.5</x:v>
      </x:c>
      <x:c r="AJ12" s="13" t="n">
        <x:v>0.182809276269494</x:v>
      </x:c>
      <x:c r="AK12" s="13" t="n">
        <x:v>0.0418854809767637</x:v>
      </x:c>
      <x:c r="AL12" s="13" t="n">
        <x:v>0.1297981036792243</x:v>
      </x:c>
      <x:c r="AM12" s="13" t="n">
        <x:v>0.06440183574955816</x:v>
      </x:c>
      <x:c r="AN12" s="13" t="n">
        <x:v>0.2576165247142337</x:v>
      </x:c>
      <x:c r="AO12" s="13" t="n">
        <x:v>0.18346847233073268</x:v>
      </x:c>
      <x:c r="AP12" s="13" t="n">
        <x:v>0.7141962995611575</x:v>
      </x:c>
    </x:row>
    <x:row r="13" ht="15" hidden="0" customHeight="1">
      <x:c r="A13" s="2" t="str">
        <x:v>E12</x:v>
      </x:c>
      <x:c r="B13" s="2" t="str">
        <x:v>***建筑劳务有限公司</x:v>
      </x:c>
      <x:c r="C13" s="2" t="str">
        <x:v>有信贷记录</x:v>
      </x:c>
      <x:c r="D13" s="2" t="str">
        <x:v>B</x:v>
      </x:c>
      <x:c r="E13" s="2" t="str">
        <x:v>否</x:v>
      </x:c>
      <x:c r="F13" s="13" t="n">
        <x:v>0.13410356921807307</x:v>
      </x:c>
      <x:c r="G13" s="13" t="n">
        <x:v>0.13390690761262683</x:v>
      </x:c>
      <x:c r="H13" s="13" t="n">
        <x:v>0.07090909090909091</x:v>
      </x:c>
      <x:c r="I13" s="13" t="n">
        <x:v>0.08680555555555569</x:v>
      </x:c>
      <x:c r="J13" s="13" t="n">
        <x:v>0.326627083799299</x:v>
      </x:c>
      <x:c r="K13" s="13" t="n">
        <x:v>0.32602716942025917</x:v>
      </x:c>
      <x:c r="L13" s="13" t="n">
        <x:v>0.24509194058075592</x:v>
      </x:c>
      <x:c r="M13" s="13" t="n">
        <x:v>0.17039878469032463</x:v>
      </x:c>
      <x:c r="N13" s="13" t="n">
        <x:v>0.15243692967838923</x:v>
      </x:c>
      <x:c r="O13" s="13" t="n">
        <x:v>0.12376322997447643</x:v>
      </x:c>
      <x:c r="P13" s="13" t="n">
        <x:v>0.27703155066845836</x:v>
      </x:c>
      <x:c r="Q13" s="13" t="n">
        <x:v>0.3284322722324069</x:v>
      </x:c>
      <x:c r="R13" s="13" t="n">
        <x:v>0.2068400769048197</x:v>
      </x:c>
      <x:c r="S13" s="13" t="n">
        <x:v>0.6665762032484688</x:v>
      </x:c>
      <x:c r="T13" s="13" t="n">
        <x:v>0.9444444444444444</x:v>
      </x:c>
      <x:c r="U13" s="13" t="n">
        <x:v>0.02407436529153783</x:v>
      </x:c>
      <x:c r="V13" s="13" t="n">
        <x:v>0.023915550893800347</x:v>
      </x:c>
      <x:c r="W13" s="13" t="n">
        <x:v>0.027168543766054164</x:v>
      </x:c>
      <x:c r="X13" s="13" t="n">
        <x:v>0.0028341457884593626</x:v>
      </x:c>
      <x:c r="Y13" s="13" t="n">
        <x:v>0.3631704717835487</x:v>
      </x:c>
      <x:c r="Z13" s="13" t="n">
        <x:v>0.24188337502569138</x:v>
      </x:c>
      <x:c r="AA13" s="13" t="n">
        <x:v>0.0011142971756280926</x:v>
      </x:c>
      <x:c r="AB13" s="13" t="n">
        <x:v>0.09487574478815591</x:v>
      </x:c>
      <x:c r="AC13" s="13" t="n">
        <x:v>0.021327443465745215</x:v>
      </x:c>
      <x:c r="AD13" s="13" t="n">
        <x:v>0.5717529957545495</x:v>
      </x:c>
      <x:c r="AE13" s="13" t="n">
        <x:v>0.7206798934897554</x:v>
      </x:c>
      <x:c r="AF13" s="13" t="n">
        <x:v>0.5295981168243938</x:v>
      </x:c>
      <x:c r="AG13" s="13" t="n">
        <x:v>0.3180523702436575</x:v>
      </x:c>
      <x:c r="AH13" s="13" t="n">
        <x:v>0.4041948249251057</x:v>
      </x:c>
      <x:c r="AI13" s="13" t="n">
        <x:v>0.35294117647058826</x:v>
      </x:c>
      <x:c r="AJ13" s="13" t="n">
        <x:v>0.46041793992861424</x:v>
      </x:c>
      <x:c r="AK13" s="13" t="n">
        <x:v>0.018384425801599328</x:v>
      </x:c>
      <x:c r="AL13" s="13" t="n">
        <x:v>0.07891923203903334</x:v>
      </x:c>
      <x:c r="AM13" s="13" t="n">
        <x:v>0.06723806709029118</x:v>
      </x:c>
      <x:c r="AN13" s="13" t="n">
        <x:v>0.38962586542174765</x:v>
      </x:c>
      <x:c r="AO13" s="13" t="n">
        <x:v>0.2943235977246729</x:v>
      </x:c>
      <x:c r="AP13" s="13" t="n">
        <x:v>0.516724740403009</x:v>
      </x:c>
    </x:row>
    <x:row r="14" ht="15" hidden="0" customHeight="1">
      <x:c r="A14" s="2" t="str">
        <x:v>E13</x:v>
      </x:c>
      <x:c r="B14" s="2" t="str">
        <x:v>***汽车贸易有限公司</x:v>
      </x:c>
      <x:c r="C14" s="2" t="str">
        <x:v>有信贷记录</x:v>
      </x:c>
      <x:c r="D14" s="2" t="str">
        <x:v>A</x:v>
      </x:c>
      <x:c r="E14" s="2" t="str">
        <x:v>否</x:v>
      </x:c>
      <x:c r="F14" s="13" t="n">
        <x:v>1</x:v>
      </x:c>
      <x:c r="G14" s="13" t="n">
        <x:v>1</x:v>
      </x:c>
      <x:c r="H14" s="13" t="n">
        <x:v>0.3890909090909091</x:v>
      </x:c>
      <x:c r="I14" s="13" t="n">
        <x:v>0.2604166666666671</x:v>
      </x:c>
      <x:c r="J14" s="13" t="n">
        <x:v>0.3546249426240978</x:v>
      </x:c>
      <x:c r="K14" s="13" t="n">
        <x:v>0.3548724873054476</x:v>
      </x:c>
      <x:c r="L14" s="13" t="n">
        <x:v>0.4503719923362114</x:v>
      </x:c>
      <x:c r="M14" s="13" t="n">
        <x:v>0.12467708470736817</x:v>
      </x:c>
      <x:c r="N14" s="13" t="n">
        <x:v>0.06061826151148923</x:v>
      </x:c>
      <x:c r="O14" s="13" t="n">
        <x:v>0.09080403228581867</x:v>
      </x:c>
      <x:c r="P14" s="13" t="n">
        <x:v>0.26069956150950346</x:v>
      </x:c>
      <x:c r="Q14" s="13" t="n">
        <x:v>0.34720117433567843</x:v>
      </x:c>
      <x:c r="R14" s="13" t="n">
        <x:v>0.015897666075575575</x:v>
      </x:c>
      <x:c r="S14" s="13" t="n">
        <x:v>0.5248416219752234</x:v>
      </x:c>
      <x:c r="T14" s="13" t="n">
        <x:v>1</x:v>
      </x:c>
      <x:c r="U14" s="13" t="n">
        <x:v>0.6985340112875896</x:v>
      </x:c>
      <x:c r="V14" s="13" t="n">
        <x:v>0.634682214698714</x:v>
      </x:c>
      <x:c r="W14" s="13" t="n">
        <x:v>1</x:v>
      </x:c>
      <x:c r="X14" s="13" t="n">
        <x:v>0.20689264255753348</x:v>
      </x:c>
      <x:c r="Y14" s="13" t="n">
        <x:v>0.36462800815061286</x:v>
      </x:c>
      <x:c r="Z14" s="13" t="n">
        <x:v>0.24969233153934797</x:v>
      </x:c>
      <x:c r="AA14" s="13" t="n">
        <x:v>1</x:v>
      </x:c>
      <x:c r="AB14" s="13" t="n">
        <x:v>0.1837850545440659</x:v>
      </x:c>
      <x:c r="AC14" s="13" t="n">
        <x:v>0.06014476896281468</x:v>
      </x:c>
      <x:c r="AD14" s="13" t="n">
        <x:v>0.05852307019340713</x:v>
      </x:c>
      <x:c r="AE14" s="13" t="n">
        <x:v>0.1689059816300438</x:v>
      </x:c>
      <x:c r="AF14" s="13" t="n">
        <x:v>0.34976980605098495</x:v>
      </x:c>
      <x:c r="AG14" s="13" t="n">
        <x:v>0.21290000426614872</x:v>
      </x:c>
      <x:c r="AH14" s="13" t="n">
        <x:v>0.5475707396209287</x:v>
      </x:c>
      <x:c r="AI14" s="13" t="n">
        <x:v>1</x:v>
      </x:c>
      <x:c r="AJ14" s="13" t="n">
        <x:v>0.4449360543600899</x:v>
      </x:c>
      <x:c r="AK14" s="13" t="n">
        <x:v>0.01938614860291454</x:v>
      </x:c>
      <x:c r="AL14" s="13" t="n">
        <x:v>0.181832119942461</x:v>
      </x:c>
      <x:c r="AM14" s="13" t="n">
        <x:v>0.054157761260983164</x:v>
      </x:c>
      <x:c r="AN14" s="13" t="n">
        <x:v>0.06607499484852328</x:v>
      </x:c>
      <x:c r="AO14" s="13" t="n">
        <x:v>0.10175753718585907</x:v>
      </x:c>
      <x:c r="AP14" s="13" t="n">
        <x:v>0.4919933531698191</x:v>
      </x:c>
    </x:row>
    <x:row r="15" ht="15" hidden="0" customHeight="1">
      <x:c r="A15" s="2" t="str">
        <x:v>E14</x:v>
      </x:c>
      <x:c r="B15" s="2" t="str">
        <x:v>个体经营E14</x:v>
      </x:c>
      <x:c r="C15" s="2" t="str">
        <x:v>有信贷记录</x:v>
      </x:c>
      <x:c r="D15" s="2" t="str">
        <x:v>C</x:v>
      </x:c>
      <x:c r="E15" s="2" t="str">
        <x:v>否</x:v>
      </x:c>
      <x:c r="F15" s="13" t="n">
        <x:v>0.5288644103778523</x:v>
      </x:c>
      <x:c r="G15" s="13" t="n">
        <x:v>0.4978590154828433</x:v>
      </x:c>
      <x:c r="H15" s="13" t="n">
        <x:v>1</x:v>
      </x:c>
      <x:c r="I15" s="13" t="n">
        <x:v>0.8680555555555569</x:v>
      </x:c>
      <x:c r="J15" s="13" t="n">
        <x:v>0.42811506259271825</x:v>
      </x:c>
      <x:c r="K15" s="13" t="n">
        <x:v>0.44205690679019966</x:v>
      </x:c>
      <x:c r="L15" s="13" t="n">
        <x:v>0.5654532334718455</x:v>
      </x:c>
      <x:c r="M15" s="13" t="n">
        <x:v>0.6098481520748059</x:v>
      </x:c>
      <x:c r="N15" s="13" t="n">
        <x:v>0.4103442399952963</x:v>
      </x:c>
      <x:c r="O15" s="13" t="n">
        <x:v>0.05288286515596871</x:v>
      </x:c>
      <x:c r="P15" s="13" t="n">
        <x:v>0.18897907849332257</x:v>
      </x:c>
      <x:c r="Q15" s="13" t="n">
        <x:v>0.442440039968226</x:v>
      </x:c>
      <x:c r="R15" s="13" t="n">
        <x:v>0.17858398073006385</x:v>
      </x:c>
      <x:c r="S15" s="13" t="n">
        <x:v>0.5798062249856508</x:v>
      </x:c>
      <x:c r="T15" s="13" t="n">
        <x:v>0.9444444444444444</x:v>
      </x:c>
      <x:c r="U15" s="13" t="n">
        <x:v>0.29062570984256814</x:v>
      </x:c>
      <x:c r="V15" s="13" t="n">
        <x:v>0.28837891609213884</x:v>
      </x:c>
      <x:c r="W15" s="13" t="n">
        <x:v>0.295149180003952</x:v>
      </x:c>
      <x:c r="X15" s="13" t="n">
        <x:v>0.11903412311529322</x:v>
      </x:c>
      <x:c r="Y15" s="13" t="n">
        <x:v>0.3613131674852852</x:v>
      </x:c>
      <x:c r="Z15" s="13" t="n">
        <x:v>0.24381582328151477</x:v>
      </x:c>
      <x:c r="AA15" s="13" t="n">
        <x:v>0.3071745880814775</x:v>
      </x:c>
      <x:c r="AB15" s="13" t="n">
        <x:v>0.08805402981585513</x:v>
      </x:c>
      <x:c r="AC15" s="13" t="n">
        <x:v>0.07606811124398503</x:v>
      </x:c>
      <x:c r="AD15" s="13" t="n">
        <x:v>0.004901338336612944</x:v>
      </x:c>
      <x:c r="AE15" s="13" t="n">
        <x:v>0.0031819559210655496</x:v>
      </x:c>
      <x:c r="AF15" s="13" t="n">
        <x:v>0.365852422096416</x:v>
      </x:c>
      <x:c r="AG15" s="13" t="n">
        <x:v>0.035325323140667476</x:v>
      </x:c>
      <x:c r="AH15" s="13" t="n">
        <x:v>0.541390722362879</x:v>
      </x:c>
      <x:c r="AI15" s="13" t="n">
        <x:v>0.9411764705882353</x:v>
      </x:c>
      <x:c r="AJ15" s="13" t="n">
        <x:v>0.3940366364273439</x:v>
      </x:c>
      <x:c r="AK15" s="13" t="n">
        <x:v>0.024734962402808983</x:v>
      </x:c>
      <x:c r="AL15" s="13" t="n">
        <x:v>0.21028814094029535</x:v>
      </x:c>
      <x:c r="AM15" s="13" t="n">
        <x:v>0.17338494559620862</x:v>
      </x:c>
      <x:c r="AN15" s="13" t="n">
        <x:v>0.01161076989982409</x:v>
      </x:c>
      <x:c r="AO15" s="13" t="n">
        <x:v>0.13046682112562266</x:v>
      </x:c>
      <x:c r="AP15" s="13" t="n">
        <x:v>0.5254696914775937</x:v>
      </x:c>
    </x:row>
    <x:row r="16" ht="15" hidden="0" customHeight="1">
      <x:c r="A16" s="2" t="str">
        <x:v>E15</x:v>
      </x:c>
      <x:c r="B16" s="2" t="str">
        <x:v>***劳务有限公司</x:v>
      </x:c>
      <x:c r="C16" s="2" t="str">
        <x:v>有信贷记录</x:v>
      </x:c>
      <x:c r="D16" s="2" t="str">
        <x:v>A</x:v>
      </x:c>
      <x:c r="E16" s="2" t="str">
        <x:v>否</x:v>
      </x:c>
      <x:c r="F16" s="13" t="n">
        <x:v>0.006727603806926742</x:v>
      </x:c>
      <x:c r="G16" s="13" t="n">
        <x:v>0.006867020903211632</x:v>
      </x:c>
      <x:c r="H16" s="13" t="n">
        <x:v>0</x:v>
      </x:c>
      <x:c r="I16" s="13" t="n">
        <x:v>0</x:v>
      </x:c>
      <x:c r="J16" s="13" t="n">
        <x:v>0.0164376507206132</x:v>
      </x:c>
      <x:c r="K16" s="13" t="n">
        <x:v>0.016316327637649754</x:v>
      </x:c>
      <x:c r="L16" s="13" t="n">
        <x:v>0.01990594441265023</x:v>
      </x:c>
      <x:c r="M16" s="13" t="n">
        <x:v>0</x:v>
      </x:c>
      <x:c r="N16" s="13" t="n">
        <x:v>0</x:v>
      </x:c>
      <x:c r="O16" s="13" t="n">
        <x:v>0.2565313404020384</x:v>
      </x:c>
      <x:c r="P16" s="13" t="n">
        <x:v>0.4410782063145601</x:v>
      </x:c>
      <x:c r="Q16" s="13" t="n">
        <x:v>0.020382823585739444</x:v>
      </x:c>
      <x:c r="R16" s="13" t="n">
        <x:v>0.3391932507625705</x:v>
      </x:c>
      <x:c r="S16" s="13" t="n">
        <x:v>0.8450016138292898</x:v>
      </x:c>
      <x:c r="T16" s="13" t="n">
        <x:v>0.5</x:v>
      </x:c>
      <x:c r="U16" s="13" t="n">
        <x:v>0.2099002288969267</x:v>
      </x:c>
      <x:c r="V16" s="13" t="n">
        <x:v>0.21027170484619342</x:v>
      </x:c>
      <x:c r="W16" s="13" t="n">
        <x:v>0.1877099387472833</x:v>
      </x:c>
      <x:c r="X16" s="13" t="n">
        <x:v>0</x:v>
      </x:c>
      <x:c r="Y16" s="13" t="n">
        <x:v>0.32818645831359533</x:v>
      </x:c>
      <x:c r="Z16" s="13" t="n">
        <x:v>0.21679776689287739</x:v>
      </x:c>
      <x:c r="AA16" s="13" t="n">
        <x:v>0</x:v>
      </x:c>
      <x:c r="AB16" s="13" t="n">
        <x:v>0.07745396623365962</x:v>
      </x:c>
      <x:c r="AC16" s="13" t="n">
        <x:v>0</x:v>
      </x:c>
      <x:c r="AD16" s="13" t="n">
        <x:v>0.7292754268654372</x:v>
      </x:c>
      <x:c r="AE16" s="13" t="n">
        <x:v>0.8315631986332264</x:v>
      </x:c>
      <x:c r="AF16" s="13" t="n">
        <x:v>0.32332043351759965</x:v>
      </x:c>
      <x:c r="AG16" s="13" t="n">
        <x:v>0.2608392453734925</x:v>
      </x:c>
      <x:c r="AH16" s="13" t="n">
        <x:v>0.5698059697951469</x:v>
      </x:c>
      <x:c r="AI16" s="13" t="n">
        <x:v>0.7352941176470589</x:v>
      </x:c>
      <x:c r="AJ16" s="13" t="n">
        <x:v>0.6048733245677231</x:v>
      </x:c>
      <x:c r="AK16" s="13" t="n">
        <x:v>0.0010122147958300004</x:v>
      </x:c>
      <x:c r="AL16" s="13" t="n">
        <x:v>0.16768091113182523</x:v>
      </x:c>
      <x:c r="AM16" s="13" t="n">
        <x:v>0</x:v>
      </x:c>
      <x:c r="AN16" s="13" t="n">
        <x:v>0.5624279253408209</x:v>
      </x:c>
      <x:c r="AO16" s="13" t="n">
        <x:v>0.3618866298701569</x:v>
      </x:c>
      <x:c r="AP16" s="13" t="n">
        <x:v>0.7151319400734161</x:v>
      </x:c>
    </x:row>
    <x:row r="17" ht="15" hidden="0" customHeight="1">
      <x:c r="A17" s="2" t="str">
        <x:v>E16</x:v>
      </x:c>
      <x:c r="B17" s="2" t="str">
        <x:v>***建筑劳务有限公司</x:v>
      </x:c>
      <x:c r="C17" s="2" t="str">
        <x:v>有信贷记录</x:v>
      </x:c>
      <x:c r="D17" s="2" t="str">
        <x:v>A</x:v>
      </x:c>
      <x:c r="E17" s="2" t="str">
        <x:v>否</x:v>
      </x:c>
      <x:c r="F17" s="13" t="n">
        <x:v>0.021528332182165575</x:v>
      </x:c>
      <x:c r="G17" s="13" t="n">
        <x:v>0.021898166658019316</x:v>
      </x:c>
      <x:c r="H17" s="13" t="n">
        <x:v>0.0018181818181818182</x:v>
      </x:c>
      <x:c r="I17" s="13" t="n">
        <x:v>0.006677350427350438</x:v>
      </x:c>
      <x:c r="J17" s="13" t="n">
        <x:v>0.0009998973125223832</x:v>
      </x:c>
      <x:c r="K17" s="13" t="n">
        <x:v>0.0011317876996309827</x:v>
      </x:c>
      <x:c r="L17" s="13" t="n">
        <x:v>0.047276617980044296</x:v>
      </x:c>
      <x:c r="M17" s="13" t="n">
        <x:v>0.027058905155068348</x:v>
      </x:c>
      <x:c r="N17" s="13" t="n">
        <x:v>0.07128871052566674</x:v>
      </x:c>
      <x:c r="O17" s="13" t="n">
        <x:v>0.07740813718239073</x:v>
      </x:c>
      <x:c r="P17" s="13" t="n">
        <x:v>0.1490657555503631</x:v>
      </x:c>
      <x:c r="Q17" s="13" t="n">
        <x:v>0.001124580122472346</x:v>
      </x:c>
      <x:c r="R17" s="13" t="n">
        <x:v>0.18516701951010361</x:v>
      </x:c>
      <x:c r="S17" s="13" t="n">
        <x:v>0.7122958908637098</x:v>
      </x:c>
      <x:c r="T17" s="13" t="n">
        <x:v>0.6666666666666666</x:v>
      </x:c>
      <x:c r="U17" s="13" t="n">
        <x:v>0.0375286121158114</x:v>
      </x:c>
      <x:c r="V17" s="13" t="n">
        <x:v>0.035766943759075215</x:v>
      </x:c>
      <x:c r="W17" s="13" t="n">
        <x:v>0.060511756569847905</x:v>
      </x:c>
      <x:c r="X17" s="13" t="n">
        <x:v>0</x:v>
      </x:c>
      <x:c r="Y17" s="13" t="n">
        <x:v>0.3191510053037413</x:v>
      </x:c>
      <x:c r="Z17" s="13" t="n">
        <x:v>0.2108289226904685</x:v>
      </x:c>
      <x:c r="AA17" s="13" t="n">
        <x:v>0.019685916769429636</x:v>
      </x:c>
      <x:c r="AB17" s="13" t="n">
        <x:v>0.13718572954717304</x:v>
      </x:c>
      <x:c r="AC17" s="13" t="n">
        <x:v>0</x:v>
      </x:c>
      <x:c r="AD17" s="13" t="n">
        <x:v>0.06256092825360515</x:v>
      </x:c>
      <x:c r="AE17" s="13" t="n">
        <x:v>0.12240956871879334</x:v>
      </x:c>
      <x:c r="AF17" s="13" t="n">
        <x:v>0.31441766007134003</x:v>
      </x:c>
      <x:c r="AG17" s="13" t="n">
        <x:v>0.21189749401298139</x:v>
      </x:c>
      <x:c r="AH17" s="13" t="n">
        <x:v>0.522879887073584</x:v>
      </x:c>
      <x:c r="AI17" s="13" t="n">
        <x:v>0.9411764705882353</x:v>
      </x:c>
      <x:c r="AJ17" s="13" t="n">
        <x:v>0.6015800045767996</x:v>
      </x:c>
      <x:c r="AK17" s="13" t="n">
        <x:v>0.00005815834329856012</x:v>
      </x:c>
      <x:c r="AL17" s="13" t="n">
        <x:v>0.189975161186309</x:v>
      </x:c>
      <x:c r="AM17" s="13" t="n">
        <x:v>0.01428791242608754</x:v>
      </x:c>
      <x:c r="AN17" s="13" t="n">
        <x:v>0.06043796229713462</x:v>
      </x:c>
      <x:c r="AO17" s="13" t="n">
        <x:v>0.22472974484956815</x:v>
      </x:c>
      <x:c r="AP17" s="13" t="n">
        <x:v>0.604416118226482</x:v>
      </x:c>
    </x:row>
    <x:row r="18" ht="15" hidden="0" customHeight="1">
      <x:c r="A18" s="2" t="str">
        <x:v>E17</x:v>
      </x:c>
      <x:c r="B18" s="2" t="str">
        <x:v>***消防工程有限公司</x:v>
      </x:c>
      <x:c r="C18" s="2" t="str">
        <x:v>有信贷记录</x:v>
      </x:c>
      <x:c r="D18" s="2" t="str">
        <x:v>A</x:v>
      </x:c>
      <x:c r="E18" s="2" t="str">
        <x:v>否</x:v>
      </x:c>
      <x:c r="F18" s="13" t="n">
        <x:v>0.5655672267023081</x:v>
      </x:c>
      <x:c r="G18" s="13" t="n">
        <x:v>0.544859958553714</x:v>
      </x:c>
      <x:c r="H18" s="13" t="n">
        <x:v>0.7727272727272727</x:v>
      </x:c>
      <x:c r="I18" s="13" t="n">
        <x:v>0.6076388888888898</x:v>
      </x:c>
      <x:c r="J18" s="13" t="n">
        <x:v>0.48861209941894806</x:v>
      </x:c>
      <x:c r="K18" s="13" t="n">
        <x:v>0.5083594353548034</x:v>
      </x:c>
      <x:c r="L18" s="13" t="n">
        <x:v>0.543059046007614</x:v>
      </x:c>
      <x:c r="M18" s="13" t="n">
        <x:v>0.44067257668633375</x:v>
      </x:c>
      <x:c r="N18" s="13" t="n">
        <x:v>0.2624698023399845</x:v>
      </x:c>
      <x:c r="O18" s="13" t="n">
        <x:v>0.008485139668791023</x:v>
      </x:c>
      <x:c r="P18" s="13" t="n">
        <x:v>0.019925260693311235</x:v>
      </x:c>
      <x:c r="Q18" s="13" t="n">
        <x:v>0.4913140059095227</x:v>
      </x:c>
      <x:c r="R18" s="13" t="n">
        <x:v>0.07548379520301077</x:v>
      </x:c>
      <x:c r="S18" s="13" t="n">
        <x:v>0.6732571405374004</x:v>
      </x:c>
      <x:c r="T18" s="13" t="n">
        <x:v>0.9722222222222222</x:v>
      </x:c>
      <x:c r="U18" s="13" t="n">
        <x:v>0.05823417378693371</x:v>
      </x:c>
      <x:c r="V18" s="13" t="n">
        <x:v>0.051724331002870515</x:v>
      </x:c>
      <x:c r="W18" s="13" t="n">
        <x:v>0.1420173878680104</x:v>
      </x:c>
      <x:c r="X18" s="13" t="n">
        <x:v>0.03684389524997171</x:v>
      </x:c>
      <x:c r="Y18" s="13" t="n">
        <x:v>0.2511797349298083</x:v>
      </x:c>
      <x:c r="Z18" s="13" t="n">
        <x:v>0.17265828195467323</x:v>
      </x:c>
      <x:c r="AA18" s="13" t="n">
        <x:v>0.07242931641582602</x:v>
      </x:c>
      <x:c r="AB18" s="13" t="n">
        <x:v>0.20908771755189687</x:v>
      </x:c>
      <x:c r="AC18" s="13" t="n">
        <x:v>0.12997955295790176</x:v>
      </x:c>
      <x:c r="AD18" s="13" t="n">
        <x:v>0.037615607531572</x:v>
      </x:c>
      <x:c r="AE18" s="13" t="n">
        <x:v>0.07511333657017422</x:v>
      </x:c>
      <x:c r="AF18" s="13" t="n">
        <x:v>0.24744450218610395</x:v>
      </x:c>
      <x:c r="AG18" s="13" t="n">
        <x:v>0.13169508174340694</x:v>
      </x:c>
      <x:c r="AH18" s="13" t="n">
        <x:v>0.6710185536695629</x:v>
      </x:c>
      <x:c r="AI18" s="13" t="n">
        <x:v>0.9705882352941176</x:v>
      </x:c>
      <x:c r="AJ18" s="13" t="n">
        <x:v>0.19778513162309402</x:v>
      </x:c>
      <x:c r="AK18" s="13" t="n">
        <x:v>0.0401728125476096</x:v>
      </x:c>
      <x:c r="AL18" s="13" t="n">
        <x:v>0.1812519218380721</x:v>
      </x:c>
      <x:c r="AM18" s="13" t="n">
        <x:v>0.13096511213403397</x:v>
      </x:c>
      <x:c r="AN18" s="13" t="n">
        <x:v>0.004371251509234993</x:v>
      </x:c>
      <x:c r="AO18" s="13" t="n">
        <x:v>0.1040823147504859</x:v>
      </x:c>
      <x:c r="AP18" s="13" t="n">
        <x:v>0.650114378987462</x:v>
      </x:c>
    </x:row>
    <x:row r="19" ht="15" hidden="0" customHeight="1">
      <x:c r="A19" s="2" t="str">
        <x:v>E18</x:v>
      </x:c>
      <x:c r="B19" s="2" t="str">
        <x:v>***消防工程有限责任公司</x:v>
      </x:c>
      <x:c r="C19" s="2" t="str">
        <x:v>有信贷记录</x:v>
      </x:c>
      <x:c r="D19" s="2" t="str">
        <x:v>A</x:v>
      </x:c>
      <x:c r="E19" s="2" t="str">
        <x:v>否</x:v>
      </x:c>
      <x:c r="F19" s="13" t="n">
        <x:v>0.4307908971035424</x:v>
      </x:c>
      <x:c r="G19" s="13" t="n">
        <x:v>0.41606516650236697</x:v>
      </x:c>
      <x:c r="H19" s="13" t="n">
        <x:v>0.5636363636363636</x:v>
      </x:c>
      <x:c r="I19" s="13" t="n">
        <x:v>0.20699786324786357</x:v>
      </x:c>
      <x:c r="J19" s="13" t="n">
        <x:v>0.4714017474618514</x:v>
      </x:c>
      <x:c r="K19" s="13" t="n">
        <x:v>0.4791167044301905</x:v>
      </x:c>
      <x:c r="L19" s="13" t="n">
        <x:v>0.40122919206748114</x:v>
      </x:c>
      <x:c r="M19" s="13" t="n">
        <x:v>0.42195933624295656</x:v>
      </x:c>
      <x:c r="N19" s="13" t="n">
        <x:v>0.11708076216305194</x:v>
      </x:c>
      <x:c r="O19" s="13" t="n">
        <x:v>0.031396201344474794</x:v>
      </x:c>
      <x:c r="P19" s="13" t="n">
        <x:v>0.10314082496270667</x:v>
      </x:c>
      <x:c r="Q19" s="13" t="n">
        <x:v>0.47400838073646656</x:v>
      </x:c>
      <x:c r="R19" s="13" t="n">
        <x:v>0.1530805892091402</x:v>
      </x:c>
      <x:c r="S19" s="13" t="n">
        <x:v>0.6341335196019147</x:v>
      </x:c>
      <x:c r="T19" s="13" t="n">
        <x:v>0.9722222222222222</x:v>
      </x:c>
      <x:c r="U19" s="13" t="n">
        <x:v>0.032461428246929144</x:v>
      </x:c>
      <x:c r="V19" s="13" t="n">
        <x:v>0.03156763132649751</x:v>
      </x:c>
      <x:c r="W19" s="13" t="n">
        <x:v>0.04445761707172499</x:v>
      </x:c>
      <x:c r="X19" s="13" t="n">
        <x:v>0.005668291576918725</x:v>
      </x:c>
      <x:c r="Y19" s="13" t="n">
        <x:v>0.29538157795477876</x:v>
      </x:c>
      <x:c r="Z19" s="13" t="n">
        <x:v>0.19724018665011775</x:v>
      </x:c>
      <x:c r="AA19" s="13" t="n">
        <x:v>0.01745732241817345</x:v>
      </x:c>
      <x:c r="AB19" s="13" t="n">
        <x:v>0.116132801422868</x:v>
      </x:c>
      <x:c r="AC19" s="13" t="n">
        <x:v>0.03251662395067241</x:v>
      </x:c>
      <x:c r="AD19" s="13" t="n">
        <x:v>0.12546225827191074</x:v>
      </x:c>
      <x:c r="AE19" s="13" t="n">
        <x:v>0.23701363111509766</x:v>
      </x:c>
      <x:c r="AF19" s="13" t="n">
        <x:v>0.29099727081090604</x:v>
      </x:c>
      <x:c r="AG19" s="13" t="n">
        <x:v>0.19952698943460234</x:v>
      </x:c>
      <x:c r="AH19" s="13" t="n">
        <x:v>0.5444196152202943</x:v>
      </x:c>
      <x:c r="AI19" s="13" t="n">
        <x:v>0.9705882352941176</x:v>
      </x:c>
      <x:c r="AJ19" s="13" t="n">
        <x:v>0.2721118790312558</x:v>
      </x:c>
      <x:c r="AK19" s="13" t="n">
        <x:v>0.03314214757115064</x:v>
      </x:c>
      <x:c r="AL19" s="13" t="n">
        <x:v>0.15522178378067042</x:v>
      </x:c>
      <x:c r="AM19" s="13" t="n">
        <x:v>0.055198147195059236</x:v>
      </x:c>
      <x:c r="AN19" s="13" t="n">
        <x:v>0.07010006103264256</x:v>
      </x:c>
      <x:c r="AO19" s="13" t="n">
        <x:v>0.19505550415046055</x:v>
      </x:c>
      <x:c r="AP19" s="13" t="n">
        <x:v>0.5629739661156237</x:v>
      </x:c>
    </x:row>
    <x:row r="20" ht="15" hidden="0" customHeight="1">
      <x:c r="A20" s="2" t="str">
        <x:v>E19</x:v>
      </x:c>
      <x:c r="B20" s="2" t="str">
        <x:v>***科技有限公司</x:v>
      </x:c>
      <x:c r="C20" s="2" t="str">
        <x:v>有信贷记录</x:v>
      </x:c>
      <x:c r="D20" s="2" t="str">
        <x:v>A</x:v>
      </x:c>
      <x:c r="E20" s="2" t="str">
        <x:v>否</x:v>
      </x:c>
      <x:c r="F20" s="13" t="n">
        <x:v>0.11377125549047223</x:v>
      </x:c>
      <x:c r="G20" s="13" t="n">
        <x:v>0.11307694420621821</x:v>
      </x:c>
      <x:c r="H20" s="13" t="n">
        <x:v>0.07272727272727272</x:v>
      </x:c>
      <x:c r="I20" s="13" t="n">
        <x:v>0.020032051282051315</x:v>
      </x:c>
      <x:c r="J20" s="13" t="n">
        <x:v>0.7259637913739896</x:v>
      </x:c>
      <x:c r="K20" s="13" t="n">
        <x:v>0.721730696000064</x:v>
      </x:c>
      <x:c r="L20" s="13" t="n">
        <x:v>0.10326208664062306</x:v>
      </x:c>
      <x:c r="M20" s="13" t="n">
        <x:v>0.20596017047164886</x:v>
      </x:c>
      <x:c r="N20" s="13" t="n">
        <x:v>0.04164913209282551</x:v>
      </x:c>
      <x:c r="O20" s="13" t="n">
        <x:v>0.17932552344203254</x:v>
      </x:c>
      <x:c r="P20" s="13" t="n">
        <x:v>0.3411781300948655</x:v>
      </x:c>
      <x:c r="Q20" s="13" t="n">
        <x:v>0.7299796314239873</x:v>
      </x:c>
      <x:c r="R20" s="13" t="n">
        <x:v>0.032859068435445726</x:v>
      </x:c>
      <x:c r="S20" s="13" t="n">
        <x:v>0.5951089339526596</x:v>
      </x:c>
      <x:c r="T20" s="13" t="n">
        <x:v>0.9722222222222222</x:v>
      </x:c>
      <x:c r="U20" s="13" t="n">
        <x:v>0.26992014817144583</x:v>
      </x:c>
      <x:c r="V20" s="13" t="n">
        <x:v>0.2626231331723289</x:v>
      </x:c>
      <x:c r="W20" s="13" t="n">
        <x:v>0.34331159849832077</x:v>
      </x:c>
      <x:c r="X20" s="13" t="n">
        <x:v>0.18421947624985857</x:v>
      </x:c>
      <x:c r="Y20" s="13" t="n">
        <x:v>0.31251136058217754</x:v>
      </x:c>
      <x:c r="Z20" s="13" t="n">
        <x:v>0.2159618386357749</x:v>
      </x:c>
      <x:c r="AA20" s="13" t="n">
        <x:v>0.19091624942427987</x:v>
      </x:c>
      <x:c r="AB20" s="13" t="n">
        <x:v>0.11025558478637673</x:v>
      </x:c>
      <x:c r="AC20" s="13" t="n">
        <x:v>0.12924234173942376</x:v>
      </x:c>
      <x:c r="AD20" s="13" t="n">
        <x:v>0.009981903342590862</x:v>
      </x:c>
      <x:c r="AE20" s="13" t="n">
        <x:v>0.023069345419927924</x:v>
      </x:c>
      <x:c r="AF20" s="13" t="n">
        <x:v>0.30787551407652713</x:v>
      </x:c>
      <x:c r="AG20" s="13" t="n">
        <x:v>0.04027422914995869</x:v>
      </x:c>
      <x:c r="AH20" s="13" t="n">
        <x:v>0.5707529186069759</x:v>
      </x:c>
      <x:c r="AI20" s="13" t="n">
        <x:v>0.9705882352941176</x:v>
      </x:c>
      <x:c r="AJ20" s="13" t="n">
        <x:v>0.13691998699438643</x:v>
      </x:c>
      <x:c r="AK20" s="13" t="n">
        <x:v>0.045603645105329646</x:v>
      </x:c>
      <x:c r="AL20" s="13" t="n">
        <x:v>0.19053899539509683</x:v>
      </x:c>
      <x:c r="AM20" s="13" t="n">
        <x:v>0.15324076481702995</x:v>
      </x:c>
      <x:c r="AN20" s="13" t="n">
        <x:v>0.09038616038066989</x:v>
      </x:c>
      <x:c r="AO20" s="13" t="n">
        <x:v>0.026669474201544904</x:v>
      </x:c>
      <x:c r="AP20" s="13" t="n">
        <x:v>0.5498123438951256</x:v>
      </x:c>
    </x:row>
    <x:row r="21" ht="15" hidden="0" customHeight="1">
      <x:c r="A21" s="2" t="str">
        <x:v>E20</x:v>
      </x:c>
      <x:c r="B21" s="2" t="str">
        <x:v>***贸易有限公司</x:v>
      </x:c>
      <x:c r="C21" s="2" t="str">
        <x:v>有信贷记录</x:v>
      </x:c>
      <x:c r="D21" s="2" t="str">
        <x:v>B</x:v>
      </x:c>
      <x:c r="E21" s="2" t="str">
        <x:v>否</x:v>
      </x:c>
      <x:c r="F21" s="13" t="n">
        <x:v>0.08431930104681516</x:v>
      </x:c>
      <x:c r="G21" s="13" t="n">
        <x:v>0.0792759413159654</x:v>
      </x:c>
      <x:c r="H21" s="13" t="n">
        <x:v>0.1618181818181818</x:v>
      </x:c>
      <x:c r="I21" s="13" t="n">
        <x:v>0.020032051282051315</x:v>
      </x:c>
      <x:c r="J21" s="13" t="n">
        <x:v>0.699268896717752</x:v>
      </x:c>
      <x:c r="K21" s="13" t="n">
        <x:v>0.694456627824797</x:v>
      </x:c>
      <x:c r="L21" s="13" t="n">
        <x:v>0.04354425340267237</x:v>
      </x:c>
      <x:c r="M21" s="13" t="n">
        <x:v>0.6180445504887736</x:v>
      </x:c>
      <x:c r="N21" s="13" t="n">
        <x:v>0.05937301827641984</x:v>
      </x:c>
      <x:c r="O21" s="13" t="n">
        <x:v>0.06307448021438056</x:v>
      </x:c>
      <x:c r="P21" s="13" t="n">
        <x:v>0.12485921745793656</x:v>
      </x:c>
      <x:c r="Q21" s="13" t="n">
        <x:v>0.7031369589378754</x:v>
      </x:c>
      <x:c r="R21" s="13" t="n">
        <x:v>0.07356280864985223</x:v>
      </x:c>
      <x:c r="S21" s="13" t="n">
        <x:v>0.5719106723531544</x:v>
      </x:c>
      <x:c r="T21" s="13" t="n">
        <x:v>0.9722222222222222</x:v>
      </x:c>
      <x:c r="U21" s="13" t="n">
        <x:v>0.06705806293791833</x:v>
      </x:c>
      <x:c r="V21" s="13" t="n">
        <x:v>0.06814830851695224</x:v>
      </x:c>
      <x:c r="W21" s="13" t="n">
        <x:v>0.04939735230191666</x:v>
      </x:c>
      <x:c r="X21" s="13" t="n">
        <x:v>0</x:v>
      </x:c>
      <x:c r="Y21" s="13" t="n">
        <x:v>0.33195542218630825</x:v>
      </x:c>
      <x:c r="Z21" s="13" t="n">
        <x:v>0.21928755441500788</x:v>
      </x:c>
      <x:c r="AA21" s="13" t="n">
        <x:v>0.00891437740502474</x:v>
      </x:c>
      <x:c r="AB21" s="13" t="n">
        <x:v>0.06327269747191865</x:v>
      </x:c>
      <x:c r="AC21" s="13" t="n">
        <x:v>0</x:v>
      </x:c>
      <x:c r="AD21" s="13" t="n">
        <x:v>0.31703937884749717</x:v>
      </x:c>
      <x:c r="AE21" s="13" t="n">
        <x:v>0.5266010244215048</x:v>
      </x:c>
      <x:c r="AF21" s="13" t="n">
        <x:v>0.3270340526852613</x:v>
      </x:c>
      <x:c r="AG21" s="13" t="n">
        <x:v>0.08880496102128366</x:v>
      </x:c>
      <x:c r="AH21" s="13" t="n">
        <x:v>0.5501875348028841</x:v>
      </x:c>
      <x:c r="AI21" s="13" t="n">
        <x:v>0.9117647058823529</x:v>
      </x:c>
      <x:c r="AJ21" s="13" t="n">
        <x:v>0.18162156250521047</x:v>
      </x:c>
      <x:c r="AK21" s="13" t="n">
        <x:v>0.04321421082568793</x:v>
      </x:c>
      <x:c r="AL21" s="13" t="n">
        <x:v>0.1873126282084025</x:v>
      </x:c>
      <x:c r="AM21" s="13" t="n">
        <x:v>0.016369222503903443</x:v>
      </x:c>
      <x:c r="AN21" s="13" t="n">
        <x:v>0.2024845410632031</x:v>
      </x:c>
      <x:c r="AO21" s="13" t="n">
        <x:v>0.08095060447184996</x:v>
      </x:c>
      <x:c r="AP21" s="13" t="n">
        <x:v>0.5244833840168521</x:v>
      </x:c>
    </x:row>
    <x:row r="22" ht="15" hidden="0" customHeight="1">
      <x:c r="A22" s="2" t="str">
        <x:v>E21</x:v>
      </x:c>
      <x:c r="B22" s="2" t="str">
        <x:v>***建设工程有限公司</x:v>
      </x:c>
      <x:c r="C22" s="2" t="str">
        <x:v>有信贷记录</x:v>
      </x:c>
      <x:c r="D22" s="2" t="str">
        <x:v>B</x:v>
      </x:c>
      <x:c r="E22" s="2" t="str">
        <x:v>否</x:v>
      </x:c>
      <x:c r="F22" s="13" t="n">
        <x:v>0.17267516437778638</x:v>
      </x:c>
      <x:c r="G22" s="13" t="n">
        <x:v>0.16358769796095265</x:v>
      </x:c>
      <x:c r="H22" s="13" t="n">
        <x:v>0.3018181818181818</x:v>
      </x:c>
      <x:c r="I22" s="13" t="n">
        <x:v>0.14690170940170963</x:v>
      </x:c>
      <x:c r="J22" s="13" t="n">
        <x:v>0.42158258557384576</x:v>
      </x:c>
      <x:c r="K22" s="13" t="n">
        <x:v>0.42578408288801495</x:v>
      </x:c>
      <x:c r="L22" s="13" t="n">
        <x:v>0.29858916618975345</x:v>
      </x:c>
      <x:c r="M22" s="13" t="n">
        <x:v>0.5634150926319162</x:v>
      </x:c>
      <x:c r="N22" s="13" t="n">
        <x:v>0.2112085841203118</x:v>
      </x:c>
      <x:c r="O22" s="13" t="n">
        <x:v>0.047211640078893426</x:v>
      </x:c>
      <x:c r="P22" s="13" t="n">
        <x:v>0.12245260950820241</x:v>
      </x:c>
      <x:c r="Q22" s="13" t="n">
        <x:v>0.4239134294990454</x:v>
      </x:c>
      <x:c r="R22" s="13" t="n">
        <x:v>0.12333067178305676</x:v>
      </x:c>
      <x:c r="S22" s="13" t="n">
        <x:v>0.7053556195291755</x:v>
      </x:c>
      <x:c r="T22" s="13" t="n">
        <x:v>0.9722222222222222</x:v>
      </x:c>
      <x:c r="U22" s="13" t="n">
        <x:v>0.12725271269067476</x:v>
      </x:c>
      <x:c r="V22" s="13" t="n">
        <x:v>0.1326310838705344</x:v>
      </x:c>
      <x:c r="W22" s="13" t="n">
        <x:v>0.04692748468682083</x:v>
      </x:c>
      <x:c r="X22" s="13" t="n">
        <x:v>0.1303707062691307</x:v>
      </x:c>
      <x:c r="Y22" s="13" t="n">
        <x:v>0.19382739655161463</x:v>
      </x:c>
      <x:c r="Z22" s="13" t="n">
        <x:v>0.13690650562375814</x:v>
      </x:c>
      <x:c r="AA22" s="13" t="n">
        <x:v>0.12480128367034637</x:v>
      </x:c>
      <x:c r="AB22" s="13" t="n">
        <x:v>0.03185862321889273</x:v>
      </x:c>
      <x:c r="AC22" s="13" t="n">
        <x:v>0.18068586207884144</x:v>
      </x:c>
      <x:c r="AD22" s="13" t="n">
        <x:v>0.24098579630225597</x:v>
      </x:c>
      <x:c r="AE22" s="13" t="n">
        <x:v>0.45093975012284737</x:v>
      </x:c>
      <x:c r="AF22" s="13" t="n">
        <x:v>0.19093434440680648</x:v>
      </x:c>
      <x:c r="AG22" s="13" t="n">
        <x:v>0.2680507736527023</x:v>
      </x:c>
      <x:c r="AH22" s="13" t="n">
        <x:v>0.7519100942605075</x:v>
      </x:c>
      <x:c r="AI22" s="13" t="n">
        <x:v>0.8823529411764706</x:v>
      </x:c>
      <x:c r="AJ22" s="13" t="n">
        <x:v>0.15744396504842958</x:v>
      </x:c>
      <x:c r="AK22" s="13" t="n">
        <x:v>0.042430638174930195</x:v>
      </x:c>
      <x:c r="AL22" s="13" t="n">
        <x:v>0.14871819836988717</x:v>
      </x:c>
      <x:c r="AM22" s="13" t="n">
        <x:v>0.184583517777648</x:v>
      </x:c>
      <x:c r="AN22" s="13" t="n">
        <x:v>0.14796000118207409</x:v>
      </x:c>
      <x:c r="AO22" s="13" t="n">
        <x:v>0.20807098893210577</x:v>
      </x:c>
      <x:c r="AP22" s="13" t="n">
        <x:v>0.7105036900692263</x:v>
      </x:c>
    </x:row>
    <x:row r="23" ht="15" hidden="0" customHeight="1">
      <x:c r="A23" s="2" t="str">
        <x:v>E22</x:v>
      </x:c>
      <x:c r="B23" s="2" t="str">
        <x:v>***物流有限公司</x:v>
      </x:c>
      <x:c r="C23" s="2" t="str">
        <x:v>有信贷记录</x:v>
      </x:c>
      <x:c r="D23" s="2" t="str">
        <x:v>A</x:v>
      </x:c>
      <x:c r="E23" s="2" t="str">
        <x:v>否</x:v>
      </x:c>
      <x:c r="F23" s="13" t="n">
        <x:v>0.060174678495289194</x:v>
      </x:c>
      <x:c r="G23" s="13" t="n">
        <x:v>0.057988176516009335</x:v>
      </x:c>
      <x:c r="H23" s="13" t="n">
        <x:v>0.08181818181818182</x:v>
      </x:c>
      <x:c r="I23" s="13" t="n">
        <x:v>0.06009615384615394</x:v>
      </x:c>
      <x:c r="J23" s="13" t="n">
        <x:v>0.1281405773490325</x:v>
      </x:c>
      <x:c r="K23" s="13" t="n">
        <x:v>0.1303969511394663</x:v>
      </x:c>
      <x:c r="L23" s="13" t="n">
        <x:v>0.049142800268730254</x:v>
      </x:c>
      <x:c r="M23" s="13" t="n">
        <x:v>0.43756965585333574</x:v>
      </x:c>
      <x:c r="N23" s="13" t="n">
        <x:v>0.24333587411713803</x:v>
      </x:c>
      <x:c r="O23" s="13" t="n">
        <x:v>0.11577977617443051</x:v>
      </x:c>
      <x:c r="P23" s="13" t="n">
        <x:v>0.2082224170460828</x:v>
      </x:c>
      <x:c r="Q23" s="13" t="n">
        <x:v>0.12884698245445697</x:v>
      </x:c>
      <x:c r="R23" s="13" t="n">
        <x:v>0.1631720224618799</x:v>
      </x:c>
      <x:c r="S23" s="13" t="n">
        <x:v>0.6459119323071204</x:v>
      </x:c>
      <x:c r="T23" s="13" t="n">
        <x:v>0.9722222222222222</x:v>
      </x:c>
      <x:c r="U23" s="13" t="n">
        <x:v>0.06749488913351162</x:v>
      </x:c>
      <x:c r="V23" s="13" t="n">
        <x:v>0.06320245165191626</x:v>
      </x:c>
      <x:c r="W23" s="13" t="n">
        <x:v>0.12102351313969581</x:v>
      </x:c>
      <x:c r="X23" s="13" t="n">
        <x:v>0.017004874730756177</x:v>
      </x:c>
      <x:c r="Y23" s="13" t="n">
        <x:v>0.0917708236032381</x:v>
      </x:c>
      <x:c r="Z23" s="13" t="n">
        <x:v>0.061266080053858474</x:v>
      </x:c>
      <x:c r="AA23" s="13" t="n">
        <x:v>0.017085890026297422</x:v>
      </x:c>
      <x:c r="AB23" s="13" t="n">
        <x:v>0.15402694442764442</x:v>
      </x:c>
      <x:c r="AC23" s="13" t="n">
        <x:v>0.049202786241149044</x:v>
      </x:c>
      <x:c r="AD23" s="13" t="n">
        <x:v>0.09511306909672217</x:v>
      </x:c>
      <x:c r="AE23" s="13" t="n">
        <x:v>0.21047135996598218</x:v>
      </x:c>
      <x:c r="AF23" s="13" t="n">
        <x:v>0.09037640374017195</x:v>
      </x:c>
      <x:c r="AG23" s="13" t="n">
        <x:v>0.18426026921388933</x:v>
      </x:c>
      <x:c r="AH23" s="13" t="n">
        <x:v>0.7374256095359113</x:v>
      </x:c>
      <x:c r="AI23" s="13" t="n">
        <x:v>0.9117647058823529</x:v>
      </x:c>
      <x:c r="AJ23" s="13" t="n">
        <x:v>0.19499573526290706</x:v>
      </x:c>
      <x:c r="AK23" s="13" t="n">
        <x:v>0.029015755568504234</x:v>
      </x:c>
      <x:c r="AL23" s="13" t="n">
        <x:v>0.2505066403984591</x:v>
      </x:c>
      <x:c r="AM23" s="13" t="n">
        <x:v>0.10063788939121826</x:v>
      </x:c>
      <x:c r="AN23" s="13" t="n">
        <x:v>0.10270021082936528</x:v>
      </x:c>
      <x:c r="AO23" s="13" t="n">
        <x:v>0.19468217715280003</x:v>
      </x:c>
      <x:c r="AP23" s="13" t="n">
        <x:v>0.6640686742677747</x:v>
      </x:c>
    </x:row>
    <x:row r="24" ht="15" hidden="0" customHeight="1">
      <x:c r="A24" s="2" t="str">
        <x:v>E23</x:v>
      </x:c>
      <x:c r="B24" s="2" t="str">
        <x:v>***贸易有限公司</x:v>
      </x:c>
      <x:c r="C24" s="2" t="str">
        <x:v>有信贷记录</x:v>
      </x:c>
      <x:c r="D24" s="2" t="str">
        <x:v>B</x:v>
      </x:c>
      <x:c r="E24" s="2" t="str">
        <x:v>否</x:v>
      </x:c>
      <x:c r="F24" s="13" t="n">
        <x:v>0.36994345822756053</x:v>
      </x:c>
      <x:c r="G24" s="13" t="n">
        <x:v>0.3662411148379537</x:v>
      </x:c>
      <x:c r="H24" s="13" t="n">
        <x:v>0.27090909090909093</x:v>
      </x:c>
      <x:c r="I24" s="13" t="n">
        <x:v>0.4941239316239324</x:v>
      </x:c>
      <x:c r="J24" s="13" t="n">
        <x:v>0.6878217368915944</x:v>
      </x:c>
      <x:c r="K24" s="13" t="n">
        <x:v>0.6903458780946933</x:v>
      </x:c>
      <x:c r="L24" s="13" t="n">
        <x:v>0.42548956182039865</x:v>
      </x:c>
      <x:c r="M24" s="13" t="n">
        <x:v>0.23615740087871206</x:v>
      </x:c>
      <x:c r="N24" s="13" t="n">
        <x:v>0.31748862209535794</x:v>
      </x:c>
      <x:c r="O24" s="13" t="n">
        <x:v>0.6679987009112446</x:v>
      </x:c>
      <x:c r="P24" s="13" t="n">
        <x:v>0.8097730405063063</x:v>
      </x:c>
      <x:c r="Q24" s="13" t="n">
        <x:v>0.6916264298248518</x:v>
      </x:c>
      <x:c r="R24" s="13" t="n">
        <x:v>0.004962398254048448</x:v>
      </x:c>
      <x:c r="S24" s="13" t="n">
        <x:v>0.553371848479603</x:v>
      </x:c>
      <x:c r="T24" s="13" t="n">
        <x:v>0.9722222222222222</x:v>
      </x:c>
      <x:c r="U24" s="13" t="n">
        <x:v>0.3110691757963345</x:v>
      </x:c>
      <x:c r="V24" s="13" t="n">
        <x:v>0.32048032668784404</x:v>
      </x:c>
      <x:c r="W24" s="13" t="n">
        <x:v>0.15930646117368122</x:v>
      </x:c>
      <x:c r="X24" s="13" t="n">
        <x:v>0.09636095680761833</x:v>
      </x:c>
      <x:c r="Y24" s="13" t="n">
        <x:v>0.3168905696282041</x:v>
      </x:c>
      <x:c r="Z24" s="13" t="n">
        <x:v>0.2115396280301662</x:v>
      </x:c>
      <x:c r="AA24" s="13" t="n">
        <x:v>0.04345758984949561</x:v>
      </x:c>
      <x:c r="AB24" s="13" t="n">
        <x:v>0.04441185074021584</x:v>
      </x:c>
      <x:c r="AC24" s="13" t="n">
        <x:v>0.05542284204321235</x:v>
      </x:c>
      <x:c r="AD24" s="13" t="n">
        <x:v>0.050183000456911396</x:v>
      </x:c>
      <x:c r="AE24" s="13" t="n">
        <x:v>0.07796877440259517</x:v>
      </x:c>
      <x:c r="AF24" s="13" t="n">
        <x:v>0.3121904173766789</x:v>
      </x:c>
      <x:c r="AG24" s="13" t="n">
        <x:v>0</x:v>
      </x:c>
      <x:c r="AH24" s="13" t="n">
        <x:v>0.5055520074695579</x:v>
      </x:c>
      <x:c r="AI24" s="13" t="n">
        <x:v>0.9705882352941176</x:v>
      </x:c>
      <x:c r="AJ24" s="13" t="n">
        <x:v>0.1671581816790488</x:v>
      </x:c>
      <x:c r="AK24" s="13" t="n">
        <x:v>0.04453179117013107</x:v>
      </x:c>
      <x:c r="AL24" s="13" t="n">
        <x:v>0.08828584739297736</x:v>
      </x:c>
      <x:c r="AM24" s="13" t="n">
        <x:v>0.12710920708842066</x:v>
      </x:c>
      <x:c r="AN24" s="13" t="n">
        <x:v>0.40700950298870225</x:v>
      </x:c>
      <x:c r="AO24" s="13" t="n">
        <x:v>0</x:v>
      </x:c>
      <x:c r="AP24" s="13" t="n">
        <x:v>0.49061221826177714</x:v>
      </x:c>
    </x:row>
    <x:row r="25" ht="15" hidden="0" customHeight="1">
      <x:c r="A25" s="2" t="str">
        <x:v>E24</x:v>
      </x:c>
      <x:c r="B25" s="2" t="str">
        <x:v>***建筑工程有限公司</x:v>
      </x:c>
      <x:c r="C25" s="2" t="str">
        <x:v>有信贷记录</x:v>
      </x:c>
      <x:c r="D25" s="2" t="str">
        <x:v>A</x:v>
      </x:c>
      <x:c r="E25" s="2" t="str">
        <x:v>否</x:v>
      </x:c>
      <x:c r="F25" s="13" t="n">
        <x:v>0.15286610872405765</x:v>
      </x:c>
      <x:c r="G25" s="13" t="n">
        <x:v>0.15275306498032987</x:v>
      </x:c>
      <x:c r="H25" s="13" t="n">
        <x:v>0.07818181818181819</x:v>
      </x:c>
      <x:c r="I25" s="13" t="n">
        <x:v>0.10683760683760701</x:v>
      </x:c>
      <x:c r="J25" s="13" t="n">
        <x:v>0.29508785686157607</x:v>
      </x:c>
      <x:c r="K25" s="13" t="n">
        <x:v>0.299426124663683</x:v>
      </x:c>
      <x:c r="L25" s="13" t="n">
        <x:v>0.227674239219687</x:v>
      </x:c>
      <x:c r="M25" s="13" t="n">
        <x:v>0.16483856731006463</x:v>
      </x:c>
      <x:c r="N25" s="13" t="n">
        <x:v>0.16449051769994158</x:v>
      </x:c>
      <x:c r="O25" s="13" t="n">
        <x:v>0.07295834210640477</x:v>
      </x:c>
      <x:c r="P25" s="13" t="n">
        <x:v>0.1396156954718964</x:v>
      </x:c>
      <x:c r="Q25" s="13" t="n">
        <x:v>0.29671845016805826</x:v>
      </x:c>
      <x:c r="R25" s="13" t="n">
        <x:v>0.07293554735470914</x:v>
      </x:c>
      <x:c r="S25" s="13" t="n">
        <x:v>0.6503470030749099</x:v>
      </x:c>
      <x:c r="T25" s="13" t="n">
        <x:v>0.9444444444444444</x:v>
      </x:c>
      <x:c r="U25" s="13" t="n">
        <x:v>0.1548601282521712</x:v>
      </x:c>
      <x:c r="V25" s="13" t="n">
        <x:v>0.15222787522256373</x:v>
      </x:c>
      <x:c r="W25" s="13" t="n">
        <x:v>0.17783046828689997</x:v>
      </x:c>
      <x:c r="X25" s="13" t="n">
        <x:v>0.07935608207686215</x:v>
      </x:c>
      <x:c r="Y25" s="13" t="n">
        <x:v>0.23049084377647075</x:v>
      </x:c>
      <x:c r="Z25" s="13" t="n">
        <x:v>0.15671670277413302</x:v>
      </x:c>
      <x:c r="AA25" s="13" t="n">
        <x:v>0.01745732241817345</x:v>
      </x:c>
      <x:c r="AB25" s="13" t="n">
        <x:v>0.09931896148622382</x:v>
      </x:c>
      <x:c r="AC25" s="13" t="n">
        <x:v>0.09588235267505969</x:v>
      </x:c>
      <x:c r="AD25" s="13" t="n">
        <x:v>0.13956768866142907</x:v>
      </x:c>
      <x:c r="AE25" s="13" t="n">
        <x:v>0.2656990008890236</x:v>
      </x:c>
      <x:c r="AF25" s="13" t="n">
        <x:v>0.2270594135146656</x:v>
      </x:c>
      <x:c r="AG25" s="13" t="n">
        <x:v>0.1354704304310318</x:v>
      </x:c>
      <x:c r="AH25" s="13" t="n">
        <x:v>0.6639335322951754</x:v>
      </x:c>
      <x:c r="AI25" s="13" t="n">
        <x:v>0.9117647058823529</x:v>
      </x:c>
      <x:c r="AJ25" s="13" t="n">
        <x:v>0.2895438913488382</x:v>
      </x:c>
      <x:c r="AK25" s="13" t="n">
        <x:v>0.026062623912681344</x:v>
      </x:c>
      <x:c r="AL25" s="13" t="n">
        <x:v>0.1341300661091342</x:v>
      </x:c>
      <x:c r="AM25" s="13" t="n">
        <x:v>0.1172063897973068</x:v>
      </x:c>
      <x:c r="AN25" s="13" t="n">
        <x:v>0.1033548215277785</x:v>
      </x:c>
      <x:c r="AO25" s="13" t="n">
        <x:v>0.1041361844872006</x:v>
      </x:c>
      <x:c r="AP25" s="13" t="n">
        <x:v>0.6314917007958079</x:v>
      </x:c>
    </x:row>
    <x:row r="26" ht="15" hidden="0" customHeight="1">
      <x:c r="A26" s="2" t="str">
        <x:v>E25</x:v>
      </x:c>
      <x:c r="B26" s="2" t="str">
        <x:v>***通讯设备有限公司</x:v>
      </x:c>
      <x:c r="C26" s="2" t="str">
        <x:v>有信贷记录</x:v>
      </x:c>
      <x:c r="D26" s="2" t="str">
        <x:v>C</x:v>
      </x:c>
      <x:c r="E26" s="2" t="str">
        <x:v>否</x:v>
      </x:c>
      <x:c r="F26" s="13" t="n">
        <x:v>0.10524962400169836</x:v>
      </x:c>
      <x:c r="G26" s="13" t="n">
        <x:v>0.10598102260623285</x:v>
      </x:c>
      <x:c r="H26" s="13" t="n">
        <x:v>0.034545454545454546</x:v>
      </x:c>
      <x:c r="I26" s="13" t="n">
        <x:v>0.04006410256410263</x:v>
      </x:c>
      <x:c r="J26" s="13" t="n">
        <x:v>0.03423339509000503</x:v>
      </x:c>
      <x:c r="K26" s="13" t="n">
        <x:v>0.03451833472193826</x:v>
      </x:c>
      <x:c r="L26" s="13" t="n">
        <x:v>0.2282962999825823</x:v>
      </x:c>
      <x:c r="M26" s="13" t="n">
        <x:v>0.10574082794640186</x:v>
      </x:c>
      <x:c r="N26" s="13" t="n">
        <x:v>0.08886745079188074</x:v>
      </x:c>
      <x:c r="O26" s="13" t="n">
        <x:v>0.05524743339794567</x:v>
      </x:c>
      <x:c r="P26" s="13" t="n">
        <x:v>0.15357280106822033</x:v>
      </x:c>
      <x:c r="Q26" s="13" t="n">
        <x:v>0.037457433140755156</x:v>
      </x:c>
      <x:c r="R26" s="13" t="n">
        <x:v>0.13919107043631615</x:v>
      </x:c>
      <x:c r="S26" s="13" t="n">
        <x:v>0.6263676205384224</x:v>
      </x:c>
      <x:c r="T26" s="13" t="n">
        <x:v>0.8888888888888888</x:v>
      </x:c>
      <x:c r="U26" s="13" t="n">
        <x:v>0.0846184760007689</x:v>
      </x:c>
      <x:c r="V26" s="13" t="n">
        <x:v>0.07533379867936298</x:v>
      </x:c>
      <x:c r="W26" s="13" t="n">
        <x:v>0.2025291444378583</x:v>
      </x:c>
      <x:c r="X26" s="13" t="n">
        <x:v>0.062351207346105976</x:v>
      </x:c>
      <x:c r="Y26" s="13" t="n">
        <x:v>0.0654314448780142</x:v>
      </x:c>
      <x:c r="Z26" s="13" t="n">
        <x:v>0.044311271730918755</x:v>
      </x:c>
      <x:c r="AA26" s="13" t="n">
        <x:v>0.08728661209086726</x:v>
      </x:c>
      <x:c r="AB26" s="13" t="n">
        <x:v>0.2061020780534675</x:v>
      </x:c>
      <x:c r="AC26" s="13" t="n">
        <x:v>0.15159777382408085</x:v>
      </x:c>
      <x:c r="AD26" s="13" t="n">
        <x:v>0.04603049647959951</x:v>
      </x:c>
      <x:c r="AE26" s="13" t="n">
        <x:v>0.11749855034821642</x:v>
      </x:c>
      <x:c r="AF26" s="13" t="n">
        <x:v>0.07012072402311328</x:v>
      </x:c>
      <x:c r="AG26" s="13" t="n">
        <x:v>0.27033384443603664</x:v>
      </x:c>
      <x:c r="AH26" s="13" t="n">
        <x:v>0.5814783632761463</x:v>
      </x:c>
      <x:c r="AI26" s="13" t="n">
        <x:v>0.8823529411764706</x:v>
      </x:c>
      <x:c r="AJ26" s="13" t="n">
        <x:v>0.2160965377536571</x:v>
      </x:c>
      <x:c r="AK26" s="13" t="n">
        <x:v>0.01060630663610011</x:v>
      </x:c>
      <x:c r="AL26" s="13" t="n">
        <x:v>0.21272701812726194</x:v>
      </x:c>
      <x:c r="AM26" s="13" t="n">
        <x:v>0.12319355602937702</x:v>
      </x:c>
      <x:c r="AN26" s="13" t="n">
        <x:v>0.03737363708852148</x:v>
      </x:c>
      <x:c r="AO26" s="13" t="n">
        <x:v>0.22079769802270835</x:v>
      </x:c>
      <x:c r="AP26" s="13" t="n">
        <x:v>0.575732837001718</x:v>
      </x:c>
    </x:row>
    <x:row r="27" ht="15" hidden="0" customHeight="1">
      <x:c r="A27" s="2" t="str">
        <x:v>E26</x:v>
      </x:c>
      <x:c r="B27" s="2" t="str">
        <x:v>***金属材料有限公司</x:v>
      </x:c>
      <x:c r="C27" s="2" t="str">
        <x:v>有信贷记录</x:v>
      </x:c>
      <x:c r="D27" s="2" t="str">
        <x:v>A</x:v>
      </x:c>
      <x:c r="E27" s="2" t="str">
        <x:v>否</x:v>
      </x:c>
      <x:c r="F27" s="13" t="n">
        <x:v>0.05897866004072444</x:v>
      </x:c>
      <x:c r="G27" s="13" t="n">
        <x:v>0.05768297558697771</x:v>
      </x:c>
      <x:c r="H27" s="13" t="n">
        <x:v>0.06</x:v>
      </x:c>
      <x:c r="I27" s="13" t="n">
        <x:v>0.006677350427350438</x:v>
      </x:c>
      <x:c r="J27" s="13" t="n">
        <x:v>0.14593484378288077</x:v>
      </x:c>
      <x:c r="K27" s="13" t="n">
        <x:v>0.14539769435783984</x:v>
      </x:c>
      <x:c r="L27" s="13" t="n">
        <x:v>0.07215904849585708</x:v>
      </x:c>
      <x:c r="M27" s="13" t="n">
        <x:v>0.3273751230518383</x:v>
      </x:c>
      <x:c r="N27" s="13" t="n">
        <x:v>0.0271799964932951</x:v>
      </x:c>
      <x:c r="O27" s="13" t="n">
        <x:v>0.07639333958066082</x:v>
      </x:c>
      <x:c r="P27" s="13" t="n">
        <x:v>0.13931826573521827</x:v>
      </x:c>
      <x:c r="Q27" s="13" t="n">
        <x:v>0.14673975454310031</x:v>
      </x:c>
      <x:c r="R27" s="13" t="n">
        <x:v>0.07925871432595043</x:v>
      </x:c>
      <x:c r="S27" s="13" t="n">
        <x:v>0.596138131834504</x:v>
      </x:c>
      <x:c r="T27" s="13" t="n">
        <x:v>0.9722222222222222</x:v>
      </x:c>
      <x:c r="U27" s="13" t="n">
        <x:v>0.043207352658524274</x:v>
      </x:c>
      <x:c r="V27" s="13" t="n">
        <x:v>0.041366027002512164</x:v>
      </x:c>
      <x:c r="W27" s="13" t="n">
        <x:v>0.06668642560758749</x:v>
      </x:c>
      <x:c r="X27" s="13" t="n">
        <x:v>0.005668291576918725</x:v>
      </x:c>
      <x:c r="Y27" s="13" t="n">
        <x:v>0.06333151443852468</x:v>
      </x:c>
      <x:c r="Z27" s="13" t="n">
        <x:v>0.04195589350151809</x:v>
      </x:c>
      <x:c r="AA27" s="13" t="n">
        <x:v>0.015600160458793297</x:v>
      </x:c>
      <x:c r="AB27" s="13" t="n">
        <x:v>0.13168630161343067</x:v>
      </x:c>
      <x:c r="AC27" s="13" t="n">
        <x:v>0.024929411695515515</x:v>
      </x:c>
      <x:c r="AD27" s="13" t="n">
        <x:v>0.077253402166426</x:v>
      </x:c>
      <x:c r="AE27" s="13" t="n">
        <x:v>0.15707840502316006</x:v>
      </x:c>
      <x:c r="AF27" s="13" t="n">
        <x:v>0.06409070763121805</x:v>
      </x:c>
      <x:c r="AG27" s="13" t="n">
        <x:v>0.13978461934618794</x:v>
      </x:c>
      <x:c r="AH27" s="13" t="n">
        <x:v>0.57521442108802</x:v>
      </x:c>
      <x:c r="AI27" s="13" t="n">
        <x:v>0.9411764705882353</x:v>
      </x:c>
      <x:c r="AJ27" s="13" t="n">
        <x:v>0.1429547392999374</x:v>
      </x:c>
      <x:c r="AK27" s="13" t="n">
        <x:v>0.047230433471614944</x:v>
      </x:c>
      <x:c r="AL27" s="13" t="n">
        <x:v>0.18600043517834666</x:v>
      </x:c>
      <x:c r="AM27" s="13" t="n">
        <x:v>0.024093110605910864</x:v>
      </x:c>
      <x:c r="AN27" s="13" t="n">
        <x:v>0.0685269147340011</x:v>
      </x:c>
      <x:c r="AO27" s="13" t="n">
        <x:v>0.1109346583209819</x:v>
      </x:c>
      <x:c r="AP27" s="13" t="n">
        <x:v>0.5526513789572776</x:v>
      </x:c>
    </x:row>
    <x:row r="28" ht="15" hidden="0" customHeight="1">
      <x:c r="A28" s="2" t="str">
        <x:v>E27</x:v>
      </x:c>
      <x:c r="B28" s="2" t="str">
        <x:v>***农业开发有限公司</x:v>
      </x:c>
      <x:c r="C28" s="2" t="str">
        <x:v>有信贷记录</x:v>
      </x:c>
      <x:c r="D28" s="2" t="str">
        <x:v>A</x:v>
      </x:c>
      <x:c r="E28" s="2" t="str">
        <x:v>否</x:v>
      </x:c>
      <x:c r="F28" s="13" t="n">
        <x:v>0.19158720619059155</x:v>
      </x:c>
      <x:c r="G28" s="13" t="n">
        <x:v>0.18869047437380407</x:v>
      </x:c>
      <x:c r="H28" s="13" t="n">
        <x:v>0.16363636363636364</x:v>
      </x:c>
      <x:c r="I28" s="13" t="n">
        <x:v>0.14690170940170963</x:v>
      </x:c>
      <x:c r="J28" s="13" t="n">
        <x:v>0.16730332396534028</x:v>
      </x:c>
      <x:c r="K28" s="13" t="n">
        <x:v>0.16690348927162013</x:v>
      </x:c>
      <x:c r="L28" s="13" t="n">
        <x:v>0.25193460897260445</x:v>
      </x:c>
      <x:c r="M28" s="13" t="n">
        <x:v>0.27533622789367795</x:v>
      </x:c>
      <x:c r="N28" s="13" t="n">
        <x:v>0.18313277637260164</x:v>
      </x:c>
      <x:c r="O28" s="13" t="n">
        <x:v>0.37118118757927093</x:v>
      </x:c>
      <x:c r="P28" s="13" t="n">
        <x:v>0.5917354180436336</x:v>
      </x:c>
      <x:c r="Q28" s="13" t="n">
        <x:v>0.16822652654389209</x:v>
      </x:c>
      <x:c r="R28" s="13" t="n">
        <x:v>0.04839875744246857</x:v>
      </x:c>
      <x:c r="S28" s="13" t="n">
        <x:v>0.6322174941695712</x:v>
      </x:c>
      <x:c r="T28" s="13" t="n">
        <x:v>0.9722222222222222</x:v>
      </x:c>
      <x:c r="U28" s="13" t="n">
        <x:v>0.12742744316891208</x:v>
      </x:c>
      <x:c r="V28" s="13" t="n">
        <x:v>0.1289916797623004</x:v>
      </x:c>
      <x:c r="W28" s="13" t="n">
        <x:v>0.0975597707962854</x:v>
      </x:c>
      <x:c r="X28" s="13" t="n">
        <x:v>0.06801949892302471</x:v>
      </x:c>
      <x:c r="Y28" s="13" t="n">
        <x:v>0.07264581123086873</x:v>
      </x:c>
      <x:c r="Z28" s="13" t="n">
        <x:v>0.048609682826860734</x:v>
      </x:c>
      <x:c r="AA28" s="13" t="n">
        <x:v>0.06648639814580953</x:v>
      </x:c>
      <x:c r="AB28" s="13" t="n">
        <x:v>0.06614216602382123</x:v>
      </x:c>
      <x:c r="AC28" s="13" t="n">
        <x:v>0.09691779924822448</x:v>
      </x:c>
      <x:c r="AD28" s="13" t="n">
        <x:v>0.061928517809932804</x:v>
      </x:c>
      <x:c r="AE28" s="13" t="n">
        <x:v>0.15281577248178704</x:v>
      </x:c>
      <x:c r="AF28" s="13" t="n">
        <x:v>0.07153222933935043</x:v>
      </x:c>
      <x:c r="AG28" s="13" t="n">
        <x:v>0.07726664941272003</x:v>
      </x:c>
      <x:c r="AH28" s="13" t="n">
        <x:v>0.6184876056981334</x:v>
      </x:c>
      <x:c r="AI28" s="13" t="n">
        <x:v>0.9705882352941176</x:v>
      </x:c>
      <x:c r="AJ28" s="13" t="n">
        <x:v>0.1429255908320131</x:v>
      </x:c>
      <x:c r="AK28" s="13" t="n">
        <x:v>0.046804973034624824</x:v>
      </x:c>
      <x:c r="AL28" s="13" t="n">
        <x:v>0.11452412089433293</x:v>
      </x:c>
      <x:c r="AM28" s="13" t="n">
        <x:v>0.11549395877754096</x:v>
      </x:c>
      <x:c r="AN28" s="13" t="n">
        <x:v>0.23610070911629993</x:v>
      </x:c>
      <x:c r="AO28" s="13" t="n">
        <x:v>0.056747795540512465</x:v>
      </x:c>
      <x:c r="AP28" s="13" t="n">
        <x:v>0.5975004011269738</x:v>
      </x:c>
    </x:row>
    <x:row r="29" ht="15" hidden="0" customHeight="1">
      <x:c r="A29" s="2" t="str">
        <x:v>E28</x:v>
      </x:c>
      <x:c r="B29" s="2" t="str">
        <x:v>***景观工程有限公司</x:v>
      </x:c>
      <x:c r="C29" s="2" t="str">
        <x:v>有信贷记录</x:v>
      </x:c>
      <x:c r="D29" s="2" t="str">
        <x:v>B</x:v>
      </x:c>
      <x:c r="E29" s="2" t="str">
        <x:v>否</x:v>
      </x:c>
      <x:c r="F29" s="13" t="n">
        <x:v>0.012483442619519622</x:v>
      </x:c>
      <x:c r="G29" s="13" t="n">
        <x:v>0.01175023576771768</x:v>
      </x:c>
      <x:c r="H29" s="13" t="n">
        <x:v>0.023636363636363636</x:v>
      </x:c>
      <x:c r="I29" s="13" t="n">
        <x:v>0</x:v>
      </x:c>
      <x:c r="J29" s="13" t="n">
        <x:v>0.004839508184614927</x:v>
      </x:c>
      <x:c r="K29" s="13" t="n">
        <x:v>0.004803788721842305</x:v>
      </x:c>
      <x:c r="L29" s="13" t="n">
        <x:v>0.03732364577371918</x:v>
      </x:c>
      <x:c r="M29" s="13" t="n">
        <x:v>0.6036217303822939</x:v>
      </x:c>
      <x:c r="N29" s="13" t="n">
        <x:v>0</x:v>
      </x:c>
      <x:c r="O29" s="13" t="n">
        <x:v>0.09498492174921154</x:v>
      </x:c>
      <x:c r="P29" s="13" t="n">
        <x:v>0.1682360042007644</x:v>
      </x:c>
      <x:c r="Q29" s="13" t="n">
        <x:v>0.004863342159606627</x:v>
      </x:c>
      <x:c r="R29" s="13" t="n">
        <x:v>0.34968450591462175</x:v>
      </x:c>
      <x:c r="S29" s="13" t="n">
        <x:v>0.6411719049287417</x:v>
      </x:c>
      <x:c r="T29" s="13" t="n">
        <x:v>0.6388888888888888</x:v>
      </x:c>
      <x:c r="U29" s="13" t="n">
        <x:v>0.04888609320123714</x:v>
      </x:c>
      <x:c r="V29" s="13" t="n">
        <x:v>0.04836488105680835</x:v>
      </x:c>
      <x:c r="W29" s="13" t="n">
        <x:v>0.05433708753210833</x:v>
      </x:c>
      <x:c r="X29" s="13" t="n">
        <x:v>0</x:v>
      </x:c>
      <x:c r="Y29" s="13" t="n">
        <x:v>0.0802903988930261</x:v>
      </x:c>
      <x:c r="Z29" s="13" t="n">
        <x:v>0.053036973111007975</x:v>
      </x:c>
      <x:c r="AA29" s="13" t="n">
        <x:v>0.0014857295675041236</x:v>
      </x:c>
      <x:c r="AB29" s="13" t="n">
        <x:v>0.09504248599165002</x:v>
      </x:c>
      <x:c r="AC29" s="13" t="n">
        <x:v>0</x:v>
      </x:c>
      <x:c r="AD29" s="13" t="n">
        <x:v>0.3509235075048894</x:v>
      </x:c>
      <x:c r="AE29" s="13" t="n">
        <x:v>0.4555441505836798</x:v>
      </x:c>
      <x:c r="AF29" s="13" t="n">
        <x:v>0.07906456136210953</x:v>
      </x:c>
      <x:c r="AG29" s="13" t="n">
        <x:v>0.3524421213661962</x:v>
      </x:c>
      <x:c r="AH29" s="13" t="n">
        <x:v>0.7560427025928597</x:v>
      </x:c>
      <x:c r="AI29" s="13" t="n">
        <x:v>0.5882352941176471</x:v>
      </x:c>
      <x:c r="AJ29" s="13" t="n">
        <x:v>0.25590323444272456</x:v>
      </x:c>
      <x:c r="AK29" s="13" t="n">
        <x:v>0.0012204548603124384</x:v>
      </x:c>
      <x:c r="AL29" s="13" t="n">
        <x:v>0.21443100954424918</x:v>
      </x:c>
      <x:c r="AM29" s="13" t="n">
        <x:v>0</x:v>
      </x:c>
      <x:c r="AN29" s="13" t="n">
        <x:v>0.24166351338089515</x:v>
      </x:c>
      <x:c r="AO29" s="13" t="n">
        <x:v>0.4159506788388852</x:v>
      </x:c>
      <x:c r="AP29" s="13" t="n">
        <x:v>0.6699219246994923</x:v>
      </x:c>
    </x:row>
    <x:row r="30" ht="15" hidden="0" customHeight="1">
      <x:c r="A30" s="2" t="str">
        <x:v>E29</x:v>
      </x:c>
      <x:c r="B30" s="2" t="str">
        <x:v>***建筑劳务有限公司</x:v>
      </x:c>
      <x:c r="C30" s="2" t="str">
        <x:v>有信贷记录</x:v>
      </x:c>
      <x:c r="D30" s="2" t="str">
        <x:v>C</x:v>
      </x:c>
      <x:c r="E30" s="2" t="str">
        <x:v>是</x:v>
      </x:c>
      <x:c r="F30" s="13" t="n">
        <x:v>0.0035880553636942624</x:v>
      </x:c>
      <x:c r="G30" s="13" t="n">
        <x:v>0.003509810683863723</x:v>
      </x:c>
      <x:c r="H30" s="13" t="n">
        <x:v>0.0036363636363636364</x:v>
      </x:c>
      <x:c r="I30" s="13" t="n">
        <x:v>0</x:v>
      </x:c>
      <x:c r="J30" s="13" t="n">
        <x:v>0.0006367101547970557</x:v>
      </x:c>
      <x:c r="K30" s="13" t="n">
        <x:v>0.0006320107217547632</x:v>
      </x:c>
      <x:c r="L30" s="13" t="n">
        <x:v>0.009952972206325114</x:v>
      </x:c>
      <x:c r="M30" s="13" t="n">
        <x:v>0.31388329979879287</x:v>
      </x:c>
      <x:c r="N30" s="13" t="n">
        <x:v>0</x:v>
      </x:c>
      <x:c r="O30" s="13" t="n">
        <x:v>0.7992696307604098</x:v>
      </x:c>
      <x:c r="P30" s="13" t="n">
        <x:v>0.8892191320773057</x:v>
      </x:c>
      <x:c r="Q30" s="13" t="n">
        <x:v>0.0006551160729180075</x:v>
      </x:c>
      <x:c r="R30" s="13" t="n">
        <x:v>1</x:v>
      </x:c>
      <x:c r="S30" s="13" t="n">
        <x:v>0.186978143952068</x:v>
      </x:c>
      <x:c r="T30" s="13" t="n">
        <x:v>0.4444444444444444</x:v>
      </x:c>
      <x:c r="U30" s="13" t="n">
        <x:v>0.040673760724083144</x:v>
      </x:c>
      <x:c r="V30" s="13" t="n">
        <x:v>0.04313907002960053</x:v>
      </x:c>
      <x:c r="W30" s="13" t="n">
        <x:v>0.007409602845287499</x:v>
      </x:c>
      <x:c r="X30" s="13" t="n">
        <x:v>0</x:v>
      </x:c>
      <x:c r="Y30" s="13" t="n">
        <x:v>0.0701293068714924</x:v>
      </x:c>
      <x:c r="Z30" s="13" t="n">
        <x:v>0.046324528794521556</x:v>
      </x:c>
      <x:c r="AA30" s="13" t="n">
        <x:v>0.0007428647837520618</x:v>
      </x:c>
      <x:c r="AB30" s="13" t="n">
        <x:v>0.015525121874425512</x:v>
      </x:c>
      <x:c r="AC30" s="13" t="n">
        <x:v>0</x:v>
      </x:c>
      <x:c r="AD30" s="13" t="n">
        <x:v>0.403513477927342</x:v>
      </x:c>
      <x:c r="AE30" s="13" t="n">
        <x:v>0.5191531047890883</x:v>
      </x:c>
      <x:c r="AF30" s="13" t="n">
        <x:v>0.09832706418536923</x:v>
      </x:c>
      <x:c r="AG30" s="13" t="n">
        <x:v>0.3664251449020988</x:v>
      </x:c>
      <x:c r="AH30" s="13" t="n">
        <x:v>0.6200793366604587</x:v>
      </x:c>
      <x:c r="AI30" s="13" t="n">
        <x:v>0.3235294117647059</x:v>
      </x:c>
      <x:c r="AJ30" s="13" t="n">
        <x:v>0.24393917393348974</x:v>
      </x:c>
      <x:c r="AK30" s="13" t="n">
        <x:v>0.0001713409730268636</x:v>
      </x:c>
      <x:c r="AL30" s="13" t="n">
        <x:v>0.03912008164190955</x:v>
      </x:c>
      <x:c r="AM30" s="13" t="n">
        <x:v>0</x:v>
      </x:c>
      <x:c r="AN30" s="13" t="n">
        <x:v>0.6948208220230834</x:v>
      </x:c>
      <x:c r="AO30" s="13" t="n">
        <x:v>0.9671493225111414</x:v>
      </x:c>
      <x:c r="AP30" s="13" t="n">
        <x:v>0.3029006560237497</x:v>
      </x:c>
    </x:row>
    <x:row r="31" ht="15" hidden="0" customHeight="1">
      <x:c r="A31" s="2" t="str">
        <x:v>E30</x:v>
      </x:c>
      <x:c r="B31" s="2" t="str">
        <x:v>***建筑工程有限公司</x:v>
      </x:c>
      <x:c r="C31" s="2" t="str">
        <x:v>有信贷记录</x:v>
      </x:c>
      <x:c r="D31" s="2" t="str">
        <x:v>B</x:v>
      </x:c>
      <x:c r="E31" s="2" t="str">
        <x:v>否</x:v>
      </x:c>
      <x:c r="F31" s="13" t="n">
        <x:v>0.056212867364543444</x:v>
      </x:c>
      <x:c r="G31" s="13" t="n">
        <x:v>0.05630957140633538</x:v>
      </x:c>
      <x:c r="H31" s="13" t="n">
        <x:v>0.025454545454545455</x:v>
      </x:c>
      <x:c r="I31" s="13" t="n">
        <x:v>0.013354700854700877</x:v>
      </x:c>
      <x:c r="J31" s="13" t="n">
        <x:v>0.08288435672690986</x:v>
      </x:c>
      <x:c r="K31" s="13" t="n">
        <x:v>0.08229553218009664</x:v>
      </x:c>
      <x:c r="L31" s="13" t="n">
        <x:v>0.10512826892930902</x:v>
      </x:c>
      <x:c r="M31" s="13" t="n">
        <x:v>0.14570179698882957</x:v>
      </x:c>
      <x:c r="N31" s="13" t="n">
        <x:v>0.05568226308626402</x:v>
      </x:c>
      <x:c r="O31" s="13" t="n">
        <x:v>0.6394032729910004</x:v>
      </x:c>
      <x:c r="P31" s="13" t="n">
        <x:v>0.7913294598254211</x:v>
      </x:c>
      <x:c r="Q31" s="13" t="n">
        <x:v>0.08334023205284015</x:v>
      </x:c>
      <x:c r="R31" s="13" t="n">
        <x:v>0.19313617023094382</x:v>
      </x:c>
      <x:c r="S31" s="13" t="n">
        <x:v>0.7151979905403876</x:v>
      </x:c>
      <x:c r="T31" s="13" t="n">
        <x:v>0.8333333333333334</x:v>
      </x:c>
      <x:c r="U31" s="13" t="n">
        <x:v>0.0690674634376475</x:v>
      </x:c>
      <x:c r="V31" s="13" t="n">
        <x:v>0.06908148905752505</x:v>
      </x:c>
      <x:c r="W31" s="13" t="n">
        <x:v>0.06545149180003958</x:v>
      </x:c>
      <x:c r="X31" s="13" t="n">
        <x:v>0</x:v>
      </x:c>
      <x:c r="Y31" s="13" t="n">
        <x:v>0.11666889648648791</x:v>
      </x:c>
      <x:c r="Z31" s="13" t="n">
        <x:v>0.07706870502486678</x:v>
      </x:c>
      <x:c r="AA31" s="13" t="n">
        <x:v>0.0018571619593801545</x:v>
      </x:c>
      <x:c r="AB31" s="13" t="n">
        <x:v>0.08142602983097132</x:v>
      </x:c>
      <x:c r="AC31" s="13" t="n">
        <x:v>0</x:v>
      </x:c>
      <x:c r="AD31" s="13" t="n">
        <x:v>0.2294980872596291</x:v>
      </x:c>
      <x:c r="AE31" s="13" t="n">
        <x:v>0.33815785501030954</x:v>
      </x:c>
      <x:c r="AF31" s="13" t="n">
        <x:v>0.1466468486674</x:v>
      </x:c>
      <x:c r="AG31" s="13" t="n">
        <x:v>0.21697190476502712</x:v>
      </x:c>
      <x:c r="AH31" s="13" t="n">
        <x:v>0.5224631975969611</x:v>
      </x:c>
      <x:c r="AI31" s="13" t="n">
        <x:v>0.5882352941176471</x:v>
      </x:c>
      <x:c r="AJ31" s="13" t="n">
        <x:v>0.2591877032653983</x:v>
      </x:c>
      <x:c r="AK31" s="13" t="n">
        <x:v>0.014553195068630351</x:v>
      </x:c>
      <x:c r="AL31" s="13" t="n">
        <x:v>0.11794635660720261</x:v>
      </x:c>
      <x:c r="AM31" s="13" t="n">
        <x:v>0.01304840959961458</x:v>
      </x:c>
      <x:c r="AN31" s="13" t="n">
        <x:v>0.49601790283920316</x:v>
      </x:c>
      <x:c r="AO31" s="13" t="n">
        <x:v>0.2331141137507327</x:v>
      </x:c>
      <x:c r="AP31" s="13" t="n">
        <x:v>0.6061399646683121</x:v>
      </x:c>
    </x:row>
    <x:row r="32" ht="15" hidden="0" customHeight="1">
      <x:c r="A32" s="2" t="str">
        <x:v>E31</x:v>
      </x:c>
      <x:c r="B32" s="2" t="str">
        <x:v>***食品有限公司</x:v>
      </x:c>
      <x:c r="C32" s="2" t="str">
        <x:v>有信贷记录</x:v>
      </x:c>
      <x:c r="D32" s="2" t="str">
        <x:v>A</x:v>
      </x:c>
      <x:c r="E32" s="2" t="str">
        <x:v>否</x:v>
      </x:c>
      <x:c r="F32" s="13" t="n">
        <x:v>0.030647972898221826</x:v>
      </x:c>
      <x:c r="G32" s="13" t="n">
        <x:v>0.03067269336767862</x:v>
      </x:c>
      <x:c r="H32" s="13" t="n">
        <x:v>0.014545454545454545</x:v>
      </x:c>
      <x:c r="I32" s="13" t="n">
        <x:v>0.006677350427350438</x:v>
      </x:c>
      <x:c r="J32" s="13" t="n">
        <x:v>0.017311186118326858</x:v>
      </x:c>
      <x:c r="K32" s="13" t="n">
        <x:v>0.017219409235875806</x:v>
      </x:c>
      <x:c r="L32" s="13" t="n">
        <x:v>0.06718256239269452</x:v>
      </x:c>
      <x:c r="M32" s="13" t="n">
        <x:v>0.15237053388290914</x:v>
      </x:c>
      <x:c r="N32" s="13" t="n">
        <x:v>0.05099613203444972</x:v>
      </x:c>
      <x:c r="O32" s="13" t="n">
        <x:v>0.6894443759168328</x:v>
      </x:c>
      <x:c r="P32" s="13" t="n">
        <x:v>0.8230797794517439</x:v>
      </x:c>
      <x:c r="Q32" s="13" t="n">
        <x:v>0.017404060916429796</x:v>
      </x:c>
      <x:c r="R32" s="13" t="n">
        <x:v>0.13777671640044512</x:v>
      </x:c>
      <x:c r="S32" s="13" t="n">
        <x:v>0.4560587533539158</x:v>
      </x:c>
      <x:c r="T32" s="13" t="n">
        <x:v>0.9722222222222222</x:v>
      </x:c>
      <x:c r="U32" s="13" t="n">
        <x:v>0.22702381576418398</x:v>
      </x:c>
      <x:c r="V32" s="13" t="n">
        <x:v>0.23276135587399852</x:v>
      </x:c>
      <x:c r="W32" s="13" t="n">
        <x:v>0.13213791740762706</x:v>
      </x:c>
      <x:c r="X32" s="13" t="n">
        <x:v>0.017004874730756177</x:v>
      </x:c>
      <x:c r="Y32" s="13" t="n">
        <x:v>0.08103534014498277</x:v>
      </x:c>
      <x:c r="Z32" s="13" t="n">
        <x:v>0.05358780821462193</x:v>
      </x:c>
      <x:c r="AA32" s="13" t="n">
        <x:v>0.056086291173280664</x:v>
      </x:c>
      <x:c r="AB32" s="13" t="n">
        <x:v>0.05042588952375234</x:v>
      </x:c>
      <x:c r="AC32" s="13" t="n">
        <x:v>0.013456499715692101</x:v>
      </x:c>
      <x:c r="AD32" s="13" t="n">
        <x:v>0.06241418695409404</x:v>
      </x:c>
      <x:c r="AE32" s="13" t="n">
        <x:v>0.1783370258663855</x:v>
      </x:c>
      <x:c r="AF32" s="13" t="n">
        <x:v>0.07979856365172473</x:v>
      </x:c>
      <x:c r="AG32" s="13" t="n">
        <x:v>0.031002474859515187</x:v>
      </x:c>
      <x:c r="AH32" s="13" t="n">
        <x:v>0.5743233867981841</x:v>
      </x:c>
      <x:c r="AI32" s="13" t="n">
        <x:v>0.9705882352941176</x:v>
      </x:c>
      <x:c r="AJ32" s="13" t="n">
        <x:v>0.24914431264507617</x:v>
      </x:c>
      <x:c r="AK32" s="13" t="n">
        <x:v>0.0043674504400337735</x:v>
      </x:c>
      <x:c r="AL32" s="13" t="n">
        <x:v>0.10370867310119866</x:v>
      </x:c>
      <x:c r="AM32" s="13" t="n">
        <x:v>0.02337709045135769</x:v>
      </x:c>
      <x:c r="AN32" s="13" t="n">
        <x:v>0.4271004720002619</x:v>
      </x:c>
      <x:c r="AO32" s="13" t="n">
        <x:v>0.0985081902531144</x:v>
      </x:c>
      <x:c r="AP32" s="13" t="n">
        <x:v>0.4592929410195732</x:v>
      </x:c>
    </x:row>
    <x:row r="33" ht="15" hidden="0" customHeight="1">
      <x:c r="A33" s="2" t="str">
        <x:v>E32</x:v>
      </x:c>
      <x:c r="B33" s="2" t="str">
        <x:v>***建筑劳务有限公司</x:v>
      </x:c>
      <x:c r="C33" s="2" t="str">
        <x:v>有信贷记录</x:v>
      </x:c>
      <x:c r="D33" s="2" t="str">
        <x:v>B</x:v>
      </x:c>
      <x:c r="E33" s="2" t="str">
        <x:v>否</x:v>
      </x:c>
      <x:c r="F33" s="13" t="n">
        <x:v>0.2110972572306791</x:v>
      </x:c>
      <x:c r="G33" s="13" t="n">
        <x:v>0.21432735241246081</x:v>
      </x:c>
      <x:c r="H33" s="13" t="n">
        <x:v>0.02727272727272727</x:v>
      </x:c>
      <x:c r="I33" s="13" t="n">
        <x:v>0.04006410256410263</x:v>
      </x:c>
      <x:c r="J33" s="13" t="n">
        <x:v>0.00869902608329807</x:v>
      </x:c>
      <x:c r="K33" s="13" t="n">
        <x:v>0.008839547811479628</x:v>
      </x:c>
      <x:c r="L33" s="13" t="n">
        <x:v>0.16857846674463162</x:v>
      </x:c>
      <x:c r="M33" s="13" t="n">
        <x:v>0.04165118097117739</x:v>
      </x:c>
      <x:c r="N33" s="13" t="n">
        <x:v>0.04397531983333551</x:v>
      </x:c>
      <x:c r="O33" s="13" t="n">
        <x:v>0.10625579607366918</x:v>
      </x:c>
      <x:c r="P33" s="13" t="n">
        <x:v>0.2748148134710423</x:v>
      </x:c>
      <x:c r="Q33" s="13" t="n">
        <x:v>0.00980472369718867</x:v>
      </x:c>
      <x:c r="R33" s="13" t="n">
        <x:v>0.11573003389257715</x:v>
      </x:c>
      <x:c r="S33" s="13" t="n">
        <x:v>0.6942901811396985</x:v>
      </x:c>
      <x:c r="T33" s="13" t="n">
        <x:v>0.8055555555555556</x:v>
      </x:c>
      <x:c r="U33" s="13" t="n">
        <x:v>0.04740088413621993</x:v>
      </x:c>
      <x:c r="V33" s="13" t="n">
        <x:v>0.04304575197554325</x:v>
      </x:c>
      <x:c r="W33" s="13" t="n">
        <x:v>0.10373443983402499</x:v>
      </x:c>
      <x:c r="X33" s="13" t="n">
        <x:v>0.005668291576918725</x:v>
      </x:c>
      <x:c r="Y33" s="13" t="n">
        <x:v>0.06788526717710695</x:v>
      </x:c>
      <x:c r="Z33" s="13" t="n">
        <x:v>0.04523712545093853</x:v>
      </x:c>
      <x:c r="AA33" s="13" t="n">
        <x:v>0.00408575631063634</x:v>
      </x:c>
      <x:c r="AB33" s="13" t="n">
        <x:v>0.18703271823356823</x:v>
      </x:c>
      <x:c r="AC33" s="13" t="n">
        <x:v>0.023970588168764923</x:v>
      </x:c>
      <x:c r="AD33" s="13" t="n">
        <x:v>0.5609988598720131</x:v>
      </x:c>
      <x:c r="AE33" s="13" t="n">
        <x:v>0.7307387998974928</x:v>
      </x:c>
      <x:c r="AF33" s="13" t="n">
        <x:v>0.0687022272318209</x:v>
      </x:c>
      <x:c r="AG33" s="13" t="n">
        <x:v>0.2708473716929664</x:v>
      </x:c>
      <x:c r="AH33" s="13" t="n">
        <x:v>0.6298868038476864</x:v>
      </x:c>
      <x:c r="AI33" s="13" t="n">
        <x:v>0.7352941176470589</x:v>
      </x:c>
      <x:c r="AJ33" s="13" t="n">
        <x:v>0.23565290207639758</x:v>
      </x:c>
      <x:c r="AK33" s="13" t="n">
        <x:v>0.0026495905445391033</x:v>
      </x:c>
      <x:c r="AL33" s="13" t="n">
        <x:v>0.07890354407980353</x:v>
      </x:c>
      <x:c r="AM33" s="13" t="n">
        <x:v>0.023669393198690918</x:v>
      </x:c>
      <x:c r="AN33" s="13" t="n">
        <x:v>0.3727691253345294</x:v>
      </x:c>
      <x:c r="AO33" s="13" t="n">
        <x:v>0.20394330958524873</x:v>
      </x:c>
      <x:c r="AP33" s="13" t="n">
        <x:v>0.6441883412034113</x:v>
      </x:c>
    </x:row>
    <x:row r="34" ht="15" hidden="0" customHeight="1">
      <x:c r="A34" s="2" t="str">
        <x:v>E33</x:v>
      </x:c>
      <x:c r="B34" s="2" t="str">
        <x:v>***园林有限责任公司</x:v>
      </x:c>
      <x:c r="C34" s="2" t="str">
        <x:v>有信贷记录</x:v>
      </x:c>
      <x:c r="D34" s="2" t="str">
        <x:v>B</x:v>
      </x:c>
      <x:c r="E34" s="2" t="str">
        <x:v>否</x:v>
      </x:c>
      <x:c r="F34" s="13" t="n">
        <x:v>0.0965037390526936</x:v>
      </x:c>
      <x:c r="G34" s="13" t="n">
        <x:v>0.08629556268369284</x:v>
      </x:c>
      <x:c r="H34" s="13" t="n">
        <x:v>0.2909090909090909</x:v>
      </x:c>
      <x:c r="I34" s="13" t="n">
        <x:v>0.09348290598290614</x:v>
      </x:c>
      <x:c r="J34" s="13" t="n">
        <x:v>0.23832924170357497</x:v>
      </x:c>
      <x:c r="K34" s="13" t="n">
        <x:v>0.240540958674497</x:v>
      </x:c>
      <x:c r="L34" s="13" t="n">
        <x:v>0.14991664385777204</x:v>
      </x:c>
      <x:c r="M34" s="13" t="n">
        <x:v>0.9710233559127389</x:v>
      </x:c>
      <x:c r="N34" s="13" t="n">
        <x:v>0.2545755717447905</x:v>
      </x:c>
      <x:c r="O34" s="13" t="n">
        <x:v>0.035510808730008885</x:v>
      </x:c>
      <x:c r="P34" s="13" t="n">
        <x:v>0.07903207013170305</x:v>
      </x:c>
      <x:c r="Q34" s="13" t="n">
        <x:v>0.2607912637432731</x:v>
      </x:c>
      <x:c r="R34" s="13" t="n">
        <x:v>0.08085344683177424</x:v>
      </x:c>
      <x:c r="S34" s="13" t="n">
        <x:v>0.4863959742529262</x:v>
      </x:c>
      <x:c r="T34" s="13" t="n">
        <x:v>0.8888888888888888</x:v>
      </x:c>
      <x:c r="U34" s="13" t="n">
        <x:v>0.09291817371704156</x:v>
      </x:c>
      <x:c r="V34" s="13" t="n">
        <x:v>0.08447896797697665</x:v>
      </x:c>
      <x:c r="W34" s="13" t="n">
        <x:v>0.19882434301521457</x:v>
      </x:c>
      <x:c r="X34" s="13" t="n">
        <x:v>0.039678041038431075</x:v>
      </x:c>
      <x:c r="Y34" s="13" t="n">
        <x:v>0.11118539789653431</x:v>
      </x:c>
      <x:c r="Z34" s="13" t="n">
        <x:v>0.07604876956085711</x:v>
      </x:c>
      <x:c r="AA34" s="13" t="n">
        <x:v>0.03268605048509072</x:v>
      </x:c>
      <x:c r="AB34" s="13" t="n">
        <x:v>0.18441809495910083</x:v>
      </x:c>
      <x:c r="AC34" s="13" t="n">
        <x:v>0.08610487592201083</x:v>
      </x:c>
      <x:c r="AD34" s="13" t="n">
        <x:v>0.0407023062497809</x:v>
      </x:c>
      <x:c r="AE34" s="13" t="n">
        <x:v>0.07384225663946355</x:v>
      </x:c>
      <x:c r="AF34" s="13" t="n">
        <x:v>0.1191806421471009</x:v>
      </x:c>
      <x:c r="AG34" s="13" t="n">
        <x:v>0.1717958761733965</x:v>
      </x:c>
      <x:c r="AH34" s="13" t="n">
        <x:v>0.42017542414454784</x:v>
      </x:c>
      <x:c r="AI34" s="13" t="n">
        <x:v>0.8823529411764706</x:v>
      </x:c>
      <x:c r="AJ34" s="13" t="n">
        <x:v>0.1537221064282175</x:v>
      </x:c>
      <x:c r="AK34" s="13" t="n">
        <x:v>0.0431366675165493</x:v>
      </x:c>
      <x:c r="AL34" s="13" t="n">
        <x:v>0.37967127859362315</x:v>
      </x:c>
      <x:c r="AM34" s="13" t="n">
        <x:v>0.13283217166003733</x:v>
      </x:c>
      <x:c r="AN34" s="13" t="n">
        <x:v>0.022392931681654175</x:v>
      </x:c>
      <x:c r="AO34" s="13" t="n">
        <x:v>0.12831657011946462</x:v>
      </x:c>
      <x:c r="AP34" s="13" t="n">
        <x:v>0.40491780963972973</x:v>
      </x:c>
    </x:row>
    <x:row r="35" ht="15" hidden="0" customHeight="1">
      <x:c r="A35" s="2" t="str">
        <x:v>E34</x:v>
      </x:c>
      <x:c r="B35" s="2" t="str">
        <x:v>***建设工程有限公司</x:v>
      </x:c>
      <x:c r="C35" s="2" t="str">
        <x:v>有信贷记录</x:v>
      </x:c>
      <x:c r="D35" s="2" t="str">
        <x:v>B</x:v>
      </x:c>
      <x:c r="E35" s="2" t="str">
        <x:v>否</x:v>
      </x:c>
      <x:c r="F35" s="13" t="n">
        <x:v>0.1724509109175555</x:v>
      </x:c>
      <x:c r="G35" s="13" t="n">
        <x:v>0.1578651805416096</x:v>
      </x:c>
      <x:c r="H35" s="13" t="n">
        <x:v>0.43272727272727274</x:v>
      </x:c>
      <x:c r="I35" s="13" t="n">
        <x:v>0.29380341880341926</x:v>
      </x:c>
      <x:c r="J35" s="13" t="n">
        <x:v>0.18085543804079107</x:v>
      </x:c>
      <x:c r="K35" s="13" t="n">
        <x:v>0.2007710984846046</x:v>
      </x:c>
      <x:c r="L35" s="13" t="n">
        <x:v>0.2799273433028938</x:v>
      </x:c>
      <x:c r="M35" s="13" t="n">
        <x:v>0.8088374334356073</x:v>
      </x:c>
      <x:c r="N35" s="13" t="n">
        <x:v>0.43771474796927967</x:v>
      </x:c>
      <x:c r="O35" s="13" t="n">
        <x:v>0.027106307020358593</x:v>
      </x:c>
      <x:c r="P35" s="13" t="n">
        <x:v>0.10885006774149569</x:v>
      </x:c>
      <x:c r="Q35" s="13" t="n">
        <x:v>0.18185366253023882</x:v>
      </x:c>
      <x:c r="R35" s="13" t="n">
        <x:v>0.315581623565145</x:v>
      </x:c>
      <x:c r="S35" s="13" t="n">
        <x:v>0.8159220553643655</x:v>
      </x:c>
      <x:c r="T35" s="13" t="n">
        <x:v>0.9722222222222222</x:v>
      </x:c>
      <x:c r="U35" s="13" t="n">
        <x:v>0.06094249619961216</x:v>
      </x:c>
      <x:c r="V35" s="13" t="n">
        <x:v>0.05499046289487541</x:v>
      </x:c>
      <x:c r="W35" s="13" t="n">
        <x:v>0.13707765263781874</x:v>
      </x:c>
      <x:c r="X35" s="13" t="n">
        <x:v>0.008502437365378089</x:v>
      </x:c>
      <x:c r="Y35" s="13" t="n">
        <x:v>0.14277024304743471</x:v>
      </x:c>
      <x:c r="Z35" s="13" t="n">
        <x:v>0.09483425361707574</x:v>
      </x:c>
      <x:c r="AA35" s="13" t="n">
        <x:v>0.02562883503944613</x:v>
      </x:c>
      <x:c r="AB35" s="13" t="n">
        <x:v>0.1929660657305717</x:v>
      </x:c>
      <x:c r="AC35" s="13" t="n">
        <x:v>0.02823381358133049</x:v>
      </x:c>
      <x:c r="AD35" s="13" t="n">
        <x:v>0.2797942380528164</x:v>
      </x:c>
      <x:c r="AE35" s="13" t="n">
        <x:v>0.4891181710394775</x:v>
      </x:c>
      <x:c r="AF35" s="13" t="n">
        <x:v>0.14062693093645987</x:v>
      </x:c>
      <x:c r="AG35" s="13" t="n">
        <x:v>0.37362993641617853</x:v>
      </x:c>
      <x:c r="AH35" s="13" t="n">
        <x:v>0.6145304576299814</x:v>
      </x:c>
      <x:c r="AI35" s="13" t="n">
        <x:v>0.9117647058823529</x:v>
      </x:c>
      <x:c r="AJ35" s="13" t="n">
        <x:v>0.2351935884384785</x:v>
      </x:c>
      <x:c r="AK35" s="13" t="n">
        <x:v>0.02887258687771616</x:v>
      </x:c>
      <x:c r="AL35" s="13" t="n">
        <x:v>0.3232421190623214</x:v>
      </x:c>
      <x:c r="AM35" s="13" t="n">
        <x:v>0.1709674350407693</x:v>
      </x:c>
      <x:c r="AN35" s="13" t="n">
        <x:v>0.15888454748146147</x:v>
      </x:c>
      <x:c r="AO35" s="13" t="n">
        <x:v>0.4018078532117513</x:v>
      </x:c>
      <x:c r="AP35" s="13" t="n">
        <x:v>0.7174563598785105</x:v>
      </x:c>
    </x:row>
    <x:row r="36" ht="15" hidden="0" customHeight="1">
      <x:c r="A36" s="2" t="str">
        <x:v>E35</x:v>
      </x:c>
      <x:c r="B36" s="2" t="str">
        <x:v>***商贸有限公司</x:v>
      </x:c>
      <x:c r="C36" s="2" t="str">
        <x:v>有信贷记录</x:v>
      </x:c>
      <x:c r="D36" s="2" t="str">
        <x:v>B</x:v>
      </x:c>
      <x:c r="E36" s="2" t="str">
        <x:v>否</x:v>
      </x:c>
      <x:c r="F36" s="13" t="n">
        <x:v>0.049859019324668186</x:v>
      </x:c>
      <x:c r="G36" s="13" t="n">
        <x:v>0.04814544655473933</x:v>
      </x:c>
      <x:c r="H36" s="13" t="n">
        <x:v>0.06545454545454546</x:v>
      </x:c>
      <x:c r="I36" s="13" t="n">
        <x:v>0.07345085470085481</x:v>
      </x:c>
      <x:c r="J36" s="13" t="n">
        <x:v>0.11447382888750264</x:v>
      </x:c>
      <x:c r="K36" s="13" t="n">
        <x:v>0.11985392340689995</x:v>
      </x:c>
      <x:c r="L36" s="13" t="n">
        <x:v>0.0634501978153226</x:v>
      </x:c>
      <x:c r="M36" s="13" t="n">
        <x:v>0.4222645288772998</x:v>
      </x:c>
      <x:c r="N36" s="13" t="n">
        <x:v>0.3580202381691857</x:v>
      </x:c>
      <x:c r="O36" s="13" t="n">
        <x:v>0.03595735188513957</x:v>
      </x:c>
      <x:c r="P36" s="13" t="n">
        <x:v>0.08574736241685364</x:v>
      </x:c>
      <x:c r="Q36" s="13" t="n">
        <x:v>0.11510457748800022</x:v>
      </x:c>
      <x:c r="R36" s="13" t="n">
        <x:v>0.08524349091067221</x:v>
      </x:c>
      <x:c r="S36" s="13" t="n">
        <x:v>0.6532458486126844</x:v>
      </x:c>
      <x:c r="T36" s="13" t="n">
        <x:v>0.9722222222222222</x:v>
      </x:c>
      <x:c r="U36" s="13" t="n">
        <x:v>0.06644650626408771</x:v>
      </x:c>
      <x:c r="V36" s="13" t="n">
        <x:v>0.06814830851695224</x:v>
      </x:c>
      <x:c r="W36" s="13" t="n">
        <x:v>0.040752815649081245</x:v>
      </x:c>
      <x:c r="X36" s="13" t="n">
        <x:v>0.005668291576918725</x:v>
      </x:c>
      <x:c r="Y36" s="13" t="n">
        <x:v>0.0576571397980113</x:v>
      </x:c>
      <x:c r="Z36" s="13" t="n">
        <x:v>0.03812405416488568</x:v>
      </x:c>
      <x:c r="AA36" s="13" t="n">
        <x:v>0.011142971756280927</x:v>
      </x:c>
      <x:c r="AB36" s="13" t="n">
        <x:v>0.05267452064537227</x:v>
      </x:c>
      <x:c r="AC36" s="13" t="n">
        <x:v>0.015221486109880571</x:v>
      </x:c>
      <x:c r="AD36" s="13" t="n">
        <x:v>0.15335358400150992</x:v>
      </x:c>
      <x:c r="AE36" s="13" t="n">
        <x:v>0.19884916861436325</x:v>
      </x:c>
      <x:c r="AF36" s="13" t="n">
        <x:v>0.05676365648731707</x:v>
      </x:c>
      <x:c r="AG36" s="13" t="n">
        <x:v>0.143729090894955</x:v>
      </x:c>
      <x:c r="AH36" s="13" t="n">
        <x:v>0.689978280580074</x:v>
      </x:c>
      <x:c r="AI36" s="13" t="n">
        <x:v>0.9705882352941176</x:v>
      </x:c>
      <x:c r="AJ36" s="13" t="n">
        <x:v>0.15455071265056</x:v>
      </x:c>
      <x:c r="AK36" s="13" t="n">
        <x:v>0.042837922858834934</x:v>
      </x:c>
      <x:c r="AL36" s="13" t="n">
        <x:v>0.1316194873016053</x:v>
      </x:c>
      <x:c r="AM36" s="13" t="n">
        <x:v>0.09205795838326622</x:v>
      </x:c>
      <x:c r="AN36" s="13" t="n">
        <x:v>0.08934319347810192</x:v>
      </x:c>
      <x:c r="AO36" s="13" t="n">
        <x:v>0.11729896199237726</x:v>
      </x:c>
      <x:c r="AP36" s="13" t="n">
        <x:v>0.6460023637655518</x:v>
      </x:c>
    </x:row>
    <x:row r="37" ht="15" hidden="0" customHeight="1">
      <x:c r="A37" s="2" t="str">
        <x:v>E36</x:v>
      </x:c>
      <x:c r="B37" s="2" t="str">
        <x:v>***超硬材料有限公司</x:v>
      </x:c>
      <x:c r="C37" s="2" t="str">
        <x:v>有信贷记录</x:v>
      </x:c>
      <x:c r="D37" s="2" t="str">
        <x:v>D</x:v>
      </x:c>
      <x:c r="E37" s="2" t="str">
        <x:v>是</x:v>
      </x:c>
      <x:c r="F37" s="13" t="n">
        <x:v>0.12214338467242551</x:v>
      </x:c>
      <x:c r="G37" s="13" t="n">
        <x:v>0.11902836232233495</x:v>
      </x:c>
      <x:c r="H37" s="13" t="n">
        <x:v>0.13454545454545455</x:v>
      </x:c>
      <x:c r="I37" s="13" t="n">
        <x:v>0.04006410256410263</x:v>
      </x:c>
      <x:c r="J37" s="13" t="n">
        <x:v>0.07665446124218403</x:v>
      </x:c>
      <x:c r="K37" s="13" t="n">
        <x:v>0.07656211049537916</x:v>
      </x:c>
      <x:c r="L37" s="13" t="n">
        <x:v>0.2593993381273483</x:v>
      </x:c>
      <x:c r="M37" s="13" t="n">
        <x:v>0.3549413842468012</x:v>
      </x:c>
      <x:c r="N37" s="13" t="n">
        <x:v>0.07913868377177087</x:v>
      </x:c>
      <x:c r="O37" s="13" t="n">
        <x:v>0.04445246804202577</x:v>
      </x:c>
      <x:c r="P37" s="13" t="n">
        <x:v>0.0708255471622459</x:v>
      </x:c>
      <x:c r="Q37" s="13" t="n">
        <x:v>0.08911971353641412</x:v>
      </x:c>
      <x:c r="R37" s="13" t="n">
        <x:v>0.005706868341250405</x:v>
      </x:c>
      <x:c r="S37" s="13" t="n">
        <x:v>0.5938382176723601</x:v>
      </x:c>
      <x:c r="T37" s="13" t="n">
        <x:v>0.8333333333333334</x:v>
      </x:c>
      <x:c r="U37" s="13" t="n">
        <x:v>0.1343292970592862</x:v>
      </x:c>
      <x:c r="V37" s="13" t="n">
        <x:v>0.1327244019245917</x:v>
      </x:c>
      <x:c r="W37" s="13" t="n">
        <x:v>0.14572218929065414</x:v>
      </x:c>
      <x:c r="X37" s="13" t="n">
        <x:v>0.09352681101915897</x:v>
      </x:c>
      <x:c r="Y37" s="13" t="n">
        <x:v>0.059956917121987294</x:v>
      </x:c>
      <x:c r="Z37" s="13" t="n">
        <x:v>0.04135520676544763</x:v>
      </x:c>
      <x:c r="AA37" s="13" t="n">
        <x:v>0.07465791076708221</x:v>
      </x:c>
      <x:c r="AB37" s="13" t="n">
        <x:v>0.09374952392389033</x:v>
      </x:c>
      <x:c r="AC37" s="13" t="n">
        <x:v>0.12953175776011386</x:v>
      </x:c>
      <x:c r="AD37" s="13" t="n">
        <x:v>0.025224381837621403</x:v>
      </x:c>
      <x:c r="AE37" s="13" t="n">
        <x:v>0.027466015650949468</x:v>
      </x:c>
      <x:c r="AF37" s="13" t="n">
        <x:v>0.06827513004743253</x:v>
      </x:c>
      <x:c r="AG37" s="13" t="n">
        <x:v>0.03327147046763998</x:v>
      </x:c>
      <x:c r="AH37" s="13" t="n">
        <x:v>0.6151958757925224</x:v>
      </x:c>
      <x:c r="AI37" s="13" t="n">
        <x:v>0.8235294117647058</x:v>
      </x:c>
      <x:c r="AJ37" s="13" t="n">
        <x:v>0.181597981596409</x:v>
      </x:c>
      <x:c r="AK37" s="13" t="n">
        <x:v>0.02522400198803511</x:v>
      </x:c>
      <x:c r="AL37" s="13" t="n">
        <x:v>0.16659953303204614</x:v>
      </x:c>
      <x:c r="AM37" s="13" t="n">
        <x:v>0.12649889968412711</x:v>
      </x:c>
      <x:c r="AN37" s="13" t="n">
        <x:v>0.018589039538043528</x:v>
      </x:c>
      <x:c r="AO37" s="13" t="n">
        <x:v>0.0033142801481954908</x:v>
      </x:c>
      <x:c r="AP37" s="13" t="n">
        <x:v>0.5704489125739819</x:v>
      </x:c>
    </x:row>
    <x:row r="38" ht="15" hidden="0" customHeight="1">
      <x:c r="A38" s="2" t="str">
        <x:v>E37</x:v>
      </x:c>
      <x:c r="B38" s="2" t="str">
        <x:v>***木业有限公司</x:v>
      </x:c>
      <x:c r="C38" s="2" t="str">
        <x:v>有信贷记录</x:v>
      </x:c>
      <x:c r="D38" s="2" t="str">
        <x:v>B</x:v>
      </x:c>
      <x:c r="E38" s="2" t="str">
        <x:v>否</x:v>
      </x:c>
      <x:c r="F38" s="13" t="n">
        <x:v>0.046046710500743035</x:v>
      </x:c>
      <x:c r="G38" s="13" t="n">
        <x:v>0.045017137032165144</x:v>
      </x:c>
      <x:c r="H38" s="13" t="n">
        <x:v>0.04727272727272727</x:v>
      </x:c>
      <x:c r="I38" s="13" t="n">
        <x:v>0.013354700854700877</x:v>
      </x:c>
      <x:c r="J38" s="13" t="n">
        <x:v>0.1713709815442906</x:v>
      </x:c>
      <x:c r="K38" s="13" t="n">
        <x:v>0.17078549383666078</x:v>
      </x:c>
      <x:c r="L38" s="13" t="n">
        <x:v>0.04852073950583493</x:v>
      </x:c>
      <x:c r="M38" s="13" t="n">
        <x:v>0.33013615674630314</x:v>
      </x:c>
      <x:c r="N38" s="13" t="n">
        <x:v>0.06960282885783002</x:v>
      </x:c>
      <x:c r="O38" s="13" t="n">
        <x:v>0.05239328823401779</x:v>
      </x:c>
      <x:c r="P38" s="13" t="n">
        <x:v>0.13043674072419736</x:v>
      </x:c>
      <x:c r="Q38" s="13" t="n">
        <x:v>0.1723167018970246</x:v>
      </x:c>
      <x:c r="R38" s="13" t="n">
        <x:v>0.08005777949095245</x:v>
      </x:c>
      <x:c r="S38" s="13" t="n">
        <x:v>0.6103557150984935</x:v>
      </x:c>
      <x:c r="T38" s="13" t="n">
        <x:v>0.9722222222222222</x:v>
      </x:c>
      <x:c r="U38" s="13" t="n">
        <x:v>0.11039122154077347</x:v>
      </x:c>
      <x:c r="V38" s="13" t="n">
        <x:v>0.10986147868055748</x:v>
      </x:c>
      <x:c r="W38" s="13" t="n">
        <x:v>0.10990910887176457</x:v>
      </x:c>
      <x:c r="X38" s="13" t="n">
        <x:v>0.039678041038431075</x:v>
      </x:c>
      <x:c r="Y38" s="13" t="n">
        <x:v>0.07478274663312598</x:v>
      </x:c>
      <x:c r="Z38" s="13" t="n">
        <x:v>0.05053282982705612</x:v>
      </x:c>
      <x:c r="AA38" s="13" t="n">
        <x:v>0.10325820494153659</x:v>
      </x:c>
      <x:c r="AB38" s="13" t="n">
        <x:v>0.08592884619551434</x:v>
      </x:c>
      <x:c r="AC38" s="13" t="n">
        <x:v>0.06632402604803538</x:v>
      </x:c>
      <x:c r="AD38" s="13" t="n">
        <x:v>0.020033868793903026</x:v>
      </x:c>
      <x:c r="AE38" s="13" t="n">
        <x:v>0.05734190464177404</x:v>
      </x:c>
      <x:c r="AF38" s="13" t="n">
        <x:v>0.07363778527936139</x:v>
      </x:c>
      <x:c r="AG38" s="13" t="n">
        <x:v>0.12669860207698497</x:v>
      </x:c>
      <x:c r="AH38" s="13" t="n">
        <x:v>0.605065782213973</x:v>
      </x:c>
      <x:c r="AI38" s="13" t="n">
        <x:v>0.9705882352941176</x:v>
      </x:c>
      <x:c r="AJ38" s="13" t="n">
        <x:v>0.14344298246986126</x:v>
      </x:c>
      <x:c r="AK38" s="13" t="n">
        <x:v>0.046073046550833864</x:v>
      </x:c>
      <x:c r="AL38" s="13" t="n">
        <x:v>0.1679962239597467</x:v>
      </x:c>
      <x:c r="AM38" s="13" t="n">
        <x:v>0.08740083366949045</x:v>
      </x:c>
      <x:c r="AN38" s="13" t="n">
        <x:v>0.020274935992104778</x:v>
      </x:c>
      <x:c r="AO38" s="13" t="n">
        <x:v>0.10488750883535365</x:v>
      </x:c>
      <x:c r="AP38" s="13" t="n">
        <x:v>0.5765105820672286</x:v>
      </x:c>
    </x:row>
    <x:row r="39" ht="15" hidden="0" customHeight="1">
      <x:c r="A39" s="2" t="str">
        <x:v>E38</x:v>
      </x:c>
      <x:c r="B39" s="2" t="str">
        <x:v>***建设工程有限公司</x:v>
      </x:c>
      <x:c r="C39" s="2" t="str">
        <x:v>有信贷记录</x:v>
      </x:c>
      <x:c r="D39" s="2" t="str">
        <x:v>B</x:v>
      </x:c>
      <x:c r="E39" s="2" t="str">
        <x:v>否</x:v>
      </x:c>
      <x:c r="F39" s="13" t="n">
        <x:v>0.07392889072278387</x:v>
      </x:c>
      <x:c r="G39" s="13" t="n">
        <x:v>0.07294302203855911</x:v>
      </x:c>
      <x:c r="H39" s="13" t="n">
        <x:v>0.06</x:v>
      </x:c>
      <x:c r="I39" s="13" t="n">
        <x:v>0.026709401709401753</x:v>
      </x:c>
      <x:c r="J39" s="13" t="n">
        <x:v>0.0450415603400631</x:v>
      </x:c>
      <x:c r="K39" s="13" t="n">
        <x:v>0.04478208783616484</x:v>
      </x:c>
      <x:c r="L39" s="13" t="n">
        <x:v>0.14680634004329543</x:v>
      </x:c>
      <x:c r="M39" s="13" t="n">
        <x:v>0.261305471578208</x:v>
      </x:c>
      <x:c r="N39" s="13" t="n">
        <x:v>0.08602270288900912</x:v>
      </x:c>
      <x:c r="O39" s="13" t="n">
        <x:v>0.11220496737780519</x:v>
      </x:c>
      <x:c r="P39" s="13" t="n">
        <x:v>0.2693779918868822</x:v>
      </x:c>
      <x:c r="Q39" s="13" t="n">
        <x:v>0.04928437125405626</x:v>
      </x:c>
      <x:c r="R39" s="13" t="n">
        <x:v>0.47120890985808506</x:v>
      </x:c>
      <x:c r="S39" s="13" t="n">
        <x:v>0.7178362244897799</x:v>
      </x:c>
      <x:c r="T39" s="13" t="n">
        <x:v>0.8055555555555556</x:v>
      </x:c>
      <x:c r="U39" s="13" t="n">
        <x:v>0.05404064230923805</x:v>
      </x:c>
      <x:c r="V39" s="13" t="n">
        <x:v>0.050884468516354975</x:v>
      </x:c>
      <x:c r="W39" s="13" t="n">
        <x:v>0.09385496937364166</x:v>
      </x:c>
      <x:c r="X39" s="13" t="n">
        <x:v>0.01133658315383745</x:v>
      </x:c>
      <x:c r="Y39" s="13" t="n">
        <x:v>0.07481885332255685</x:v>
      </x:c>
      <x:c r="Z39" s="13" t="n">
        <x:v>0.05021248605801039</x:v>
      </x:c>
      <x:c r="AA39" s="13" t="n">
        <x:v>0.002228594351256185</x:v>
      </x:c>
      <x:c r="AB39" s="13" t="n">
        <x:v>0.1487412154104992</x:v>
      </x:c>
      <x:c r="AC39" s="13" t="n">
        <x:v>0.040645779938340516</x:v>
      </x:c>
      <x:c r="AD39" s="13" t="n">
        <x:v>0.424931589721377</x:v>
      </x:c>
      <x:c r="AE39" s="13" t="n">
        <x:v>0.6192222770910631</x:v>
      </x:c>
      <x:c r="AF39" s="13" t="n">
        <x:v>0.08520690660175634</x:v>
      </x:c>
      <x:c r="AG39" s="13" t="n">
        <x:v>0.32195482676691456</x:v>
      </x:c>
      <x:c r="AH39" s="13" t="n">
        <x:v>0.5623660800663186</x:v>
      </x:c>
      <x:c r="AI39" s="13" t="n">
        <x:v>0.5882352941176471</x:v>
      </x:c>
      <x:c r="AJ39" s="13" t="n">
        <x:v>0.2228020176822071</x:v>
      </x:c>
      <x:c r="AK39" s="13" t="n">
        <x:v>0.01214705963983488</x:v>
      </x:c>
      <x:c r="AL39" s="13" t="n">
        <x:v>0.18640774407494193</x:v>
      </x:c>
      <x:c r="AM39" s="13" t="n">
        <x:v>0.051398635959276504</x:v>
      </x:c>
      <x:c r="AN39" s="13" t="n">
        <x:v>0.2957905177184143</x:v>
      </x:c>
      <x:c r="AO39" s="13" t="n">
        <x:v>0.4891549416977719</x:v>
      </x:c>
      <x:c r="AP39" s="13" t="n">
        <x:v>0.6271754608373802</x:v>
      </x:c>
    </x:row>
    <x:row r="40" ht="15" hidden="0" customHeight="1">
      <x:c r="A40" s="2" t="str">
        <x:v>E39</x:v>
      </x:c>
      <x:c r="B40" s="2" t="str">
        <x:v>***建筑劳务有限公司</x:v>
      </x:c>
      <x:c r="C40" s="2" t="str">
        <x:v>有信贷记录</x:v>
      </x:c>
      <x:c r="D40" s="2" t="str">
        <x:v>C</x:v>
      </x:c>
      <x:c r="E40" s="2" t="str">
        <x:v>否</x:v>
      </x:c>
      <x:c r="F40" s="13" t="n">
        <x:v>0.020930322954883198</x:v>
      </x:c>
      <x:c r="G40" s="13" t="n">
        <x:v>0.021135164335440243</x:v>
      </x:c>
      <x:c r="H40" s="13" t="n">
        <x:v>0.005454545454545455</x:v>
      </x:c>
      <x:c r="I40" s="13" t="n">
        <x:v>0</x:v>
      </x:c>
      <x:c r="J40" s="13" t="n">
        <x:v>0.0012753489354013605</x:v>
      </x:c>
      <x:c r="K40" s="13" t="n">
        <x:v>0.0012659358345071428</x:v>
      </x:c>
      <x:c r="L40" s="13" t="n">
        <x:v>0.03296922043345194</x:v>
      </x:c>
      <x:c r="M40" s="13" t="n">
        <x:v>0.08347960101031725</x:v>
      </x:c>
      <x:c r="N40" s="13" t="n">
        <x:v>0</x:v>
      </x:c>
      <x:c r="O40" s="13" t="n">
        <x:v>0.08659236307595386</x:v>
      </x:c>
      <x:c r="P40" s="13" t="n">
        <x:v>0.14222610310494713</x:v>
      </x:c>
      <x:c r="Q40" s="13" t="n">
        <x:v>0.0015280335691903405</x:v>
      </x:c>
      <x:c r="R40" s="13" t="n">
        <x:v>0.3558964026239091</x:v>
      </x:c>
      <x:c r="S40" s="13" t="n">
        <x:v>0.7868574272936539</x:v>
      </x:c>
      <x:c r="T40" s="13" t="n">
        <x:v>0.6666666666666666</x:v>
      </x:c>
      <x:c r="U40" s="13" t="n">
        <x:v>0.02223969527004598</x:v>
      </x:c>
      <x:c r="V40" s="13" t="n">
        <x:v>0.02139596343425372</x:v>
      </x:c>
      <x:c r="W40" s="13" t="n">
        <x:v>0.03457814661134166</x:v>
      </x:c>
      <x:c r="X40" s="13" t="n">
        <x:v>0.017004874730756177</x:v>
      </x:c>
      <x:c r="Y40" s="13" t="n">
        <x:v>0.049112586835839946</x:v>
      </x:c>
      <x:c r="Z40" s="13" t="n">
        <x:v>0.033243479031302904</x:v>
      </x:c>
      <x:c r="AA40" s="13" t="n">
        <x:v>0</x:v>
      </x:c>
      <x:c r="AB40" s="13" t="n">
        <x:v>0.13035613695066875</x:v>
      </x:c>
      <x:c r="AC40" s="13" t="n">
        <x:v>0.14260468554638114</x:v>
      </x:c>
      <x:c r="AD40" s="13" t="n">
        <x:v>0.9592573093484428</x:v>
      </x:c>
      <x:c r="AE40" s="13" t="n">
        <x:v>0.9783565162707609</x:v>
      </x:c>
      <x:c r="AF40" s="13" t="n">
        <x:v>0.06630231519235756</x:v>
      </x:c>
      <x:c r="AG40" s="13" t="n">
        <x:v>0.2789891477285567</x:v>
      </x:c>
      <x:c r="AH40" s="13" t="n">
        <x:v>0.5368798385077916</x:v>
      </x:c>
      <x:c r="AI40" s="13" t="n">
        <x:v>0.5882352941176471</x:v>
      </x:c>
      <x:c r="AJ40" s="13" t="n">
        <x:v>0.21333514173144208</x:v>
      </x:c>
      <x:c r="AK40" s="13" t="n">
        <x:v>0.0005044764268197253</x:v>
      </x:c>
      <x:c r="AL40" s="13" t="n">
        <x:v>0.1565784538627266</x:v>
      </x:c>
      <x:c r="AM40" s="13" t="n">
        <x:v>0.11302709752209834</x:v>
      </x:c>
      <x:c r="AN40" s="13" t="n">
        <x:v>0.5967309354784122</x:v>
      </x:c>
      <x:c r="AO40" s="13" t="n">
        <x:v>0.38326708242678487</x:v>
      </x:c>
      <x:c r="AP40" s="13" t="n">
        <x:v>0.6606460440235197</x:v>
      </x:c>
    </x:row>
    <x:row r="41" ht="15" hidden="0" customHeight="1">
      <x:c r="A41" s="2" t="str">
        <x:v>E40</x:v>
      </x:c>
      <x:c r="B41" s="2" t="str">
        <x:v>***财税咨询服务有限公司</x:v>
      </x:c>
      <x:c r="C41" s="2" t="str">
        <x:v>有信贷记录</x:v>
      </x:c>
      <x:c r="D41" s="2" t="str">
        <x:v>C</x:v>
      </x:c>
      <x:c r="E41" s="2" t="str">
        <x:v>否</x:v>
      </x:c>
      <x:c r="F41" s="13" t="n">
        <x:v>0.2351671286287948</x:v>
      </x:c>
      <x:c r="G41" s="13" t="n">
        <x:v>0.2339365121027429</x:v>
      </x:c>
      <x:c r="H41" s="13" t="n">
        <x:v>0.14545454545454545</x:v>
      </x:c>
      <x:c r="I41" s="13" t="n">
        <x:v>0.2270299145299149</x:v>
      </x:c>
      <x:c r="J41" s="13" t="n">
        <x:v>0.015350761426627125</x:v>
      </x:c>
      <x:c r="K41" s="13" t="n">
        <x:v>0.0154539345419653</x:v>
      </x:c>
      <x:c r="L41" s="13" t="n">
        <x:v>0.49764861031625574</x:v>
      </x:c>
      <x:c r="M41" s="13" t="n">
        <x:v>0.19941759834739062</x:v>
      </x:c>
      <x:c r="N41" s="13" t="n">
        <x:v>0.2283190578960891</x:v>
      </x:c>
      <x:c r="O41" s="13" t="n">
        <x:v>0.010978911077082014</x:v>
      </x:c>
      <x:c r="P41" s="13" t="n">
        <x:v>0.03754286331618667</x:v>
      </x:c>
      <x:c r="Q41" s="13" t="n">
        <x:v>0.0167949308023766</x:v>
      </x:c>
      <x:c r="R41" s="13" t="n">
        <x:v>0.1628384422206306</x:v>
      </x:c>
      <x:c r="S41" s="13" t="n">
        <x:v>0.6387555298604508</x:v>
      </x:c>
      <x:c r="T41" s="13" t="n">
        <x:v>0.8888888888888888</x:v>
      </x:c>
      <x:c r="U41" s="13" t="n">
        <x:v>0.07631877828449624</x:v>
      </x:c>
      <x:c r="V41" s="13" t="n">
        <x:v>0.07402734592256102</x:v>
      </x:c>
      <x:c r="W41" s="13" t="n">
        <x:v>0.10249950602647707</x:v>
      </x:c>
      <x:c r="X41" s="13" t="n">
        <x:v>0.11903412311529322</x:v>
      </x:c>
      <x:c r="Y41" s="13" t="n">
        <x:v>0.051489895991333016</x:v>
      </x:c>
      <x:c r="Z41" s="13" t="n">
        <x:v>0.039498488468397104</x:v>
      </x:c>
      <x:c r="AA41" s="13" t="n">
        <x:v>0.19797346486992445</x:v>
      </x:c>
      <x:c r="AB41" s="13" t="n">
        <x:v>0.11552999809347411</x:v>
      </x:c>
      <x:c r="AC41" s="13" t="n">
        <x:v>0.294478675653277</x:v>
      </x:c>
      <x:c r="AD41" s="13" t="n">
        <x:v>0.0085931445726375</x:v>
      </x:c>
      <x:c r="AE41" s="13" t="n">
        <x:v>0.04923997742438522</x:v>
      </x:c>
      <x:c r="AF41" s="13" t="n">
        <x:v>0.05359144878543069</x:v>
      </x:c>
      <x:c r="AG41" s="13" t="n">
        <x:v>0.27399528576990995</x:v>
      </x:c>
      <x:c r="AH41" s="13" t="n">
        <x:v>0.7240940376350219</x:v>
      </x:c>
      <x:c r="AI41" s="13" t="n">
        <x:v>0.9117647058823529</x:v>
      </x:c>
      <x:c r="AJ41" s="13" t="n">
        <x:v>0.20791530093564706</x:v>
      </x:c>
      <x:c r="AK41" s="13" t="n">
        <x:v>0.005318856958585996</x:v>
      </x:c>
      <x:c r="AL41" s="13" t="n">
        <x:v>0.1103739785794913</x:v>
      </x:c>
      <x:c r="AM41" s="13" t="n">
        <x:v>0.19061877787896106</x:v>
      </x:c>
      <x:c r="AN41" s="13" t="n">
        <x:v>0</x:v>
      </x:c>
      <x:c r="AO41" s="13" t="n">
        <x:v>0.2399032727657474</x:v>
      </x:c>
      <x:c r="AP41" s="13" t="n">
        <x:v>0.6528779304938515</x:v>
      </x:c>
    </x:row>
    <x:row r="42" ht="15" hidden="0" customHeight="1">
      <x:c r="A42" s="2" t="str">
        <x:v>E41</x:v>
      </x:c>
      <x:c r="B42" s="2" t="str">
        <x:v>***物业发展有限公司</x:v>
      </x:c>
      <x:c r="C42" s="2" t="str">
        <x:v>有信贷记录</x:v>
      </x:c>
      <x:c r="D42" s="2" t="str">
        <x:v>C</x:v>
      </x:c>
      <x:c r="E42" s="2" t="str">
        <x:v>否</x:v>
      </x:c>
      <x:c r="F42" s="13" t="n">
        <x:v>0.15181959257631347</x:v>
      </x:c>
      <x:c r="G42" s="13" t="n">
        <x:v>0.1500062566190452</x:v>
      </x:c>
      <x:c r="H42" s="13" t="n">
        <x:v>0.11818181818181818</x:v>
      </x:c>
      <x:c r="I42" s="13" t="n">
        <x:v>0.08680555555555569</x:v>
      </x:c>
      <x:c r="J42" s="13" t="n">
        <x:v>0.018438834888418597</x:v>
      </x:c>
      <x:c r="K42" s="13" t="n">
        <x:v>0.019266384157589952</x:v>
      </x:c>
      <x:c r="L42" s="13" t="n">
        <x:v>0.30169947000423003</x:v>
      </x:c>
      <x:c r="M42" s="13" t="n">
        <x:v>0.25089048803395886</x:v>
      </x:c>
      <x:c r="N42" s="13" t="n">
        <x:v>0.13609333610006602</x:v>
      </x:c>
      <x:c r="O42" s="13" t="n">
        <x:v>0.018382715510105205</x:v>
      </x:c>
      <x:c r="P42" s="13" t="n">
        <x:v>0.05988813789613892</x:v>
      </x:c>
      <x:c r="Q42" s="13" t="n">
        <x:v>0.01959754274777034</x:v>
      </x:c>
      <x:c r="R42" s="13" t="n">
        <x:v>0.11686674597354232</x:v>
      </x:c>
      <x:c r="S42" s="13" t="n">
        <x:v>0.6808979270347318</x:v>
      </x:c>
      <x:c r="T42" s="13" t="n">
        <x:v>0.8888888888888888</x:v>
      </x:c>
      <x:c r="U42" s="13" t="n">
        <x:v>0.057098425678391136</x:v>
      </x:c>
      <x:c r="V42" s="13" t="n">
        <x:v>0.05583032538139095</x:v>
      </x:c>
      <x:c r="W42" s="13" t="n">
        <x:v>0.07162616083777916</x:v>
      </x:c>
      <x:c r="X42" s="13" t="n">
        <x:v>0.05101462419226853</x:v>
      </x:c>
      <x:c r="Y42" s="13" t="n">
        <x:v>0.049732585365939566</x:v>
      </x:c>
      <x:c r="Z42" s="13" t="n">
        <x:v>0.03519527218012118</x:v>
      </x:c>
      <x:c r="AA42" s="13" t="n">
        <x:v>0.00408575631063634</x:v>
      </x:c>
      <x:c r="AB42" s="13" t="n">
        <x:v>0.10752064043248437</x:v>
      </x:c>
      <x:c r="AC42" s="13" t="n">
        <x:v>0.16688283862287245</x:v>
      </x:c>
      <x:c r="AD42" s="13" t="n">
        <x:v>0.33805114584956875</x:v>
      </x:c>
      <x:c r="AE42" s="13" t="n">
        <x:v>0.5269553478332346</x:v>
      </x:c>
      <x:c r="AF42" s="13" t="n">
        <x:v>0.047663447924046275</x:v>
      </x:c>
      <x:c r="AG42" s="13" t="n">
        <x:v>0.16912717493972587</x:v>
      </x:c>
      <x:c r="AH42" s="13" t="n">
        <x:v>0.712276555923152</x:v>
      </x:c>
      <x:c r="AI42" s="13" t="n">
        <x:v>1</x:v>
      </x:c>
      <x:c r="AJ42" s="13" t="n">
        <x:v>0.20345123932235942</x:v>
      </x:c>
      <x:c r="AK42" s="13" t="n">
        <x:v>0.007446129572976359</x:v>
      </x:c>
      <x:c r="AL42" s="13" t="n">
        <x:v>0.12503993518849083</x:v>
      </x:c>
      <x:c r="AM42" s="13" t="n">
        <x:v>0.11688545225678844</x:v>
      </x:c>
      <x:c r="AN42" s="13" t="n">
        <x:v>0.18814165906881267</x:v>
      </x:c>
      <x:c r="AO42" s="13" t="n">
        <x:v>0.15323577254631948</x:v>
      </x:c>
      <x:c r="AP42" s="13" t="n">
        <x:v>0.6751234753683992</x:v>
      </x:c>
    </x:row>
    <x:row r="43" ht="15" hidden="0" customHeight="1">
      <x:c r="A43" s="2" t="str">
        <x:v>E42</x:v>
      </x:c>
      <x:c r="B43" s="2" t="str">
        <x:v>***园艺场</x:v>
      </x:c>
      <x:c r="C43" s="2" t="str">
        <x:v>有信贷记录</x:v>
      </x:c>
      <x:c r="D43" s="2" t="str">
        <x:v>A</x:v>
      </x:c>
      <x:c r="E43" s="2" t="str">
        <x:v>否</x:v>
      </x:c>
      <x:c r="F43" s="13" t="n">
        <x:v>0.003363801903463371</x:v>
      </x:c>
      <x:c r="G43" s="13" t="n">
        <x:v>0.003433510451605816</x:v>
      </x:c>
      <x:c r="H43" s="13" t="n">
        <x:v>0</x:v>
      </x:c>
      <x:c r="I43" s="13" t="n">
        <x:v>0</x:v>
      </x:c>
      <x:c r="J43" s="13" t="n">
        <x:v>0.00003835829283057622</x:v>
      </x:c>
      <x:c r="K43" s="13" t="n">
        <x:v>0.000038075177778278376</x:v>
      </x:c>
      <x:c r="L43" s="13" t="n">
        <x:v>0.003732364577371918</x:v>
      </x:c>
      <x:c r="M43" s="13" t="n">
        <x:v>0</x:v>
      </x:c>
      <x:c r="N43" s="13" t="n">
        <x:v>0</x:v>
      </x:c>
      <x:c r="O43" s="13" t="n">
        <x:v>0.6275543589911197</x:v>
      </x:c>
      <x:c r="P43" s="13" t="n">
        <x:v>0.7756622115809091</x:v>
      </x:c>
      <x:c r="Q43" s="13" t="n">
        <x:v>0.00005061313917925337</x:v>
      </x:c>
      <x:c r="R43" s="13" t="n">
        <x:v>0.42779461802143703</x:v>
      </x:c>
      <x:c r="S43" s="13" t="n">
        <x:v>0.9572678086456292</x:v>
      </x:c>
      <x:c r="T43" s="13" t="n">
        <x:v>0.1388888888888889</x:v>
      </x:c>
      <x:c r="U43" s="13" t="n">
        <x:v>0.02774370533452153</x:v>
      </x:c>
      <x:c r="V43" s="13" t="n">
        <x:v>0.026808410569576103</x:v>
      </x:c>
      <x:c r="W43" s="13" t="n">
        <x:v>0.040752815649081245</x:v>
      </x:c>
      <x:c r="X43" s="13" t="n">
        <x:v>0.017004874730756177</x:v>
      </x:c>
      <x:c r="Y43" s="13" t="n">
        <x:v>0.039123598568117327</x:v>
      </x:c>
      <x:c r="Z43" s="13" t="n">
        <x:v>0.026982879694254395</x:v>
      </x:c>
      <x:c r="AA43" s="13" t="n">
        <x:v>0.009657242188776803</x:v>
      </x:c>
      <x:c r="AB43" s="13" t="n">
        <x:v>0.12403480396616713</x:v>
      </x:c>
      <x:c r="AC43" s="13" t="n">
        <x:v>0.11447178839777532</x:v>
      </x:c>
      <x:c r="AD43" s="13" t="n">
        <x:v>0.07787388392271906</x:v>
      </x:c>
      <x:c r="AE43" s="13" t="n">
        <x:v>0.12478048044577938</x:v>
      </x:c>
      <x:c r="AF43" s="13" t="n">
        <x:v>0.05092342278204703</x:v>
      </x:c>
      <x:c r="AG43" s="13" t="n">
        <x:v>0.31345443070337786</x:v>
      </x:c>
      <x:c r="AH43" s="13" t="n">
        <x:v>0.7494623288619724</x:v>
      </x:c>
      <x:c r="AI43" s="13" t="n">
        <x:v>0.4411764705882353</x:v>
      </x:c>
      <x:c r="AJ43" s="13" t="n">
        <x:v>0.19975653533004112</x:v>
      </x:c>
      <x:c r="AK43" s="13" t="n">
        <x:v>0.000004937375224588164</x:v>
      </x:c>
      <x:c r="AL43" s="13" t="n">
        <x:v>0.2455343743121471</x:v>
      </x:c>
      <x:c r="AM43" s="13" t="n">
        <x:v>0.170700748457128</x:v>
      </x:c>
      <x:c r="AN43" s="13" t="n">
        <x:v>0.39916542576361624</x:v>
      </x:c>
      <x:c r="AO43" s="13" t="n">
        <x:v>0.45317794938214556</x:v>
      </x:c>
      <x:c r="AP43" s="13" t="n">
        <x:v>0.876437662350637</x:v>
      </x:c>
    </x:row>
    <x:row r="44" ht="15" hidden="0" customHeight="1">
      <x:c r="A44" s="2" t="str">
        <x:v>E43</x:v>
      </x:c>
      <x:c r="B44" s="2" t="str">
        <x:v>***建设工程有限公司</x:v>
      </x:c>
      <x:c r="C44" s="2" t="str">
        <x:v>有信贷记录</x:v>
      </x:c>
      <x:c r="D44" s="2" t="str">
        <x:v>B</x:v>
      </x:c>
      <x:c r="E44" s="2" t="str">
        <x:v>否</x:v>
      </x:c>
      <x:c r="F44" s="13" t="n">
        <x:v>0.005681087659182582</x:v>
      </x:c>
      <x:c r="G44" s="13" t="n">
        <x:v>0.0050358153290218635</x:v>
      </x:c>
      <x:c r="H44" s="13" t="n">
        <x:v>0.01818181818181818</x:v>
      </x:c>
      <x:c r="I44" s="13" t="n">
        <x:v>0.06677350427350438</x:v>
      </x:c>
      <x:c r="J44" s="13" t="n">
        <x:v>0.013332389020391367</x:v>
      </x:c>
      <x:c r="K44" s="13" t="n">
        <x:v>0.013672626192472127</x:v>
      </x:c>
      <x:c r="L44" s="13" t="n">
        <x:v>0.011197093732115753</x:v>
      </x:c>
      <x:c r="M44" s="13" t="n">
        <x:v>1</x:v>
      </x:c>
      <x:c r="N44" s="13" t="n">
        <x:v>1</x:v>
      </x:c>
      <x:c r="O44" s="13" t="n">
        <x:v>0.2588696179381744</x:v>
      </x:c>
      <x:c r="P44" s="13" t="n">
        <x:v>0.33775917902682173</x:v>
      </x:c>
      <x:c r="Q44" s="13" t="n">
        <x:v>0.021564703255595462</x:v>
      </x:c>
      <x:c r="R44" s="13" t="n">
        <x:v>0.46396459002582596</x:v>
      </x:c>
      <x:c r="S44" s="13" t="n">
        <x:v>0.555653896779508</x:v>
      </x:c>
      <x:c r="T44" s="13" t="n">
        <x:v>0.3055555555555556</x:v>
      </x:c>
      <x:c r="U44" s="13" t="n">
        <x:v>0.020579755726791445</x:v>
      </x:c>
      <x:c r="V44" s="13" t="n">
        <x:v>0.019342966244993508</x:v>
      </x:c>
      <x:c r="W44" s="13" t="n">
        <x:v>0.03828294803398541</x:v>
      </x:c>
      <x:c r="X44" s="13" t="n">
        <x:v>0.014170728942296814</x:v>
      </x:c>
      <x:c r="Y44" s="13" t="n">
        <x:v>0.029376809691151425</x:v>
      </x:c>
      <x:c r="Z44" s="13" t="n">
        <x:v>0.020318149365582162</x:v>
      </x:c>
      <x:c r="AA44" s="13" t="n">
        <x:v>0.0014857295675041236</x:v>
      </x:c>
      <x:c r="AB44" s="13" t="n">
        <x:v>0.1555152514291943</x:v>
      </x:c>
      <x:c r="AC44" s="13" t="n">
        <x:v>0.1310541502684811</x:v>
      </x:c>
      <x:c r="AD44" s="13" t="n">
        <x:v>0.43168034479661566</x:v>
      </x:c>
      <x:c r="AE44" s="13" t="n">
        <x:v>0.5970788324799603</x:v>
      </x:c>
      <x:c r="AF44" s="13" t="n">
        <x:v>0.0714905002516595</x:v>
      </x:c>
      <x:c r="AG44" s="13" t="n">
        <x:v>0.0902628930721042</x:v>
      </x:c>
      <x:c r="AH44" s="13" t="n">
        <x:v>0.6075020789221334</x:v>
      </x:c>
      <x:c r="AI44" s="13" t="n">
        <x:v>0.2647058823529412</x:v>
      </x:c>
      <x:c r="AJ44" s="13" t="n">
        <x:v>0.17740370166991393</x:v>
      </x:c>
      <x:c r="AK44" s="13" t="n">
        <x:v>0.009144630690568251</x:v>
      </x:c>
      <x:c r="AL44" s="13" t="n">
        <x:v>0.35496554898181093</x:v>
      </x:c>
      <x:c r="AM44" s="13" t="n">
        <x:v>0.5160368370911405</x:v>
      </x:c>
      <x:c r="AN44" s="13" t="n">
        <x:v>0.3876709628615115</x:v>
      </x:c>
      <x:c r="AO44" s="13" t="n">
        <x:v>0.36648307458557833</x:v>
      </x:c>
      <x:c r="AP44" s="13" t="n">
        <x:v>0.5413992103801757</x:v>
      </x:c>
    </x:row>
    <x:row r="45" ht="15" hidden="0" customHeight="1">
      <x:c r="A45" s="2" t="str">
        <x:v>E44</x:v>
      </x:c>
      <x:c r="B45" s="2" t="str">
        <x:v>***商贸有限公司</x:v>
      </x:c>
      <x:c r="C45" s="2" t="str">
        <x:v>有信贷记录</x:v>
      </x:c>
      <x:c r="D45" s="2" t="str">
        <x:v>C</x:v>
      </x:c>
      <x:c r="E45" s="2" t="str">
        <x:v>否</x:v>
      </x:c>
      <x:c r="F45" s="13" t="n">
        <x:v>0.09313993714923023</x:v>
      </x:c>
      <x:c r="G45" s="13" t="n">
        <x:v>0.09308628335464657</x:v>
      </x:c>
      <x:c r="H45" s="13" t="n">
        <x:v>0.04727272727272727</x:v>
      </x:c>
      <x:c r="I45" s="13" t="n">
        <x:v>0.013354700854700877</x:v>
      </x:c>
      <x:c r="J45" s="13" t="n">
        <x:v>0.11765538413367115</x:v>
      </x:c>
      <x:c r="K45" s="13" t="n">
        <x:v>0.11748713581034098</x:v>
      </x:c>
      <x:c r="L45" s="13" t="n">
        <x:v>0.13063276020801712</x:v>
      </x:c>
      <x:c r="M45" s="13" t="n">
        <x:v>0.16348088531187127</x:v>
      </x:c>
      <x:c r="N45" s="13" t="n">
        <x:v>0.03371921005223844</x:v>
      </x:c>
      <x:c r="O45" s="13" t="n">
        <x:v>0.04295138799583049</x:v>
      </x:c>
      <x:c r="P45" s="13" t="n">
        <x:v>0.08614151848095963</x:v>
      </x:c>
      <x:c r="Q45" s="13" t="n">
        <x:v>0.11830374521535504</x:v>
      </x:c>
      <x:c r="R45" s="13" t="n">
        <x:v>0.09365285128891337</x:v>
      </x:c>
      <x:c r="S45" s="13" t="n">
        <x:v>0.6527624585790376</x:v>
      </x:c>
      <x:c r="T45" s="13" t="n">
        <x:v>0.9722222222222222</x:v>
      </x:c>
      <x:c r="U45" s="13" t="n">
        <x:v>0.21190962939665586</x:v>
      </x:c>
      <x:c r="V45" s="13" t="n">
        <x:v>0.20859197987316236</x:v>
      </x:c>
      <x:c r="W45" s="13" t="n">
        <x:v>0.2383422248567479</x:v>
      </x:c>
      <x:c r="X45" s="13" t="n">
        <x:v>0.1587121641537243</x:v>
      </x:c>
      <x:c r="Y45" s="13" t="n">
        <x:v>0.0563225839557311</x:v>
      </x:c>
      <x:c r="Z45" s="13" t="n">
        <x:v>0.038208170790660016</x:v>
      </x:c>
      <x:c r="AA45" s="13" t="n">
        <x:v>0.011514404148156958</x:v>
      </x:c>
      <x:c r="AB45" s="13" t="n">
        <x:v>0.09741721751115394</x:v>
      </x:c>
      <x:c r="AC45" s="13" t="n">
        <x:v>0.14010284895784814</x:v>
      </x:c>
      <x:c r="AD45" s="13" t="n">
        <x:v>0.3550115226372285</x:v>
      </x:c>
      <x:c r="AE45" s="13" t="n">
        <x:v>0.49573376395551033</x:v>
      </x:c>
      <x:c r="AF45" s="13" t="n">
        <x:v>0.05544869770193628</x:v>
      </x:c>
      <x:c r="AG45" s="13" t="n">
        <x:v>0.13864293542149506</x:v>
      </x:c>
      <x:c r="AH45" s="13" t="n">
        <x:v>0.6464370017581723</x:v>
      </x:c>
      <x:c r="AI45" s="13" t="n">
        <x:v>0.9705882352941176</x:v>
      </x:c>
      <x:c r="AJ45" s="13" t="n">
        <x:v>0.15063550547037277</x:v>
      </x:c>
      <x:c r="AK45" s="13" t="n">
        <x:v>0.04189938406654288</x:v>
      </x:c>
      <x:c r="AL45" s="13" t="n">
        <x:v>0.16417320217680983</x:v>
      </x:c>
      <x:c r="AM45" s="13" t="n">
        <x:v>0.16243838544000563</x:v>
      </x:c>
      <x:c r="AN45" s="13" t="n">
        <x:v>0.21290340822536588</x:v>
      </x:c>
      <x:c r="AO45" s="13" t="n">
        <x:v>0.12085658631194178</x:v>
      </x:c>
      <x:c r="AP45" s="13" t="n">
        <x:v>0.6246379184664347</x:v>
      </x:c>
    </x:row>
    <x:row r="46" ht="15" hidden="0" customHeight="1">
      <x:c r="A46" s="2" t="str">
        <x:v>E45</x:v>
      </x:c>
      <x:c r="B46" s="2" t="str">
        <x:v>个体经营E45</x:v>
      </x:c>
      <x:c r="C46" s="2" t="str">
        <x:v>有信贷记录</x:v>
      </x:c>
      <x:c r="D46" s="2" t="str">
        <x:v>B</x:v>
      </x:c>
      <x:c r="E46" s="2" t="str">
        <x:v>是</x:v>
      </x:c>
      <x:c r="F46" s="13" t="n">
        <x:v>0.04470118973935769</x:v>
      </x:c>
      <x:c r="G46" s="13" t="n">
        <x:v>0.045017137032165144</x:v>
      </x:c>
      <x:c r="H46" s="13" t="n">
        <x:v>0.014545454545454545</x:v>
      </x:c>
      <x:c r="I46" s="13" t="n">
        <x:v>0</x:v>
      </x:c>
      <x:c r="J46" s="13" t="n">
        <x:v>0.09211509849119032</x:v>
      </x:c>
      <x:c r="K46" s="13" t="n">
        <x:v>0.09143521497703229</x:v>
      </x:c>
      <x:c r="L46" s="13" t="n">
        <x:v>0.07029286620717112</x:v>
      </x:c>
      <x:c r="M46" s="13" t="n">
        <x:v>0.10462776659959763</x:v>
      </x:c>
      <x:c r="N46" s="13" t="n">
        <x:v>0</x:v>
      </x:c>
      <x:c r="O46" s="13" t="n">
        <x:v>0.4025805916959304</x:v>
      </x:c>
      <x:c r="P46" s="13" t="n">
        <x:v>0.5982359627396172</x:v>
      </x:c>
      <x:c r="Q46" s="13" t="n">
        <x:v>0.11817433744795316</x:v>
      </x:c>
      <x:c r="R46" s="13" t="n">
        <x:v>0.19565023371899157</x:v>
      </x:c>
      <x:c r="S46" s="13" t="n">
        <x:v>0.7961111490495575</x:v>
      </x:c>
      <x:c r="T46" s="13" t="n">
        <x:v>0.75</x:v>
      </x:c>
      <x:c r="U46" s="13" t="n">
        <x:v>0.02756897485628421</x:v>
      </x:c>
      <x:c r="V46" s="13" t="n">
        <x:v>0.02783490916420621</x:v>
      </x:c>
      <x:c r="W46" s="13" t="n">
        <x:v>0.02469867615095833</x:v>
      </x:c>
      <x:c r="X46" s="13" t="n">
        <x:v>0.019839020519215537</x:v>
      </x:c>
      <x:c r="Y46" s="13" t="n">
        <x:v>0.04165060088140454</x:v>
      </x:c>
      <x:c r="Z46" s="13" t="n">
        <x:v>0.028700058487713776</x:v>
      </x:c>
      <x:c r="AA46" s="13" t="n">
        <x:v>0.023028808296313916</x:v>
      </x:c>
      <x:c r="AB46" s="13" t="n">
        <x:v>0.07563520913181661</x:v>
      </x:c>
      <x:c r="AC46" s="13" t="n">
        <x:v>0.1287338472801211</x:v>
      </x:c>
      <x:c r="AD46" s="13" t="n">
        <x:v>0.10409136643287965</x:v>
      </x:c>
      <x:c r="AE46" s="13" t="n">
        <x:v>0.24676359106183948</x:v>
      </x:c>
      <x:c r="AF46" s="13" t="n">
        <x:v>0.06073623710832157</x:v>
      </x:c>
      <x:c r="AG46" s="13" t="n">
        <x:v>0.26108386921401106</x:v>
      </x:c>
      <x:c r="AH46" s="13" t="n">
        <x:v>0.8525325545831695</x:v>
      </x:c>
      <x:c r="AI46" s="13" t="n">
        <x:v>0.5294117647058824</x:v>
      </x:c>
      <x:c r="AJ46" s="13" t="n">
        <x:v>0.14558410645739003</x:v>
      </x:c>
      <x:c r="AK46" s="13" t="n">
        <x:v>0.043387241444287496</x:v>
      </x:c>
      <x:c r="AL46" s="13" t="n">
        <x:v>0.08162658633233534</x:v>
      </x:c>
      <x:c r="AM46" s="13" t="n">
        <x:v>0.07570841444949174</x:v>
      </x:c>
      <x:c r="AN46" s="13" t="n">
        <x:v>0.2798739503159015</x:v>
      </x:c>
      <x:c r="AO46" s="13" t="n">
        <x:v>0.2572975168770327</x:v>
      </x:c>
      <x:c r="AP46" s="13" t="n">
        <x:v>0.8193418012665902</x:v>
      </x:c>
    </x:row>
    <x:row r="47" ht="15" hidden="0" customHeight="1">
      <x:c r="A47" s="2" t="str">
        <x:v>E46</x:v>
      </x:c>
      <x:c r="B47" s="2" t="str">
        <x:v>***广告传媒有限公司</x:v>
      </x:c>
      <x:c r="C47" s="2" t="str">
        <x:v>有信贷记录</x:v>
      </x:c>
      <x:c r="D47" s="2" t="str">
        <x:v>C</x:v>
      </x:c>
      <x:c r="E47" s="2" t="str">
        <x:v>否</x:v>
      </x:c>
      <x:c r="F47" s="13" t="n">
        <x:v>0.1900174319689753</x:v>
      </x:c>
      <x:c r="G47" s="13" t="n">
        <x:v>0.1899875783221885</x:v>
      </x:c>
      <x:c r="H47" s="13" t="n">
        <x:v>0.09454545454545454</x:v>
      </x:c>
      <x:c r="I47" s="13" t="n">
        <x:v>0.11351495726495744</x:v>
      </x:c>
      <x:c r="J47" s="13" t="n">
        <x:v>0.18035475695296463</x:v>
      </x:c>
      <x:c r="K47" s="13" t="n">
        <x:v>0.1821278629993397</x:v>
      </x:c>
      <x:c r="L47" s="13" t="n">
        <x:v>0.27370673567394066</x:v>
      </x:c>
      <x:c r="M47" s="13" t="n">
        <x:v>0.1603963403059869</x:v>
      </x:c>
      <x:c r="N47" s="13" t="n">
        <x:v>0.1405463221559393</x:v>
      </x:c>
      <x:c r="O47" s="13" t="n">
        <x:v>0.06814239683074955</x:v>
      </x:c>
      <x:c r="P47" s="13" t="n">
        <x:v>0.12942869411729951</x:v>
      </x:c>
      <x:c r="Q47" s="13" t="n">
        <x:v>0.18135020976769442</x:v>
      </x:c>
      <x:c r="R47" s="13" t="n">
        <x:v>0.04942209592073742</x:v>
      </x:c>
      <x:c r="S47" s="13" t="n">
        <x:v>0.5621171179698214</x:v>
      </x:c>
      <x:c r="T47" s="13" t="n">
        <x:v>0.9722222222222222</x:v>
      </x:c>
      <x:c r="U47" s="13" t="n">
        <x:v>0.08426901504429427</x:v>
      </x:c>
      <x:c r="V47" s="13" t="n">
        <x:v>0.08233265273365917</x:v>
      </x:c>
      <x:c r="W47" s="13" t="n">
        <x:v>0.1049693736415729</x:v>
      </x:c>
      <x:c r="X47" s="13" t="n">
        <x:v>0.10202924838453706</x:v>
      </x:c>
      <x:c r="Y47" s="13" t="n">
        <x:v>0.09275538450371128</x:v>
      </x:c>
      <x:c r="Z47" s="13" t="n">
        <x:v>0.06647177082928665</x:v>
      </x:c>
      <x:c r="AA47" s="13" t="n">
        <x:v>0.05422912921390051</x:v>
      </x:c>
      <x:c r="AB47" s="13" t="n">
        <x:v>0.10725988974673684</x:v>
      </x:c>
      <x:c r="AC47" s="13" t="n">
        <x:v>0.22714087146645184</x:v>
      </x:c>
      <x:c r="AD47" s="13" t="n">
        <x:v>0.04498349414989611</x:v>
      </x:c>
      <x:c r="AE47" s="13" t="n">
        <x:v>0.13593800051634147</x:v>
      </x:c>
      <x:c r="AF47" s="13" t="n">
        <x:v>0.09134650702457824</x:v>
      </x:c>
      <x:c r="AG47" s="13" t="n">
        <x:v>0.09785376221107302</x:v>
      </x:c>
      <x:c r="AH47" s="13" t="n">
        <x:v>0.4974296008874317</x:v>
      </x:c>
      <x:c r="AI47" s="13" t="n">
        <x:v>0.9705882352941176</x:v>
      </x:c>
      <x:c r="AJ47" s="13" t="n">
        <x:v>0.16363160332924961</x:v>
      </x:c>
      <x:c r="AK47" s="13" t="n">
        <x:v>0.03736041247799117</x:v>
      </x:c>
      <x:c r="AL47" s="13" t="n">
        <x:v>0.10614929288867442</x:v>
      </x:c>
      <x:c r="AM47" s="13" t="n">
        <x:v>0.15207900162011606</x:v>
      </x:c>
      <x:c r="AN47" s="13" t="n">
        <x:v>0.0444809012982589</x:v>
      </x:c>
      <x:c r="AO47" s="13" t="n">
        <x:v>0.06792481458926601</x:v>
      </x:c>
      <x:c r="AP47" s="13" t="n">
        <x:v>0.4924881671353521</x:v>
      </x:c>
    </x:row>
    <x:row r="48" ht="15" hidden="0" customHeight="1">
      <x:c r="A48" s="2" t="str">
        <x:v>E47</x:v>
      </x:c>
      <x:c r="B48" s="2" t="str">
        <x:v>***控制设备有限责任公司</x:v>
      </x:c>
      <x:c r="C48" s="2" t="str">
        <x:v>有信贷记录</x:v>
      </x:c>
      <x:c r="D48" s="2" t="str">
        <x:v>C</x:v>
      </x:c>
      <x:c r="E48" s="2" t="str">
        <x:v>否</x:v>
      </x:c>
      <x:c r="F48" s="13" t="n">
        <x:v>0.21700259835009258</x:v>
      </x:c>
      <x:c r="G48" s="13" t="n">
        <x:v>0.21432735241246081</x:v>
      </x:c>
      <x:c r="H48" s="13" t="n">
        <x:v>0.1709090909090909</x:v>
      </x:c>
      <x:c r="I48" s="13" t="n">
        <x:v>0.07345085470085481</x:v>
      </x:c>
      <x:c r="J48" s="13" t="n">
        <x:v>0.16401872850267596</x:v>
      </x:c>
      <x:c r="K48" s="13" t="n">
        <x:v>0.16352527634152705</x:v>
      </x:c>
      <x:c r="L48" s="13" t="n">
        <x:v>0.23265072532284956</x:v>
      </x:c>
      <x:c r="M48" s="13" t="n">
        <x:v>0.2539159223845657</x:v>
      </x:c>
      <x:c r="N48" s="13" t="n">
        <x:v>0.08062141969444843</x:v>
      </x:c>
      <x:c r="O48" s="13" t="n">
        <x:v>0.1468304099141807</x:v>
      </x:c>
      <x:c r="P48" s="13" t="n">
        <x:v>0.3370657770065581</x:v>
      </x:c>
      <x:c r="Q48" s="13" t="n">
        <x:v>0.1649237481891153</x:v>
      </x:c>
      <x:c r="R48" s="13" t="n">
        <x:v>0.0012832876787033482</x:v>
      </x:c>
      <x:c r="S48" s="13" t="n">
        <x:v>0.5120519252080155</x:v>
      </x:c>
      <x:c r="T48" s="13" t="n">
        <x:v>0.9722222222222222</x:v>
      </x:c>
      <x:c r="U48" s="13" t="n">
        <x:v>0.3065261833621642</x:v>
      </x:c>
      <x:c r="V48" s="13" t="n">
        <x:v>0.312548292092975</x:v>
      </x:c>
      <x:c r="W48" s="13" t="n">
        <x:v>0.20005927682276248</x:v>
      </x:c>
      <x:c r="X48" s="13" t="n">
        <x:v>0.056682915769187256</x:v>
      </x:c>
      <x:c r="Y48" s="13" t="n">
        <x:v>0.08599308525125023</x:v>
      </x:c>
      <x:c r="Z48" s="13" t="n">
        <x:v>0.05765810181999194</x:v>
      </x:c>
      <x:c r="AA48" s="13" t="n">
        <x:v>0.28414577978516364</x:v>
      </x:c>
      <x:c r="AB48" s="13" t="n">
        <x:v>0.056597409903214095</x:v>
      </x:c>
      <x:c r="AC48" s="13" t="n">
        <x:v>0.033427399472532725</x:v>
      </x:c>
      <x:c r="AD48" s="13" t="n">
        <x:v>0.015230510967305983</x:v>
      </x:c>
      <x:c r="AE48" s="13" t="n">
        <x:v>0.03309249048005001</x:v>
      </x:c>
      <x:c r="AF48" s="13" t="n">
        <x:v>0.0846835075983387</x:v>
      </x:c>
      <x:c r="AG48" s="13" t="n">
        <x:v>0.03131842765783926</x:v>
      </x:c>
      <x:c r="AH48" s="13" t="n">
        <x:v>0.46031309124066666</x:v>
      </x:c>
      <x:c r="AI48" s="13" t="n">
        <x:v>0.9705882352941176</x:v>
      </x:c>
      <x:c r="AJ48" s="13" t="n">
        <x:v>0.16416894986654804</x:v>
      </x:c>
      <x:c r="AK48" s="13" t="n">
        <x:v>0.038666716412432287</x:v>
      </x:c>
      <x:c r="AL48" s="13" t="n">
        <x:v>0.1087343316696749</x:v>
      </x:c>
      <x:c r="AM48" s="13" t="n">
        <x:v>0.048767029131946915</x:v>
      </x:c>
      <x:c r="AN48" s="13" t="n">
        <x:v>0.07402102745800686</x:v>
      </x:c>
      <x:c r="AO48" s="13" t="n">
        <x:v>0</x:v>
      </x:c>
      <x:c r="AP48" s="13" t="n">
        <x:v>0.4413365901355215</x:v>
      </x:c>
    </x:row>
    <x:row r="49" ht="15" hidden="0" customHeight="1">
      <x:c r="A49" s="2" t="str">
        <x:v>E48</x:v>
      </x:c>
      <x:c r="B49" s="2" t="str">
        <x:v>***化工有限公司</x:v>
      </x:c>
      <x:c r="C49" s="2" t="str">
        <x:v>有信贷记录</x:v>
      </x:c>
      <x:c r="D49" s="2" t="str">
        <x:v>A</x:v>
      </x:c>
      <x:c r="E49" s="2" t="str">
        <x:v>否</x:v>
      </x:c>
      <x:c r="F49" s="13" t="n">
        <x:v>0.09216817215489637</x:v>
      </x:c>
      <x:c r="G49" s="13" t="n">
        <x:v>0.09217068056755168</x:v>
      </x:c>
      <x:c r="H49" s="13" t="n">
        <x:v>0.045454545454545456</x:v>
      </x:c>
      <x:c r="I49" s="13" t="n">
        <x:v>0.03338675213675219</x:v>
      </x:c>
      <x:c r="J49" s="13" t="n">
        <x:v>0.049198592604424725</x:v>
      </x:c>
      <x:c r="K49" s="13" t="n">
        <x:v>0.049313124245814535</x:v>
      </x:c>
      <x:c r="L49" s="13" t="n">
        <x:v>0.14431809699171416</x:v>
      </x:c>
      <x:c r="M49" s="13" t="n">
        <x:v>0.1588478237848142</x:v>
      </x:c>
      <x:c r="N49" s="13" t="n">
        <x:v>0.08513403860296564</x:v>
      </x:c>
      <x:c r="O49" s="13" t="n">
        <x:v>0.1290720529225334</x:v>
      </x:c>
      <x:c r="P49" s="13" t="n">
        <x:v>0.3015271350428563</x:v>
      </x:c>
      <x:c r="Q49" s="13" t="n">
        <x:v>0.04816607225861884</x:v>
      </x:c>
      <x:c r="R49" s="13" t="n">
        <x:v>0.1424500430966544</x:v>
      </x:c>
      <x:c r="S49" s="13" t="n">
        <x:v>0.7020963852632411</x:v>
      </x:c>
      <x:c r="T49" s="13" t="n">
        <x:v>1</x:v>
      </x:c>
      <x:c r="U49" s="13" t="n">
        <x:v>0.043993639810592206</x:v>
      </x:c>
      <x:c r="V49" s="13" t="n">
        <x:v>0.04453884084045977</x:v>
      </x:c>
      <x:c r="W49" s="13" t="n">
        <x:v>0.03581308041888958</x:v>
      </x:c>
      <x:c r="X49" s="13" t="n">
        <x:v>0.008502437365378089</x:v>
      </x:c>
      <x:c r="Y49" s="13" t="n">
        <x:v>0.0431401014819922</x:v>
      </x:c>
      <x:c r="Z49" s="13" t="n">
        <x:v>0.02857722547167417</x:v>
      </x:c>
      <x:c r="AA49" s="13" t="n">
        <x:v>0.02117164633693376</x:v>
      </x:c>
      <x:c r="AB49" s="13" t="n">
        <x:v>0.06947971209233639</x:v>
      </x:c>
      <x:c r="AC49" s="13" t="n">
        <x:v>0.034767258046431763</x:v>
      </x:c>
      <x:c r="AD49" s="13" t="n">
        <x:v>0.05915659629671599</x:v>
      </x:c>
      <x:c r="AE49" s="13" t="n">
        <x:v>0.13800147162789336</x:v>
      </x:c>
      <x:c r="AF49" s="13" t="n">
        <x:v>0.04245979113632273</x:v>
      </x:c>
      <x:c r="AG49" s="13" t="n">
        <x:v>0.14696156014048228</x:v>
      </x:c>
      <x:c r="AH49" s="13" t="n">
        <x:v>0.7321524849430207</x:v>
      </x:c>
      <x:c r="AI49" s="13" t="n">
        <x:v>0.9411764705882353</x:v>
      </x:c>
      <x:c r="AJ49" s="13" t="n">
        <x:v>0.17466681149684746</x:v>
      </x:c>
      <x:c r="AK49" s="13" t="n">
        <x:v>0.02349351804502883</x:v>
      </x:c>
      <x:c r="AL49" s="13" t="n">
        <x:v>0.08338592071466258</x:v>
      </x:c>
      <x:c r="AM49" s="13" t="n">
        <x:v>0.04581578530018154</x:v>
      </x:c>
      <x:c r="AN49" s="13" t="n">
        <x:v>0.08938128062713788</x:v>
      </x:c>
      <x:c r="AO49" s="13" t="n">
        <x:v>0.16066825011124827</x:v>
      </x:c>
      <x:c r="AP49" s="13" t="n">
        <x:v>0.6987925602968323</x:v>
      </x:c>
    </x:row>
    <x:row r="50" ht="15" hidden="0" customHeight="1">
      <x:c r="A50" s="2" t="str">
        <x:v>E49</x:v>
      </x:c>
      <x:c r="B50" s="2" t="str">
        <x:v>***地球环保科技有限公司</x:v>
      </x:c>
      <x:c r="C50" s="2" t="str">
        <x:v>有信贷记录</x:v>
      </x:c>
      <x:c r="D50" s="2" t="str">
        <x:v>C</x:v>
      </x:c>
      <x:c r="E50" s="2" t="str">
        <x:v>否</x:v>
      </x:c>
      <x:c r="F50" s="13" t="n">
        <x:v>0.27007591727140356</x:v>
      </x:c>
      <x:c r="G50" s="13" t="n">
        <x:v>0.26827161661880106</x:v>
      </x:c>
      <x:c r="H50" s="13" t="n">
        <x:v>0.17636363636363636</x:v>
      </x:c>
      <x:c r="I50" s="13" t="n">
        <x:v>0.1268696581196583</x:v>
      </x:c>
      <x:c r="J50" s="13" t="n">
        <x:v>0.08384198175660773</x:v>
      </x:c>
      <x:c r="K50" s="13" t="n">
        <x:v>0.0838984747454192</x:v>
      </x:c>
      <x:c r="L50" s="13" t="n">
        <x:v>0.44415138470725823</x:v>
      </x:c>
      <x:c r="M50" s="13" t="n">
        <x:v>0.21055795353031054</x:v>
      </x:c>
      <x:c r="N50" s="13" t="n">
        <x:v>0.11126955926561569</x:v>
      </x:c>
      <x:c r="O50" s="13" t="n">
        <x:v>0.07147578132283654</x:v>
      </x:c>
      <x:c r="P50" s="13" t="n">
        <x:v>0.22806321083263642</x:v>
      </x:c>
      <x:c r="Q50" s="13" t="n">
        <x:v>0.08430315831150123</x:v>
      </x:c>
      <x:c r="R50" s="13" t="n">
        <x:v>0.1833701127240284</x:v>
      </x:c>
      <x:c r="S50" s="13" t="n">
        <x:v>0.6666572831982915</x:v>
      </x:c>
      <x:c r="T50" s="13" t="n">
        <x:v>0.9722222222222222</x:v>
      </x:c>
      <x:c r="U50" s="13" t="n">
        <x:v>0.043993639810592206</x:v>
      </x:c>
      <x:c r="V50" s="13" t="n">
        <x:v>0.042392525597142273</x:v>
      </x:c>
      <x:c r="W50" s="13" t="n">
        <x:v>0.06421655799249165</x:v>
      </x:c>
      <x:c r="X50" s="13" t="n">
        <x:v>0.03684389524997171</x:v>
      </x:c>
      <x:c r="Y50" s="13" t="n">
        <x:v>0.05851358341177285</x:v>
      </x:c>
      <x:c r="Z50" s="13" t="n">
        <x:v>0.04036025440474925</x:v>
      </x:c>
      <x:c r="AA50" s="13" t="n">
        <x:v>0.10882969081967706</x:v>
      </x:c>
      <x:c r="AB50" s="13" t="n">
        <x:v>0.1245843113379825</x:v>
      </x:c>
      <x:c r="AC50" s="13" t="n">
        <x:v>0.15817468375137284</x:v>
      </x:c>
      <x:c r="AD50" s="13" t="n">
        <x:v>0.07022108679853631</x:v>
      </x:c>
      <x:c r="AE50" s="13" t="n">
        <x:v>0.22016833882626935</x:v>
      </x:c>
      <x:c r="AF50" s="13" t="n">
        <x:v>0.05760752380138527</x:v>
      </x:c>
      <x:c r="AG50" s="13" t="n">
        <x:v>0.3526996147067393</x:v>
      </x:c>
      <x:c r="AH50" s="13" t="n">
        <x:v>0.5713803287227185</x:v>
      </x:c>
      <x:c r="AI50" s="13" t="n">
        <x:v>0.7352941176470589</x:v>
      </x:c>
      <x:c r="AJ50" s="13" t="n">
        <x:v>0.17501158300048986</x:v>
      </x:c>
      <x:c r="AK50" s="13" t="n">
        <x:v>0.028323117205382747</x:v>
      </x:c>
      <x:c r="AL50" s="13" t="n">
        <x:v>0.09809707403676532</x:v>
      </x:c>
      <x:c r="AM50" s="13" t="n">
        <x:v>0.07802155345414176</x:v>
      </x:c>
      <x:c r="AN50" s="13" t="n">
        <x:v>0.06141747370022272</x:v>
      </x:c>
      <x:c r="AO50" s="13" t="n">
        <x:v>0.2947566177554748</x:v>
      </x:c>
      <x:c r="AP50" s="13" t="n">
        <x:v>0.5975803085946064</x:v>
      </x:c>
    </x:row>
    <x:row r="51" ht="15" hidden="0" customHeight="1">
      <x:c r="A51" s="2" t="str">
        <x:v>E50</x:v>
      </x:c>
      <x:c r="B51" s="2" t="str">
        <x:v>***建筑劳务有限公司</x:v>
      </x:c>
      <x:c r="C51" s="2" t="str">
        <x:v>有信贷记录</x:v>
      </x:c>
      <x:c r="D51" s="2" t="str">
        <x:v>C</x:v>
      </x:c>
      <x:c r="E51" s="2" t="str">
        <x:v>否</x:v>
      </x:c>
      <x:c r="F51" s="13" t="n">
        <x:v>0.014576474915007942</x:v>
      </x:c>
      <x:c r="G51" s="13" t="n">
        <x:v>0.014039242735454892</x:v>
      </x:c>
      <x:c r="H51" s="13" t="n">
        <x:v>0.02</x:v>
      </x:c>
      <x:c r="I51" s="13" t="n">
        <x:v>0.006677350427350438</x:v>
      </x:c>
      <x:c r="J51" s="13" t="n">
        <x:v>0.006431614556894618</x:v>
      </x:c>
      <x:c r="K51" s="13" t="n">
        <x:v>0.006462950752890892</x:v>
      </x:c>
      <x:c r="L51" s="13" t="n">
        <x:v>0.040433949588195774</x:v>
      </x:c>
      <x:c r="M51" s="13" t="n">
        <x:v>0.4381619667242032</x:v>
      </x:c>
      <x:c r="N51" s="13" t="n">
        <x:v>0.11076579216084778</x:v>
      </x:c>
      <x:c r="O51" s="13" t="n">
        <x:v>0.4733477783988366</x:v>
      </x:c>
      <x:c r="P51" s="13" t="n">
        <x:v>0.6715061225991502</x:v>
      </x:c>
      <x:c r="Q51" s="13" t="n">
        <x:v>0.007973729464724558</x:v>
      </x:c>
      <x:c r="R51" s="13" t="n">
        <x:v>0.6976676618513162</x:v>
      </x:c>
      <x:c r="S51" s="13" t="n">
        <x:v>0.9808500928629351</x:v>
      </x:c>
      <x:c r="T51" s="13" t="n">
        <x:v>0.7222222222222222</x:v>
      </x:c>
      <x:c r="U51" s="13" t="n">
        <x:v>0.02407436529153783</x:v>
      </x:c>
      <x:c r="V51" s="13" t="n">
        <x:v>0.02316900646134209</x:v>
      </x:c>
      <x:c r="W51" s="13" t="n">
        <x:v>0.0370480142264375</x:v>
      </x:c>
      <x:c r="X51" s="13" t="n">
        <x:v>0.05101462419226853</x:v>
      </x:c>
      <x:c r="Y51" s="13" t="n">
        <x:v>0.029997242371499012</x:v>
      </x:c>
      <x:c r="Z51" s="13" t="n">
        <x:v>0.023166085312382227</x:v>
      </x:c>
      <x:c r="AA51" s="13" t="n">
        <x:v>0.0011142971756280926</x:v>
      </x:c>
      <x:c r="AB51" s="13" t="n">
        <x:v>0.1293760156202126</x:v>
      </x:c>
      <x:c r="AC51" s="13" t="n">
        <x:v>0.39593771516406995</x:v>
      </x:c>
      <x:c r="AD51" s="13" t="n">
        <x:v>0.3176479581139318</x:v>
      </x:c>
      <x:c r="AE51" s="13" t="n">
        <x:v>0.393200269944335</x:v>
      </x:c>
      <x:c r="AF51" s="13" t="n">
        <x:v>0.03904068542893549</x:v>
      </x:c>
      <x:c r="AG51" s="13" t="n">
        <x:v>0.37394610770214365</x:v>
      </x:c>
      <x:c r="AH51" s="13" t="n">
        <x:v>0.7342477358284168</x:v>
      </x:c>
      <x:c r="AI51" s="13" t="n">
        <x:v>0.2647058823529412</x:v>
      </x:c>
      <x:c r="AJ51" s="13" t="n">
        <x:v>0.1826274964459178</x:v>
      </x:c>
      <x:c r="AK51" s="13" t="n">
        <x:v>0.003784386802648391</x:v>
      </x:c>
      <x:c r="AL51" s="13" t="n">
        <x:v>0.23656192613176305</x:v>
      </x:c>
      <x:c r="AM51" s="13" t="n">
        <x:v>0.4179781365282435</x:v>
      </x:c>
      <x:c r="AN51" s="13" t="n">
        <x:v>0.44869211143079296</x:v>
      </x:c>
      <x:c r="AO51" s="13" t="n">
        <x:v>0.6806956046595064</x:v>
      </x:c>
      <x:c r="AP51" s="13" t="n">
        <x:v>0.8847286980237917</x:v>
      </x:c>
    </x:row>
    <x:row r="52" ht="15" hidden="0" customHeight="1">
      <x:c r="A52" s="2" t="str">
        <x:v>E51</x:v>
      </x:c>
      <x:c r="B52" s="2" t="str">
        <x:v>***物流有限公司</x:v>
      </x:c>
      <x:c r="C52" s="2" t="str">
        <x:v>有信贷记录</x:v>
      </x:c>
      <x:c r="D52" s="2" t="str">
        <x:v>B</x:v>
      </x:c>
      <x:c r="E52" s="2" t="str">
        <x:v>否</x:v>
      </x:c>
      <x:c r="F52" s="13" t="n">
        <x:v>0.03371277018804401</x:v>
      </x:c>
      <x:c r="G52" s="13" t="n">
        <x:v>0.03425880428380025</x:v>
      </x:c>
      <x:c r="H52" s="13" t="n">
        <x:v>0.0036363636363636364</x:v>
      </x:c>
      <x:c r="I52" s="13" t="n">
        <x:v>0.026709401709401753</x:v>
      </x:c>
      <x:c r="J52" s="13" t="n">
        <x:v>0.07719749954929922</x:v>
      </x:c>
      <x:c r="K52" s="13" t="n">
        <x:v>0.07714585171537189</x:v>
      </x:c>
      <x:c r="L52" s="13" t="n">
        <x:v>0.03732364577371918</x:v>
      </x:c>
      <x:c r="M52" s="13" t="n">
        <x:v>0.03464495582768133</x:v>
      </x:c>
      <x:c r="N52" s="13" t="n">
        <x:v>0.18272671700148724</x:v>
      </x:c>
      <x:c r="O52" s="13" t="n">
        <x:v>0.27295418885531414</x:v>
      </x:c>
      <x:c r="P52" s="13" t="n">
        <x:v>0.47046966944421353</x:v>
      </x:c>
      <x:c r="Q52" s="13" t="n">
        <x:v>0.07762189352183464</x:v>
      </x:c>
      <x:c r="R52" s="13" t="n">
        <x:v>0.09639435603494909</x:v>
      </x:c>
      <x:c r="S52" s="13" t="n">
        <x:v>0.6599691948940815</x:v>
      </x:c>
      <x:c r="T52" s="13" t="n">
        <x:v>0.9722222222222222</x:v>
      </x:c>
      <x:c r="U52" s="13" t="n">
        <x:v>0.07736716115392016</x:v>
      </x:c>
      <x:c r="V52" s="13" t="n">
        <x:v>0.07720015976050863</x:v>
      </x:c>
      <x:c r="W52" s="13" t="n">
        <x:v>0.0753309622604229</x:v>
      </x:c>
      <x:c r="X52" s="13" t="n">
        <x:v>0.008502437365378089</x:v>
      </x:c>
      <x:c r="Y52" s="13" t="n">
        <x:v>0.04542893054188864</x:v>
      </x:c>
      <x:c r="Z52" s="13" t="n">
        <x:v>0.030281474073758696</x:v>
      </x:c>
      <x:c r="AA52" s="13" t="n">
        <x:v>0.048286210943884016</x:v>
      </x:c>
      <x:c r="AB52" s="13" t="n">
        <x:v>0.0837691631864952</x:v>
      </x:c>
      <x:c r="AC52" s="13" t="n">
        <x:v>0.020176682127665435</x:v>
      </x:c>
      <x:c r="AD52" s="13" t="n">
        <x:v>0.10739674910322261</x:v>
      </x:c>
      <x:c r="AE52" s="13" t="n">
        <x:v>0.278185021678505</x:v>
      </x:c>
      <x:c r="AF52" s="13" t="n">
        <x:v>0.044715010277549004</x:v>
      </x:c>
      <x:c r="AG52" s="13" t="n">
        <x:v>0.0982788378704365</x:v>
      </x:c>
      <x:c r="AH52" s="13" t="n">
        <x:v>0.6862769550040787</x:v>
      </x:c>
      <x:c r="AI52" s="13" t="n">
        <x:v>0.9705882352941176</x:v>
      </x:c>
      <x:c r="AJ52" s="13" t="n">
        <x:v>0.16037891783209193</x:v>
      </x:c>
      <x:c r="AK52" s="13" t="n">
        <x:v>0.034696266596283776</x:v>
      </x:c>
      <x:c r="AL52" s="13" t="n">
        <x:v>0.12818648736222685</x:v>
      </x:c>
      <x:c r="AM52" s="13" t="n">
        <x:v>0.05284859747952847</x:v>
      </x:c>
      <x:c r="AN52" s="13" t="n">
        <x:v>0.2041547394994985</x:v>
      </x:c>
      <x:c r="AO52" s="13" t="n">
        <x:v>0.1024059272170782</x:v>
      </x:c>
      <x:c r="AP52" s="13" t="n">
        <x:v>0.6486737168438051</x:v>
      </x:c>
    </x:row>
    <x:row r="53" ht="15" hidden="0" customHeight="1">
      <x:c r="A53" s="2" t="str">
        <x:v>E52</x:v>
      </x:c>
      <x:c r="B53" s="2" t="str">
        <x:v>***商贸有限公司</x:v>
      </x:c>
      <x:c r="C53" s="2" t="str">
        <x:v>有信贷记录</x:v>
      </x:c>
      <x:c r="D53" s="2" t="str">
        <x:v>D</x:v>
      </x:c>
      <x:c r="E53" s="2" t="str">
        <x:v>是</x:v>
      </x:c>
      <x:c r="F53" s="13" t="n">
        <x:v>0.03161973789255569</x:v>
      </x:c>
      <x:c r="G53" s="13" t="n">
        <x:v>0.031054194528968158</x:v>
      </x:c>
      <x:c r="H53" s="13" t="n">
        <x:v>0.02909090909090909</x:v>
      </x:c>
      <x:c r="I53" s="13" t="n">
        <x:v>0.013354700854700877</x:v>
      </x:c>
      <x:c r="J53" s="13" t="n">
        <x:v>0.06309272388586352</x:v>
      </x:c>
      <x:c r="K53" s="13" t="n">
        <x:v>0.06276631247851443</x:v>
      </x:c>
      <x:c r="L53" s="13" t="n">
        <x:v>0.08086789917639155</x:v>
      </x:c>
      <x:c r="M53" s="13" t="n">
        <x:v>0.2954195762812168</x:v>
      </x:c>
      <x:c r="N53" s="13" t="n">
        <x:v>0.10074541487490311</x:v>
      </x:c>
      <x:c r="O53" s="13" t="n">
        <x:v>0.13109795467831778</x:v>
      </x:c>
      <x:c r="P53" s="13" t="n">
        <x:v>0.2533324519061419</x:v>
      </x:c>
      <x:c r="Q53" s="13" t="n">
        <x:v>0.08094080758586494</x:v>
      </x:c>
      <x:c r="R53" s="13" t="n">
        <x:v>0.34190593577410794</x:v>
      </x:c>
      <x:c r="S53" s="13" t="n">
        <x:v>0.7948641251240016</x:v>
      </x:c>
      <x:c r="T53" s="13" t="n">
        <x:v>0.75</x:v>
      </x:c>
      <x:c r="U53" s="13" t="n">
        <x:v>0.03228669776869183</x:v>
      </x:c>
      <x:c r="V53" s="13" t="n">
        <x:v>0.02606186613711784</x:v>
      </x:c>
      <x:c r="W53" s="13" t="n">
        <x:v>0.11484884410195623</x:v>
      </x:c>
      <x:c r="X53" s="13" t="n">
        <x:v>0.014170728942296814</x:v>
      </x:c>
      <x:c r="Y53" s="13" t="n">
        <x:v>0.03170088259638526</x:v>
      </x:c>
      <x:c r="Z53" s="13" t="n">
        <x:v>0.021232141943681993</x:v>
      </x:c>
      <x:c r="AA53" s="13" t="n">
        <x:v>0.00408575631063634</x:v>
      </x:c>
      <x:c r="AB53" s="13" t="n">
        <x:v>0.3015929018481737</x:v>
      </x:c>
      <x:c r="AC53" s="13" t="n">
        <x:v>0.09806149705403831</x:v>
      </x:c>
      <x:c r="AD53" s="13" t="n">
        <x:v>0.4498094098582747</x:v>
      </x:c>
      <x:c r="AE53" s="13" t="n">
        <x:v>0.6077794365027623</x:v>
      </x:c>
      <x:c r="AF53" s="13" t="n">
        <x:v>0.04279220679323723</x:v>
      </x:c>
      <x:c r="AG53" s="13" t="n">
        <x:v>0.4360712933146653</x:v>
      </x:c>
      <x:c r="AH53" s="13" t="n">
        <x:v>0.8078852140398072</x:v>
      </x:c>
      <x:c r="AI53" s="13" t="n">
        <x:v>0.5882352941176471</x:v>
      </x:c>
      <x:c r="AJ53" s="13" t="n">
        <x:v>0.14950505695126368</x:v>
      </x:c>
      <x:c r="AK53" s="13" t="n">
        <x:v>0.040225703673962006</x:v>
      </x:c>
      <x:c r="AL53" s="13" t="n">
        <x:v>0.37938884498022446</x:v>
      </x:c>
      <x:c r="AM53" s="13" t="n">
        <x:v>0.09771287447653824</x:v>
      </x:c>
      <x:c r="AN53" s="13" t="n">
        <x:v>0.32183787948365233</x:v>
      </x:c>
      <x:c r="AO53" s="13" t="n">
        <x:v>0.45264719692848054</x:v>
      </x:c>
      <x:c r="AP53" s="13" t="n">
        <x:v>0.7969361995345648</x:v>
      </x:c>
    </x:row>
    <x:row r="54" ht="15" hidden="0" customHeight="1">
      <x:c r="A54" s="2" t="str">
        <x:v>E53</x:v>
      </x:c>
      <x:c r="B54" s="2" t="str">
        <x:v>***文化传媒有限公司</x:v>
      </x:c>
      <x:c r="C54" s="2" t="str">
        <x:v>有信贷记录</x:v>
      </x:c>
      <x:c r="D54" s="2" t="str">
        <x:v>C</x:v>
      </x:c>
      <x:c r="E54" s="2" t="str">
        <x:v>否</x:v>
      </x:c>
      <x:c r="F54" s="13" t="n">
        <x:v>0.046943724341666604</x:v>
      </x:c>
      <x:c r="G54" s="13" t="n">
        <x:v>0.04555123865797049</x:v>
      </x:c>
      <x:c r="H54" s="13" t="n">
        <x:v>0.056363636363636366</x:v>
      </x:c>
      <x:c r="I54" s="13" t="n">
        <x:v>0.006677350427350438</x:v>
      </x:c>
      <x:c r="J54" s="13" t="n">
        <x:v>0.1195774930692144</x:v>
      </x:c>
      <x:c r="K54" s="13" t="n">
        <x:v>0.11920267257666474</x:v>
      </x:c>
      <x:c r="L54" s="13" t="n">
        <x:v>0.038567767299509816</x:v>
      </x:c>
      <x:c r="M54" s="13" t="n">
        <x:v>0.386126281498515</x:v>
      </x:c>
      <x:c r="N54" s="13" t="n">
        <x:v>0.03439472010336842</x:v>
      </x:c>
      <x:c r="O54" s="13" t="n">
        <x:v>0.44792002123301844</x:v>
      </x:c>
      <x:c r="P54" s="13" t="n">
        <x:v>0.6397477846247696</x:v>
      </x:c>
      <x:c r="Q54" s="13" t="n">
        <x:v>0.1390242099185814</x:v>
      </x:c>
      <x:c r="R54" s="13" t="n">
        <x:v>0.07584727069411729</x:v>
      </x:c>
      <x:c r="S54" s="13" t="n">
        <x:v>0.6519000672316004</x:v>
      </x:c>
      <x:c r="T54" s="13" t="n">
        <x:v>0.8055555555555556</x:v>
      </x:c>
      <x:c r="U54" s="13" t="n">
        <x:v>0.0388390907025913</x:v>
      </x:c>
      <x:c r="V54" s="13" t="n">
        <x:v>0.03632685208341891</x:v>
      </x:c>
      <x:c r="W54" s="13" t="n">
        <x:v>0.07162616083777916</x:v>
      </x:c>
      <x:c r="X54" s="13" t="n">
        <x:v>0.01133658315383745</x:v>
      </x:c>
      <x:c r="Y54" s="13" t="n">
        <x:v>0.0569008007342078</x:v>
      </x:c>
      <x:c r="Z54" s="13" t="n">
        <x:v>0.03806816480371397</x:v>
      </x:c>
      <x:c r="AA54" s="13" t="n">
        <x:v>0.01634302524254536</x:v>
      </x:c>
      <x:c r="AB54" s="13" t="n">
        <x:v>0.15701802776814347</x:v>
      </x:c>
      <x:c r="AC54" s="13" t="n">
        <x:v>0.05665775385344436</x:v>
      </x:c>
      <x:c r="AD54" s="13" t="n">
        <x:v>0.07409964071022007</x:v>
      </x:c>
      <x:c r="AE54" s="13" t="n">
        <x:v>0.15630994448070265</x:v>
      </x:c>
      <x:c r="AF54" s="13" t="n">
        <x:v>0.06479338452628661</x:v>
      </x:c>
      <x:c r="AG54" s="13" t="n">
        <x:v>0.26211418793894603</x:v>
      </x:c>
      <x:c r="AH54" s="13" t="n">
        <x:v>0.6584090194895402</x:v>
      </x:c>
      <x:c r="AI54" s="13" t="n">
        <x:v>0.7647058823529411</x:v>
      </x:c>
      <x:c r="AJ54" s="13" t="n">
        <x:v>0.15025979772622125</x:v>
      </x:c>
      <x:c r="AK54" s="13" t="n">
        <x:v>0.04266753865234433</x:v>
      </x:c>
      <x:c r="AL54" s="13" t="n">
        <x:v>0.22819498449548523</x:v>
      </x:c>
      <x:c r="AM54" s="13" t="n">
        <x:v>0.04875121878046955</x:v>
      </x:c>
      <x:c r="AN54" s="13" t="n">
        <x:v>0.28928934388610866</x:v>
      </x:c>
      <x:c r="AO54" s="13" t="n">
        <x:v>0.17042458618694686</x:v>
      </x:c>
      <x:c r="AP54" s="13" t="n">
        <x:v>0.6298519630260188</x:v>
      </x:c>
    </x:row>
    <x:row r="55" ht="15" hidden="0" customHeight="1">
      <x:c r="A55" s="2" t="str">
        <x:v>E54</x:v>
      </x:c>
      <x:c r="B55" s="2" t="str">
        <x:v>***新技术开发有限公司</x:v>
      </x:c>
      <x:c r="C55" s="2" t="str">
        <x:v>有信贷记录</x:v>
      </x:c>
      <x:c r="D55" s="2" t="str">
        <x:v>A</x:v>
      </x:c>
      <x:c r="E55" s="2" t="str">
        <x:v>否</x:v>
      </x:c>
      <x:c r="F55" s="13" t="n">
        <x:v>0.1227413938997079</x:v>
      </x:c>
      <x:c r="G55" s="13" t="n">
        <x:v>0.1184942606965296</x:v>
      </x:c>
      <x:c r="H55" s="13" t="n">
        <x:v>0.1618181818181818</x:v>
      </x:c>
      <x:c r="I55" s="13" t="n">
        <x:v>0.13354700854700877</x:v>
      </x:c>
      <x:c r="J55" s="13" t="n">
        <x:v>0.02793583491283911</x:v>
      </x:c>
      <x:c r="K55" s="13" t="n">
        <x:v>0.02979740056257319</x:v>
      </x:c>
      <x:c r="L55" s="13" t="n">
        <x:v>0.2849038294060564</x:v>
      </x:c>
      <x:c r="M55" s="13" t="n">
        <x:v>0.4248116435841327</x:v>
      </x:c>
      <x:c r="N55" s="13" t="n">
        <x:v>0.26498311693784804</x:v>
      </x:c>
      <x:c r="O55" s="13" t="n">
        <x:v>0.026257091687185864</x:v>
      </x:c>
      <x:c r="P55" s="13" t="n">
        <x:v>0.06909373305026051</x:v>
      </x:c>
      <x:c r="Q55" s="13" t="n">
        <x:v>0.027348251804248946</x:v>
      </x:c>
      <x:c r="R55" s="13" t="n">
        <x:v>0.07681825367772017</x:v>
      </x:c>
      <x:c r="S55" s="13" t="n">
        <x:v>0.5402626779832097</x:v>
      </x:c>
      <x:c r="T55" s="13" t="n">
        <x:v>1</x:v>
      </x:c>
      <x:c r="U55" s="13" t="n">
        <x:v>0.305040974297147</x:v>
      </x:c>
      <x:c r="V55" s="13" t="n">
        <x:v>0.2993904464708982</x:v>
      </x:c>
      <x:c r="W55" s="13" t="n">
        <x:v>0.3531910689587041</x:v>
      </x:c>
      <x:c r="X55" s="13" t="n">
        <x:v>0.10486339417299642</x:v>
      </x:c>
      <x:c r="Y55" s="13" t="n">
        <x:v>0.055979433525181234</x:v>
      </x:c>
      <x:c r="Z55" s="13" t="n">
        <x:v>0.03760324334888791</x:v>
      </x:c>
      <x:c r="AA55" s="13" t="n">
        <x:v>0.4197186028199149</x:v>
      </x:c>
      <x:c r="AB55" s="13" t="n">
        <x:v>0.10040406582122754</x:v>
      </x:c>
      <x:c r="AC55" s="13" t="n">
        <x:v>0.06455283121778124</x:v>
      </x:c>
      <x:c r="AD55" s="13" t="n">
        <x:v>0.012161223926108135</x:v>
      </x:c>
      <x:c r="AE55" s="13" t="n">
        <x:v>0.02995481247392157</x:v>
      </x:c>
      <x:c r="AF55" s="13" t="n">
        <x:v>0.053656588537115635</x:v>
      </x:c>
      <x:c r="AG55" s="13" t="n">
        <x:v>0.10793500937362888</x:v>
      </x:c>
      <x:c r="AH55" s="13" t="n">
        <x:v>0.5620565806032172</x:v>
      </x:c>
      <x:c r="AI55" s="13" t="n">
        <x:v>1</x:v>
      </x:c>
      <x:c r="AJ55" s="13" t="n">
        <x:v>0.20646654717411952</x:v>
      </x:c>
      <x:c r="AK55" s="13" t="n">
        <x:v>0.010786483209571748</x:v>
      </x:c>
      <x:c r="AL55" s="13" t="n">
        <x:v>0.2021319923819399</x:v>
      </x:c>
      <x:c r="AM55" s="13" t="n">
        <x:v>0.11592978503707886</x:v>
      </x:c>
      <x:c r="AN55" s="13" t="n">
        <x:v>0</x:v>
      </x:c>
      <x:c r="AO55" s="13" t="n">
        <x:v>0.09301769587012629</x:v>
      </x:c>
      <x:c r="AP55" s="13" t="n">
        <x:v>0.5092246824678164</x:v>
      </x:c>
    </x:row>
    <x:row r="56" ht="15" hidden="0" customHeight="1">
      <x:c r="A56" s="2" t="str">
        <x:v>E55</x:v>
      </x:c>
      <x:c r="B56" s="2" t="str">
        <x:v>***集团有限公司***电力设备分公司</x:v>
      </x:c>
      <x:c r="C56" s="2" t="str">
        <x:v>有信贷记录</x:v>
      </x:c>
      <x:c r="D56" s="2" t="str">
        <x:v>C</x:v>
      </x:c>
      <x:c r="E56" s="2" t="str">
        <x:v>否</x:v>
      </x:c>
      <x:c r="F56" s="13" t="n">
        <x:v>0.06137069694985395</x:v>
      </x:c>
      <x:c r="G56" s="13" t="n">
        <x:v>0.05722517419343027</x:v>
      </x:c>
      <x:c r="H56" s="13" t="n">
        <x:v>0.1290909090909091</x:v>
      </x:c>
      <x:c r="I56" s="13" t="n">
        <x:v>0.20032051282051314</x:v>
      </x:c>
      <x:c r="J56" s="13" t="n">
        <x:v>0.03716469349676943</x:v>
      </x:c>
      <x:c r="K56" s="13" t="n">
        <x:v>0.040992864214858524</x:v>
      </x:c>
      <x:c r="L56" s="13" t="n">
        <x:v>0.08460026375376348</x:v>
      </x:c>
      <x:c r="M56" s="13" t="n">
        <x:v>0.6769658045478217</x:v>
      </x:c>
      <x:c r="N56" s="13" t="n">
        <x:v>0.8219057450233119</x:v>
      </x:c>
      <x:c r="O56" s="13" t="n">
        <x:v>0.045592504271861685</x:v>
      </x:c>
      <x:c r="P56" s="13" t="n">
        <x:v>0.051890725364811915</x:v>
      </x:c>
      <x:c r="Q56" s="13" t="n">
        <x:v>0.036383990431654835</x:v>
      </x:c>
      <x:c r="R56" s="13" t="n">
        <x:v>0.2006594908094077</x:v>
      </x:c>
      <x:c r="S56" s="13" t="n">
        <x:v>0.7389566636714943</x:v>
      </x:c>
      <x:c r="T56" s="13" t="n">
        <x:v>1</x:v>
      </x:c>
      <x:c r="U56" s="13" t="n">
        <x:v>0.05072076322272899</x:v>
      </x:c>
      <x:c r="V56" s="13" t="n">
        <x:v>0.04071280062411119</x:v>
      </x:c>
      <x:c r="W56" s="13" t="n">
        <x:v>0.18153526970954373</x:v>
      </x:c>
      <x:c r="X56" s="13" t="n">
        <x:v>0.1983902051921554</x:v>
      </x:c>
      <x:c r="Y56" s="13" t="n">
        <x:v>0.038165903035076325</x:v>
      </x:c>
      <x:c r="Z56" s="13" t="n">
        <x:v>0.03965513977478705</x:v>
      </x:c>
      <x:c r="AA56" s="13" t="n">
        <x:v>0.00817151262127268</x:v>
      </x:c>
      <x:c r="AB56" s="13" t="n">
        <x:v>0.30622645053157105</x:v>
      </x:c>
      <x:c r="AC56" s="13" t="n">
        <x:v>0.8863165557660709</x:v>
      </x:c>
      <x:c r="AD56" s="13" t="n">
        <x:v>0.1562685892002671</x:v>
      </x:c>
      <x:c r="AE56" s="13" t="n">
        <x:v>0.30446421901020526</x:v>
      </x:c>
      <x:c r="AF56" s="13" t="n">
        <x:v>0.03860585658410398</x:v>
      </x:c>
      <x:c r="AG56" s="13" t="n">
        <x:v>0.4909908228834564</x:v>
      </x:c>
      <x:c r="AH56" s="13" t="n">
        <x:v>0.6191529170608102</x:v>
      </x:c>
      <x:c r="AI56" s="13" t="n">
        <x:v>0.6470588235294118</x:v>
      </x:c>
      <x:c r="AJ56" s="13" t="n">
        <x:v>0.17507304302436766</x:v>
      </x:c>
      <x:c r="AK56" s="13" t="n">
        <x:v>0.014077026336419596</x:v>
      </x:c>
      <x:c r="AL56" s="13" t="n">
        <x:v>0.43229381457570054</x:v>
      </x:c>
      <x:c r="AM56" s="13" t="n">
        <x:v>0.8118403796915012</x:v>
      </x:c>
      <x:c r="AN56" s="13" t="n">
        <x:v>0.09684235362169599</x:v>
      </x:c>
      <x:c r="AO56" s="13" t="n">
        <x:v>0.3774345663403814</x:v>
      </x:c>
      <x:c r="AP56" s="13" t="n">
        <x:v>0.6686320568130528</x:v>
      </x:c>
    </x:row>
    <x:row r="57" ht="15" hidden="0" customHeight="1">
      <x:c r="A57" s="2" t="str">
        <x:v>E56</x:v>
      </x:c>
      <x:c r="B57" s="2" t="str">
        <x:v>***家居材料***有限公司</x:v>
      </x:c>
      <x:c r="C57" s="2" t="str">
        <x:v>有信贷记录</x:v>
      </x:c>
      <x:c r="D57" s="2" t="str">
        <x:v>C</x:v>
      </x:c>
      <x:c r="E57" s="2" t="str">
        <x:v>否</x:v>
      </x:c>
      <x:c r="F57" s="13" t="n">
        <x:v>0.08962663293894627</x:v>
      </x:c>
      <x:c r="G57" s="13" t="n">
        <x:v>0.08774526709659307</x:v>
      </x:c>
      <x:c r="H57" s="13" t="n">
        <x:v>0.0890909090909091</x:v>
      </x:c>
      <x:c r="I57" s="13" t="n">
        <x:v>0.04674145299145307</x:v>
      </x:c>
      <x:c r="J57" s="13" t="n">
        <x:v>0.09637706842254523</x:v>
      </x:c>
      <x:c r="K57" s="13" t="n">
        <x:v>0.09784931869745138</x:v>
      </x:c>
      <x:c r="L57" s="13" t="n">
        <x:v>0.10077384358904178</x:v>
      </x:c>
      <x:c r="M57" s="13" t="n">
        <x:v>0.32015573876229914</x:v>
      </x:c>
      <x:c r="N57" s="13" t="n">
        <x:v>0.12518842134845817</x:v>
      </x:c>
      <x:c r="O57" s="13" t="n">
        <x:v>0.09064549279142402</x:v>
      </x:c>
      <x:c r="P57" s="13" t="n">
        <x:v>0.18962891567074677</x:v>
      </x:c>
      <x:c r="Q57" s="13" t="n">
        <x:v>0.099599651275245</x:v>
      </x:c>
      <x:c r="R57" s="13" t="n">
        <x:v>0.10372619598533739</x:v>
      </x:c>
      <x:c r="S57" s="13" t="n">
        <x:v>0.6523083583171488</x:v>
      </x:c>
      <x:c r="T57" s="13" t="n">
        <x:v>0.9444444444444444</x:v>
      </x:c>
      <x:c r="U57" s="13" t="n">
        <x:v>0.042421065506456336</x:v>
      </x:c>
      <x:c r="V57" s="13" t="n">
        <x:v>0.04211257143497042</x:v>
      </x:c>
      <x:c r="W57" s="13" t="n">
        <x:v>0.04569255087927291</x:v>
      </x:c>
      <x:c r="X57" s="13" t="n">
        <x:v>0.0226731663076749</x:v>
      </x:c>
      <x:c r="Y57" s="13" t="n">
        <x:v>0.04496329227727419</x:v>
      </x:c>
      <x:c r="Z57" s="13" t="n">
        <x:v>0.030465125974346103</x:v>
      </x:c>
      <x:c r="AA57" s="13" t="n">
        <x:v>0.013742998499413142</x:v>
      </x:c>
      <x:c r="AB57" s="13" t="n">
        <x:v>0.09187003937475703</x:v>
      </x:c>
      <x:c r="AC57" s="13" t="n">
        <x:v>0.09797585382517014</x:v>
      </x:c>
      <x:c r="AD57" s="13" t="n">
        <x:v>0.21008576855284486</x:v>
      </x:c>
      <x:c r="AE57" s="13" t="n">
        <x:v>0.3475685207200562</x:v>
      </x:c>
      <x:c r="AF57" s="13" t="n">
        <x:v>0.04679321158572638</x:v>
      </x:c>
      <x:c r="AG57" s="13" t="n">
        <x:v>0.1069438912459812</x:v>
      </x:c>
      <x:c r="AH57" s="13" t="n">
        <x:v>0.6909835953662434</x:v>
      </x:c>
      <x:c r="AI57" s="13" t="n">
        <x:v>0.9117647058823529</x:v>
      </x:c>
      <x:c r="AJ57" s="13" t="n">
        <x:v>0.14766919034718978</x:v>
      </x:c>
      <x:c r="AK57" s="13" t="n">
        <x:v>0.04374666309042396</x:v>
      </x:c>
      <x:c r="AL57" s="13" t="n">
        <x:v>0.13941710596974385</x:v>
      </x:c>
      <x:c r="AM57" s="13" t="n">
        <x:v>0.09038657643459727</x:v>
      </x:c>
      <x:c r="AN57" s="13" t="n">
        <x:v>0.15569586002828473</x:v>
      </x:c>
      <x:c r="AO57" s="13" t="n">
        <x:v>0.11214459171214972</x:v>
      </x:c>
      <x:c r="AP57" s="13" t="n">
        <x:v>0.6458663132937367</x:v>
      </x:c>
    </x:row>
    <x:row r="58" ht="15" hidden="0" customHeight="1">
      <x:c r="A58" s="2" t="str">
        <x:v>E57</x:v>
      </x:c>
      <x:c r="B58" s="2" t="str">
        <x:v>***机械设备有限公司</x:v>
      </x:c>
      <x:c r="C58" s="2" t="str">
        <x:v>有信贷记录</x:v>
      </x:c>
      <x:c r="D58" s="2" t="str">
        <x:v>B</x:v>
      </x:c>
      <x:c r="E58" s="2" t="str">
        <x:v>否</x:v>
      </x:c>
      <x:c r="F58" s="13" t="n">
        <x:v>0.009568147636518034</x:v>
      </x:c>
      <x:c r="G58" s="13" t="n">
        <x:v>0.009156027870948843</x:v>
      </x:c>
      <x:c r="H58" s="13" t="n">
        <x:v>0.014545454545454545</x:v>
      </x:c>
      <x:c r="I58" s="13" t="n">
        <x:v>0</x:v>
      </x:c>
      <x:c r="J58" s="13" t="n">
        <x:v>0.10890110818075951</x:v>
      </x:c>
      <x:c r="K58" s="13" t="n">
        <x:v>0.10809733041426536</x:v>
      </x:c>
      <x:c r="L58" s="13" t="n">
        <x:v>0.024882430515812785</x:v>
      </x:c>
      <x:c r="M58" s="13" t="n">
        <x:v>0.4828973843058352</x:v>
      </x:c>
      <x:c r="N58" s="13" t="n">
        <x:v>0</x:v>
      </x:c>
      <x:c r="O58" s="13" t="n">
        <x:v>0.6410806901481461</x:v>
      </x:c>
      <x:c r="P58" s="13" t="n">
        <x:v>0.7770756892631169</x:v>
      </x:c>
      <x:c r="Q58" s="13" t="n">
        <x:v>0.10950100726552976</x:v>
      </x:c>
      <x:c r="R58" s="13" t="n">
        <x:v>0.29395705939128286</x:v>
      </x:c>
      <x:c r="S58" s="13" t="n">
        <x:v>0.7686396113964953</x:v>
      </x:c>
      <x:c r="T58" s="13" t="n">
        <x:v>0.7777777777777778</x:v>
      </x:c>
      <x:c r="U58" s="13" t="n">
        <x:v>0.037441246876692744</x:v>
      </x:c>
      <x:c r="V58" s="13" t="n">
        <x:v>0.03539367154284609</x:v>
      </x:c>
      <x:c r="W58" s="13" t="n">
        <x:v>0.06421655799249165</x:v>
      </x:c>
      <x:c r="X58" s="13" t="n">
        <x:v>0.025507312096134264</x:v>
      </x:c>
      <x:c r="Y58" s="13" t="n">
        <x:v>0.05489859814040418</x:v>
      </x:c>
      <x:c r="Z58" s="13" t="n">
        <x:v>0.038004605619545426</x:v>
      </x:c>
      <x:c r="AA58" s="13" t="n">
        <x:v>0.008542945013148711</x:v>
      </x:c>
      <x:c r="AB58" s="13" t="n">
        <x:v>0.14591724136160963</x:v>
      </x:c>
      <x:c r="AC58" s="13" t="n">
        <x:v>0.13078253544927182</x:v>
      </x:c>
      <x:c r="AD58" s="13" t="n">
        <x:v>0.11901281650568116</x:v>
      </x:c>
      <x:c r="AE58" s="13" t="n">
        <x:v>0.22999790264397701</x:v>
      </x:c>
      <x:c r="AF58" s="13" t="n">
        <x:v>0.05404562216264489</x:v>
      </x:c>
      <x:c r="AG58" s="13" t="n">
        <x:v>0.26662469015484663</x:v>
      </x:c>
      <x:c r="AH58" s="13" t="n">
        <x:v>0.7042350049234272</x:v>
      </x:c>
      <x:c r="AI58" s="13" t="n">
        <x:v>0.7058823529411765</x:v>
      </x:c>
      <x:c r="AJ58" s="13" t="n">
        <x:v>0.15408486056047432</x:v>
      </x:c>
      <x:c r="AK58" s="13" t="n">
        <x:v>0.03875574317745062</x:v>
      </x:c>
      <x:c r="AL58" s="13" t="n">
        <x:v>0.2947321643889875</x:v>
      </x:c>
      <x:c r="AM58" s="13" t="n">
        <x:v>0.17187683629098616</x:v>
      </x:c>
      <x:c r="AN58" s="13" t="n">
        <x:v>0.43162252188673317</x:v>
      </x:c>
      <x:c r="AO58" s="13" t="n">
        <x:v>0.3318185338067893</x:v>
      </x:c>
      <x:c r="AP58" s="13" t="n">
        <x:v>0.7294442365728507</x:v>
      </x:c>
    </x:row>
    <x:row r="59" ht="15" hidden="0" customHeight="1">
      <x:c r="A59" s="2" t="str">
        <x:v>E58</x:v>
      </x:c>
      <x:c r="B59" s="2" t="str">
        <x:v>***油气工程建设有限责任公司</x:v>
      </x:c>
      <x:c r="C59" s="2" t="str">
        <x:v>有信贷记录</x:v>
      </x:c>
      <x:c r="D59" s="2" t="str">
        <x:v>B</x:v>
      </x:c>
      <x:c r="E59" s="2" t="str">
        <x:v>否</x:v>
      </x:c>
      <x:c r="F59" s="13" t="n">
        <x:v>0.10091405710390113</x:v>
      </x:c>
      <x:c r="G59" s="13" t="n">
        <x:v>0.10002960449011611</x:v>
      </x:c>
      <x:c r="H59" s="13" t="n">
        <x:v>0.07090909090909091</x:v>
      </x:c>
      <x:c r="I59" s="13" t="n">
        <x:v>0.06009615384615394</x:v>
      </x:c>
      <x:c r="J59" s="13" t="n">
        <x:v>0.02433704235833436</x:v>
      </x:c>
      <x:c r="K59" s="13" t="n">
        <x:v>0.0244167701799181</x:v>
      </x:c>
      <x:c r="L59" s="13" t="n">
        <x:v>0.21958744930204782</x:v>
      </x:c>
      <x:c r="M59" s="13" t="n">
        <x:v>0.22635814889336026</x:v>
      </x:c>
      <x:c r="N59" s="13" t="n">
        <x:v>0.14122005794155307</x:v>
      </x:c>
      <x:c r="O59" s="13" t="n">
        <x:v>0.15993415989431156</x:v>
      </x:c>
      <x:c r="P59" s="13" t="n">
        <x:v>0.30511101525282075</x:v>
      </x:c>
      <x:c r="Q59" s="13" t="n">
        <x:v>0.03017933968136092</x:v>
      </x:c>
      <x:c r="R59" s="13" t="n">
        <x:v>0.4001643943449063</x:v>
      </x:c>
      <x:c r="S59" s="13" t="n">
        <x:v>0.7546653628593039</x:v>
      </x:c>
      <x:c r="T59" s="13" t="n">
        <x:v>0.75</x:v>
      </x:c>
      <x:c r="U59" s="13" t="n">
        <x:v>0.03307298492075976</x:v>
      </x:c>
      <x:c r="V59" s="13" t="n">
        <x:v>0.025875230029003278</x:v>
      </x:c>
      <x:c r="W59" s="13" t="n">
        <x:v>0.1284331159849833</x:v>
      </x:c>
      <x:c r="X59" s="13" t="n">
        <x:v>0.017004874730756177</x:v>
      </x:c>
      <x:c r="Y59" s="13" t="n">
        <x:v>0.03592204156323948</x:v>
      </x:c>
      <x:c r="Z59" s="13" t="n">
        <x:v>0.024565739520957117</x:v>
      </x:c>
      <x:c r="AA59" s="13" t="n">
        <x:v>0.007800080229396648</x:v>
      </x:c>
      <x:c r="AB59" s="13" t="n">
        <x:v>0.32944201915662386</x:v>
      </x:c>
      <x:c r="AC59" s="13" t="n">
        <x:v>0.11850248517234488</x:v>
      </x:c>
      <x:c r="AD59" s="13" t="n">
        <x:v>0.21176596220558677</x:v>
      </x:c>
      <x:c r="AE59" s="13" t="n">
        <x:v>0.35178306337087306</x:v>
      </x:c>
      <x:c r="AF59" s="13" t="n">
        <x:v>0.04675491782887913</x:v>
      </x:c>
      <x:c r="AG59" s="13" t="n">
        <x:v>0.30481525728224873</x:v>
      </x:c>
      <x:c r="AH59" s="13" t="n">
        <x:v>0.7362144341693209</x:v>
      </x:c>
      <x:c r="AI59" s="13" t="n">
        <x:v>0.6176470588235294</x:v>
      </x:c>
      <x:c r="AJ59" s="13" t="n">
        <x:v>0.17990134111496597</x:v>
      </x:c>
      <x:c r="AK59" s="13" t="n">
        <x:v>0.013521004385887013</x:v>
      </x:c>
      <x:c r="AL59" s="13" t="n">
        <x:v>0.22842286051667463</x:v>
      </x:c>
      <x:c r="AM59" s="13" t="n">
        <x:v>0.09112234693782191</x:v>
      </x:c>
      <x:c r="AN59" s="13" t="n">
        <x:v>0.19821015515039614</x:v>
      </x:c>
      <x:c r="AO59" s="13" t="n">
        <x:v>0.42864494934344605</x:v>
      </x:c>
      <x:c r="AP59" s="13" t="n">
        <x:v>0.7356296607544419</x:v>
      </x:c>
    </x:row>
    <x:row r="60" ht="15" hidden="0" customHeight="1">
      <x:c r="A60" s="2" t="str">
        <x:v>E59</x:v>
      </x:c>
      <x:c r="B60" s="2" t="str">
        <x:v>***商贸有限公司</x:v>
      </x:c>
      <x:c r="C60" s="2" t="str">
        <x:v>有信贷记录</x:v>
      </x:c>
      <x:c r="D60" s="2" t="str">
        <x:v>A</x:v>
      </x:c>
      <x:c r="E60" s="2" t="str">
        <x:v>否</x:v>
      </x:c>
      <x:c r="F60" s="13" t="n">
        <x:v>0.04088888091543253</x:v>
      </x:c>
      <x:c r="G60" s="13" t="n">
        <x:v>0.04043912309669072</x:v>
      </x:c>
      <x:c r="H60" s="13" t="n">
        <x:v>0.03090909090909091</x:v>
      </x:c>
      <x:c r="I60" s="13" t="n">
        <x:v>0</x:v>
      </x:c>
      <x:c r="J60" s="13" t="n">
        <x:v>0.07249839294851626</x:v>
      </x:c>
      <x:c r="K60" s="13" t="n">
        <x:v>0.0719632964987919</x:v>
      </x:c>
      <x:c r="L60" s="13" t="n">
        <x:v>0.04665455721714897</x:v>
      </x:c>
      <x:c r="M60" s="13" t="n">
        <x:v>0.24298798254004914</x:v>
      </x:c>
      <x:c r="N60" s="13" t="n">
        <x:v>0</x:v>
      </x:c>
      <x:c r="O60" s="13" t="n">
        <x:v>0.13886356718518691</x:v>
      </x:c>
      <x:c r="P60" s="13" t="n">
        <x:v>0.2032679480502078</x:v>
      </x:c>
      <x:c r="Q60" s="13" t="n">
        <x:v>0.07289677356588568</x:v>
      </x:c>
      <x:c r="R60" s="13" t="n">
        <x:v>0.04576012159439458</x:v>
      </x:c>
      <x:c r="S60" s="13" t="n">
        <x:v>0.5464231101263595</x:v>
      </x:c>
      <x:c r="T60" s="13" t="n">
        <x:v>0.9722222222222222</x:v>
      </x:c>
      <x:c r="U60" s="13" t="n">
        <x:v>0.18692317100871925</x:v>
      </x:c>
      <x:c r="V60" s="13" t="n">
        <x:v>0.19226132041313793</x:v>
      </x:c>
      <x:c r="W60" s="13" t="n">
        <x:v>0.10126457221892915</x:v>
      </x:c>
      <x:c r="X60" s="13" t="n">
        <x:v>0.005668291576918725</x:v>
      </x:c>
      <x:c r="Y60" s="13" t="n">
        <x:v>0.04614581745389157</x:v>
      </x:c>
      <x:c r="Z60" s="13" t="n">
        <x:v>0.030527169040703163</x:v>
      </x:c>
      <x:c r="AA60" s="13" t="n">
        <x:v>0.06834356010518969</x:v>
      </x:c>
      <x:c r="AB60" s="13" t="n">
        <x:v>0.04689805312617293</x:v>
      </x:c>
      <x:c r="AC60" s="13" t="n">
        <x:v>0.005427302981607152</x:v>
      </x:c>
      <x:c r="AD60" s="13" t="n">
        <x:v>0.021512396143123433</x:v>
      </x:c>
      <x:c r="AE60" s="13" t="n">
        <x:v>0.05452309471461026</x:v>
      </x:c>
      <x:c r="AF60" s="13" t="n">
        <x:v>0.04542137018636489</x:v>
      </x:c>
      <x:c r="AG60" s="13" t="n">
        <x:v>0.11441582652320165</x:v>
      </x:c>
      <x:c r="AH60" s="13" t="n">
        <x:v>0.5342141867553949</x:v>
      </x:c>
      <x:c r="AI60" s="13" t="n">
        <x:v>0.9705882352941176</x:v>
      </x:c>
      <x:c r="AJ60" s="13" t="n">
        <x:v>0.1643591627511359</x:v>
      </x:c>
      <x:c r="AK60" s="13" t="n">
        <x:v>0.032104412301094655</x:v>
      </x:c>
      <x:c r="AL60" s="13" t="n">
        <x:v>0.0997905450619582</x:v>
      </x:c>
      <x:c r="AM60" s="13" t="n">
        <x:v>0.007465557935600955</x:v>
      </x:c>
      <x:c r="AN60" s="13" t="n">
        <x:v>0.07296556325428342</x:v>
      </x:c>
      <x:c r="AO60" s="13" t="n">
        <x:v>0.0736446500238671</x:v>
      </x:c>
      <x:c r="AP60" s="13" t="n">
        <x:v>0.49985507529348755</x:v>
      </x:c>
    </x:row>
    <x:row r="61" ht="15" hidden="0" customHeight="1">
      <x:c r="A61" s="2" t="str">
        <x:v>E60</x:v>
      </x:c>
      <x:c r="B61" s="2" t="str">
        <x:v>***机械租赁有限公司</x:v>
      </x:c>
      <x:c r="C61" s="2" t="str">
        <x:v>有信贷记录</x:v>
      </x:c>
      <x:c r="D61" s="2" t="str">
        <x:v>B</x:v>
      </x:c>
      <x:c r="E61" s="2" t="str">
        <x:v>否</x:v>
      </x:c>
      <x:c r="F61" s="13" t="n">
        <x:v>0.040066618227919265</x:v>
      </x:c>
      <x:c r="G61" s="13" t="n">
        <x:v>0.04028652263217491</x:v>
      </x:c>
      <x:c r="H61" s="13" t="n">
        <x:v>0.014545454545454545</x:v>
      </x:c>
      <x:c r="I61" s="13" t="n">
        <x:v>0</x:v>
      </x:c>
      <x:c r="J61" s="13" t="n">
        <x:v>0.01839330470016625</x:v>
      </x:c>
      <x:c r="K61" s="13" t="n">
        <x:v>0.018257547317919905</x:v>
      </x:c>
      <x:c r="L61" s="13" t="n">
        <x:v>0.07962377765060091</x:v>
      </x:c>
      <x:c r="M61" s="13" t="n">
        <x:v>0.11668524156088954</x:v>
      </x:c>
      <x:c r="N61" s="13" t="n">
        <x:v>0</x:v>
      </x:c>
      <x:c r="O61" s="13" t="n">
        <x:v>0.2592404357120279</x:v>
      </x:c>
      <x:c r="P61" s="13" t="n">
        <x:v>0.43617211952622353</x:v>
      </x:c>
      <x:c r="Q61" s="13" t="n">
        <x:v>0.024437651381729694</x:v>
      </x:c>
      <x:c r="R61" s="13" t="n">
        <x:v>0.4846212007306489</x:v>
      </x:c>
      <x:c r="S61" s="13" t="n">
        <x:v>0.36763265421561714</x:v>
      </x:c>
      <x:c r="T61" s="13" t="n">
        <x:v>0.7222222222222222</x:v>
      </x:c>
      <x:c r="U61" s="13" t="n">
        <x:v>0.043993639810592206</x:v>
      </x:c>
      <x:c r="V61" s="13" t="n">
        <x:v>0.03893975759702282</x:v>
      </x:c>
      <x:c r="W61" s="13" t="n">
        <x:v>0.10990910887176457</x:v>
      </x:c>
      <x:c r="X61" s="13" t="n">
        <x:v>0.0028341457884593626</x:v>
      </x:c>
      <x:c r="Y61" s="13" t="n">
        <x:v>0.012175684571572153</x:v>
      </x:c>
      <x:c r="Z61" s="13" t="n">
        <x:v>0.008186810375542669</x:v>
      </x:c>
      <x:c r="AA61" s="13" t="n">
        <x:v>0.002228594351256185</x:v>
      </x:c>
      <x:c r="AB61" s="13" t="n">
        <x:v>0.21323084055923927</x:v>
      </x:c>
      <x:c r="AC61" s="13" t="n">
        <x:v>0.013229051017667432</x:v>
      </x:c>
      <x:c r="AD61" s="13" t="n">
        <x:v>0.25076700059910934</x:v>
      </x:c>
      <x:c r="AE61" s="13" t="n">
        <x:v>0.4211918758299724</x:v>
      </x:c>
      <x:c r="AF61" s="13" t="n">
        <x:v>0.016428358903065238</x:v>
      </x:c>
      <x:c r="AG61" s="13" t="n">
        <x:v>0.30415538125767877</x:v>
      </x:c>
      <x:c r="AH61" s="13" t="n">
        <x:v>0.6365304267522679</x:v>
      </x:c>
      <x:c r="AI61" s="13" t="n">
        <x:v>0.5</x:v>
      </x:c>
      <x:c r="AJ61" s="13" t="n">
        <x:v>0.14950683791365452</x:v>
      </x:c>
      <x:c r="AK61" s="13" t="n">
        <x:v>0.030194148430015395</x:v>
      </x:c>
      <x:c r="AL61" s="13" t="n">
        <x:v>0.2570085088969206</x:v>
      </x:c>
      <x:c r="AM61" s="13" t="n">
        <x:v>0.010169279389217443</x:v>
      </x:c>
      <x:c r="AN61" s="13" t="n">
        <x:v>0.2808035099479392</x:v>
      </x:c>
      <x:c r="AO61" s="13" t="n">
        <x:v>0.48992093310634655</x:v>
      </x:c>
      <x:c r="AP61" s="13" t="n">
        <x:v>0.4306966565805337</x:v>
      </x:c>
    </x:row>
    <x:row r="62" ht="15" hidden="0" customHeight="1">
      <x:c r="A62" s="2" t="str">
        <x:v>E61</x:v>
      </x:c>
      <x:c r="B62" s="2" t="str">
        <x:v>***调味品有限公司</x:v>
      </x:c>
      <x:c r="C62" s="2" t="str">
        <x:v>有信贷记录</x:v>
      </x:c>
      <x:c r="D62" s="2" t="str">
        <x:v>B</x:v>
      </x:c>
      <x:c r="E62" s="2" t="str">
        <x:v>否</x:v>
      </x:c>
      <x:c r="F62" s="13" t="n">
        <x:v>0.015697742216162398</x:v>
      </x:c>
      <x:c r="G62" s="13" t="n">
        <x:v>0.015794148077386754</x:v>
      </x:c>
      <x:c r="H62" s="13" t="n">
        <x:v>0.005454545454545455</x:v>
      </x:c>
      <x:c r="I62" s="13" t="n">
        <x:v>0.013354700854700877</x:v>
      </x:c>
      <x:c r="J62" s="13" t="n">
        <x:v>0.003187585358701256</x:v>
      </x:c>
      <x:c r="K62" s="13" t="n">
        <x:v>0.003588810138621426</x:v>
      </x:c>
      <x:c r="L62" s="13" t="n">
        <x:v>0.026748612804498743</x:v>
      </x:c>
      <x:c r="M62" s="13" t="n">
        <x:v>0.1110436202118371</x:v>
      </x:c>
      <x:c r="N62" s="13" t="n">
        <x:v>0.19715251044897306</x:v>
      </x:c>
      <x:c r="O62" s="13" t="n">
        <x:v>0.09148021362554193</x:v>
      </x:c>
      <x:c r="P62" s="13" t="n">
        <x:v>0.1552120942638885</x:v>
      </x:c>
      <x:c r="Q62" s="13" t="n">
        <x:v>0.0032022746049544895</x:v>
      </x:c>
      <x:c r="R62" s="13" t="n">
        <x:v>0.17581833640702094</x:v>
      </x:c>
      <x:c r="S62" s="13" t="n">
        <x:v>0.5664099758811034</x:v>
      </x:c>
      <x:c r="T62" s="13" t="n">
        <x:v>0.8333333333333334</x:v>
      </x:c>
      <x:c r="U62" s="13" t="n">
        <x:v>0.11554577064877439</x:v>
      </x:c>
      <x:c r="V62" s="13" t="n">
        <x:v>0.12133959932960323</x:v>
      </x:c>
      <x:c r="W62" s="13" t="n">
        <x:v>0.03087334518869791</x:v>
      </x:c>
      <x:c r="X62" s="13" t="n">
        <x:v>0.11336583153837451</x:v>
      </x:c>
      <x:c r="Y62" s="13" t="n">
        <x:v>0.018023395111268412</x:v>
      </x:c>
      <x:c r="Z62" s="13" t="n">
        <x:v>0.012649867382389659</x:v>
      </x:c>
      <x:c r="AA62" s="13" t="n">
        <x:v>0.023771673080065978</x:v>
      </x:c>
      <x:c r="AB62" s="13" t="n">
        <x:v>0.023068170953303675</x:v>
      </x:c>
      <x:c r="AC62" s="13" t="n">
        <x:v>0.17166389078778857</x:v>
      </x:c>
      <x:c r="AD62" s="13" t="n">
        <x:v>0.10475689756290293</x:v>
      </x:c>
      <x:c r="AE62" s="13" t="n">
        <x:v>0.2184307817477203</x:v>
      </x:c>
      <x:c r="AF62" s="13" t="n">
        <x:v>0.01771190674237883</x:v>
      </x:c>
      <x:c r="AG62" s="13" t="n">
        <x:v>0.02614672922375029</x:v>
      </x:c>
      <x:c r="AH62" s="13" t="n">
        <x:v>0.49470070139146527</x:v>
      </x:c>
      <x:c r="AI62" s="13" t="n">
        <x:v>0.9705882352941176</x:v>
      </x:c>
      <x:c r="AJ62" s="13" t="n">
        <x:v>0.16745643083585454</x:v>
      </x:c>
      <x:c r="AK62" s="13" t="n">
        <x:v>0.003840417228630397</x:v>
      </x:c>
      <x:c r="AL62" s="13" t="n">
        <x:v>0.047310857915699</x:v>
      </x:c>
      <x:c r="AM62" s="13" t="n">
        <x:v>0.2687748592131692</x:v>
      </x:c>
      <x:c r="AN62" s="13" t="n">
        <x:v>0.0938477856076341</x:v>
      </x:c>
      <x:c r="AO62" s="13" t="n">
        <x:v>0.12379895970230113</x:v>
      </x:c>
      <x:c r="AP62" s="13" t="n">
        <x:v>0.4940171287151994</x:v>
      </x:c>
    </x:row>
    <x:row r="63" ht="15" hidden="0" customHeight="1">
      <x:c r="A63" s="2" t="str">
        <x:v>E62</x:v>
      </x:c>
      <x:c r="B63" s="2" t="str">
        <x:v>***工程造价咨询有限公司***分公司</x:v>
      </x:c>
      <x:c r="C63" s="2" t="str">
        <x:v>有信贷记录</x:v>
      </x:c>
      <x:c r="D63" s="2" t="str">
        <x:v>B</x:v>
      </x:c>
      <x:c r="E63" s="2" t="str">
        <x:v>否</x:v>
      </x:c>
      <x:c r="F63" s="13" t="n">
        <x:v>0.03946860900063689</x:v>
      </x:c>
      <x:c r="G63" s="13" t="n">
        <x:v>0.04005762193540119</x:v>
      </x:c>
      <x:c r="H63" s="13" t="n">
        <x:v>0.005454545454545455</x:v>
      </x:c>
      <x:c r="I63" s="13" t="n">
        <x:v>0</x:v>
      </x:c>
      <x:c r="J63" s="13" t="n">
        <x:v>0.004237621124646072</x:v>
      </x:c>
      <x:c r="K63" s="13" t="n">
        <x:v>0.004206344072468027</x:v>
      </x:c>
      <x:c r="L63" s="13" t="n">
        <x:v>0.09144293214561199</x:v>
      </x:c>
      <x:c r="M63" s="13" t="n">
        <x:v>0.044417448084734835</x:v>
      </x:c>
      <x:c r="N63" s="13" t="n">
        <x:v>0</x:v>
      </x:c>
      <x:c r="O63" s="13" t="n">
        <x:v>0.19185139787866926</x:v>
      </x:c>
      <x:c r="P63" s="13" t="n">
        <x:v>0.3778539023008298</x:v>
      </x:c>
      <x:c r="Q63" s="13" t="n">
        <x:v>0.0042581231680195</x:v>
      </x:c>
      <x:c r="R63" s="13" t="n">
        <x:v>0.3413253739257169</x:v>
      </x:c>
      <x:c r="S63" s="13" t="n">
        <x:v>0.6566289479849229</x:v>
      </x:c>
      <x:c r="T63" s="13" t="n">
        <x:v>0.9444444444444444</x:v>
      </x:c>
      <x:c r="U63" s="13" t="n">
        <x:v>0.0183082595097063</x:v>
      </x:c>
      <x:c r="V63" s="13" t="n">
        <x:v>0.01719665100167601</x:v>
      </x:c>
      <x:c r="W63" s="13" t="n">
        <x:v>0.03457814661134166</x:v>
      </x:c>
      <x:c r="X63" s="13" t="n">
        <x:v>0.06518535313456535</x:v>
      </x:c>
      <x:c r="Y63" s="13" t="n">
        <x:v>0.014943003188904258</x:v>
      </x:c>
      <x:c r="Z63" s="13" t="n">
        <x:v>0.01298013109965993</x:v>
      </x:c>
      <x:c r="AA63" s="13" t="n">
        <x:v>0.010400106972528864</x:v>
      </x:c>
      <x:c r="AB63" s="13" t="n">
        <x:v>0.15714164454327192</x:v>
      </x:c>
      <x:c r="AC63" s="13" t="n">
        <x:v>0.6754434844203812</x:v>
      </x:c>
      <x:c r="AD63" s="13" t="n">
        <x:v>0.14622934748295544</x:v>
      </x:c>
      <x:c r="AE63" s="13" t="n">
        <x:v>0.24737689010222713</x:v>
      </x:c>
      <x:c r="AF63" s="13" t="n">
        <x:v>0.01467674830808808</x:v>
      </x:c>
      <x:c r="AG63" s="13" t="n">
        <x:v>0.2737565018350481</x:v>
      </x:c>
      <x:c r="AH63" s="13" t="n">
        <x:v>0.4500020096080957</x:v>
      </x:c>
      <x:c r="AI63" s="13" t="n">
        <x:v>0.6470588235294118</x:v>
      </x:c>
      <x:c r="AJ63" s="13" t="n">
        <x:v>0.16237041073035788</x:v>
      </x:c>
      <x:c r="AK63" s="13" t="n">
        <x:v>0.004389128258704734</x:v>
      </x:c>
      <x:c r="AL63" s="13" t="n">
        <x:v>0.1130656727774464</x:v>
      </x:c>
      <x:c r="AM63" s="13" t="n">
        <x:v>0.3107720450671437</x:v>
      </x:c>
      <x:c r="AN63" s="13" t="n">
        <x:v>0.17854218834294702</x:v>
      </x:c>
      <x:c r="AO63" s="13" t="n">
        <x:v>0.3699865459773358</x:v>
      </x:c>
      <x:c r="AP63" s="13" t="n">
        <x:v>0.5322646861659608</x:v>
      </x:c>
    </x:row>
    <x:row r="64" ht="15" hidden="0" customHeight="1">
      <x:c r="A64" s="2" t="str">
        <x:v>E63</x:v>
      </x:c>
      <x:c r="B64" s="2" t="str">
        <x:v>***科技有限公司</x:v>
      </x:c>
      <x:c r="C64" s="2" t="str">
        <x:v>有信贷记录</x:v>
      </x:c>
      <x:c r="D64" s="2" t="str">
        <x:v>B</x:v>
      </x:c>
      <x:c r="E64" s="2" t="str">
        <x:v>否</x:v>
      </x:c>
      <x:c r="F64" s="13" t="n">
        <x:v>0.11743406200757679</x:v>
      </x:c>
      <x:c r="G64" s="13" t="n">
        <x:v>0.1162815539610503</x:v>
      </x:c>
      <x:c r="H64" s="13" t="n">
        <x:v>0.08545454545454545</x:v>
      </x:c>
      <x:c r="I64" s="13" t="n">
        <x:v>0.16025641025641052</x:v>
      </x:c>
      <x:c r="J64" s="13" t="n">
        <x:v>0.13496624854059563</x:v>
      </x:c>
      <x:c r="K64" s="13" t="n">
        <x:v>0.14424483657020082</x:v>
      </x:c>
      <x:c r="L64" s="13" t="n">
        <x:v>0.18164174276543332</x:v>
      </x:c>
      <x:c r="M64" s="13" t="n">
        <x:v>0.2344646390741142</x:v>
      </x:c>
      <x:c r="N64" s="13" t="n">
        <x:v>0.3240226056395966</x:v>
      </x:c>
      <x:c r="O64" s="13" t="n">
        <x:v>0.7743324771728567</x:v>
      </x:c>
      <x:c r="P64" s="13" t="n">
        <x:v>0.8756016596678624</x:v>
      </x:c>
      <x:c r="Q64" s="13" t="n">
        <x:v>0.13213898339130595</x:v>
      </x:c>
      <x:c r="R64" s="13" t="n">
        <x:v>0.19369244611464245</x:v>
      </x:c>
      <x:c r="S64" s="13" t="n">
        <x:v>0.3881608852377257</x:v>
      </x:c>
      <x:c r="T64" s="13" t="n">
        <x:v>1</x:v>
      </x:c>
      <x:c r="U64" s="13" t="n">
        <x:v>0.057972078069577736</x:v>
      </x:c>
      <x:c r="V64" s="13" t="n">
        <x:v>0.057696686462536596</x:v>
      </x:c>
      <x:c r="W64" s="13" t="n">
        <x:v>0.059276822762299994</x:v>
      </x:c>
      <x:c r="X64" s="13" t="n">
        <x:v>0.008502437365378089</x:v>
      </x:c>
      <x:c r="Y64" s="13" t="n">
        <x:v>0.08209133115400596</x:v>
      </x:c>
      <x:c r="Z64" s="13" t="n">
        <x:v>0.05469577209080488</x:v>
      </x:c>
      <x:c r="AA64" s="13" t="n">
        <x:v>0.014857295675041236</x:v>
      </x:c>
      <x:c r="AB64" s="13" t="n">
        <x:v>0.08766042068769234</x:v>
      </x:c>
      <x:c r="AC64" s="13" t="n">
        <x:v>0.026923764631156755</x:v>
      </x:c>
      <x:c r="AD64" s="13" t="n">
        <x:v>0.1883795030325829</x:v>
      </x:c>
      <x:c r="AE64" s="13" t="n">
        <x:v>0.3015921456688288</x:v>
      </x:c>
      <x:c r="AF64" s="13" t="n">
        <x:v>0.1068684538521728</x:v>
      </x:c>
      <x:c r="AG64" s="13" t="n">
        <x:v>0.21040485863534145</x:v>
      </x:c>
      <x:c r="AH64" s="13" t="n">
        <x:v>0.3589295035356058</x:v>
      </x:c>
      <x:c r="AI64" s="13" t="n">
        <x:v>0.5588235294117647</x:v>
      </x:c>
      <x:c r="AJ64" s="13" t="n">
        <x:v>0.17680032316989272</x:v>
      </x:c>
      <x:c r="AK64" s="13" t="n">
        <x:v>0.035951742378526254</x:v>
      </x:c>
      <x:c r="AL64" s="13" t="n">
        <x:v>0.1156357696089871</x:v>
      </x:c>
      <x:c r="AM64" s="13" t="n">
        <x:v>0.12177605695372519</x:v>
      </x:c>
      <x:c r="AN64" s="13" t="n">
        <x:v>0.5525315944184367</x:v>
      </x:c>
      <x:c r="AO64" s="13" t="n">
        <x:v>0.23019270287373922</x:v>
      </x:c>
      <x:c r="AP64" s="13" t="n">
        <x:v>0.31014872816801886</x:v>
      </x:c>
    </x:row>
    <x:row r="65" ht="15" hidden="0" customHeight="1">
      <x:c r="A65" s="2" t="str">
        <x:v>E64</x:v>
      </x:c>
      <x:c r="B65" s="2" t="str">
        <x:v>***图书有限责任公司</x:v>
      </x:c>
      <x:c r="C65" s="2" t="str">
        <x:v>有信贷记录</x:v>
      </x:c>
      <x:c r="D65" s="2" t="str">
        <x:v>A</x:v>
      </x:c>
      <x:c r="E65" s="2" t="str">
        <x:v>否</x:v>
      </x:c>
      <x:c r="F65" s="13" t="n">
        <x:v>0.002242534602308914</x:v>
      </x:c>
      <x:c r="G65" s="13" t="n">
        <x:v>0.002289006967737211</x:v>
      </x:c>
      <x:c r="H65" s="13" t="n">
        <x:v>0</x:v>
      </x:c>
      <x:c r="I65" s="13" t="n">
        <x:v>0</x:v>
      </x:c>
      <x:c r="J65" s="13" t="n">
        <x:v>0.0003082421970145387</x:v>
      </x:c>
      <x:c r="K65" s="13" t="n">
        <x:v>0.00030596712168431934</x:v>
      </x:c>
      <x:c r="L65" s="13" t="n">
        <x:v>0.012441215257906393</x:v>
      </x:c>
      <x:c r="M65" s="13" t="n">
        <x:v>0</x:v>
      </x:c>
      <x:c r="N65" s="13" t="n">
        <x:v>0</x:v>
      </x:c>
      <x:c r="O65" s="13" t="n">
        <x:v>0.43129558340128044</x:v>
      </x:c>
      <x:c r="P65" s="13" t="n">
        <x:v>0.5980628074646361</x:v>
      </x:c>
      <x:c r="Q65" s="13" t="n">
        <x:v>0.0003447950473630978</x:v>
      </x:c>
      <x:c r="R65" s="13" t="n">
        <x:v>0.506212934221551</x:v>
      </x:c>
      <x:c r="S65" s="13" t="n">
        <x:v>0.5385399761204384</x:v>
      </x:c>
      <x:c r="T65" s="13" t="n">
        <x:v>0.4722222222222222</x:v>
      </x:c>
      <x:c r="U65" s="13" t="n">
        <x:v>0.11930247593087674</x:v>
      </x:c>
      <x:c r="V65" s="13" t="n">
        <x:v>0.11909996603222846</x:v>
      </x:c>
      <x:c r="W65" s="13" t="n">
        <x:v>0.11361391029440832</x:v>
      </x:c>
      <x:c r="X65" s="13" t="n">
        <x:v>0</x:v>
      </x:c>
      <x:c r="Y65" s="13" t="n">
        <x:v>0.013274713261525226</x:v>
      </x:c>
      <x:c r="Z65" s="13" t="n">
        <x:v>0.008766233590167543</x:v>
      </x:c>
      <x:c r="AA65" s="13" t="n">
        <x:v>0.06834356010518969</x:v>
      </x:c>
      <x:c r="AB65" s="13" t="n">
        <x:v>0.08223610011059332</x:v>
      </x:c>
      <x:c r="AC65" s="13" t="n">
        <x:v>0</x:v>
      </x:c>
      <x:c r="AD65" s="13" t="n">
        <x:v>0.07579860405988267</x:v>
      </x:c>
      <x:c r="AE65" s="13" t="n">
        <x:v>0.20060870465689293</x:v>
      </x:c>
      <x:c r="AF65" s="13" t="n">
        <x:v>0.013032956098673179</x:v>
      </x:c>
      <x:c r="AG65" s="13" t="n">
        <x:v>0.17849485964106854</x:v>
      </x:c>
      <x:c r="AH65" s="13" t="n">
        <x:v>0.5729803610378743</x:v>
      </x:c>
      <x:c r="AI65" s="13" t="n">
        <x:v>0.8823529411764706</x:v>
      </x:c>
      <x:c r="AJ65" s="13" t="n">
        <x:v>0.162439700393394</x:v>
      </x:c>
      <x:c r="AK65" s="13" t="n">
        <x:v>0.00046069812149388814</x:v>
      </x:c>
      <x:c r="AL65" s="13" t="n">
        <x:v>0.18092720432309498</x:v>
      </x:c>
      <x:c r="AM65" s="13" t="n">
        <x:v>0</x:v>
      </x:c>
      <x:c r="AN65" s="13" t="n">
        <x:v>0.2803331945881525</x:v>
      </x:c>
      <x:c r="AO65" s="13" t="n">
        <x:v>0.44200569223958824</x:v>
      </x:c>
      <x:c r="AP65" s="13" t="n">
        <x:v>0.5133613828183043</x:v>
      </x:c>
    </x:row>
    <x:row r="66" ht="15" hidden="0" customHeight="1">
      <x:c r="A66" s="2" t="str">
        <x:v>E65</x:v>
      </x:c>
      <x:c r="B66" s="2" t="str">
        <x:v>***商贸有限公司</x:v>
      </x:c>
      <x:c r="C66" s="2" t="str">
        <x:v>有信贷记录</x:v>
      </x:c>
      <x:c r="D66" s="2" t="str">
        <x:v>B</x:v>
      </x:c>
      <x:c r="E66" s="2" t="str">
        <x:v>否</x:v>
      </x:c>
      <x:c r="F66" s="13" t="n">
        <x:v>0.04372942474502382</x:v>
      </x:c>
      <x:c r="G66" s="13" t="n">
        <x:v>0.04402523401281235</x:v>
      </x:c>
      <x:c r="H66" s="13" t="n">
        <x:v>0.014545454545454545</x:v>
      </x:c>
      <x:c r="I66" s="13" t="n">
        <x:v>0</x:v>
      </x:c>
      <x:c r="J66" s="13" t="n">
        <x:v>0.016559550801811325</x:v>
      </x:c>
      <x:c r="K66" s="13" t="n">
        <x:v>0.01643732799820557</x:v>
      </x:c>
      <x:c r="L66" s="13" t="n">
        <x:v>0.023016248227126827</x:v>
      </x:c>
      <x:c r="M66" s="13" t="n">
        <x:v>0.1069449062346824</x:v>
      </x:c>
      <x:c r="N66" s="13" t="n">
        <x:v>0</x:v>
      </x:c>
      <x:c r="O66" s="13" t="n">
        <x:v>0.8231066702033827</x:v>
      </x:c>
      <x:c r="P66" s="13" t="n">
        <x:v>0.903789520392562</x:v>
      </x:c>
      <x:c r="Q66" s="13" t="n">
        <x:v>0.017599873164336303</x:v>
      </x:c>
      <x:c r="R66" s="13" t="n">
        <x:v>0.1528787439931932</x:v>
      </x:c>
      <x:c r="S66" s="13" t="n">
        <x:v>0.5207006204217394</x:v>
      </x:c>
      <x:c r="T66" s="13" t="n">
        <x:v>0.8611111111111112</x:v>
      </x:c>
      <x:c r="U66" s="13" t="n">
        <x:v>0.04154741311526974</x:v>
      </x:c>
      <x:c r="V66" s="13" t="n">
        <x:v>0.04183261727279858</x:v>
      </x:c>
      <x:c r="W66" s="13" t="n">
        <x:v>0.0370480142264375</x:v>
      </x:c>
      <x:c r="X66" s="13" t="n">
        <x:v>0.019839020519215537</x:v>
      </x:c>
      <x:c r="Y66" s="13" t="n">
        <x:v>0.01210784653983439</x:v>
      </x:c>
      <x:c r="Z66" s="13" t="n">
        <x:v>0.008129354048224598</x:v>
      </x:c>
      <x:c r="AA66" s="13" t="n">
        <x:v>0.020800213945057728</x:v>
      </x:c>
      <x:c r="AB66" s="13" t="n">
        <x:v>0.07602508134383627</x:v>
      </x:c>
      <x:c r="AC66" s="13" t="n">
        <x:v>0.08629411740755372</x:v>
      </x:c>
      <x:c r="AD66" s="13" t="n">
        <x:v>0.1804004057454591</x:v>
      </x:c>
      <x:c r="AE66" s="13" t="n">
        <x:v>0.37426933092959064</x:v>
      </x:c>
      <x:c r="AF66" s="13" t="n">
        <x:v>0.012217239287584567</x:v>
      </x:c>
      <x:c r="AG66" s="13" t="n">
        <x:v>0.06906949846737409</x:v>
      </x:c>
      <x:c r="AH66" s="13" t="n">
        <x:v>0.5621093478948578</x:v>
      </x:c>
      <x:c r="AI66" s="13" t="n">
        <x:v>0.9411764705882353</x:v>
      </x:c>
      <x:c r="AJ66" s="13" t="n">
        <x:v>0.15056054287281534</x:v>
      </x:c>
      <x:c r="AK66" s="13" t="n">
        <x:v>0.027373352300114416</x:v>
      </x:c>
      <x:c r="AL66" s="13" t="n">
        <x:v>0.09626698546049667</x:v>
      </x:c>
      <x:c r="AM66" s="13" t="n">
        <x:v>0.06567741562978151</x:v>
      </x:c>
      <x:c r="AN66" s="13" t="n">
        <x:v>0.5770353275743458</x:v>
      </x:c>
      <x:c r="AO66" s="13" t="n">
        <x:v>0.12881169249509195</x:v>
      </x:c>
      <x:c r="AP66" s="13" t="n">
        <x:v>0.49627283690724616</x:v>
      </x:c>
    </x:row>
    <x:row r="67" ht="15" hidden="0" customHeight="1">
      <x:c r="A67" s="2" t="str">
        <x:v>E66</x:v>
      </x:c>
      <x:c r="B67" s="2" t="str">
        <x:v>***快递有限公司</x:v>
      </x:c>
      <x:c r="C67" s="2" t="str">
        <x:v>有信贷记录</x:v>
      </x:c>
      <x:c r="D67" s="2" t="str">
        <x:v>B</x:v>
      </x:c>
      <x:c r="E67" s="2" t="str">
        <x:v>否</x:v>
      </x:c>
      <x:c r="F67" s="13" t="n">
        <x:v>0.042981913210920854</x:v>
      </x:c>
      <x:c r="G67" s="13" t="n">
        <x:v>0.043720033083780724</x:v>
      </x:c>
      <x:c r="H67" s="13" t="n">
        <x:v>0.0036363636363636364</x:v>
      </x:c>
      <x:c r="I67" s="13" t="n">
        <x:v>0.006677350427350438</x:v>
      </x:c>
      <x:c r="J67" s="13" t="n">
        <x:v>0.01840249556477387</x:v>
      </x:c>
      <x:c r="K67" s="13" t="n">
        <x:v>0.01827617470442984</x:v>
      </x:c>
      <x:c r="L67" s="13" t="n">
        <x:v>0.01803976212396427</x:v>
      </x:c>
      <x:c r="M67" s="13" t="n">
        <x:v>0.02719959270353491</x:v>
      </x:c>
      <x:c r="N67" s="13" t="n">
        <x:v>0.03583032581203076</x:v>
      </x:c>
      <x:c r="O67" s="13" t="n">
        <x:v>0.8057208916772941</x:v>
      </x:c>
      <x:c r="P67" s="13" t="n">
        <x:v>0.8919963639309252</x:v>
      </x:c>
      <x:c r="Q67" s="13" t="n">
        <x:v>0.021393020274924415</x:v>
      </x:c>
      <x:c r="R67" s="13" t="n">
        <x:v>0.15955445983739255</x:v>
      </x:c>
      <x:c r="S67" s="13" t="n">
        <x:v>0.6558239125992111</x:v>
      </x:c>
      <x:c r="T67" s="13" t="n">
        <x:v>0.8333333333333334</x:v>
      </x:c>
      <x:c r="U67" s="13" t="n">
        <x:v>0.05849626950428969</x:v>
      </x:c>
      <x:c r="V67" s="13" t="n">
        <x:v>0.05797664062470844</x:v>
      </x:c>
      <x:c r="W67" s="13" t="n">
        <x:v>0.06298162418494374</x:v>
      </x:c>
      <x:c r="X67" s="13" t="n">
        <x:v>0.017004874730756177</x:v>
      </x:c>
      <x:c r="Y67" s="13" t="n">
        <x:v>0.007423365065369778</x:v>
      </x:c>
      <x:c r="Z67" s="13" t="n">
        <x:v>0.004937751685442317</x:v>
      </x:c>
      <x:c r="AA67" s="13" t="n">
        <x:v>0.05720058834890876</x:v>
      </x:c>
      <x:c r="AB67" s="13" t="n">
        <x:v>0.09231617020322976</x:v>
      </x:c>
      <x:c r="AC67" s="13" t="n">
        <x:v>0.05359029584227061</x:v>
      </x:c>
      <x:c r="AD67" s="13" t="n">
        <x:v>0.15683998610914948</x:v>
      </x:c>
      <x:c r="AE67" s="13" t="n">
        <x:v>0.3263400234990633</x:v>
      </x:c>
      <x:c r="AF67" s="13" t="n">
        <x:v>0.010011551840325296</x:v>
      </x:c>
      <x:c r="AG67" s="13" t="n">
        <x:v>0.27061969717484413</x:v>
      </x:c>
      <x:c r="AH67" s="13" t="n">
        <x:v>0.8868085504878717</x:v>
      </x:c>
      <x:c r="AI67" s="13" t="n">
        <x:v>0.6764705882352942</x:v>
      </x:c>
      <x:c r="AJ67" s="13" t="n">
        <x:v>0.1426715144836503</x:v>
      </x:c>
      <x:c r="AK67" s="13" t="n">
        <x:v>0.04985897624022855</x:v>
      </x:c>
      <x:c r="AL67" s="13" t="n">
        <x:v>0.11535309728633107</x:v>
      </x:c>
      <x:c r="AM67" s="13" t="n">
        <x:v>0.056450912519695834</x:v>
      </x:c>
      <x:c r="AN67" s="13" t="n">
        <x:v>0.5526709484912546</x:v>
      </x:c>
      <x:c r="AO67" s="13" t="n">
        <x:v>0.23579739452931256</x:v>
      </x:c>
      <x:c r="AP67" s="13" t="n">
        <x:v>0.742841913199648</x:v>
      </x:c>
    </x:row>
    <x:row r="68" ht="15" hidden="0" customHeight="1">
      <x:c r="A68" s="2" t="str">
        <x:v>E67</x:v>
      </x:c>
      <x:c r="B68" s="2" t="str">
        <x:v>***信息技术有限公司</x:v>
      </x:c>
      <x:c r="C68" s="2" t="str">
        <x:v>有信贷记录</x:v>
      </x:c>
      <x:c r="D68" s="2" t="str">
        <x:v>B</x:v>
      </x:c>
      <x:c r="E68" s="2" t="str">
        <x:v>否</x:v>
      </x:c>
      <x:c r="F68" s="13" t="n">
        <x:v>0.048214493949641654</x:v>
      </x:c>
      <x:c r="G68" s="13" t="n">
        <x:v>0.04768764516119189</x:v>
      </x:c>
      <x:c r="H68" s="13" t="n">
        <x:v>0.03636363636363636</x:v>
      </x:c>
      <x:c r="I68" s="13" t="n">
        <x:v>0.013354700854700877</x:v>
      </x:c>
      <x:c r="J68" s="13" t="n">
        <x:v>0.004413612661174048</x:v>
      </x:c>
      <x:c r="K68" s="13" t="n">
        <x:v>0.004412293011389482</x:v>
      </x:c>
      <x:c r="L68" s="13" t="n">
        <x:v>0.12130184876458733</x:v>
      </x:c>
      <x:c r="M68" s="13" t="n">
        <x:v>0.24256823786614595</x:v>
      </x:c>
      <x:c r="N68" s="13" t="n">
        <x:v>0.06571750348299102</x:v>
      </x:c>
      <x:c r="O68" s="13" t="n">
        <x:v>0.046826100113948894</x:v>
      </x:c>
      <x:c r="P68" s="13" t="n">
        <x:v>0.08704655157762013</x:v>
      </x:c>
      <x:c r="Q68" s="13" t="n">
        <x:v>0.004318247576870163</x:v>
      </x:c>
      <x:c r="R68" s="13" t="n">
        <x:v>0.4298473287019481</x:v>
      </x:c>
      <x:c r="S68" s="13" t="n">
        <x:v>0.7620723601904051</x:v>
      </x:c>
      <x:c r="T68" s="13" t="n">
        <x:v>1</x:v>
      </x:c>
      <x:c r="U68" s="13" t="n">
        <x:v>0.01795879855323166</x:v>
      </x:c>
      <x:c r="V68" s="13" t="n">
        <x:v>0.017289969055733295</x:v>
      </x:c>
      <x:c r="W68" s="13" t="n">
        <x:v>0.02840347757360208</x:v>
      </x:c>
      <x:c r="X68" s="13" t="n">
        <x:v>0.008502437365378089</x:v>
      </x:c>
      <x:c r="Y68" s="13" t="n">
        <x:v>0.00856169992967106</x:v>
      </x:c>
      <x:c r="Z68" s="13" t="n">
        <x:v>0.005879938248112047</x:v>
      </x:c>
      <x:c r="AA68" s="13" t="n">
        <x:v>0.00817151262127268</x:v>
      </x:c>
      <x:c r="AB68" s="13" t="n">
        <x:v>0.1314821368047277</x:v>
      </x:c>
      <x:c r="AC68" s="13" t="n">
        <x:v>0.08764246299204674</x:v>
      </x:c>
      <x:c r="AD68" s="13" t="n">
        <x:v>0.1254213954374733</x:v>
      </x:c>
      <x:c r="AE68" s="13" t="n">
        <x:v>0.22042156357249812</x:v>
      </x:c>
      <x:c r="AF68" s="13" t="n">
        <x:v>0.009141839209194867</x:v>
      </x:c>
      <x:c r="AG68" s="13" t="n">
        <x:v>0.38757259406904326</x:v>
      </x:c>
      <x:c r="AH68" s="13" t="n">
        <x:v>0.7935668036727396</x:v>
      </x:c>
      <x:c r="AI68" s="13" t="n">
        <x:v>0.5882352941176471</x:v>
      </x:c>
      <x:c r="AJ68" s="13" t="n">
        <x:v>0.15308936217856364</x:v>
      </x:c>
      <x:c r="AK68" s="13" t="n">
        <x:v>0.01012103349057808</x:v>
      </x:c>
      <x:c r="AL68" s="13" t="n">
        <x:v>0.1370883341151475</x:v>
      </x:c>
      <x:c r="AM68" s="13" t="n">
        <x:v>0.059227671167969724</x:v>
      </x:c>
      <x:c r="AN68" s="13" t="n">
        <x:v>0.07932190314227698</x:v>
      </x:c>
      <x:c r="AO68" s="13" t="n">
        <x:v>0.49222750579083724</x:v>
      </x:c>
      <x:c r="AP68" s="13" t="n">
        <x:v>0.7682621693317059</x:v>
      </x:c>
    </x:row>
    <x:row r="69" ht="15" hidden="0" customHeight="1">
      <x:c r="A69" s="2" t="str">
        <x:v>E68</x:v>
      </x:c>
      <x:c r="B69" s="2" t="str">
        <x:v>***花木总公司</x:v>
      </x:c>
      <x:c r="C69" s="2" t="str">
        <x:v>有信贷记录</x:v>
      </x:c>
      <x:c r="D69" s="2" t="str">
        <x:v>C</x:v>
      </x:c>
      <x:c r="E69" s="2" t="str">
        <x:v>否</x:v>
      </x:c>
      <x:c r="F69" s="13" t="n">
        <x:v>0.00007475115341029714</x:v>
      </x:c>
      <x:c r="G69" s="13" t="n">
        <x:v>0.00007630023225790702</x:v>
      </x:c>
      <x:c r="H69" s="13" t="n">
        <x:v>0</x:v>
      </x:c>
      <x:c r="I69" s="13" t="n">
        <x:v>0</x:v>
      </x:c>
      <x:c r="J69" s="13" t="n">
        <x:v>6.159775813635222e-7</x:v>
      </x:c>
      <x:c r="K69" s="13" t="n">
        <x:v>6.114311713881798e-7</x:v>
      </x:c>
      <x:c r="L69" s="13" t="n">
        <x:v>0.0006220607628953196</x:v>
      </x:c>
      <x:c r="M69" s="13" t="n">
        <x:v>0</x:v>
      </x:c>
      <x:c r="N69" s="13" t="n">
        <x:v>0</x:v>
      </x:c>
      <x:c r="O69" s="13" t="n">
        <x:v>0.627917044688796</x:v>
      </x:c>
      <x:c r="P69" s="13" t="n">
        <x:v>0.746259005764856</x:v>
      </x:c>
      <x:c r="Q69" s="13" t="n">
        <x:v>0.0000013974483481069186</x:v>
      </x:c>
      <x:c r="R69" s="13" t="n">
        <x:v>0.38098574530542073</x:v>
      </x:c>
      <x:c r="S69" s="13" t="n">
        <x:v>0.4257986765990738</x:v>
      </x:c>
      <x:c r="T69" s="13" t="n">
        <x:v>0.027777777777777776</x:v>
      </x:c>
      <x:c r="U69" s="13" t="n">
        <x:v>0.005552934598382002</x:v>
      </x:c>
      <x:c r="V69" s="13" t="n">
        <x:v>0.005438576190458422</x:v>
      </x:c>
      <x:c r="W69" s="13" t="n">
        <x:v>0.009879470460383332</x:v>
      </x:c>
      <x:c r="X69" s="13" t="n">
        <x:v>0</x:v>
      </x:c>
      <x:c r="Y69" s="13" t="n">
        <x:v>0.00880935811474445</x:v>
      </x:c>
      <x:c r="Z69" s="13" t="n">
        <x:v>0.005816408146939461</x:v>
      </x:c>
      <x:c r="AA69" s="13" t="n">
        <x:v>0.002228594351256185</x:v>
      </x:c>
      <x:c r="AB69" s="13" t="n">
        <x:v>0.13469283817994737</x:v>
      </x:c>
      <x:c r="AC69" s="13" t="n">
        <x:v>0</x:v>
      </x:c>
      <x:c r="AD69" s="13" t="n">
        <x:v>0.48263294086226377</x:v>
      </x:c>
      <x:c r="AE69" s="13" t="n">
        <x:v>0.5912953683041916</x:v>
      </x:c>
      <x:c r="AF69" s="13" t="n">
        <x:v>0.013974169793961681</x:v>
      </x:c>
      <x:c r="AG69" s="13" t="n">
        <x:v>0.5045944016587928</x:v>
      </x:c>
      <x:c r="AH69" s="13" t="n">
        <x:v>0.1967713686550885</x:v>
      </x:c>
      <x:c r="AI69" s="13" t="n">
        <x:v>0.20588235294117646</x:v>
      </x:c>
      <x:c r="AJ69" s="13" t="n">
        <x:v>0.15621566474102028</x:v>
      </x:c>
      <x:c r="AK69" s="13" t="n">
        <x:v>0</x:v>
      </x:c>
      <x:c r="AL69" s="13" t="n">
        <x:v>0.29368409116679917</x:v>
      </x:c>
      <x:c r="AM69" s="13" t="n">
        <x:v>0</x:v>
      </x:c>
      <x:c r="AN69" s="13" t="n">
        <x:v>0.6389754137397927</x:v>
      </x:c>
      <x:c r="AO69" s="13" t="n">
        <x:v>0.5158728680743216</x:v>
      </x:c>
      <x:c r="AP69" s="13" t="n">
        <x:v>0.2567453847912086</x:v>
      </x:c>
    </x:row>
    <x:row r="70" ht="15" hidden="0" customHeight="1">
      <x:c r="A70" s="2" t="str">
        <x:v>E69</x:v>
      </x:c>
      <x:c r="B70" s="2" t="str">
        <x:v>***电子器材经营部</x:v>
      </x:c>
      <x:c r="C70" s="2" t="str">
        <x:v>有信贷记录</x:v>
      </x:c>
      <x:c r="D70" s="2" t="str">
        <x:v>C</x:v>
      </x:c>
      <x:c r="E70" s="2" t="str">
        <x:v>否</x:v>
      </x:c>
      <x:c r="F70" s="13" t="n">
        <x:v>0</x:v>
      </x:c>
      <x:c r="G70" s="13" t="n">
        <x:v>0</x:v>
      </x:c>
      <x:c r="H70" s="13" t="n">
        <x:v>0</x:v>
      </x:c>
      <x:c r="I70" s="13" t="n">
        <x:v>0</x:v>
      </x:c>
      <x:c r="J70" s="13" t="n">
        <x:v>0.000009205442743710415</x:v>
      </x:c>
      <x:c r="K70" s="13" t="n">
        <x:v>0.000009137499172412243</x:v>
      </x:c>
      <x:c r="L70" s="13" t="n">
        <x:v>0</x:v>
      </x:c>
      <x:c r="M70" s="13" t="n">
        <x:v>0</x:v>
      </x:c>
      <x:c r="N70" s="13" t="n">
        <x:v>0</x:v>
      </x:c>
      <x:c r="O70" s="13" t="n">
        <x:v>1</x:v>
      </x:c>
      <x:c r="P70" s="13" t="n">
        <x:v>1</x:v>
      </x:c>
      <x:c r="Q70" s="13" t="n">
        <x:v>0.00040890167084940167</x:v>
      </x:c>
      <x:c r="R70" s="13" t="n">
        <x:v>0</x:v>
      </x:c>
      <x:c r="S70" s="13" t="n">
        <x:v>0.5561143088127759</x:v>
      </x:c>
      <x:c r="T70" s="13" t="n">
        <x:v>0</x:v>
      </x:c>
      <x:c r="U70" s="13" t="n">
        <x:v>0.05045866750537301</x:v>
      </x:c>
      <x:c r="V70" s="13" t="n">
        <x:v>0.048178244948693785</x:v>
      </x:c>
      <x:c r="W70" s="13" t="n">
        <x:v>0.07903576368306665</x:v>
      </x:c>
      <x:c r="X70" s="13" t="n">
        <x:v>0.11053168574991515</x:v>
      </x:c>
      <x:c r="Y70" s="13" t="n">
        <x:v>0.005507586475120088</x:v>
      </x:c>
      <x:c r="Z70" s="13" t="n">
        <x:v>0.004346159177520262</x:v>
      </x:c>
      <x:c r="AA70" s="13" t="n">
        <x:v>0.007428647837520618</x:v>
      </x:c>
      <x:c r="AB70" s="13" t="n">
        <x:v>0.13400445910918102</x:v>
      </x:c>
      <x:c r="AC70" s="13" t="n">
        <x:v>0.4182707220423493</x:v>
      </x:c>
      <x:c r="AD70" s="13" t="n">
        <x:v>0.7525499653429139</x:v>
      </x:c>
      <x:c r="AE70" s="13" t="n">
        <x:v>0.8607578234159687</x:v>
      </x:c>
      <x:c r="AF70" s="13" t="n">
        <x:v>0.010610503917991083</x:v>
      </x:c>
      <x:c r="AG70" s="13" t="n">
        <x:v>0.1726694876026937</x:v>
      </x:c>
      <x:c r="AH70" s="13" t="n">
        <x:v>0.737798850139549</x:v>
      </x:c>
      <x:c r="AI70" s="13" t="n">
        <x:v>0.4411764705882353</x:v>
      </x:c>
      <x:c r="AJ70" s="13" t="n">
        <x:v>0.15146529973856782</x:v>
      </x:c>
      <x:c r="AK70" s="13" t="n">
        <x:v>0.00001891864524006759</x:v>
      </x:c>
      <x:c r="AL70" s="13" t="n">
        <x:v>0.30380833589814227</x:v>
      </x:c>
      <x:c r="AM70" s="13" t="n">
        <x:v>0.7220576506779087</x:v>
      </x:c>
      <x:c r="AN70" s="13" t="n">
        <x:v>1</x:v>
      </x:c>
      <x:c r="AO70" s="13" t="n">
        <x:v>0.017415364392103616</x:v>
      </x:c>
      <x:c r="AP70" s="13" t="n">
        <x:v>0.6046778742386291</x:v>
      </x:c>
    </x:row>
    <x:row r="71" ht="15" hidden="0" customHeight="1">
      <x:c r="A71" s="2" t="str">
        <x:v>E70</x:v>
      </x:c>
      <x:c r="B71" s="2" t="str">
        <x:v>***科技有限公司</x:v>
      </x:c>
      <x:c r="C71" s="2" t="str">
        <x:v>有信贷记录</x:v>
      </x:c>
      <x:c r="D71" s="2" t="str">
        <x:v>B</x:v>
      </x:c>
      <x:c r="E71" s="2" t="str">
        <x:v>否</x:v>
      </x:c>
      <x:c r="F71" s="13" t="n">
        <x:v>0.13657035728061287</x:v>
      </x:c>
      <x:c r="G71" s="13" t="n">
        <x:v>0.13619591458036404</x:v>
      </x:c>
      <x:c r="H71" s="13" t="n">
        <x:v>0.07636363636363637</x:v>
      </x:c>
      <x:c r="I71" s="13" t="n">
        <x:v>0.04006410256410263</x:v>
      </x:c>
      <x:c r="J71" s="13" t="n">
        <x:v>0.02083640651583941</x:v>
      </x:c>
      <x:c r="K71" s="13" t="n">
        <x:v>0.020815719393055866</x:v>
      </x:c>
      <x:c r="L71" s="13" t="n">
        <x:v>0.11632536266142478</x:v>
      </x:c>
      <x:c r="M71" s="13" t="n">
        <x:v>0.18019544274944369</x:v>
      </x:c>
      <x:c r="N71" s="13" t="n">
        <x:v>0.06917438391242647</x:v>
      </x:c>
      <x:c r="O71" s="13" t="n">
        <x:v>0.06287082272547581</x:v>
      </x:c>
      <x:c r="P71" s="13" t="n">
        <x:v>0.1854936184228941</x:v>
      </x:c>
      <x:c r="Q71" s="13" t="n">
        <x:v>0.02039738363177845</x:v>
      </x:c>
      <x:c r="R71" s="13" t="n">
        <x:v>0.15621594112060463</x:v>
      </x:c>
      <x:c r="S71" s="13" t="n">
        <x:v>0.630161952820765</x:v>
      </x:c>
      <x:c r="T71" s="13" t="n">
        <x:v>1</x:v>
      </x:c>
      <x:c r="U71" s="13" t="n">
        <x:v>0.049672380353305075</x:v>
      </x:c>
      <x:c r="V71" s="13" t="n">
        <x:v>0.04313907002960053</x:v>
      </x:c>
      <x:c r="W71" s="13" t="n">
        <x:v>0.1346077850227229</x:v>
      </x:c>
      <x:c r="X71" s="13" t="n">
        <x:v>0.039678041038431075</x:v>
      </x:c>
      <x:c r="Y71" s="13" t="n">
        <x:v>0.01587272385112994</x:v>
      </x:c>
      <x:c r="Z71" s="13" t="n">
        <x:v>0.01092489799002831</x:v>
      </x:c>
      <x:c r="AA71" s="13" t="n">
        <x:v>0.02117164633693376</x:v>
      </x:c>
      <x:c r="AB71" s="13" t="n">
        <x:v>0.23178004182479264</x:v>
      </x:c>
      <x:c r="AC71" s="13" t="n">
        <x:v>0.1674363472086863</x:v>
      </x:c>
      <x:c r="AD71" s="13" t="n">
        <x:v>0.13754314739781873</x:v>
      </x:c>
      <x:c r="AE71" s="13" t="n">
        <x:v>0.3065750789293129</x:v>
      </x:c>
      <x:c r="AF71" s="13" t="n">
        <x:v>0.015178760282471858</x:v>
      </x:c>
      <x:c r="AG71" s="13" t="n">
        <x:v>0.28226396279791993</x:v>
      </x:c>
      <x:c r="AH71" s="13" t="n">
        <x:v>0.5214992798406912</x:v>
      </x:c>
      <x:c r="AI71" s="13" t="n">
        <x:v>0.9117647058823529</x:v>
      </x:c>
      <x:c r="AJ71" s="13" t="n">
        <x:v>0.15328611768307085</x:v>
      </x:c>
      <x:c r="AK71" s="13" t="n">
        <x:v>0.025846618107937643</x:v>
      </x:c>
      <x:c r="AL71" s="13" t="n">
        <x:v>0.17342345833082295</x:v>
      </x:c>
      <x:c r="AM71" s="13" t="n">
        <x:v>0.08600613951519008</x:v>
      </x:c>
      <x:c r="AN71" s="13" t="n">
        <x:v>0.09611169062451035</x:v>
      </x:c>
      <x:c r="AO71" s="13" t="n">
        <x:v>0.2392615740130482</x:v>
      </x:c>
      <x:c r="AP71" s="13" t="n">
        <x:v>0.5492617144264986</x:v>
      </x:c>
    </x:row>
    <x:row r="72" ht="15" hidden="0" customHeight="1">
      <x:c r="A72" s="2" t="str">
        <x:v>E71</x:v>
      </x:c>
      <x:c r="B72" s="2" t="str">
        <x:v>***农业科技有限公司</x:v>
      </x:c>
      <x:c r="C72" s="2" t="str">
        <x:v>有信贷记录</x:v>
      </x:c>
      <x:c r="D72" s="2" t="str">
        <x:v>B</x:v>
      </x:c>
      <x:c r="E72" s="2" t="str">
        <x:v>否</x:v>
      </x:c>
      <x:c r="F72" s="13" t="n">
        <x:v>0.0939621998367435</x:v>
      </x:c>
      <x:c r="G72" s="13" t="n">
        <x:v>0.09178917940626215</x:v>
      </x:c>
      <x:c r="H72" s="13" t="n">
        <x:v>0.09818181818181818</x:v>
      </x:c>
      <x:c r="I72" s="13" t="n">
        <x:v>0.09348290598290614</x:v>
      </x:c>
      <x:c r="J72" s="13" t="n">
        <x:v>0.03423575982793988</x:v>
      </x:c>
      <x:c r="K72" s="13" t="n">
        <x:v>0.04117943180469892</x:v>
      </x:c>
      <x:c r="L72" s="13" t="n">
        <x:v>0.17542113513648014</x:v>
      </x:c>
      <x:c r="M72" s="13" t="n">
        <x:v>0.3365706550662195</x:v>
      </x:c>
      <x:c r="N72" s="13" t="n">
        <x:v>0.23936441725049595</x:v>
      </x:c>
      <x:c r="O72" s="13" t="n">
        <x:v>0.39205446230928437</x:v>
      </x:c>
      <x:c r="P72" s="13" t="n">
        <x:v>0.5597724832803815</x:v>
      </x:c>
      <x:c r="Q72" s="13" t="n">
        <x:v>0.036389594938476086</x:v>
      </x:c>
      <x:c r="R72" s="13" t="n">
        <x:v>0.5909939444148983</x:v>
      </x:c>
      <x:c r="S72" s="13" t="n">
        <x:v>0.38534858440364816</x:v>
      </x:c>
      <x:c r="T72" s="13" t="n">
        <x:v>0.9166666666666666</x:v>
      </x:c>
      <x:c r="U72" s="13" t="n">
        <x:v>0.03193723681221719</x:v>
      </x:c>
      <x:c r="V72" s="13" t="n">
        <x:v>0.03287408408329946</x:v>
      </x:c>
      <x:c r="W72" s="13" t="n">
        <x:v>0.019758940920766663</x:v>
      </x:c>
      <x:c r="X72" s="13" t="n">
        <x:v>0.0028341457884593626</x:v>
      </x:c>
      <x:c r="Y72" s="13" t="n">
        <x:v>0.018182757074033846</x:v>
      </x:c>
      <x:c r="Z72" s="13" t="n">
        <x:v>0.012082394257238083</x:v>
      </x:c>
      <x:c r="AA72" s="13" t="n">
        <x:v>0.10660109646842086</x:v>
      </x:c>
      <x:c r="AB72" s="13" t="n">
        <x:v>0.052440411664726176</x:v>
      </x:c>
      <x:c r="AC72" s="13" t="n">
        <x:v>0.015624283096075183</x:v>
      </x:c>
      <x:c r="AD72" s="13" t="n">
        <x:v>0.09838095003189284</x:v>
      </x:c>
      <x:c r="AE72" s="13" t="n">
        <x:v>0.28987765628836776</x:v>
      </x:c>
      <x:c r="AF72" s="13" t="n">
        <x:v>0.020051989643776913</x:v>
      </x:c>
      <x:c r="AG72" s="13" t="n">
        <x:v>0.5905178985017562</x:v>
      </x:c>
      <x:c r="AH72" s="13" t="n">
        <x:v>0.47415483046078755</x:v>
      </x:c>
      <x:c r="AI72" s="13" t="n">
        <x:v>0.38235294117647056</x:v>
      </x:c>
      <x:c r="AJ72" s="13" t="n">
        <x:v>0.14819401147696484</x:v>
      </x:c>
      <x:c r="AK72" s="13" t="n">
        <x:v>0.04627026225263553</x:v>
      </x:c>
      <x:c r="AL72" s="13" t="n">
        <x:v>0.11716906151359258</x:v>
      </x:c>
      <x:c r="AM72" s="13" t="n">
        <x:v>0.0930450051532619</x:v>
      </x:c>
      <x:c r="AN72" s="13" t="n">
        <x:v>0.270186178822872</x:v>
      </x:c>
      <x:c r="AO72" s="13" t="n">
        <x:v>0.7126048636534328</x:v>
      </x:c>
      <x:c r="AP72" s="13" t="n">
        <x:v>0.36397217295575846</x:v>
      </x:c>
    </x:row>
    <x:row r="73" ht="15" hidden="0" customHeight="1">
      <x:c r="A73" s="2" t="str">
        <x:v>E72</x:v>
      </x:c>
      <x:c r="B73" s="2" t="str">
        <x:v>***图书有限公司</x:v>
      </x:c>
      <x:c r="C73" s="2" t="str">
        <x:v>有信贷记录</x:v>
      </x:c>
      <x:c r="D73" s="2" t="str">
        <x:v>C</x:v>
      </x:c>
      <x:c r="E73" s="2" t="str">
        <x:v>否</x:v>
      </x:c>
      <x:c r="F73" s="13" t="n">
        <x:v>0.00859638264218417</x:v>
      </x:c>
      <x:c r="G73" s="13" t="n">
        <x:v>0.008545626012885586</x:v>
      </x:c>
      <x:c r="H73" s="13" t="n">
        <x:v>0.005454545454545455</x:v>
      </x:c>
      <x:c r="I73" s="13" t="n">
        <x:v>0.013354700854700877</x:v>
      </x:c>
      <x:c r="J73" s="13" t="n">
        <x:v>0.005292119271737122</x:v>
      </x:c>
      <x:c r="K73" s="13" t="n">
        <x:v>0.008421305282213217</x:v>
      </x:c>
      <x:c r="L73" s="13" t="n">
        <x:v>0.03296922043345194</x:v>
      </x:c>
      <x:c r="M73" s="13" t="n">
        <x:v>0.20120724346076466</x:v>
      </x:c>
      <x:c r="N73" s="13" t="n">
        <x:v>0.3614462691564506</x:v>
      </x:c>
      <x:c r="O73" s="13" t="n">
        <x:v>0.720185930263978</x:v>
      </x:c>
      <x:c r="P73" s="13" t="n">
        <x:v>0.833594034082863</x:v>
      </x:c>
      <x:c r="Q73" s="13" t="n">
        <x:v>0.005788165498794035</x:v>
      </x:c>
      <x:c r="R73" s="13" t="n">
        <x:v>0.4112376687788837</x:v>
      </x:c>
      <x:c r="S73" s="13" t="n">
        <x:v>0.6920988254157399</x:v>
      </x:c>
      <x:c r="T73" s="13" t="n">
        <x:v>0.8055555555555556</x:v>
      </x:c>
      <x:c r="U73" s="13" t="n">
        <x:v>0.020841851444147425</x:v>
      </x:c>
      <x:c r="V73" s="13" t="n">
        <x:v>0.015796880190816775</x:v>
      </x:c>
      <x:c r="W73" s="13" t="n">
        <x:v>0.08891523414344998</x:v>
      </x:c>
      <x:c r="X73" s="13" t="n">
        <x:v>0</x:v>
      </x:c>
      <x:c r="Y73" s="13" t="n">
        <x:v>0.006542986112505711</x:v>
      </x:c>
      <x:c r="Z73" s="13" t="n">
        <x:v>0.004319236796337407</x:v>
      </x:c>
      <x:c r="AA73" s="13" t="n">
        <x:v>0.010028674580652834</x:v>
      </x:c>
      <x:c r="AB73" s="13" t="n">
        <x:v>0.3568273979202638</x:v>
      </x:c>
      <x:c r="AC73" s="13" t="n">
        <x:v>0</x:v>
      </x:c>
      <x:c r="AD73" s="13" t="n">
        <x:v>0.12218302009879414</x:v>
      </x:c>
      <x:c r="AE73" s="13" t="n">
        <x:v>0.2553578134407761</x:v>
      </x:c>
      <x:c r="AF73" s="13" t="n">
        <x:v>0.006977262641443305</x:v>
      </x:c>
      <x:c r="AG73" s="13" t="n">
        <x:v>0.4291866461675015</x:v>
      </x:c>
      <x:c r="AH73" s="13" t="n">
        <x:v>0.7330769715374944</x:v>
      </x:c>
      <x:c r="AI73" s="13" t="n">
        <x:v>0.4117647058823529</x:v>
      </x:c>
      <x:c r="AJ73" s="13" t="n">
        <x:v>0.14963676126839232</x:v>
      </x:c>
      <x:c r="AK73" s="13" t="n">
        <x:v>0.026210059224405363</x:v>
      </x:c>
      <x:c r="AL73" s="13" t="n">
        <x:v>0.5770658618456109</x:v>
      </x:c>
      <x:c r="AM73" s="13" t="n">
        <x:v>0.06690684508492027</x:v>
      </x:c>
      <x:c r="AN73" s="13" t="n">
        <x:v>0.4809011792914125</x:v>
      </x:c>
      <x:c r="AO73" s="13" t="n">
        <x:v>0.49973581236281905</x:v>
      </x:c>
      <x:c r="AP73" s="13" t="n">
        <x:v>0.6926070508106258</x:v>
      </x:c>
    </x:row>
    <x:row r="74" ht="15" hidden="0" customHeight="1">
      <x:c r="A74" s="2" t="str">
        <x:v>E73</x:v>
      </x:c>
      <x:c r="B74" s="2" t="str">
        <x:v>***商贸有限责任公司</x:v>
      </x:c>
      <x:c r="C74" s="2" t="str">
        <x:v>有信贷记录</x:v>
      </x:c>
      <x:c r="D74" s="2" t="str">
        <x:v>C</x:v>
      </x:c>
      <x:c r="E74" s="2" t="str">
        <x:v>否</x:v>
      </x:c>
      <x:c r="F74" s="13" t="n">
        <x:v>0.045149696659819466</x:v>
      </x:c>
      <x:c r="G74" s="13" t="n">
        <x:v>0.0456275388902284</x:v>
      </x:c>
      <x:c r="H74" s="13" t="n">
        <x:v>0.01090909090909091</x:v>
      </x:c>
      <x:c r="I74" s="13" t="n">
        <x:v>0.013354700854700877</x:v>
      </x:c>
      <x:c r="J74" s="13" t="n">
        <x:v>0.0029272470879908</x:v>
      </x:c>
      <x:c r="K74" s="13" t="n">
        <x:v>0.0030026418086254746</x:v>
      </x:c>
      <x:c r="L74" s="13" t="n">
        <x:v>0.07278110925875239</x:v>
      </x:c>
      <x:c r="M74" s="13" t="n">
        <x:v>0.07769388608881012</x:v>
      </x:c>
      <x:c r="N74" s="13" t="n">
        <x:v>0.06867479113972562</x:v>
      </x:c>
      <x:c r="O74" s="13" t="n">
        <x:v>0.06896517631244829</x:v>
      </x:c>
      <x:c r="P74" s="13" t="n">
        <x:v>0.12450037932564095</x:v>
      </x:c>
      <x:c r="Q74" s="13" t="n">
        <x:v>0.0028629851842440846</x:v>
      </x:c>
      <x:c r="R74" s="13" t="n">
        <x:v>0.08420200346863829</x:v>
      </x:c>
      <x:c r="S74" s="13" t="n">
        <x:v>0.5436171901612324</x:v>
      </x:c>
      <x:c r="T74" s="13" t="n">
        <x:v>1</x:v>
      </x:c>
      <x:c r="U74" s="13" t="n">
        <x:v>0.01979346857472351</x:v>
      </x:c>
      <x:c r="V74" s="13" t="n">
        <x:v>0.02018282873150905</x:v>
      </x:c>
      <x:c r="W74" s="13" t="n">
        <x:v>0.016054139498122913</x:v>
      </x:c>
      <x:c r="X74" s="13" t="n">
        <x:v>0.017004874730756177</x:v>
      </x:c>
      <x:c r="Y74" s="13" t="n">
        <x:v>0.010562787219860962</x:v>
      </x:c>
      <x:c r="Z74" s="13" t="n">
        <x:v>0.007639558435286376</x:v>
      </x:c>
      <x:c r="AA74" s="13" t="n">
        <x:v>0.021914511120685824</x:v>
      </x:c>
      <x:c r="AB74" s="13" t="n">
        <x:v>0.06770312681820448</x:v>
      </x:c>
      <x:c r="AC74" s="13" t="n">
        <x:v>0.1509179631791298</x:v>
      </x:c>
      <x:c r="AD74" s="13" t="n">
        <x:v>0.4435654102658827</x:v>
      </x:c>
      <x:c r="AE74" s="13" t="n">
        <x:v>0.6496373488542582</x:v>
      </x:c>
      <x:c r="AF74" s="13" t="n">
        <x:v>0.010360852870908325</x:v>
      </x:c>
      <x:c r="AG74" s="13" t="n">
        <x:v>0.08653766027646467</x:v>
      </x:c>
      <x:c r="AH74" s="13" t="n">
        <x:v>0.4123850670905705</x:v>
      </x:c>
      <x:c r="AI74" s="13" t="n">
        <x:v>0.9705882352941176</x:v>
      </x:c>
      <x:c r="AJ74" s="13" t="n">
        <x:v>0.15689823402377412</x:v>
      </x:c>
      <x:c r="AK74" s="13" t="n">
        <x:v>0.005308645763754006</x:v>
      </x:c>
      <x:c r="AL74" s="13" t="n">
        <x:v>0.05983928836438497</x:v>
      </x:c>
      <x:c r="AM74" s="13" t="n">
        <x:v>0.09430369416586576</x:v>
      </x:c>
      <x:c r="AN74" s="13" t="n">
        <x:v>0.2809101001087412</x:v>
      </x:c>
      <x:c r="AO74" s="13" t="n">
        <x:v>0.08756304728931316</x:v>
      </x:c>
      <x:c r="AP74" s="13" t="n">
        <x:v>0.43911288391546544</x:v>
      </x:c>
    </x:row>
    <x:row r="75" ht="15" hidden="0" customHeight="1">
      <x:c r="A75" s="2" t="str">
        <x:v>E74</x:v>
      </x:c>
      <x:c r="B75" s="2" t="str">
        <x:v>***蔬菜专业合作社</x:v>
      </x:c>
      <x:c r="C75" s="2" t="str">
        <x:v>有信贷记录</x:v>
      </x:c>
      <x:c r="D75" s="2" t="str">
        <x:v>B</x:v>
      </x:c>
      <x:c r="E75" s="2" t="str">
        <x:v>否</x:v>
      </x:c>
      <x:c r="F75" s="13" t="n">
        <x:v>0.0012707696079750513</x:v>
      </x:c>
      <x:c r="G75" s="13" t="n">
        <x:v>0.0012971039483844194</x:v>
      </x:c>
      <x:c r="H75" s="13" t="n">
        <x:v>0</x:v>
      </x:c>
      <x:c r="I75" s="13" t="n">
        <x:v>0</x:v>
      </x:c>
      <x:c r="J75" s="13" t="n">
        <x:v>0.0011524085022892939</x:v>
      </x:c>
      <x:c r="K75" s="13" t="n">
        <x:v>0.0011439028006712583</x:v>
      </x:c>
      <x:c r="L75" s="13" t="n">
        <x:v>0.0043544253402672374</x:v>
      </x:c>
      <x:c r="M75" s="13" t="n">
        <x:v>0</x:v>
      </x:c>
      <x:c r="N75" s="13" t="n">
        <x:v>0</x:v>
      </x:c>
      <x:c r="O75" s="13" t="n">
        <x:v>0.38630000524281843</x:v>
      </x:c>
      <x:c r="P75" s="13" t="n">
        <x:v>0.5271054741320657</x:v>
      </x:c>
      <x:c r="Q75" s="13" t="n">
        <x:v>0.00158572584276423</x:v>
      </x:c>
      <x:c r="R75" s="13" t="n">
        <x:v>0.6143425570510598</x:v>
      </x:c>
      <x:c r="S75" s="13" t="n">
        <x:v>0.9980735200881643</x:v>
      </x:c>
      <x:c r="T75" s="13" t="n">
        <x:v>0.16666666666666666</x:v>
      </x:c>
      <x:c r="U75" s="13" t="n">
        <x:v>0.047662979853575906</x:v>
      </x:c>
      <x:c r="V75" s="13" t="n">
        <x:v>0.047151746354063676</x:v>
      </x:c>
      <x:c r="W75" s="13" t="n">
        <x:v>0.05310215372456041</x:v>
      </x:c>
      <x:c r="X75" s="13" t="n">
        <x:v>0.039678041038431075</x:v>
      </x:c>
      <x:c r="Y75" s="13" t="n">
        <x:v>0.005864039226214184</x:v>
      </x:c>
      <x:c r="Z75" s="13" t="n">
        <x:v>0.004030146681291959</x:v>
      </x:c>
      <x:c r="AA75" s="13" t="n">
        <x:v>0.007428647837520618</x:v>
      </x:c>
      <x:c r="AB75" s="13" t="n">
        <x:v>0.09522540969523756</x:v>
      </x:c>
      <x:c r="AC75" s="13" t="n">
        <x:v>0.15337431023608178</x:v>
      </x:c>
      <x:c r="AD75" s="13" t="n">
        <x:v>0.1421999065473154</x:v>
      </x:c>
      <x:c r="AE75" s="13" t="n">
        <x:v>0.25436681375758385</x:v>
      </x:c>
      <x:c r="AF75" s="13" t="n">
        <x:v>0.007618668987043373</x:v>
      </x:c>
      <x:c r="AG75" s="13" t="n">
        <x:v>0.057691444572891305</x:v>
      </x:c>
      <x:c r="AH75" s="13" t="n">
        <x:v>0.6310614085729104</x:v>
      </x:c>
      <x:c r="AI75" s="13" t="n">
        <x:v>0.7058823529411765</x:v>
      </x:c>
      <x:c r="AJ75" s="13" t="n">
        <x:v>0.1512598770484635</x:v>
      </x:c>
      <x:c r="AK75" s="13" t="n">
        <x:v>0.0038039201466326406</x:v>
      </x:c>
      <x:c r="AL75" s="13" t="n">
        <x:v>0.20786259710879243</x:v>
      </x:c>
      <x:c r="AM75" s="13" t="n">
        <x:v>0.25578323073896075</x:v>
      </x:c>
      <x:c r="AN75" s="13" t="n">
        <x:v>0.2926760935773644</x:v>
      </x:c>
      <x:c r="AO75" s="13" t="n">
        <x:v>0.45967975332254607</x:v>
      </x:c>
      <x:c r="AP75" s="13" t="n">
        <x:v>0.8462840280297407</x:v>
      </x:c>
    </x:row>
    <x:row r="76" ht="15" hidden="0" customHeight="1">
      <x:c r="A76" s="2" t="str">
        <x:v>E75</x:v>
      </x:c>
      <x:c r="B76" s="2" t="str">
        <x:v>***酒店管理有限公司</x:v>
      </x:c>
      <x:c r="C76" s="2" t="str">
        <x:v>有信贷记录</x:v>
      </x:c>
      <x:c r="D76" s="2" t="str">
        <x:v>C</x:v>
      </x:c>
      <x:c r="E76" s="2" t="str">
        <x:v>否</x:v>
      </x:c>
      <x:c r="F76" s="13" t="n">
        <x:v>0.04111313437566343</x:v>
      </x:c>
      <x:c r="G76" s="13" t="n">
        <x:v>0.040896924490238164</x:v>
      </x:c>
      <x:c r="H76" s="13" t="n">
        <x:v>0.025454545454545455</x:v>
      </x:c>
      <x:c r="I76" s="13" t="n">
        <x:v>0.013354700854700877</x:v>
      </x:c>
      <x:c r="J76" s="13" t="n">
        <x:v>0.009311063221852631</x:v>
      </x:c>
      <x:c r="K76" s="13" t="n">
        <x:v>0.009283781532536985</x:v>
      </x:c>
      <x:c r="L76" s="13" t="n">
        <x:v>0.03421334195924258</x:v>
      </x:c>
      <x:c r="M76" s="13" t="n">
        <x:v>0.19902020820575636</x:v>
      </x:c>
      <x:c r="N76" s="13" t="n">
        <x:v>0.07658898640118099</x:v>
      </x:c>
      <x:c r="O76" s="13" t="n">
        <x:v>0.1701401096512398</x:v>
      </x:c>
      <x:c r="P76" s="13" t="n">
        <x:v>0.26462378170578144</x:v>
      </x:c>
      <x:c r="Q76" s="13" t="n">
        <x:v>0.010185933323317877</x:v>
      </x:c>
      <x:c r="R76" s="13" t="n">
        <x:v>0.15710607618747735</x:v>
      </x:c>
      <x:c r="S76" s="13" t="n">
        <x:v>0.5739842073546141</x:v>
      </x:c>
      <x:c r="T76" s="13" t="n">
        <x:v>0.8611111111111112</x:v>
      </x:c>
      <x:c r="U76" s="13" t="n">
        <x:v>0.7257919658926114</x:v>
      </x:c>
      <x:c r="V76" s="13" t="n">
        <x:v>0.7240809104855906</x:v>
      </x:c>
      <x:c r="W76" s="13" t="n">
        <x:v>0.680448527958902</x:v>
      </x:c>
      <x:c r="X76" s="13" t="n">
        <x:v>0.028341457884593628</x:v>
      </x:c>
      <x:c r="Y76" s="13" t="n">
        <x:v>0.00872828285061685</x:v>
      </x:c>
      <x:c r="Z76" s="13" t="n">
        <x:v>0.005773477497241875</x:v>
      </x:c>
      <x:c r="AA76" s="13" t="n">
        <x:v>1</x:v>
      </x:c>
      <x:c r="AB76" s="13" t="n">
        <x:v>0.0814258451080922</x:v>
      </x:c>
      <x:c r="AC76" s="13" t="n">
        <x:v>0.00722265983967421</x:v>
      </x:c>
      <x:c r="AD76" s="13" t="n">
        <x:v>0</x:v>
      </x:c>
      <x:c r="AE76" s="13" t="n">
        <x:v>0.0046106570076824786</x:v>
      </x:c>
      <x:c r="AF76" s="13" t="n">
        <x:v>0.008553286967157625</x:v>
      </x:c>
      <x:c r="AG76" s="13" t="n">
        <x:v>0.04368698741488911</x:v>
      </x:c>
      <x:c r="AH76" s="13" t="n">
        <x:v>0.4387288792775616</x:v>
      </x:c>
      <x:c r="AI76" s="13" t="n">
        <x:v>0.9705882352941176</x:v>
      </x:c>
      <x:c r="AJ76" s="13" t="n">
        <x:v>0.15025423439930097</x:v>
      </x:c>
      <x:c r="AK76" s="13" t="n">
        <x:v>0.02169609738573987</x:v>
      </x:c>
      <x:c r="AL76" s="13" t="n">
        <x:v>0.1761701367133262</x:v>
      </x:c>
      <x:c r="AM76" s="13" t="n">
        <x:v>0.014019497886291098</x:v>
      </x:c>
      <x:c r="AN76" s="13" t="n">
        <x:v>0.07768089140059146</x:v>
      </x:c>
      <x:c r="AO76" s="13" t="n">
        <x:v>0.11903538113540288</x:v>
      </x:c>
      <x:c r="AP76" s="13" t="n">
        <x:v>0.4719903019421277</x:v>
      </x:c>
    </x:row>
    <x:row r="77" ht="15" hidden="0" customHeight="1">
      <x:c r="A77" s="2" t="str">
        <x:v>E76</x:v>
      </x:c>
      <x:c r="B77" s="2" t="str">
        <x:v>***信息科技有限公司</x:v>
      </x:c>
      <x:c r="C77" s="2" t="str">
        <x:v>有信贷记录</x:v>
      </x:c>
      <x:c r="D77" s="2" t="str">
        <x:v>B</x:v>
      </x:c>
      <x:c r="E77" s="2" t="str">
        <x:v>否</x:v>
      </x:c>
      <x:c r="F77" s="13" t="n">
        <x:v>0.026013401386783402</x:v>
      </x:c>
      <x:c r="G77" s="13" t="n">
        <x:v>0.026247279896720016</x:v>
      </x:c>
      <x:c r="H77" s="13" t="n">
        <x:v>0.007272727272727273</x:v>
      </x:c>
      <x:c r="I77" s="13" t="n">
        <x:v>0.013354700854700877</x:v>
      </x:c>
      <x:c r="J77" s="13" t="n">
        <x:v>0.0031782958350176894</x:v>
      </x:c>
      <x:c r="K77" s="13" t="n">
        <x:v>0.00322259761663148</x:v>
      </x:c>
      <x:c r="L77" s="13" t="n">
        <x:v>0.06282813705242728</x:v>
      </x:c>
      <x:c r="M77" s="13" t="n">
        <x:v>0.0896809427996551</x:v>
      </x:c>
      <x:c r="N77" s="13" t="n">
        <x:v>0.11908923319027563</x:v>
      </x:c>
      <x:c r="O77" s="13" t="n">
        <x:v>0.12605260822223066</x:v>
      </x:c>
      <x:c r="P77" s="13" t="n">
        <x:v>0.2192625509363155</x:v>
      </x:c>
      <x:c r="Q77" s="13" t="n">
        <x:v>0.003192933656244969</x:v>
      </x:c>
      <x:c r="R77" s="13" t="n">
        <x:v>0.3914664387758829</x:v>
      </x:c>
      <x:c r="S77" s="13" t="n">
        <x:v>0.457756263016409</x:v>
      </x:c>
      <x:c r="T77" s="13" t="n">
        <x:v>0.8888888888888888</x:v>
      </x:c>
      <x:c r="U77" s="13" t="n">
        <x:v>0.020579755726791445</x:v>
      </x:c>
      <x:c r="V77" s="13" t="n">
        <x:v>0.02018282873150905</x:v>
      </x:c>
      <x:c r="W77" s="13" t="n">
        <x:v>0.027168543766054164</x:v>
      </x:c>
      <x:c r="X77" s="13" t="n">
        <x:v>0.0028341457884593626</x:v>
      </x:c>
      <x:c r="Y77" s="13" t="n">
        <x:v>0.0063276959795856924</x:v>
      </x:c>
      <x:c r="Z77" s="13" t="n">
        <x:v>0.004192421157793579</x:v>
      </x:c>
      <x:c r="AA77" s="13" t="n">
        <x:v>0.026371699823198192</x:v>
      </x:c>
      <x:c r="AB77" s="13" t="n">
        <x:v>0.11036566230458952</x:v>
      </x:c>
      <x:c r="AC77" s="13" t="n">
        <x:v>0.0251529938631883</x:v>
      </x:c>
      <x:c r="AD77" s="13" t="n">
        <x:v>0.09609965436280472</x:v>
      </x:c>
      <x:c r="AE77" s="13" t="n">
        <x:v>0.14785279419598293</x:v>
      </x:c>
      <x:c r="AF77" s="13" t="n">
        <x:v>0.00618795110325046</x:v>
      </x:c>
      <x:c r="AG77" s="13" t="n">
        <x:v>0.2796942958661265</x:v>
      </x:c>
      <x:c r="AH77" s="13" t="n">
        <x:v>0.5733701308933582</x:v>
      </x:c>
      <x:c r="AI77" s="13" t="n">
        <x:v>0.9411764705882353</x:v>
      </x:c>
      <x:c r="AJ77" s="13" t="n">
        <x:v>0.1506543851540607</x:v>
      </x:c>
      <x:c r="AK77" s="13" t="n">
        <x:v>0.01032304231465582</x:v>
      </x:c>
      <x:c r="AL77" s="13" t="n">
        <x:v>0.11959472529231682</x:v>
      </x:c>
      <x:c r="AM77" s="13" t="n">
        <x:v>0.05115022427406032</x:v>
      </x:c>
      <x:c r="AN77" s="13" t="n">
        <x:v>0.109439979710867</x:v>
      </x:c>
      <x:c r="AO77" s="13" t="n">
        <x:v>0.4095722974027726</x:v>
      </x:c>
      <x:c r="AP77" s="13" t="n">
        <x:v>0.45995834402811864</x:v>
      </x:c>
    </x:row>
    <x:row r="78" ht="15" hidden="0" customHeight="1">
      <x:c r="A78" s="2" t="str">
        <x:v>E77</x:v>
      </x:c>
      <x:c r="B78" s="2" t="str">
        <x:v>***机电设备有限公司</x:v>
      </x:c>
      <x:c r="C78" s="2" t="str">
        <x:v>有信贷记录</x:v>
      </x:c>
      <x:c r="D78" s="2" t="str">
        <x:v>C</x:v>
      </x:c>
      <x:c r="E78" s="2" t="str">
        <x:v>否</x:v>
      </x:c>
      <x:c r="F78" s="13" t="n">
        <x:v>0.003887059977335451</x:v>
      </x:c>
      <x:c r="G78" s="13" t="n">
        <x:v>0.003891311845153258</x:v>
      </x:c>
      <x:c r="H78" s="13" t="n">
        <x:v>0.0018181818181818182</x:v>
      </x:c>
      <x:c r="I78" s="13" t="n">
        <x:v>0</x:v>
      </x:c>
      <x:c r="J78" s="13" t="n">
        <x:v>0.002762731316466556</x:v>
      </x:c>
      <x:c r="K78" s="13" t="n">
        <x:v>0.0027423401373126485</x:v>
      </x:c>
      <x:c r="L78" s="13" t="n">
        <x:v>0.009330911443429795</x:v>
      </x:c>
      <x:c r="M78" s="13" t="n">
        <x:v>0.14531634249944114</x:v>
      </x:c>
      <x:c r="N78" s="13" t="n">
        <x:v>0</x:v>
      </x:c>
      <x:c r="O78" s="13" t="n">
        <x:v>0.9220986293206922</x:v>
      </x:c>
      <x:c r="P78" s="13" t="n">
        <x:v>0.9588344054003562</x:v>
      </x:c>
      <x:c r="Q78" s="13" t="n">
        <x:v>0.002852289547905545</x:v>
      </x:c>
      <x:c r="R78" s="13" t="n">
        <x:v>0.38404029365098</x:v>
      </x:c>
      <x:c r="S78" s="13" t="n">
        <x:v>0.5257898962431061</x:v>
      </x:c>
      <x:c r="T78" s="13" t="n">
        <x:v>0.4166666666666667</x:v>
      </x:c>
      <x:c r="U78" s="13" t="n">
        <x:v>0.02171550383533402</x:v>
      </x:c>
      <x:c r="V78" s="13" t="n">
        <x:v>0.02288905229917024</x:v>
      </x:c>
      <x:c r="W78" s="13" t="n">
        <x:v>0.007409602845287499</x:v>
      </x:c>
      <x:c r="X78" s="13" t="n">
        <x:v>0.017004874730756177</x:v>
      </x:c>
      <x:c r="Y78" s="13" t="n">
        <x:v>0.006746007995369148</x:v>
      </x:c>
      <x:c r="Z78" s="13" t="n">
        <x:v>0.0045649005570790775</x:v>
      </x:c>
      <x:c r="AA78" s="13" t="n">
        <x:v>0</x:v>
      </x:c>
      <x:c r="AB78" s="13" t="n">
        <x:v>0.028583073218419065</x:v>
      </x:c>
      <x:c r="AC78" s="13" t="n">
        <x:v>0.13355041979740453</x:v>
      </x:c>
      <x:c r="AD78" s="13" t="n">
        <x:v>1</x:v>
      </x:c>
      <x:c r="AE78" s="13" t="n">
        <x:v>1</x:v>
      </x:c>
      <x:c r="AF78" s="13" t="n">
        <x:v>0.008173124477138988</x:v>
      </x:c>
      <x:c r="AG78" s="13" t="n">
        <x:v>0.4698530915532537</x:v>
      </x:c>
      <x:c r="AH78" s="13" t="n">
        <x:v>0.542339053748177</x:v>
      </x:c>
      <x:c r="AI78" s="13" t="n">
        <x:v>0.3235294117647059</x:v>
      </x:c>
      <x:c r="AJ78" s="13" t="n">
        <x:v>0.15151642422971526</x:v>
      </x:c>
      <x:c r="AK78" s="13" t="n">
        <x:v>0.008075628868789778</x:v>
      </x:c>
      <x:c r="AL78" s="13" t="n">
        <x:v>0.059473318098162226</x:v>
      </x:c>
      <x:c r="AM78" s="13" t="n">
        <x:v>0.19084903352092017</x:v>
      </x:c>
      <x:c r="AN78" s="13" t="n">
        <x:v>1</x:v>
      </x:c>
      <x:c r="AO78" s="13" t="n">
        <x:v>0.5004993681693927</x:v>
      </x:c>
      <x:c r="AP78" s="13" t="n">
        <x:v>0.490093926572658</x:v>
      </x:c>
    </x:row>
    <x:row r="79" ht="15" hidden="0" customHeight="1">
      <x:c r="A79" s="2" t="str">
        <x:v>E78</x:v>
      </x:c>
      <x:c r="B79" s="2" t="str">
        <x:v>个体经营E78</x:v>
      </x:c>
      <x:c r="C79" s="2" t="str">
        <x:v>有信贷记录</x:v>
      </x:c>
      <x:c r="D79" s="2" t="str">
        <x:v>C</x:v>
      </x:c>
      <x:c r="E79" s="2" t="str">
        <x:v>否</x:v>
      </x:c>
      <x:c r="F79" s="13" t="n">
        <x:v>0.0037375576705148566</x:v>
      </x:c>
      <x:c r="G79" s="13" t="n">
        <x:v>0.003815011612895351</x:v>
      </x:c>
      <x:c r="H79" s="13" t="n">
        <x:v>0</x:v>
      </x:c>
      <x:c r="I79" s="13" t="n">
        <x:v>0</x:v>
      </x:c>
      <x:c r="J79" s="13" t="n">
        <x:v>0.012827420420609878</x:v>
      </x:c>
      <x:c r="K79" s="13" t="n">
        <x:v>0.012732743740934171</x:v>
      </x:c>
      <x:c r="L79" s="13" t="n">
        <x:v>0.009330911443429795</x:v>
      </x:c>
      <x:c r="M79" s="13" t="n">
        <x:v>0</x:v>
      </x:c>
      <x:c r="N79" s="13" t="n">
        <x:v>0</x:v>
      </x:c>
      <x:c r="O79" s="13" t="n">
        <x:v>0.3906098801653889</x:v>
      </x:c>
      <x:c r="P79" s="13" t="n">
        <x:v>0.5863741945216175</x:v>
      </x:c>
      <x:c r="Q79" s="13" t="n">
        <x:v>0.01590555737779562</x:v>
      </x:c>
      <x:c r="R79" s="13" t="n">
        <x:v>0.14169432917925348</x:v>
      </x:c>
      <x:c r="S79" s="13" t="n">
        <x:v>0.4144507075713007</x:v>
      </x:c>
      <x:c r="T79" s="13" t="n">
        <x:v>0.5555555555555556</x:v>
      </x:c>
      <x:c r="U79" s="13" t="n">
        <x:v>0.022589156226520617</x:v>
      </x:c>
      <x:c r="V79" s="13" t="n">
        <x:v>0.02251578008294111</x:v>
      </x:c>
      <x:c r="W79" s="13" t="n">
        <x:v>0.02469867615095833</x:v>
      </x:c>
      <x:c r="X79" s="13" t="n">
        <x:v>0</x:v>
      </x:c>
      <x:c r="Y79" s="13" t="n">
        <x:v>0.014911542857886014</x:v>
      </x:c>
      <x:c r="Z79" s="13" t="n">
        <x:v>0.009847527559148877</x:v>
      </x:c>
      <x:c r="AA79" s="13" t="n">
        <x:v>0.013742998499413142</x:v>
      </x:c>
      <x:c r="AB79" s="13" t="n">
        <x:v>0.09172180211880744</x:v>
      </x:c>
      <x:c r="AC79" s="13" t="n">
        <x:v>0</x:v>
      </x:c>
      <x:c r="AD79" s="13" t="n">
        <x:v>0.22695959129728654</x:v>
      </x:c>
      <x:c r="AE79" s="13" t="n">
        <x:v>0.3816730101372356</x:v>
      </x:c>
      <x:c r="AF79" s="13" t="n">
        <x:v>0.016956230440231795</x:v>
      </x:c>
      <x:c r="AG79" s="13" t="n">
        <x:v>0.12929400403051058</x:v>
      </x:c>
      <x:c r="AH79" s="13" t="n">
        <x:v>0.34181968056742296</x:v>
      </x:c>
      <x:c r="AI79" s="13" t="n">
        <x:v>0.8235294117647058</x:v>
      </x:c>
      <x:c r="AJ79" s="13" t="n">
        <x:v>0.1569326906834034</x:v>
      </x:c>
      <x:c r="AK79" s="13" t="n">
        <x:v>0.01752431461513818</x:v>
      </x:c>
      <x:c r="AL79" s="13" t="n">
        <x:v>0.17276264315682066</x:v>
      </x:c>
      <x:c r="AM79" s="13" t="n">
        <x:v>0</x:v>
      </x:c>
      <x:c r="AN79" s="13" t="n">
        <x:v>0.3454312520603929</x:v>
      </x:c>
      <x:c r="AO79" s="13" t="n">
        <x:v>0.15116565989840886</x:v>
      </x:c>
      <x:c r="AP79" s="13" t="n">
        <x:v>0.3193199516646241</x:v>
      </x:c>
    </x:row>
    <x:row r="80" ht="15" hidden="0" customHeight="1">
      <x:c r="A80" s="2" t="str">
        <x:v>E79</x:v>
      </x:c>
      <x:c r="B80" s="2" t="str">
        <x:v>***鞋业有限公司</x:v>
      </x:c>
      <x:c r="C80" s="2" t="str">
        <x:v>有信贷记录</x:v>
      </x:c>
      <x:c r="D80" s="2" t="str">
        <x:v>B</x:v>
      </x:c>
      <x:c r="E80" s="2" t="str">
        <x:v>否</x:v>
      </x:c>
      <x:c r="F80" s="13" t="n">
        <x:v>0.011362175318365164</x:v>
      </x:c>
      <x:c r="G80" s="13" t="n">
        <x:v>0.011445034838686053</x:v>
      </x:c>
      <x:c r="H80" s="13" t="n">
        <x:v>0.0036363636363636364</x:v>
      </x:c>
      <x:c r="I80" s="13" t="n">
        <x:v>0</x:v>
      </x:c>
      <x:c r="J80" s="13" t="n">
        <x:v>0.01135271520037891</x:v>
      </x:c>
      <x:c r="K80" s="13" t="n">
        <x:v>0.011268923031319818</x:v>
      </x:c>
      <x:c r="L80" s="13" t="n">
        <x:v>0.027992734330289384</x:v>
      </x:c>
      <x:c r="M80" s="13" t="n">
        <x:v>0.10191016227233535</x:v>
      </x:c>
      <x:c r="N80" s="13" t="n">
        <x:v>0</x:v>
      </x:c>
      <x:c r="O80" s="13" t="n">
        <x:v>0.538763294278283</x:v>
      </x:c>
      <x:c r="P80" s="13" t="n">
        <x:v>0.7152887193150819</x:v>
      </x:c>
      <x:c r="Q80" s="13" t="n">
        <x:v>0.01111214481592846</x:v>
      </x:c>
      <x:c r="R80" s="13" t="n">
        <x:v>0.07065862838889242</x:v>
      </x:c>
      <x:c r="S80" s="13" t="n">
        <x:v>0.511395346159436</x:v>
      </x:c>
      <x:c r="T80" s="13" t="n">
        <x:v>1</x:v>
      </x:c>
      <x:c r="U80" s="13" t="n">
        <x:v>0.006688682706924576</x:v>
      </x:c>
      <x:c r="V80" s="13" t="n">
        <x:v>0.006278438676973964</x:v>
      </x:c>
      <x:c r="W80" s="13" t="n">
        <x:v>0.014819205690574998</x:v>
      </x:c>
      <x:c r="X80" s="13" t="n">
        <x:v>0</x:v>
      </x:c>
      <x:c r="Y80" s="13" t="n">
        <x:v>0.005132401939196996</x:v>
      </x:c>
      <x:c r="Z80" s="13" t="n">
        <x:v>0.0033874011533783725</x:v>
      </x:c>
      <x:c r="AA80" s="13" t="n">
        <x:v>0.0048286210943884016</x:v>
      </x:c>
      <x:c r="AB80" s="13" t="n">
        <x:v>0.17149843931051437</x:v>
      </x:c>
      <x:c r="AC80" s="13" t="n">
        <x:v>0</x:v>
      </x:c>
      <x:c r="AD80" s="13" t="n">
        <x:v>0.24107695591370418</x:v>
      </x:c>
      <x:c r="AE80" s="13" t="n">
        <x:v>0.42112871221371784</x:v>
      </x:c>
      <x:c r="AF80" s="13" t="n">
        <x:v>0.005304582544196215</x:v>
      </x:c>
      <x:c r="AG80" s="13" t="n">
        <x:v>0.25314902886701085</x:v>
      </x:c>
      <x:c r="AH80" s="13" t="n">
        <x:v>0.6094976331671669</x:v>
      </x:c>
      <x:c r="AI80" s="13" t="n">
        <x:v>0.5882352941176471</x:v>
      </x:c>
      <x:c r="AJ80" s="13" t="n">
        <x:v>0.14380488827108207</x:v>
      </x:c>
      <x:c r="AK80" s="13" t="n">
        <x:v>0.04454352377335788</x:v>
      </x:c>
      <x:c r="AL80" s="13" t="n">
        <x:v>0.16098055335072017</x:v>
      </x:c>
      <x:c r="AM80" s="13" t="n">
        <x:v>0</x:v>
      </x:c>
      <x:c r="AN80" s="13" t="n">
        <x:v>0.4425655733937129</x:v>
      </x:c>
      <x:c r="AO80" s="13" t="n">
        <x:v>0.16209731160706278</x:v>
      </x:c>
      <x:c r="AP80" s="13" t="n">
        <x:v>0.5130028245267217</x:v>
      </x:c>
    </x:row>
    <x:row r="81" ht="15" hidden="0" customHeight="1">
      <x:c r="A81" s="2" t="str">
        <x:v>E80</x:v>
      </x:c>
      <x:c r="B81" s="2" t="str">
        <x:v>***实业有限责任公司</x:v>
      </x:c>
      <x:c r="C81" s="2" t="str">
        <x:v>有信贷记录</x:v>
      </x:c>
      <x:c r="D81" s="2" t="str">
        <x:v>C</x:v>
      </x:c>
      <x:c r="E81" s="2" t="str">
        <x:v>否</x:v>
      </x:c>
      <x:c r="F81" s="13" t="n">
        <x:v>0.029377203290246776</x:v>
      </x:c>
      <x:c r="G81" s="13" t="n">
        <x:v>0.029604490116067923</x:v>
      </x:c>
      <x:c r="H81" s="13" t="n">
        <x:v>0.00909090909090909</x:v>
      </x:c>
      <x:c r="I81" s="13" t="n">
        <x:v>0</x:v>
      </x:c>
      <x:c r="J81" s="13" t="n">
        <x:v>0.008897881099260353</x:v>
      </x:c>
      <x:c r="K81" s="13" t="n">
        <x:v>0.008832207580267114</x:v>
      </x:c>
      <x:c r="L81" s="13" t="n">
        <x:v>0.06531638010400856</x:v>
      </x:c>
      <x:c r="M81" s="13" t="n">
        <x:v>0.09933015816417495</x:v>
      </x:c>
      <x:c r="N81" s="13" t="n">
        <x:v>0</x:v>
      </x:c>
      <x:c r="O81" s="13" t="n">
        <x:v>0.3936652176870347</x:v>
      </x:c>
      <x:c r="P81" s="13" t="n">
        <x:v>0.43432242768030077</x:v>
      </x:c>
      <x:c r="Q81" s="13" t="n">
        <x:v>0.00973380483708891</x:v>
      </x:c>
      <x:c r="R81" s="13" t="n">
        <x:v>0.6184153356622969</x:v>
      </x:c>
      <x:c r="S81" s="13" t="n">
        <x:v>0.45845238350350537</x:v>
      </x:c>
      <x:c r="T81" s="13" t="n">
        <x:v>0.8611111111111112</x:v>
      </x:c>
      <x:c r="U81" s="13" t="n">
        <x:v>0.003368803620415513</x:v>
      </x:c>
      <x:c r="V81" s="13" t="n">
        <x:v>0.0037588512174273375</x:v>
      </x:c>
      <x:c r="W81" s="13" t="n">
        <x:v>0.0012349338075479165</x:v>
      </x:c>
      <x:c r="X81" s="13" t="n">
        <x:v>0</x:v>
      </x:c>
      <x:c r="Y81" s="13" t="n">
        <x:v>0.005553696873041454</x:v>
      </x:c>
      <x:c r="Z81" s="13" t="n">
        <x:v>0.0036657097031145363</x:v>
      </x:c>
      <x:c r="AA81" s="13" t="n">
        <x:v>0.013742998499413142</x:v>
      </x:c>
      <x:c r="AB81" s="13" t="n">
        <x:v>0.025605669758167075</x:v>
      </x:c>
      <x:c r="AC81" s="13" t="n">
        <x:v>0</x:v>
      </x:c>
      <x:c r="AD81" s="13" t="n">
        <x:v>0.059533479779150626</x:v>
      </x:c>
      <x:c r="AE81" s="13" t="n">
        <x:v>0.18683565010959458</x:v>
      </x:c>
      <x:c r="AF81" s="13" t="n">
        <x:v>0.005743411530417477</x:v>
      </x:c>
      <x:c r="AG81" s="13" t="n">
        <x:v>0.7549067758735508</x:v>
      </x:c>
      <x:c r="AH81" s="13" t="n">
        <x:v>0.8702808139205754</x:v>
      </x:c>
      <x:c r="AI81" s="13" t="n">
        <x:v>0.11764705882352941</x:v>
      </x:c>
      <x:c r="AJ81" s="13" t="n">
        <x:v>0.14595142775920772</x:v>
      </x:c>
      <x:c r="AK81" s="13" t="n">
        <x:v>0.032305659523503165</x:v>
      </x:c>
      <x:c r="AL81" s="13" t="n">
        <x:v>0.034329736970019356</x:v>
      </x:c>
      <x:c r="AM81" s="13" t="n">
        <x:v>0</x:v>
      </x:c>
      <x:c r="AN81" s="13" t="n">
        <x:v>0.24815605760168102</x:v>
      </x:c>
      <x:c r="AO81" s="13" t="n">
        <x:v>0.8158964445131829</x:v>
      </x:c>
      <x:c r="AP81" s="13" t="n">
        <x:v>0.6039189017574668</x:v>
      </x:c>
    </x:row>
    <x:row r="82" ht="15" hidden="0" customHeight="1">
      <x:c r="A82" s="2" t="str">
        <x:v>E81</x:v>
      </x:c>
      <x:c r="B82" s="2" t="str">
        <x:v>***机械设备有限公司</x:v>
      </x:c>
      <x:c r="C82" s="2" t="str">
        <x:v>有信贷记录</x:v>
      </x:c>
      <x:c r="D82" s="2" t="str">
        <x:v>A</x:v>
      </x:c>
      <x:c r="E82" s="2" t="str">
        <x:v>否</x:v>
      </x:c>
      <x:c r="F82" s="13" t="n">
        <x:v>0.015622991062752101</x:v>
      </x:c>
      <x:c r="G82" s="13" t="n">
        <x:v>0.015488947148355124</x:v>
      </x:c>
      <x:c r="H82" s="13" t="n">
        <x:v>0.01090909090909091</x:v>
      </x:c>
      <x:c r="I82" s="13" t="n">
        <x:v>0.020032051282051315</x:v>
      </x:c>
      <x:c r="J82" s="13" t="n">
        <x:v>0.007716366663843307</x:v>
      </x:c>
      <x:c r="K82" s="13" t="n">
        <x:v>0.008200005922144885</x:v>
      </x:c>
      <x:c r="L82" s="13" t="n">
        <x:v>0.041678071113986415</x:v>
      </x:c>
      <x:c r="M82" s="13" t="n">
        <x:v>0.22313978658681957</x:v>
      </x:c>
      <x:c r="N82" s="13" t="n">
        <x:v>0.30149908305245393</x:v>
      </x:c>
      <x:c r="O82" s="13" t="n">
        <x:v>0.4646704538227613</x:v>
      </x:c>
      <x:c r="P82" s="13" t="n">
        <x:v>0.66740417369841</x:v>
      </x:c>
      <x:c r="Q82" s="13" t="n">
        <x:v>0.0077561263770104276</x:v>
      </x:c>
      <x:c r="R82" s="13" t="n">
        <x:v>0.10965673098401457</x:v>
      </x:c>
      <x:c r="S82" s="13" t="n">
        <x:v>0.5669950051066629</x:v>
      </x:c>
      <x:c r="T82" s="13" t="n">
        <x:v>0.9444444444444444</x:v>
      </x:c>
      <x:c r="U82" s="13" t="n">
        <x:v>0.055875312330729905</x:v>
      </x:c>
      <x:c r="V82" s="13" t="n">
        <x:v>0.05620359759762008</x:v>
      </x:c>
      <x:c r="W82" s="13" t="n">
        <x:v>0.04939735230191666</x:v>
      </x:c>
      <x:c r="X82" s="13" t="n">
        <x:v>0.008502437365378089</x:v>
      </x:c>
      <x:c r="Y82" s="13" t="n">
        <x:v>0.005749449407656611</x:v>
      </x:c>
      <x:c r="Z82" s="13" t="n">
        <x:v>0.0038172686411017762</x:v>
      </x:c>
      <x:c r="AA82" s="13" t="n">
        <x:v>0.04420045463324768</x:v>
      </x:c>
      <x:c r="AB82" s="13" t="n">
        <x:v>0.07575175028610291</x:v>
      </x:c>
      <x:c r="AC82" s="13" t="n">
        <x:v>0.027631121337394045</x:v>
      </x:c>
      <x:c r="AD82" s="13" t="n">
        <x:v>0.04351023892693765</x:v>
      </x:c>
      <x:c r="AE82" s="13" t="n">
        <x:v>0.11254461124771843</x:v>
      </x:c>
      <x:c r="AF82" s="13" t="n">
        <x:v>0.005618195694158464</x:v>
      </x:c>
      <x:c r="AG82" s="13" t="n">
        <x:v>0.061353121686244586</x:v>
      </x:c>
      <x:c r="AH82" s="13" t="n">
        <x:v>0.5367308539277382</x:v>
      </x:c>
      <x:c r="AI82" s="13" t="n">
        <x:v>0.9705882352941176</x:v>
      </x:c>
      <x:c r="AJ82" s="13" t="n">
        <x:v>0.14697447524466264</x:v>
      </x:c>
      <x:c r="AK82" s="13" t="n">
        <x:v>0.02882161714345579</x:v>
      </x:c>
      <x:c r="AL82" s="13" t="n">
        <x:v>0.14728044892502196</x:v>
      </x:c>
      <x:c r="AM82" s="13" t="n">
        <x:v>0.07150977300231037</x:v>
      </x:c>
      <x:c r="AN82" s="13" t="n">
        <x:v>0.2812196166251073</x:v>
      </x:c>
      <x:c r="AO82" s="13" t="n">
        <x:v>0.09337219052145844</x:v>
      </x:c>
      <x:c r="AP82" s="13" t="n">
        <x:v>0.5147186642173759</x:v>
      </x:c>
    </x:row>
    <x:row r="83" ht="15" hidden="0" customHeight="1">
      <x:c r="A83" s="2" t="str">
        <x:v>E82</x:v>
      </x:c>
      <x:c r="B83" s="2" t="str">
        <x:v>***商贸有限公司</x:v>
      </x:c>
      <x:c r="C83" s="2" t="str">
        <x:v>有信贷记录</x:v>
      </x:c>
      <x:c r="D83" s="2" t="str">
        <x:v>D</x:v>
      </x:c>
      <x:c r="E83" s="2" t="str">
        <x:v>是</x:v>
      </x:c>
      <x:c r="F83" s="13" t="n">
        <x:v>0.023397111017423002</x:v>
      </x:c>
      <x:c r="G83" s="13" t="n">
        <x:v>0.02357677176769327</x:v>
      </x:c>
      <x:c r="H83" s="13" t="n">
        <x:v>0.007272727272727273</x:v>
      </x:c>
      <x:c r="I83" s="13" t="n">
        <x:v>0.020032051282051315</x:v>
      </x:c>
      <x:c r="J83" s="13" t="n">
        <x:v>0.00579503741903416</x:v>
      </x:c>
      <x:c r="K83" s="13" t="n">
        <x:v>0.005754669936975176</x:v>
      </x:c>
      <x:c r="L83" s="13" t="n">
        <x:v>0.041678071113986415</x:v>
      </x:c>
      <x:c r="M83" s="13" t="n">
        <x:v>0.09964549199961678</x:v>
      </x:c>
      <x:c r="N83" s="13" t="n">
        <x:v>0.19873733770338606</x:v>
      </x:c>
      <x:c r="O83" s="13" t="n">
        <x:v>0.05823715777992737</x:v>
      </x:c>
      <x:c r="P83" s="13" t="n">
        <x:v>0.15730559322077017</x:v>
      </x:c>
      <x:c r="Q83" s="13" t="n">
        <x:v>0.00582416102106737</x:v>
      </x:c>
      <x:c r="R83" s="13" t="n">
        <x:v>0.15464343428767835</x:v>
      </x:c>
      <x:c r="S83" s="13" t="n">
        <x:v>0.5792532868475883</x:v>
      </x:c>
      <x:c r="T83" s="13" t="n">
        <x:v>0.9166666666666666</x:v>
      </x:c>
      <x:c r="U83" s="13" t="n">
        <x:v>0.029141549160420083</x:v>
      </x:c>
      <x:c r="V83" s="13" t="n">
        <x:v>0.030634450785924684</x:v>
      </x:c>
      <x:c r="W83" s="13" t="n">
        <x:v>0.009879470460383332</x:v>
      </x:c>
      <x:c r="X83" s="13" t="n">
        <x:v>0.005668291576918725</x:v>
      </x:c>
      <x:c r="Y83" s="13" t="n">
        <x:v>0.004988677442894903</x:v>
      </x:c>
      <x:c r="Z83" s="13" t="n">
        <x:v>0.0033247441839843427</x:v>
      </x:c>
      <x:c r="AA83" s="13" t="n">
        <x:v>0.002228594351256185</x:v>
      </x:c>
      <x:c r="AB83" s="13" t="n">
        <x:v>0.028666405793399876</x:v>
      </x:c>
      <x:c r="AC83" s="13" t="n">
        <x:v>0.03348726944173726</x:v>
      </x:c>
      <x:c r="AD83" s="13" t="n">
        <x:v>0.9715392421375925</x:v>
      </x:c>
      <x:c r="AE83" s="13" t="n">
        <x:v>0.9852200542555908</x:v>
      </x:c>
      <x:c r="AF83" s="13" t="n">
        <x:v>0.005007759608904494</x:v>
      </x:c>
      <x:c r="AG83" s="13" t="n">
        <x:v>0.3277459882763872</x:v>
      </x:c>
      <x:c r="AH83" s="13" t="n">
        <x:v>0.5444291691155192</x:v>
      </x:c>
      <x:c r="AI83" s="13" t="n">
        <x:v>0.6470588235294118</x:v>
      </x:c>
      <x:c r="AJ83" s="13" t="n">
        <x:v>0.14708734363950732</x:v>
      </x:c>
      <x:c r="AK83" s="13" t="n">
        <x:v>0.02316363413728866</x:v>
      </x:c>
      <x:c r="AL83" s="13" t="n">
        <x:v>0.04760032135645237</x:v>
      </x:c>
      <x:c r="AM83" s="13" t="n">
        <x:v>0.07508895152719382</x:v>
      </x:c>
      <x:c r="AN83" s="13" t="n">
        <x:v>0.5870098515047755</x:v>
      </x:c>
      <x:c r="AO83" s="13" t="n">
        <x:v>0.26115801339706696</x:v>
      </x:c>
      <x:c r="AP83" s="13" t="n">
        <x:v>0.5265713756946818</x:v>
      </x:c>
    </x:row>
    <x:row r="84" ht="15" hidden="0" customHeight="1">
      <x:c r="A84" s="2" t="str">
        <x:v>E83</x:v>
      </x:c>
      <x:c r="B84" s="2" t="str">
        <x:v>***社会福利院（***社会福利社会化服务中心）</x:v>
      </x:c>
      <x:c r="C84" s="2" t="str">
        <x:v>有信贷记录</x:v>
      </x:c>
      <x:c r="D84" s="2" t="str">
        <x:v>B</x:v>
      </x:c>
      <x:c r="E84" s="2" t="str">
        <x:v>否</x:v>
      </x:c>
      <x:c r="F84" s="13" t="n">
        <x:v>0.2158813310489381</x:v>
      </x:c>
      <x:c r="G84" s="13" t="n">
        <x:v>0.20578172639957523</x:v>
      </x:c>
      <x:c r="H84" s="13" t="n">
        <x:v>0.3472727272727273</x:v>
      </x:c>
      <x:c r="I84" s="13" t="n">
        <x:v>0.36057692307692363</x:v>
      </x:c>
      <x:c r="J84" s="13" t="n">
        <x:v>0.1285689795247988</x:v>
      </x:c>
      <x:c r="K84" s="13" t="n">
        <x:v>0.12967335995114546</x:v>
      </x:c>
      <x:c r="L84" s="13" t="n">
        <x:v>0.16235785911567843</x:v>
      </x:c>
      <x:c r="M84" s="13" t="n">
        <x:v>0.5186134105672097</x:v>
      </x:c>
      <x:c r="N84" s="13" t="n">
        <x:v>0.4122014140287347</x:v>
      </x:c>
      <x:c r="O84" s="13" t="n">
        <x:v>0.040123891361021735</x:v>
      </x:c>
      <x:c r="P84" s="13" t="n">
        <x:v>0.1333611628013765</x:v>
      </x:c>
      <x:c r="Q84" s="13" t="n">
        <x:v>0.13286894062111648</x:v>
      </x:c>
      <x:c r="R84" s="13" t="n">
        <x:v>0.07494070141044919</x:v>
      </x:c>
      <x:c r="S84" s="13" t="n">
        <x:v>0.6370300824099294</x:v>
      </x:c>
      <x:c r="T84" s="13" t="n">
        <x:v>0.9166666666666666</x:v>
      </x:c>
      <x:c r="U84" s="13" t="n">
        <x:v>0.0608551309604935</x:v>
      </x:c>
      <x:c r="V84" s="13" t="n">
        <x:v>0.05993631975991137</x:v>
      </x:c>
      <x:c r="W84" s="13" t="n">
        <x:v>0.07039122703023123</x:v>
      </x:c>
      <x:c r="X84" s="13" t="n">
        <x:v>0.008502437365378089</x:v>
      </x:c>
      <x:c r="Y84" s="13" t="n">
        <x:v>0.005108037562420898</x:v>
      </x:c>
      <x:c r="Z84" s="13" t="n">
        <x:v>0.003388726152948496</x:v>
      </x:c>
      <x:c r="AA84" s="13" t="n">
        <x:v>0.06834356010518969</x:v>
      </x:c>
      <x:c r="AB84" s="13" t="n">
        <x:v>0.09923103747640952</x:v>
      </x:c>
      <x:c r="AC84" s="13" t="n">
        <x:v>0.02592812464479657</x:v>
      </x:c>
      <x:c r="AD84" s="13" t="n">
        <x:v>0.030729932591361843</x:v>
      </x:c>
      <x:c r="AE84" s="13" t="n">
        <x:v>0.044609084976523744</x:v>
      </x:c>
      <x:c r="AF84" s="13" t="n">
        <x:v>0.004986202551406992</x:v>
      </x:c>
      <x:c r="AG84" s="13" t="n">
        <x:v>0.524424238109807</x:v>
      </x:c>
      <x:c r="AH84" s="13" t="n">
        <x:v>0.45000219402328206</x:v>
      </x:c>
      <x:c r="AI84" s="13" t="n">
        <x:v>0.5588235294117647</x:v>
      </x:c>
      <x:c r="AJ84" s="13" t="n">
        <x:v>0.0701837900433306</x:v>
      </x:c>
      <x:c r="AK84" s="13" t="n">
        <x:v>0.5124542378748618</x:v>
      </x:c>
      <x:c r="AL84" s="13" t="n">
        <x:v>0.19104519630421793</x:v>
      </x:c>
      <x:c r="AM84" s="13" t="n">
        <x:v>0.1651687797571285</x:v>
      </x:c>
      <x:c r="AN84" s="13" t="n">
        <x:v>0.01925418434419714</x:v>
      </x:c>
      <x:c r="AO84" s="13" t="n">
        <x:v>0.3026632037620792</x:v>
      </x:c>
      <x:c r="AP84" s="13" t="n">
        <x:v>0.5192630087693016</x:v>
      </x:c>
    </x:row>
    <x:row r="85" ht="15" hidden="0" customHeight="1">
      <x:c r="A85" s="2" t="str">
        <x:v>E84</x:v>
      </x:c>
      <x:c r="B85" s="2" t="str">
        <x:v>***建材有限公司</x:v>
      </x:c>
      <x:c r="C85" s="2" t="str">
        <x:v>有信贷记录</x:v>
      </x:c>
      <x:c r="D85" s="2" t="str">
        <x:v>A</x:v>
      </x:c>
      <x:c r="E85" s="2" t="str">
        <x:v>否</x:v>
      </x:c>
      <x:c r="F85" s="13" t="n">
        <x:v>0.003887059977335451</x:v>
      </x:c>
      <x:c r="G85" s="13" t="n">
        <x:v>0.003891311845153258</x:v>
      </x:c>
      <x:c r="H85" s="13" t="n">
        <x:v>0.0018181818181818182</x:v>
      </x:c>
      <x:c r="I85" s="13" t="n">
        <x:v>0</x:v>
      </x:c>
      <x:c r="J85" s="13" t="n">
        <x:v>0.0056744883135558775</x:v>
      </x:c>
      <x:c r="K85" s="13" t="n">
        <x:v>0.0056326060258651365</x:v>
      </x:c>
      <x:c r="L85" s="13" t="n">
        <x:v>0.011197093732115753</x:v>
      </x:c>
      <x:c r="M85" s="13" t="n">
        <x:v>0.14531634249944114</x:v>
      </x:c>
      <x:c r="N85" s="13" t="n">
        <x:v>0</x:v>
      </x:c>
      <x:c r="O85" s="13" t="n">
        <x:v>0.11614401721449408</x:v>
      </x:c>
      <x:c r="P85" s="13" t="n">
        <x:v>0.15494028995913706</x:v>
      </x:c>
      <x:c r="Q85" s="13" t="n">
        <x:v>0.005702944578803149</x:v>
      </x:c>
      <x:c r="R85" s="13" t="n">
        <x:v>0.2757417874938311</x:v>
      </x:c>
      <x:c r="S85" s="13" t="n">
        <x:v>0.5125690313236989</x:v>
      </x:c>
      <x:c r="T85" s="13" t="n">
        <x:v>0.4444444444444444</x:v>
      </x:c>
      <x:c r="U85" s="13" t="n">
        <x:v>0.04268316122381231</x:v>
      </x:c>
      <x:c r="V85" s="13" t="n">
        <x:v>0.04089943673222575</x:v>
      </x:c>
      <x:c r="W85" s="13" t="n">
        <x:v>0.06545149180003958</x:v>
      </x:c>
      <x:c r="X85" s="13" t="n">
        <x:v>0.017004874730756177</x:v>
      </x:c>
      <x:c r="Y85" s="13" t="n">
        <x:v>0.00824103590175983</x:v>
      </x:c>
      <x:c r="Z85" s="13" t="n">
        <x:v>0.0056271792732709765</x:v>
      </x:c>
      <x:c r="AA85" s="13" t="n">
        <x:v>0.012257268931909019</x:v>
      </x:c>
      <x:c r="AB85" s="13" t="n">
        <x:v>0.1308048671983475</x:v>
      </x:c>
      <x:c r="AC85" s="13" t="n">
        <x:v>0.07562855233471</x:v>
      </x:c>
      <x:c r="AD85" s="13" t="n">
        <x:v>0.080859098194729</x:v>
      </x:c>
      <x:c r="AE85" s="13" t="n">
        <x:v>0.12186543274548757</x:v>
      </x:c>
      <x:c r="AF85" s="13" t="n">
        <x:v>0.008073194912744368</x:v>
      </x:c>
      <x:c r="AG85" s="13" t="n">
        <x:v>0.1969157773359311</x:v>
      </x:c>
      <x:c r="AH85" s="13" t="n">
        <x:v>0.5513670781239296</x:v>
      </x:c>
      <x:c r="AI85" s="13" t="n">
        <x:v>0.8235294117647058</x:v>
      </x:c>
      <x:c r="AJ85" s="13" t="n">
        <x:v>0.15183698308776408</x:v>
      </x:c>
      <x:c r="AK85" s="13" t="n">
        <x:v>0.013497610353180355</x:v>
      </x:c>
      <x:c r="AL85" s="13" t="n">
        <x:v>0.27265427412158555</x:v>
      </x:c>
      <x:c r="AM85" s="13" t="n">
        <x:v>0.11688545225678844</x:v>
      </x:c>
      <x:c r="AN85" s="13" t="n">
        <x:v>0.0944809935748156</x:v>
      </x:c>
      <x:c r="AO85" s="13" t="n">
        <x:v>0.2832125230057475</x:v>
      </x:c>
      <x:c r="AP85" s="13" t="n">
        <x:v>0.4856865859381345</x:v>
      </x:c>
    </x:row>
    <x:row r="86" ht="15" hidden="0" customHeight="1">
      <x:c r="A86" s="2" t="str">
        <x:v>E85</x:v>
      </x:c>
      <x:c r="B86" s="2" t="str">
        <x:v>***安防科技有限公司</x:v>
      </x:c>
      <x:c r="C86" s="2" t="str">
        <x:v>有信贷记录</x:v>
      </x:c>
      <x:c r="D86" s="2" t="str">
        <x:v>B</x:v>
      </x:c>
      <x:c r="E86" s="2" t="str">
        <x:v>否</x:v>
      </x:c>
      <x:c r="F86" s="13" t="n">
        <x:v>0.016968511824137448</x:v>
      </x:c>
      <x:c r="G86" s="13" t="n">
        <x:v>0.017243852490286985</x:v>
      </x:c>
      <x:c r="H86" s="13" t="n">
        <x:v>0.0018181818181818182</x:v>
      </x:c>
      <x:c r="I86" s="13" t="n">
        <x:v>0.006677350427350438</x:v>
      </x:c>
      <x:c r="J86" s="13" t="n">
        <x:v>0.001477153320465166</x:v>
      </x:c>
      <x:c r="K86" s="13" t="n">
        <x:v>0.0014689594489258866</x:v>
      </x:c>
      <x:c r="L86" s="13" t="n">
        <x:v>0.023016248227126827</x:v>
      </x:c>
      <x:c r="M86" s="13" t="n">
        <x:v>0.03426673578589442</x:v>
      </x:c>
      <x:c r="N86" s="13" t="n">
        <x:v>0.09036156728911265</x:v>
      </x:c>
      <x:c r="O86" s="13" t="n">
        <x:v>0.13742686590364953</x:v>
      </x:c>
      <x:c r="P86" s="13" t="n">
        <x:v>0.19317434323297888</x:v>
      </x:c>
      <x:c r="Q86" s="13" t="n">
        <x:v>0.0016626475836328813</x:v>
      </x:c>
      <x:c r="R86" s="13" t="n">
        <x:v>0.4486145194932093</x:v>
      </x:c>
      <x:c r="S86" s="13" t="n">
        <x:v>0.5548774268358652</x:v>
      </x:c>
      <x:c r="T86" s="13" t="n">
        <x:v>0.8055555555555556</x:v>
      </x:c>
      <x:c r="U86" s="13" t="n">
        <x:v>0.024773287204487106</x:v>
      </x:c>
      <x:c r="V86" s="13" t="n">
        <x:v>0.02242246202888383</x:v>
      </x:c>
      <x:c r="W86" s="13" t="n">
        <x:v>0.05680695514720416</x:v>
      </x:c>
      <x:c r="X86" s="13" t="n">
        <x:v>0</x:v>
      </x:c>
      <x:c r="Y86" s="13" t="n">
        <x:v>0.00399905170036331</x:v>
      </x:c>
      <x:c r="Z86" s="13" t="n">
        <x:v>0.002638706982208035</x:v>
      </x:c>
      <x:c r="AA86" s="13" t="n">
        <x:v>0.00891437740502474</x:v>
      </x:c>
      <x:c r="AB86" s="13" t="n">
        <x:v>0.1929601325120577</x:v>
      </x:c>
      <x:c r="AC86" s="13" t="n">
        <x:v>0</x:v>
      </x:c>
      <x:c r="AD86" s="13" t="n">
        <x:v>0.14002476135799746</x:v>
      </x:c>
      <x:c r="AE86" s="13" t="n">
        <x:v>0.21516187285597468</x:v>
      </x:c>
      <x:c r="AF86" s="13" t="n">
        <x:v>0.0038935014024733257</x:v>
      </x:c>
      <x:c r="AG86" s="13" t="n">
        <x:v>0.3266543710098414</x:v>
      </x:c>
      <x:c r="AH86" s="13" t="n">
        <x:v>0.6261283308905425</x:v>
      </x:c>
      <x:c r="AI86" s="13" t="n">
        <x:v>0.9705882352941176</x:v>
      </x:c>
      <x:c r="AJ86" s="13" t="n">
        <x:v>0.1483758368880223</x:v>
      </x:c>
      <x:c r="AK86" s="13" t="n">
        <x:v>0.007409150571563603</x:v>
      </x:c>
      <x:c r="AL86" s="13" t="n">
        <x:v>0.25063277693277203</x:v>
      </x:c>
      <x:c r="AM86" s="13" t="n">
        <x:v>0.020424194815396715</x:v>
      </x:c>
      <x:c r="AN86" s="13" t="n">
        <x:v>0.14225673791888374</x:v>
      </x:c>
      <x:c r="AO86" s="13" t="n">
        <x:v>0.4750536166061649</x:v>
      </x:c>
      <x:c r="AP86" s="13" t="n">
        <x:v>0.5498862869227817</x:v>
      </x:c>
    </x:row>
    <x:row r="87" ht="15" hidden="0" customHeight="1">
      <x:c r="A87" s="2" t="str">
        <x:v>E86</x:v>
      </x:c>
      <x:c r="B87" s="2" t="str">
        <x:v>***地质工程勘察院***分院</x:v>
      </x:c>
      <x:c r="C87" s="2" t="str">
        <x:v>有信贷记录</x:v>
      </x:c>
      <x:c r="D87" s="2" t="str">
        <x:v>C</x:v>
      </x:c>
      <x:c r="E87" s="2" t="str">
        <x:v>否</x:v>
      </x:c>
      <x:c r="F87" s="13" t="n">
        <x:v>0.01016615686380041</x:v>
      </x:c>
      <x:c r="G87" s="13" t="n">
        <x:v>0.010300531354817448</x:v>
      </x:c>
      <x:c r="H87" s="13" t="n">
        <x:v>0.0018181818181818182</x:v>
      </x:c>
      <x:c r="I87" s="13" t="n">
        <x:v>0.006677350427350438</x:v>
      </x:c>
      <x:c r="J87" s="13" t="n">
        <x:v>0.005958585147568314</x:v>
      </x:c>
      <x:c r="K87" s="13" t="n">
        <x:v>0.005928865930398903</x:v>
      </x:c>
      <x:c r="L87" s="13" t="n">
        <x:v>0.021772126701336186</x:v>
      </x:c>
      <x:c r="M87" s="13" t="n">
        <x:v>0.0568629166302161</x:v>
      </x:c>
      <x:c r="N87" s="13" t="n">
        <x:v>0.15038275432056705</x:v>
      </x:c>
      <x:c r="O87" s="13" t="n">
        <x:v>0.41259970659429923</x:v>
      </x:c>
      <x:c r="P87" s="13" t="n">
        <x:v>0.5574723311800913</x:v>
      </x:c>
      <x:c r="Q87" s="13" t="n">
        <x:v>0.006925098137039112</x:v>
      </x:c>
      <x:c r="R87" s="13" t="n">
        <x:v>0.7217809621937128</x:v>
      </x:c>
      <x:c r="S87" s="13" t="n">
        <x:v>0.6038012500415005</x:v>
      </x:c>
      <x:c r="T87" s="13" t="n">
        <x:v>0.5833333333333334</x:v>
      </x:c>
      <x:c r="U87" s="13" t="n">
        <x:v>0.001097307403330364</x:v>
      </x:c>
      <x:c r="V87" s="13" t="n">
        <x:v>0.0011459457038234286</x:v>
      </x:c>
      <x:c r="W87" s="13" t="n">
        <x:v>0.0037048014226437496</x:v>
      </x:c>
      <x:c r="X87" s="13" t="n">
        <x:v>0.017004874730756177</x:v>
      </x:c>
      <x:c r="Y87" s="13" t="n">
        <x:v>0.003236312650189854</x:v>
      </x:c>
      <x:c r="Z87" s="13" t="n">
        <x:v>0.005363310830982125</x:v>
      </x:c>
      <x:c r="AA87" s="13" t="n">
        <x:v>0.0018571619593801545</x:v>
      </x:c>
      <x:c r="AB87" s="13" t="n">
        <x:v>0.1676007475080027</x:v>
      </x:c>
      <x:c r="AC87" s="13" t="n">
        <x:v>1</x:v>
      </x:c>
      <x:c r="AD87" s="13" t="n">
        <x:v>0.23193837834336056</x:v>
      </x:c>
      <x:c r="AE87" s="13" t="n">
        <x:v>0.3617061646632908</x:v>
      </x:c>
      <x:c r="AF87" s="13" t="n">
        <x:v>0.003777437729955945</x:v>
      </x:c>
      <x:c r="AG87" s="13" t="n">
        <x:v>0.5524914921540791</x:v>
      </x:c>
      <x:c r="AH87" s="13" t="n">
        <x:v>0.35943685858363167</x:v>
      </x:c>
      <x:c r="AI87" s="13" t="n">
        <x:v>0.2647058823529412</x:v>
      </x:c>
      <x:c r="AJ87" s="13" t="n">
        <x:v>0.1444663498840487</x:v>
      </x:c>
      <x:c r="AK87" s="13" t="n">
        <x:v>0.01489932023602091</x:v>
      </x:c>
      <x:c r="AL87" s="13" t="n">
        <x:v>0.06672383490191637</x:v>
      </x:c>
      <x:c r="AM87" s="13" t="n">
        <x:v>0.43532338308457746</x:v>
      </x:c>
      <x:c r="AN87" s="13" t="n">
        <x:v>0.3615553141367854</x:v>
      </x:c>
      <x:c r="AO87" s="13" t="n">
        <x:v>0.7887463942831019</x:v>
      </x:c>
      <x:c r="AP87" s="13" t="n">
        <x:v>0.45344842379718303</x:v>
      </x:c>
    </x:row>
    <x:row r="88" ht="15" hidden="0" customHeight="1">
      <x:c r="A88" s="2" t="str">
        <x:v>E87</x:v>
      </x:c>
      <x:c r="B88" s="2" t="str">
        <x:v>***实业有限责任公司</x:v>
      </x:c>
      <x:c r="C88" s="2" t="str">
        <x:v>有信贷记录</x:v>
      </x:c>
      <x:c r="D88" s="2" t="str">
        <x:v>C</x:v>
      </x:c>
      <x:c r="E88" s="2" t="str">
        <x:v>是</x:v>
      </x:c>
      <x:c r="F88" s="13" t="n">
        <x:v>0.028181184835682018</x:v>
      </x:c>
      <x:c r="G88" s="13" t="n">
        <x:v>0.02815478570316769</x:v>
      </x:c>
      <x:c r="H88" s="13" t="n">
        <x:v>0.014545454545454545</x:v>
      </x:c>
      <x:c r="I88" s="13" t="n">
        <x:v>0</x:v>
      </x:c>
      <x:c r="J88" s="13" t="n">
        <x:v>0.005837119638553847</x:v>
      </x:c>
      <x:c r="K88" s="13" t="n">
        <x:v>0.005794037000881801</x:v>
      </x:c>
      <x:c r="L88" s="13" t="n">
        <x:v>0.05038692179452089</x:v>
      </x:c>
      <x:c r="M88" s="13" t="n">
        <x:v>0.1656376252236374</x:v>
      </x:c>
      <x:c r="N88" s="13" t="n">
        <x:v>0</x:v>
      </x:c>
      <x:c r="O88" s="13" t="n">
        <x:v>0.07226279041863258</x:v>
      </x:c>
      <x:c r="P88" s="13" t="n">
        <x:v>0.12649238473825292</x:v>
      </x:c>
      <x:c r="Q88" s="13" t="n">
        <x:v>0.007002868418974768</x:v>
      </x:c>
      <x:c r="R88" s="13" t="n">
        <x:v>0.1926403155973735</x:v>
      </x:c>
      <x:c r="S88" s="13" t="n">
        <x:v>0.4377857584425217</x:v>
      </x:c>
      <x:c r="T88" s="13" t="n">
        <x:v>0.8055555555555556</x:v>
      </x:c>
      <x:c r="U88" s="13" t="n">
        <x:v>0.005640299837500661</x:v>
      </x:c>
      <x:c r="V88" s="13" t="n">
        <x:v>0.005998484514802117</x:v>
      </x:c>
      <x:c r="W88" s="13" t="n">
        <x:v>0.0037048014226437496</x:v>
      </x:c>
      <x:c r="X88" s="13" t="n">
        <x:v>0</x:v>
      </x:c>
      <x:c r="Y88" s="13" t="n">
        <x:v>0.0063741184538301885</x:v>
      </x:c>
      <x:c r="Z88" s="13" t="n">
        <x:v>0.004207682373514279</x:v>
      </x:c>
      <x:c r="AA88" s="13" t="n">
        <x:v>0.00408575631063634</x:v>
      </x:c>
      <x:c r="AB88" s="13" t="n">
        <x:v>0.04982724925913594</x:v>
      </x:c>
      <x:c r="AC88" s="13" t="n">
        <x:v>0</x:v>
      </x:c>
      <x:c r="AD88" s="13" t="n">
        <x:v>0.34376861354766497</x:v>
      </x:c>
      <x:c r="AE88" s="13" t="n">
        <x:v>0.4874614475454878</x:v>
      </x:c>
      <x:c r="AF88" s="13" t="n">
        <x:v>0.007467566167256584</x:v>
      </x:c>
      <x:c r="AG88" s="13" t="n">
        <x:v>0.4283897879744788</x:v>
      </x:c>
      <x:c r="AH88" s="13" t="n">
        <x:v>0.45537629766242577</x:v>
      </x:c>
      <x:c r="AI88" s="13" t="n">
        <x:v>0.5294117647058824</x:v>
      </x:c>
      <x:c r="AJ88" s="13" t="n">
        <x:v>0.14905194112691456</x:v>
      </x:c>
      <x:c r="AK88" s="13" t="n">
        <x:v>0.018501155140891592</x:v>
      </x:c>
      <x:c r="AL88" s="13" t="n">
        <x:v>0.06469513069689244</x:v>
      </x:c>
      <x:c r="AM88" s="13" t="n">
        <x:v>0</x:v>
      </x:c>
      <x:c r="AN88" s="13" t="n">
        <x:v>0.2238125110902761</x:v>
      </x:c>
      <x:c r="AO88" s="13" t="n">
        <x:v>0.33986771752861095</x:v>
      </x:c>
      <x:c r="AP88" s="13" t="n">
        <x:v>0.38968289057782673</x:v>
      </x:c>
    </x:row>
    <x:row r="89" ht="15" hidden="0" customHeight="1">
      <x:c r="A89" s="2" t="str">
        <x:v>E88</x:v>
      </x:c>
      <x:c r="B89" s="2" t="str">
        <x:v>***贸易有限公司</x:v>
      </x:c>
      <x:c r="C89" s="2" t="str">
        <x:v>有信贷记录</x:v>
      </x:c>
      <x:c r="D89" s="2" t="str">
        <x:v>A</x:v>
      </x:c>
      <x:c r="E89" s="2" t="str">
        <x:v>否</x:v>
      </x:c>
      <x:c r="F89" s="13" t="n">
        <x:v>0.015847244522982994</x:v>
      </x:c>
      <x:c r="G89" s="13" t="n">
        <x:v>0.016175649238676287</x:v>
      </x:c>
      <x:c r="H89" s="13" t="n">
        <x:v>0</x:v>
      </x:c>
      <x:c r="I89" s="13" t="n">
        <x:v>0</x:v>
      </x:c>
      <x:c r="J89" s="13" t="n">
        <x:v>0.0023369452317093</x:v>
      </x:c>
      <x:c r="K89" s="13" t="n">
        <x:v>0.0023196966963165786</x:v>
      </x:c>
      <x:c r="L89" s="13" t="n">
        <x:v>0.015551519072382992</x:v>
      </x:c>
      <x:c r="M89" s="13" t="n">
        <x:v>0</x:v>
      </x:c>
      <x:c r="N89" s="13" t="n">
        <x:v>0</x:v>
      </x:c>
      <x:c r="O89" s="13" t="n">
        <x:v>0.4059709346378784</x:v>
      </x:c>
      <x:c r="P89" s="13" t="n">
        <x:v>0.49189962634538226</x:v>
      </x:c>
      <x:c r="Q89" s="13" t="n">
        <x:v>0.0027143956683313483</x:v>
      </x:c>
      <x:c r="R89" s="13" t="n">
        <x:v>0.19666917262740213</x:v>
      </x:c>
      <x:c r="S89" s="13" t="n">
        <x:v>0.6442498948531358</x:v>
      </x:c>
      <x:c r="T89" s="13" t="n">
        <x:v>0.8333333333333334</x:v>
      </x:c>
      <x:c r="U89" s="13" t="n">
        <x:v>0.034121367790183675</x:v>
      </x:c>
      <x:c r="V89" s="13" t="n">
        <x:v>0.03334067435358588</x:v>
      </x:c>
      <x:c r="W89" s="13" t="n">
        <x:v>0.04445761707172499</x:v>
      </x:c>
      <x:c r="X89" s="13" t="n">
        <x:v>0.01133658315383745</x:v>
      </x:c>
      <x:c r="Y89" s="13" t="n">
        <x:v>0.003971997885233804</x:v>
      </x:c>
      <x:c r="Z89" s="13" t="n">
        <x:v>0.002692782285334593</x:v>
      </x:c>
      <x:c r="AA89" s="13" t="n">
        <x:v>0.03305748287696675</x:v>
      </x:c>
      <x:c r="AB89" s="13" t="n">
        <x:v>0.11061649335528177</x:v>
      </x:c>
      <x:c r="AC89" s="13" t="n">
        <x:v>0.061638655291109797</x:v>
      </x:c>
      <x:c r="AD89" s="13" t="n">
        <x:v>0.03947318678740387</x:v>
      </x:c>
      <x:c r="AE89" s="13" t="n">
        <x:v>0.09263194492198111</x:v>
      </x:c>
      <x:c r="AF89" s="13" t="n">
        <x:v>0.003866844854462694</x:v>
      </x:c>
      <x:c r="AG89" s="13" t="n">
        <x:v>0.2292984717420905</x:v>
      </x:c>
      <x:c r="AH89" s="13" t="n">
        <x:v>0.6740278750971599</x:v>
      </x:c>
      <x:c r="AI89" s="13" t="n">
        <x:v>0.9117647058823529</x:v>
      </x:c>
      <x:c r="AJ89" s="13" t="n">
        <x:v>0.14779719728757207</x:v>
      </x:c>
      <x:c r="AK89" s="13" t="n">
        <x:v>0.011473711564874154</x:v>
      </x:c>
      <x:c r="AL89" s="13" t="n">
        <x:v>0.16182487248991956</x:v>
      </x:c>
      <x:c r="AM89" s="13" t="n">
        <x:v>0.06713835665960859</x:v>
      </x:c>
      <x:c r="AN89" s="13" t="n">
        <x:v>0.2436555211446208</x:v>
      </x:c>
      <x:c r="AO89" s="13" t="n">
        <x:v>0.24193668175608157</x:v>
      </x:c>
      <x:c r="AP89" s="13" t="n">
        <x:v>0.6323255746521556</x:v>
      </x:c>
    </x:row>
    <x:row r="90" ht="15" hidden="0" customHeight="1">
      <x:c r="A90" s="2" t="str">
        <x:v>E89</x:v>
      </x:c>
      <x:c r="B90" s="2" t="str">
        <x:v>***物资有限公司</x:v>
      </x:c>
      <x:c r="C90" s="2" t="str">
        <x:v>有信贷记录</x:v>
      </x:c>
      <x:c r="D90" s="2" t="str">
        <x:v>A</x:v>
      </x:c>
      <x:c r="E90" s="2" t="str">
        <x:v>否</x:v>
      </x:c>
      <x:c r="F90" s="13" t="n">
        <x:v>0.00470932266484872</x:v>
      </x:c>
      <x:c r="G90" s="13" t="n">
        <x:v>0.004654314167732329</x:v>
      </x:c>
      <x:c r="H90" s="13" t="n">
        <x:v>0.0036363636363636364</x:v>
      </x:c>
      <x:c r="I90" s="13" t="n">
        <x:v>0</x:v>
      </x:c>
      <x:c r="J90" s="13" t="n">
        <x:v>0.009300784746162187</x:v>
      </x:c>
      <x:c r="K90" s="13" t="n">
        <x:v>0.009232137474203261</x:v>
      </x:c>
      <x:c r="L90" s="13" t="n">
        <x:v>0.006842668391848516</x:v>
      </x:c>
      <x:c r="M90" s="13" t="n">
        <x:v>0.2414486921529176</x:v>
      </x:c>
      <x:c r="N90" s="13" t="n">
        <x:v>0</x:v>
      </x:c>
      <x:c r="O90" s="13" t="n">
        <x:v>0.9763173325995773</x:v>
      </x:c>
      <x:c r="P90" s="13" t="n">
        <x:v>0.9876879312356226</x:v>
      </x:c>
      <x:c r="Q90" s="13" t="n">
        <x:v>0.009883841157269145</x:v>
      </x:c>
      <x:c r="R90" s="13" t="n">
        <x:v>1</x:v>
      </x:c>
      <x:c r="S90" s="13" t="n">
        <x:v>0.13519322244258825</x:v>
      </x:c>
      <x:c r="T90" s="13" t="n">
        <x:v>0.3888888888888889</x:v>
      </x:c>
      <x:c r="U90" s="13" t="n">
        <x:v>0.014202093271129299</x:v>
      </x:c>
      <x:c r="V90" s="13" t="n">
        <x:v>0.014770381596186667</x:v>
      </x:c>
      <x:c r="W90" s="13" t="n">
        <x:v>0.008644536652835415</x:v>
      </x:c>
      <x:c r="X90" s="13" t="n">
        <x:v>0</x:v>
      </x:c>
      <x:c r="Y90" s="13" t="n">
        <x:v>0.0031306899133479614</x:v>
      </x:c>
      <x:c r="Z90" s="13" t="n">
        <x:v>0.002065064884532655</x:v>
      </x:c>
      <x:c r="AA90" s="13" t="n">
        <x:v>0.008542945013148711</x:v>
      </x:c>
      <x:c r="AB90" s="13" t="n">
        <x:v>0.05002037813223337</x:v>
      </x:c>
      <x:c r="AC90" s="13" t="n">
        <x:v>0</x:v>
      </x:c>
      <x:c r="AD90" s="13" t="n">
        <x:v>0.09180405436780889</x:v>
      </x:c>
      <x:c r="AE90" s="13" t="n">
        <x:v>0.1705082458539013</x:v>
      </x:c>
      <x:c r="AF90" s="13" t="n">
        <x:v>0.003037890925527057</x:v>
      </x:c>
      <x:c r="AG90" s="13" t="n">
        <x:v>0.4138980050874163</x:v>
      </x:c>
      <x:c r="AH90" s="13" t="n">
        <x:v>0.5665192372882076</x:v>
      </x:c>
      <x:c r="AI90" s="13" t="n">
        <x:v>0.5588235294117647</x:v>
      </x:c>
      <x:c r="AJ90" s="13" t="n">
        <x:v>0.1422163918433806</x:v>
      </x:c>
      <x:c r="AK90" s="13" t="n">
        <x:v>0.05913897713340743</x:v>
      </x:c>
      <x:c r="AL90" s="13" t="n">
        <x:v>0.10341236771584951</x:v>
      </x:c>
      <x:c r="AM90" s="13" t="n">
        <x:v>0</x:v>
      </x:c>
      <x:c r="AN90" s="13" t="n">
        <x:v>0.616399844132183</x:v>
      </x:c>
      <x:c r="AO90" s="13" t="n">
        <x:v>1</x:v>
      </x:c>
      <x:c r="AP90" s="13" t="n">
        <x:v>0.24266093372771735</x:v>
      </x:c>
    </x:row>
    <x:row r="91" ht="15" hidden="0" customHeight="1">
      <x:c r="A91" s="2" t="str">
        <x:v>E90</x:v>
      </x:c>
      <x:c r="B91" s="2" t="str">
        <x:v>***文化传媒有限责任公司</x:v>
      </x:c>
      <x:c r="C91" s="2" t="str">
        <x:v>有信贷记录</x:v>
      </x:c>
      <x:c r="D91" s="2" t="str">
        <x:v>C</x:v>
      </x:c>
      <x:c r="E91" s="2" t="str">
        <x:v>否</x:v>
      </x:c>
      <x:c r="F91" s="13" t="n">
        <x:v>0.010240908017210707</x:v>
      </x:c>
      <x:c r="G91" s="13" t="n">
        <x:v>0.010147930890301634</x:v>
      </x:c>
      <x:c r="H91" s="13" t="n">
        <x:v>0.007272727272727273</x:v>
      </x:c>
      <x:c r="I91" s="13" t="n">
        <x:v>0</x:v>
      </x:c>
      <x:c r="J91" s="13" t="n">
        <x:v>0.002591310128266437</x:v>
      </x:c>
      <x:c r="K91" s="13" t="n">
        <x:v>0.002572184175353869</x:v>
      </x:c>
      <x:c r="L91" s="13" t="n">
        <x:v>0.021772126701336186</x:v>
      </x:c>
      <x:c r="M91" s="13" t="n">
        <x:v>0.22581532359625386</x:v>
      </x:c>
      <x:c r="N91" s="13" t="n">
        <x:v>0</x:v>
      </x:c>
      <x:c r="O91" s="13" t="n">
        <x:v>0.11103849767256745</x:v>
      </x:c>
      <x:c r="P91" s="13" t="n">
        <x:v>0.18778746010274466</x:v>
      </x:c>
      <x:c r="Q91" s="13" t="n">
        <x:v>0.0029187690675560925</x:v>
      </x:c>
      <x:c r="R91" s="13" t="n">
        <x:v>0.4191161107245578</x:v>
      </x:c>
      <x:c r="S91" s="13" t="n">
        <x:v>0.8407294895876831</x:v>
      </x:c>
      <x:c r="T91" s="13" t="n">
        <x:v>0.5833333333333334</x:v>
      </x:c>
      <x:c r="U91" s="13" t="n">
        <x:v>0.02197759955269</x:v>
      </x:c>
      <x:c r="V91" s="13" t="n">
        <x:v>0.01682337878544688</x:v>
      </x:c>
      <x:c r="W91" s="13" t="n">
        <x:v>0.09138510175854582</x:v>
      </x:c>
      <x:c r="X91" s="13" t="n">
        <x:v>0.017004874730756177</x:v>
      </x:c>
      <x:c r="Y91" s="13" t="n">
        <x:v>0.005052499637160707</x:v>
      </x:c>
      <x:c r="Z91" s="13" t="n">
        <x:v>0.0035801249736293374</x:v>
      </x:c>
      <x:c r="AA91" s="13" t="n">
        <x:v>0.019314484377553606</x:v>
      </x:c>
      <x:c r="AB91" s="13" t="n">
        <x:v>0.34847256314563013</x:v>
      </x:c>
      <x:c r="AC91" s="13" t="n">
        <x:v>0.1799716887109409</x:v>
      </x:c>
      <x:c r="AD91" s="13" t="n">
        <x:v>0.32636870418465425</x:v>
      </x:c>
      <x:c r="AE91" s="13" t="n">
        <x:v>0.4930274311870117</x:v>
      </x:c>
      <x:c r="AF91" s="13" t="n">
        <x:v>0.005546365659549493</x:v>
      </x:c>
      <x:c r="AG91" s="13" t="n">
        <x:v>0.35398986452440734</x:v>
      </x:c>
      <x:c r="AH91" s="13" t="n">
        <x:v>0.6822863976185262</x:v>
      </x:c>
      <x:c r="AI91" s="13" t="n">
        <x:v>0.8235294117647058</x:v>
      </x:c>
      <x:c r="AJ91" s="13" t="n">
        <x:v>0.14919029994878927</x:v>
      </x:c>
      <x:c r="AK91" s="13" t="n">
        <x:v>0.009623466981066047</x:v>
      </x:c>
      <x:c r="AL91" s="13" t="n">
        <x:v>0.5474330989908157</x:v>
      </x:c>
      <x:c r="AM91" s="13" t="n">
        <x:v>0.18077315286919454</x:v>
      </x:c>
      <x:c r="AN91" s="13" t="n">
        <x:v>0.23674832391348277</x:v>
      </x:c>
      <x:c r="AO91" s="13" t="n">
        <x:v>0.4673844383027226</x:v>
      </x:c>
      <x:c r="AP91" s="13" t="n">
        <x:v>0.7666603204321559</x:v>
      </x:c>
    </x:row>
    <x:row r="92" ht="15" hidden="0" customHeight="1">
      <x:c r="A92" s="2" t="str">
        <x:v>E91</x:v>
      </x:c>
      <x:c r="B92" s="2" t="str">
        <x:v>***科技实业有限公司</x:v>
      </x:c>
      <x:c r="C92" s="2" t="str">
        <x:v>有信贷记录</x:v>
      </x:c>
      <x:c r="D92" s="2" t="str">
        <x:v>A</x:v>
      </x:c>
      <x:c r="E92" s="2" t="str">
        <x:v>否</x:v>
      </x:c>
      <x:c r="F92" s="13" t="n">
        <x:v>0.013081451846802</x:v>
      </x:c>
      <x:c r="G92" s="13" t="n">
        <x:v>0.012665838554812566</x:v>
      </x:c>
      <x:c r="H92" s="13" t="n">
        <x:v>0.016363636363636365</x:v>
      </x:c>
      <x:c r="I92" s="13" t="n">
        <x:v>0.006677350427350438</x:v>
      </x:c>
      <x:c r="J92" s="13" t="n">
        <x:v>0.005110511559611063</x:v>
      </x:c>
      <x:c r="K92" s="13" t="n">
        <x:v>0.005195078108243182</x:v>
      </x:c>
      <x:c r="L92" s="13" t="n">
        <x:v>0.02115006593844087</x:v>
      </x:c>
      <x:c r="M92" s="13" t="n">
        <x:v>0.39900419465948245</x:v>
      </x:c>
      <x:c r="N92" s="13" t="n">
        <x:v>0.12263355560665289</x:v>
      </x:c>
      <x:c r="O92" s="13" t="n">
        <x:v>0.17059071843716575</x:v>
      </x:c>
      <x:c r="P92" s="13" t="n">
        <x:v>0.3478339150939266</x:v>
      </x:c>
      <x:c r="Q92" s="13" t="n">
        <x:v>0.005135845757441672</x:v>
      </x:c>
      <x:c r="R92" s="13" t="n">
        <x:v>0.10091138370000642</x:v>
      </x:c>
      <x:c r="S92" s="13" t="n">
        <x:v>0.5440350287400014</x:v>
      </x:c>
      <x:c r="T92" s="13" t="n">
        <x:v>0.9444444444444444</x:v>
      </x:c>
      <x:c r="U92" s="13" t="n">
        <x:v>0.010445387989026937</x:v>
      </x:c>
      <x:c r="V92" s="13" t="n">
        <x:v>0.010851023325780805</x:v>
      </x:c>
      <x:c r="W92" s="13" t="n">
        <x:v>0.007409602845287499</x:v>
      </x:c>
      <x:c r="X92" s="13" t="n">
        <x:v>0.0028341457884593626</x:v>
      </x:c>
      <x:c r="Y92" s="13" t="n">
        <x:v>0.003932212265022617</x:v>
      </x:c>
      <x:c r="Z92" s="13" t="n">
        <x:v>0.00261128156888656</x:v>
      </x:c>
      <x:c r="AA92" s="13" t="n">
        <x:v>0.026371699823198192</x:v>
      </x:c>
      <x:c r="AB92" s="13" t="n">
        <x:v>0.05716614643683813</x:v>
      </x:c>
      <x:c r="AC92" s="13" t="n">
        <x:v>0.04560258236984546</x:v>
      </x:c>
      <x:c r="AD92" s="13" t="n">
        <x:v>0.03230776824511553</x:v>
      </x:c>
      <x:c r="AE92" s="13" t="n">
        <x:v>0.07862044988061102</x:v>
      </x:c>
      <x:c r="AF92" s="13" t="n">
        <x:v>0.003827643459383462</x:v>
      </x:c>
      <x:c r="AG92" s="13" t="n">
        <x:v>0.008358209073780938</x:v>
      </x:c>
      <x:c r="AH92" s="13" t="n">
        <x:v>0.5474832779446014</x:v>
      </x:c>
      <x:c r="AI92" s="13" t="n">
        <x:v>0.9705882352941176</x:v>
      </x:c>
      <x:c r="AJ92" s="13" t="n">
        <x:v>0.14599883057603985</x:v>
      </x:c>
      <x:c r="AK92" s="13" t="n">
        <x:v>0.02648596701138318</x:v>
      </x:c>
      <x:c r="AL92" s="13" t="n">
        <x:v>0.1346441173135544</x:v>
      </x:c>
      <x:c r="AM92" s="13" t="n">
        <x:v>0.06667692465507519</x:v>
      </x:c>
      <x:c r="AN92" s="13" t="n">
        <x:v>0.09836756825111266</x:v>
      </x:c>
      <x:c r="AO92" s="13" t="n">
        <x:v>0.060142569648403955</x:v>
      </x:c>
      <x:c r="AP92" s="13" t="n">
        <x:v>0.5046838700568181</x:v>
      </x:c>
    </x:row>
    <x:row r="93" ht="15" hidden="0" customHeight="1">
      <x:c r="A93" s="2" t="str">
        <x:v>E92</x:v>
      </x:c>
      <x:c r="B93" s="2" t="str">
        <x:v>***地质灾害防治有限公司</x:v>
      </x:c>
      <x:c r="C93" s="2" t="str">
        <x:v>有信贷记录</x:v>
      </x:c>
      <x:c r="D93" s="2" t="str">
        <x:v>C</x:v>
      </x:c>
      <x:c r="E93" s="2" t="str">
        <x:v>否</x:v>
      </x:c>
      <x:c r="F93" s="13" t="n">
        <x:v>0.015772493369572694</x:v>
      </x:c>
      <x:c r="G93" s="13" t="n">
        <x:v>0.016023048774160473</x:v>
      </x:c>
      <x:c r="H93" s="13" t="n">
        <x:v>0.0018181818181818182</x:v>
      </x:c>
      <x:c r="I93" s="13" t="n">
        <x:v>0</x:v>
      </x:c>
      <x:c r="J93" s="13" t="n">
        <x:v>0.0005435400208552184</x:v>
      </x:c>
      <x:c r="K93" s="13" t="n">
        <x:v>0.0005395282583372647</x:v>
      </x:c>
      <x:c r="L93" s="13" t="n">
        <x:v>0.05474134713478813</x:v>
      </x:c>
      <x:c r="M93" s="13" t="n">
        <x:v>0.036840762887182264</x:v>
      </x:c>
      <x:c r="N93" s="13" t="n">
        <x:v>0</x:v>
      </x:c>
      <x:c r="O93" s="13" t="n">
        <x:v>0.04598153419354978</x:v>
      </x:c>
      <x:c r="P93" s="13" t="n">
        <x:v>0.14139991962696083</x:v>
      </x:c>
      <x:c r="Q93" s="13" t="n">
        <x:v>0.0006497489710689678</x:v>
      </x:c>
      <x:c r="R93" s="13" t="n">
        <x:v>0.20230856086837434</x:v>
      </x:c>
      <x:c r="S93" s="13" t="n">
        <x:v>0.5598553188719325</x:v>
      </x:c>
      <x:c r="T93" s="13" t="n">
        <x:v>0.7777777777777778</x:v>
      </x:c>
      <x:c r="U93" s="13" t="n">
        <x:v>0.0025825164683475764</x:v>
      </x:c>
      <x:c r="V93" s="13" t="n">
        <x:v>0.0027323526227972304</x:v>
      </x:c>
      <x:c r="W93" s="13" t="n">
        <x:v>0.0037048014226437496</x:v>
      </x:c>
      <x:c r="X93" s="13" t="n">
        <x:v>0.005668291576918725</x:v>
      </x:c>
      <x:c r="Y93" s="13" t="n">
        <x:v>0.003306257511038763</x:v>
      </x:c>
      <x:c r="Z93" s="13" t="n">
        <x:v>0.0024299048967444214</x:v>
      </x:c>
      <x:c r="AA93" s="13" t="n">
        <x:v>0.00408575631063634</x:v>
      </x:c>
      <x:c r="AB93" s="13" t="n">
        <x:v>0.09454401141477076</x:v>
      </x:c>
      <x:c r="AC93" s="13" t="n">
        <x:v>0.31161764619394394</x:v>
      </x:c>
      <x:c r="AD93" s="13" t="n">
        <x:v>0.37162603801221544</x:v>
      </x:c>
      <x:c r="AE93" s="13" t="n">
        <x:v>0.5701299804073365</x:v>
      </x:c>
      <x:c r="AF93" s="13" t="n">
        <x:v>0.0032108804308723475</x:v>
      </x:c>
      <x:c r="AG93" s="13" t="n">
        <x:v>0.6988243905896427</x:v>
      </x:c>
      <x:c r="AH93" s="13" t="n">
        <x:v>0.7926777351809108</x:v>
      </x:c>
      <x:c r="AI93" s="13" t="n">
        <x:v>0.23529411764705882</x:v>
      </x:c>
      <x:c r="AJ93" s="13" t="n">
        <x:v>0.14796632727257336</x:v>
      </x:c>
      <x:c r="AK93" s="13" t="n">
        <x:v>0.002946301048488694</x:v>
      </x:c>
      <x:c r="AL93" s="13" t="n">
        <x:v>0.04091544770760104</x:v>
      </x:c>
      <x:c r="AM93" s="13" t="n">
        <x:v>0.07823784304285032</x:v>
      </x:c>
      <x:c r="AN93" s="13" t="n">
        <x:v>0.22455393627075337</x:v>
      </x:c>
      <x:c r="AO93" s="13" t="n">
        <x:v>0.48393686794818885</x:v>
      </x:c>
      <x:c r="AP93" s="13" t="n">
        <x:v>0.6336829392495633</x:v>
      </x:c>
    </x:row>
    <x:row r="94" ht="15" hidden="0" customHeight="1">
      <x:c r="A94" s="2" t="str">
        <x:v>E93</x:v>
      </x:c>
      <x:c r="B94" s="2" t="str">
        <x:v>***电脑设计事务所</x:v>
      </x:c>
      <x:c r="C94" s="2" t="str">
        <x:v>有信贷记录</x:v>
      </x:c>
      <x:c r="D94" s="2" t="str">
        <x:v>B</x:v>
      </x:c>
      <x:c r="E94" s="2" t="str">
        <x:v>否</x:v>
      </x:c>
      <x:c r="F94" s="13" t="n">
        <x:v>0.015772493369572694</x:v>
      </x:c>
      <x:c r="G94" s="13" t="n">
        <x:v>0.015717847845128845</x:v>
      </x:c>
      <x:c r="H94" s="13" t="n">
        <x:v>0.00909090909090909</x:v>
      </x:c>
      <x:c r="I94" s="13" t="n">
        <x:v>0.006677350427350438</x:v>
      </x:c>
      <x:c r="J94" s="13" t="n">
        <x:v>0.0010346877605387716</x:v>
      </x:c>
      <x:c r="K94" s="13" t="n">
        <x:v>0.0010688320627213809</x:v>
      </x:c>
      <x:c r="L94" s="13" t="n">
        <x:v>0.040433949588195774</x:v>
      </x:c>
      <x:c r="M94" s="13" t="n">
        <x:v>0.1842038144359113</x:v>
      </x:c>
      <x:c r="N94" s="13" t="n">
        <x:v>0.09905017952845042</x:v>
      </x:c>
      <x:c r="O94" s="13" t="n">
        <x:v>0.15238298612922452</x:v>
      </x:c>
      <x:c r="P94" s="13" t="n">
        <x:v>0.34392122203551356</x:v>
      </x:c>
      <x:c r="Q94" s="13" t="n">
        <x:v>0.0012392027022164194</x:v>
      </x:c>
      <x:c r="R94" s="13" t="n">
        <x:v>0.24644226601874888</x:v>
      </x:c>
      <x:c r="S94" s="13" t="n">
        <x:v>0.6686183896760053</x:v>
      </x:c>
      <x:c r="T94" s="13" t="n">
        <x:v>0.75</x:v>
      </x:c>
      <x:c r="U94" s="13" t="n">
        <x:v>0.012105327532281468</x:v>
      </x:c>
      <x:c r="V94" s="13" t="n">
        <x:v>0.012530748298811888</x:v>
      </x:c>
      <x:c r="W94" s="13" t="n">
        <x:v>0.008644536652835415</x:v>
      </x:c>
      <x:c r="X94" s="13" t="n">
        <x:v>0.014170728942296814</x:v>
      </x:c>
      <x:c r="Y94" s="13" t="n">
        <x:v>0.0021768524604768467</x:v>
      </x:c>
      <x:c r="Z94" s="13" t="n">
        <x:v>0.001522623064425238</x:v>
      </x:c>
      <x:c r="AA94" s="13" t="n">
        <x:v>0.010028674580652834</x:v>
      </x:c>
      <x:c r="AB94" s="13" t="n">
        <x:v>0.05813179080232526</x:v>
      </x:c>
      <x:c r="AC94" s="13" t="n">
        <x:v>0.19890488054932595</x:v>
      </x:c>
      <x:c r="AD94" s="13" t="n">
        <x:v>0.11246245504978707</x:v>
      </x:c>
      <x:c r="AE94" s="13" t="n">
        <x:v>0.194027974071723</x:v>
      </x:c>
      <x:c r="AF94" s="13" t="n">
        <x:v>0.0020980599355138545</x:v>
      </x:c>
      <x:c r="AG94" s="13" t="n">
        <x:v>0.30372643917630515</x:v>
      </x:c>
      <x:c r="AH94" s="13" t="n">
        <x:v>0.6385498380759173</x:v>
      </x:c>
      <x:c r="AI94" s="13" t="n">
        <x:v>0.8823529411764706</x:v>
      </x:c>
      <x:c r="AJ94" s="13" t="n">
        <x:v>0.14603492743972962</x:v>
      </x:c>
      <x:c r="AK94" s="13" t="n">
        <x:v>0.009185467299034149</x:v>
      </x:c>
      <x:c r="AL94" s="13" t="n">
        <x:v>0.09002691557104585</x:v>
      </x:c>
      <x:c r="AM94" s="13" t="n">
        <x:v>0.16678783731770958</x:v>
      </x:c>
      <x:c r="AN94" s="13" t="n">
        <x:v>0.1349036638525398</x:v>
      </x:c>
      <x:c r="AO94" s="13" t="n">
        <x:v>0.31595469539977095</x:v>
      </x:c>
      <x:c r="AP94" s="13" t="n">
        <x:v>0.6313447307249218</x:v>
      </x:c>
    </x:row>
    <x:row r="95" ht="15" hidden="0" customHeight="1">
      <x:c r="A95" s="2" t="str">
        <x:v>E94</x:v>
      </x:c>
      <x:c r="B95" s="2" t="str">
        <x:v>***汽车美容有限公司</x:v>
      </x:c>
      <x:c r="C95" s="2" t="str">
        <x:v>有信贷记录</x:v>
      </x:c>
      <x:c r="D95" s="2" t="str">
        <x:v>C</x:v>
      </x:c>
      <x:c r="E95" s="2" t="str">
        <x:v>否</x:v>
      </x:c>
      <x:c r="F95" s="13" t="n">
        <x:v>0.00014950230682059427</x:v>
      </x:c>
      <x:c r="G95" s="13" t="n">
        <x:v>0.00015260046451581405</x:v>
      </x:c>
      <x:c r="H95" s="13" t="n">
        <x:v>0</x:v>
      </x:c>
      <x:c r="I95" s="13" t="n">
        <x:v>0</x:v>
      </x:c>
      <x:c r="J95" s="13" t="n">
        <x:v>0.000054021233885580896</x:v>
      </x:c>
      <x:c r="K95" s="13" t="n">
        <x:v>0.00005362251373074337</x:v>
      </x:c>
      <x:c r="L95" s="13" t="n">
        <x:v>0.001866182288685959</x:v>
      </x:c>
      <x:c r="M95" s="13" t="n">
        <x:v>0</x:v>
      </x:c>
      <x:c r="N95" s="13" t="n">
        <x:v>0</x:v>
      </x:c>
      <x:c r="O95" s="13" t="n">
        <x:v>0.8939433343579338</x:v>
      </x:c>
      <x:c r="P95" s="13" t="n">
        <x:v>0.9432026119868722</x:v>
      </x:c>
      <x:c r="Q95" s="13" t="n">
        <x:v>0.00008560113639146783</x:v>
      </x:c>
      <x:c r="R95" s="13" t="n">
        <x:v>0.9264581600264554</x:v>
      </x:c>
      <x:c r="S95" s="13" t="n">
        <x:v>0.4416206986858925</x:v>
      </x:c>
      <x:c r="T95" s="13" t="n">
        <x:v>0.027777777777777776</x:v>
      </x:c>
      <x:c r="U95" s="13" t="n">
        <x:v>0.01629885900997713</x:v>
      </x:c>
      <x:c r="V95" s="13" t="n">
        <x:v>0.015983516298931338</x:v>
      </x:c>
      <x:c r="W95" s="13" t="n">
        <x:v>0.022228808535862496</x:v>
      </x:c>
      <x:c r="X95" s="13" t="n">
        <x:v>0.025507312096134264</x:v>
      </x:c>
      <x:c r="Y95" s="13" t="n">
        <x:v>0.001525759970623937</x:v>
      </x:c>
      <x:c r="Z95" s="13" t="n">
        <x:v>0.0011826007626499452</x:v>
      </x:c>
      <x:c r="AA95" s="13" t="n">
        <x:v>0.021914511120685824</x:v>
      </x:c>
      <x:c r="AB95" s="13" t="n">
        <x:v>0.11287397281151203</x:v>
      </x:c>
      <x:c r="AC95" s="13" t="n">
        <x:v>0.2836070712551625</x:v>
      </x:c>
      <x:c r="AD95" s="13" t="n">
        <x:v>0.1379986261451069</x:v>
      </x:c>
      <x:c r="AE95" s="13" t="n">
        <x:v>0.2013706877807468</x:v>
      </x:c>
      <x:c r="AF95" s="13" t="n">
        <x:v>0.001650207511927924</x:v>
      </x:c>
      <x:c r="AG95" s="13" t="n">
        <x:v>0.5144128353036169</x:v>
      </x:c>
      <x:c r="AH95" s="13" t="n">
        <x:v>0.7411970482540639</x:v>
      </x:c>
      <x:c r="AI95" s="13" t="n">
        <x:v>0.5588235294117647</x:v>
      </x:c>
      <x:c r="AJ95" s="13" t="n">
        <x:v>0.14571488639273636</x:v>
      </x:c>
      <x:c r="AK95" s="13" t="n">
        <x:v>0.0005917601924352606</x:v>
      </x:c>
      <x:c r="AL95" s="13" t="n">
        <x:v>0.2505244358770838</x:v>
      </x:c>
      <x:c r="AM95" s="13" t="n">
        <x:v>0.47974413646055475</x:v>
      </x:c>
      <x:c r="AN95" s="13" t="n">
        <x:v>0.5943833886382082</x:v>
      </x:c>
      <x:c r="AO95" s="13" t="n">
        <x:v>0.9187635257575207</x:v>
      </x:c>
      <x:c r="AP95" s="13" t="n">
        <x:v>0.530365889549858</x:v>
      </x:c>
    </x:row>
    <x:row r="96" ht="15" hidden="0" customHeight="1">
      <x:c r="A96" s="2" t="str">
        <x:v>E95</x:v>
      </x:c>
      <x:c r="B96" s="2" t="str">
        <x:v>***兰花店</x:v>
      </x:c>
      <x:c r="C96" s="2" t="str">
        <x:v>有信贷记录</x:v>
      </x:c>
      <x:c r="D96" s="2" t="str">
        <x:v>B</x:v>
      </x:c>
      <x:c r="E96" s="2" t="str">
        <x:v>否</x:v>
      </x:c>
      <x:c r="F96" s="13" t="n">
        <x:v>0.00014950230682059427</x:v>
      </x:c>
      <x:c r="G96" s="13" t="n">
        <x:v>0.00015260046451581405</x:v>
      </x:c>
      <x:c r="H96" s="13" t="n">
        <x:v>0</x:v>
      </x:c>
      <x:c r="I96" s="13" t="n">
        <x:v>0</x:v>
      </x:c>
      <x:c r="J96" s="13" t="n">
        <x:v>0.0000019779724557117547</x:v>
      </x:c>
      <x:c r="K96" s="13" t="n">
        <x:v>0.0000019633734281242664</x:v>
      </x:c>
      <x:c r="L96" s="13" t="n">
        <x:v>0</x:v>
      </x:c>
      <x:c r="M96" s="13" t="n">
        <x:v>0</x:v>
      </x:c>
      <x:c r="N96" s="13" t="n">
        <x:v>0</x:v>
      </x:c>
      <x:c r="O96" s="13" t="n">
        <x:v>1</x:v>
      </x:c>
      <x:c r="P96" s="13" t="n">
        <x:v>1</x:v>
      </x:c>
      <x:c r="Q96" s="13" t="n">
        <x:v>9.11940297136828e-7</x:v>
      </x:c>
      <x:c r="R96" s="13" t="n">
        <x:v>0.572760272483904</x:v>
      </x:c>
      <x:c r="S96" s="13" t="n">
        <x:v>0.3885473503236429</x:v>
      </x:c>
      <x:c r="T96" s="13" t="n">
        <x:v>0.027777777777777776</x:v>
      </x:c>
      <x:c r="U96" s="13" t="n">
        <x:v>0.07893973545805602</x:v>
      </x:c>
      <x:c r="V96" s="13" t="n">
        <x:v>0.0799997013822271</x:v>
      </x:c>
      <x:c r="W96" s="13" t="n">
        <x:v>0.060511756569847905</x:v>
      </x:c>
      <x:c r="X96" s="13" t="n">
        <x:v>0</x:v>
      </x:c>
      <x:c r="Y96" s="13" t="n">
        <x:v>0.0034620870586419454</x:v>
      </x:c>
      <x:c r="Z96" s="13" t="n">
        <x:v>0.0022839867169217555</x:v>
      </x:c>
      <x:c r="AA96" s="13" t="n">
        <x:v>0.18088757484362705</x:v>
      </x:c>
      <x:c r="AB96" s="13" t="n">
        <x:v>0.06596334640877215</x:v>
      </x:c>
      <x:c r="AC96" s="13" t="n">
        <x:v>0</x:v>
      </x:c>
      <x:c r="AD96" s="13" t="n">
        <x:v>0.029930352532960367</x:v>
      </x:c>
      <x:c r="AE96" s="13" t="n">
        <x:v>0.13172317181248008</x:v>
      </x:c>
      <x:c r="AF96" s="13" t="n">
        <x:v>0.003364421726148994</x:v>
      </x:c>
      <x:c r="AG96" s="13" t="n">
        <x:v>0.17483945224817823</x:v>
      </x:c>
      <x:c r="AH96" s="13" t="n">
        <x:v>0.47370709764299485</x:v>
      </x:c>
      <x:c r="AI96" s="13" t="n">
        <x:v>0.9117647058823529</x:v>
      </x:c>
      <x:c r="AJ96" s="13" t="n">
        <x:v>0.14853025184850618</x:v>
      </x:c>
      <x:c r="AK96" s="13" t="n">
        <x:v>0.0000072135749362823665</x:v>
      </x:c>
      <x:c r="AL96" s="13" t="n">
        <x:v>0.14712985235728906</x:v>
      </x:c>
      <x:c r="AM96" s="13" t="n">
        <x:v>0</x:v>
      </x:c>
      <x:c r="AN96" s="13" t="n">
        <x:v>0.593965711300684</x:v>
      </x:c>
      <x:c r="AO96" s="13" t="n">
        <x:v>0.4886992235854649</x:v>
      </x:c>
      <x:c r="AP96" s="13" t="n">
        <x:v>0.3658778225160543</x:v>
      </x:c>
    </x:row>
    <x:row r="97" ht="15" hidden="0" customHeight="1">
      <x:c r="A97" s="2" t="str">
        <x:v>E96</x:v>
      </x:c>
      <x:c r="B97" s="2" t="str">
        <x:v>***土地整理有限公司</x:v>
      </x:c>
      <x:c r="C97" s="2" t="str">
        <x:v>有信贷记录</x:v>
      </x:c>
      <x:c r="D97" s="2" t="str">
        <x:v>C</x:v>
      </x:c>
      <x:c r="E97" s="2" t="str">
        <x:v>否</x:v>
      </x:c>
      <x:c r="F97" s="13" t="n">
        <x:v>0.0006727603806926742</x:v>
      </x:c>
      <x:c r="G97" s="13" t="n">
        <x:v>0.0006867020903211632</x:v>
      </x:c>
      <x:c r="H97" s="13" t="n">
        <x:v>0</x:v>
      </x:c>
      <x:c r="I97" s="13" t="n">
        <x:v>0</x:v>
      </x:c>
      <x:c r="J97" s="13" t="n">
        <x:v>0.00833249971110417</x:v>
      </x:c>
      <x:c r="K97" s="13" t="n">
        <x:v>0.008270999161486367</x:v>
      </x:c>
      <x:c r="L97" s="13" t="n">
        <x:v>0.003110303814476598</x:v>
      </x:c>
      <x:c r="M97" s="13" t="n">
        <x:v>0</x:v>
      </x:c>
      <x:c r="N97" s="13" t="n">
        <x:v>0</x:v>
      </x:c>
      <x:c r="O97" s="13" t="n">
        <x:v>0.9925148286955123</x:v>
      </x:c>
      <x:c r="P97" s="13" t="n">
        <x:v>0.9961263024624142</x:v>
      </x:c>
      <x:c r="Q97" s="13" t="n">
        <x:v>0.012915136870807203</x:v>
      </x:c>
      <x:c r="R97" s="13" t="n">
        <x:v>0.985838178481958</x:v>
      </x:c>
      <x:c r="S97" s="13" t="n">
        <x:v>0.42070973576317855</x:v>
      </x:c>
      <x:c r="T97" s="13" t="n">
        <x:v>0.1388888888888889</x:v>
      </x:c>
      <x:c r="U97" s="13" t="n">
        <x:v>0.0009225769250930448</x:v>
      </x:c>
      <x:c r="V97" s="13" t="n">
        <x:v>0.001052627649766146</x:v>
      </x:c>
      <x:c r="W97" s="13" t="n">
        <x:v>0.002469867615095833</x:v>
      </x:c>
      <x:c r="X97" s="13" t="n">
        <x:v>0</x:v>
      </x:c>
      <x:c r="Y97" s="13" t="n">
        <x:v>0.0021185706075837977</x:v>
      </x:c>
      <x:c r="Z97" s="13" t="n">
        <x:v>0.001396456189012014</x:v>
      </x:c>
      <x:c r="AA97" s="13" t="n">
        <x:v>0.0003714323918760309</x:v>
      </x:c>
      <x:c r="AB97" s="13" t="n">
        <x:v>0.12290721483920199</x:v>
      </x:c>
      <x:c r="AC97" s="13" t="n">
        <x:v>0</x:v>
      </x:c>
      <x:c r="AD97" s="13" t="n">
        <x:v>0.7592261577412938</x:v>
      </x:c>
      <x:c r="AE97" s="13" t="n">
        <x:v>0.8594083676035379</x:v>
      </x:c>
      <x:c r="AF97" s="13" t="n">
        <x:v>0.0038952991417471406</x:v>
      </x:c>
      <x:c r="AG97" s="13" t="n">
        <x:v>0.7871739947085856</x:v>
      </x:c>
      <x:c r="AH97" s="13" t="n">
        <x:v>1</x:v>
      </x:c>
      <x:c r="AI97" s="13" t="n">
        <x:v>0</x:v>
      </x:c>
      <x:c r="AJ97" s="13" t="n">
        <x:v>0.14136974666331162</x:v>
      </x:c>
      <x:c r="AK97" s="13" t="n">
        <x:v>0.07720395552779637</x:v>
      </x:c>
      <x:c r="AL97" s="13" t="n">
        <x:v>0.17846365435332087</x:v>
      </x:c>
      <x:c r="AM97" s="13" t="n">
        <x:v>0</x:v>
      </x:c>
      <x:c r="AN97" s="13" t="n">
        <x:v>1</x:v>
      </x:c>
      <x:c r="AO97" s="13" t="n">
        <x:v>1</x:v>
      </x:c>
      <x:c r="AP97" s="13" t="n">
        <x:v>0.7592805190620203</x:v>
      </x:c>
    </x:row>
    <x:row r="98" ht="15" hidden="0" customHeight="1">
      <x:c r="A98" s="2" t="str">
        <x:v>E97</x:v>
      </x:c>
      <x:c r="B98" s="2" t="str">
        <x:v>***美工装饰部</x:v>
      </x:c>
      <x:c r="C98" s="2" t="str">
        <x:v>有信贷记录</x:v>
      </x:c>
      <x:c r="D98" s="2" t="str">
        <x:v>B</x:v>
      </x:c>
      <x:c r="E98" s="2" t="str">
        <x:v>否</x:v>
      </x:c>
      <x:c r="F98" s="13" t="n">
        <x:v>0.00052325807387208</x:v>
      </x:c>
      <x:c r="G98" s="13" t="n">
        <x:v>0.0005341016258053491</x:v>
      </x:c>
      <x:c r="H98" s="13" t="n">
        <x:v>0</x:v>
      </x:c>
      <x:c r="I98" s="13" t="n">
        <x:v>0</x:v>
      </x:c>
      <x:c r="J98" s="13" t="n">
        <x:v>0.00006611492706635138</x:v>
      </x:c>
      <x:c r="K98" s="13" t="n">
        <x:v>0.00006562694572899797</x:v>
      </x:c>
      <x:c r="L98" s="13" t="n">
        <x:v>0.0006220607628953196</x:v>
      </x:c>
      <x:c r="M98" s="13" t="n">
        <x:v>0</x:v>
      </x:c>
      <x:c r="N98" s="13" t="n">
        <x:v>0</x:v>
      </x:c>
      <x:c r="O98" s="13" t="n">
        <x:v>0.9719311883763673</x:v>
      </x:c>
      <x:c r="P98" s="13" t="n">
        <x:v>0.9853076419613453</x:v>
      </x:c>
      <x:c r="Q98" s="13" t="n">
        <x:v>0.00014400420433132097</x:v>
      </x:c>
      <x:c r="R98" s="13" t="n">
        <x:v>0.21130048039686913</x:v>
      </x:c>
      <x:c r="S98" s="13" t="n">
        <x:v>0.4962879840294018</x:v>
      </x:c>
      <x:c r="T98" s="13" t="n">
        <x:v>0.19444444444444445</x:v>
      </x:c>
      <x:c r="U98" s="13" t="n">
        <x:v>0.02223969527004598</x:v>
      </x:c>
      <x:c r="V98" s="13" t="n">
        <x:v>0.02316900646134209</x:v>
      </x:c>
      <x:c r="W98" s="13" t="n">
        <x:v>0.011114404267931248</x:v>
      </x:c>
      <x:c r="X98" s="13" t="n">
        <x:v>0.01133658315383745</x:v>
      </x:c>
      <x:c r="Y98" s="13" t="n">
        <x:v>0.0013998097726353879</x:v>
      </x:c>
      <x:c r="Z98" s="13" t="n">
        <x:v>0.0009449665257692437</x:v>
      </x:c>
      <x:c r="AA98" s="13" t="n">
        <x:v>0.024143105471942008</x:v>
      </x:c>
      <x:c r="AB98" s="13" t="n">
        <x:v>0.04190018687700067</x:v>
      </x:c>
      <x:c r="AC98" s="13" t="n">
        <x:v>0.08798615892534888</x:v>
      </x:c>
      <x:c r="AD98" s="13" t="n">
        <x:v>0.10909806173262135</x:v>
      </x:c>
      <x:c r="AE98" s="13" t="n">
        <x:v>0.1813255488682251</x:v>
      </x:c>
      <x:c r="AF98" s="13" t="n">
        <x:v>0.0027286144410841482</x:v>
      </x:c>
      <x:c r="AG98" s="13" t="n">
        <x:v>0.152912158913654</x:v>
      </x:c>
      <x:c r="AH98" s="13" t="n">
        <x:v>0.736916173697361</x:v>
      </x:c>
      <x:c r="AI98" s="13" t="n">
        <x:v>0.4411764705882353</x:v>
      </x:c>
      <x:c r="AJ98" s="13" t="n">
        <x:v>0.14552629130516714</x:v>
      </x:c>
      <x:c r="AK98" s="13" t="n">
        <x:v>0.0008964473481094075</x:v>
      </x:c>
      <x:c r="AL98" s="13" t="n">
        <x:v>0.08925222639929531</x:v>
      </x:c>
      <x:c r="AM98" s="13" t="n">
        <x:v>0.14699231117141576</x:v>
      </x:c>
      <x:c r="AN98" s="13" t="n">
        <x:v>0.6240085396270212</x:v>
      </x:c>
      <x:c r="AO98" s="13" t="n">
        <x:v>0.21390877051552817</x:v>
      </x:c>
      <x:c r="AP98" s="13" t="n">
        <x:v>0.5645628564768633</x:v>
      </x:c>
    </x:row>
    <x:row r="99" ht="15" hidden="0" customHeight="1">
      <x:c r="A99" s="2" t="str">
        <x:v>E98</x:v>
      </x:c>
      <x:c r="B99" s="2" t="str">
        <x:v>***文化传播有限公司</x:v>
      </x:c>
      <x:c r="C99" s="2" t="str">
        <x:v>有信贷记录</x:v>
      </x:c>
      <x:c r="D99" s="2" t="str">
        <x:v>B</x:v>
      </x:c>
      <x:c r="E99" s="2" t="str">
        <x:v>否</x:v>
      </x:c>
      <x:c r="F99" s="13" t="n">
        <x:v>0.0036628065171045595</x:v>
      </x:c>
      <x:c r="G99" s="13" t="n">
        <x:v>0.003662411148379537</x:v>
      </x:c>
      <x:c r="H99" s="13" t="n">
        <x:v>0.0018181818181818182</x:v>
      </x:c>
      <x:c r="I99" s="13" t="n">
        <x:v>0.006677350427350438</x:v>
      </x:c>
      <x:c r="J99" s="13" t="n">
        <x:v>0.0007142704244188156</x:v>
      </x:c>
      <x:c r="K99" s="13" t="n">
        <x:v>0.0007225655125308668</x:v>
      </x:c>
      <x:c r="L99" s="13" t="n">
        <x:v>0.016173579835278312</x:v>
      </x:c>
      <x:c r="M99" s="13" t="n">
        <x:v>0.15386436264646708</x:v>
      </x:c>
      <x:c r="N99" s="13" t="n">
        <x:v>0.41204874683835374</x:v>
      </x:c>
      <x:c r="O99" s="13" t="n">
        <x:v>0.25457124558445016</x:v>
      </x:c>
      <x:c r="P99" s="13" t="n">
        <x:v>0.4459518214927644</x:v>
      </x:c>
      <x:c r="Q99" s="13" t="n">
        <x:v>0.0008546520282747557</x:v>
      </x:c>
      <x:c r="R99" s="13" t="n">
        <x:v>0.5314762907603705</x:v>
      </x:c>
      <x:c r="S99" s="13" t="n">
        <x:v>0.7699456445006898</x:v>
      </x:c>
      <x:c r="T99" s="13" t="n">
        <x:v>0.5</x:v>
      </x:c>
      <x:c r="U99" s="13" t="n">
        <x:v>0.012542153727874766</x:v>
      </x:c>
      <x:c r="V99" s="13" t="n">
        <x:v>0.01178420386635363</x:v>
      </x:c>
      <x:c r="W99" s="13" t="n">
        <x:v>0.02469867615095833</x:v>
      </x:c>
      <x:c r="X99" s="13" t="n">
        <x:v>0.017004874730756177</x:v>
      </x:c>
      <x:c r="Y99" s="13" t="n">
        <x:v>0.0020643964540618086</x:v>
      </x:c>
      <x:c r="Z99" s="13" t="n">
        <x:v>0.0015436831036529034</x:v>
      </x:c>
      <x:c r="AA99" s="13" t="n">
        <x:v>0.008542945013148711</x:v>
      </x:c>
      <x:c r="AB99" s="13" t="n">
        <x:v>0.16066302593359735</x:v>
      </x:c>
      <x:c r="AC99" s="13" t="n">
        <x:v>0.2530429006687665</x:v>
      </x:c>
      <x:c r="AD99" s="13" t="n">
        <x:v>0.16604341943716394</x:v>
      </x:c>
      <x:c r="AE99" s="13" t="n">
        <x:v>0.2510397261164451</x:v>
      </x:c>
      <x:c r="AF99" s="13" t="n">
        <x:v>0.001987255270081769</x:v>
      </x:c>
      <x:c r="AG99" s="13" t="n">
        <x:v>0.3733070133525691</x:v>
      </x:c>
      <x:c r="AH99" s="13" t="n">
        <x:v>0.5844860586681047</x:v>
      </x:c>
      <x:c r="AI99" s="13" t="n">
        <x:v>0.7941176470588235</x:v>
      </x:c>
      <x:c r="AJ99" s="13" t="n">
        <x:v>0.14607446877920965</x:v>
      </x:c>
      <x:c r="AK99" s="13" t="n">
        <x:v>0.006128608583265502</x:v>
      </x:c>
      <x:c r="AL99" s="13" t="n">
        <x:v>0.28711822068661935</x:v>
      </x:c>
      <x:c r="AM99" s="13" t="n">
        <x:v>0.3710953429573447</x:v>
      </x:c>
      <x:c r="AN99" s="13" t="n">
        <x:v>0.2278544107830612</x:v>
      </x:c>
      <x:c r="AO99" s="13" t="n">
        <x:v>0.5591370287672588</x:v>
      </x:c>
      <x:c r="AP99" s="13" t="n">
        <x:v>0.6724352500741325</x:v>
      </x:c>
    </x:row>
    <x:row r="100" ht="15" hidden="0" customHeight="1">
      <x:c r="A100" s="2" t="str">
        <x:v>E99</x:v>
      </x:c>
      <x:c r="B100" s="2" t="str">
        <x:v>***建筑工程有限责任公司</x:v>
      </x:c>
      <x:c r="C100" s="2" t="str">
        <x:v>有信贷记录</x:v>
      </x:c>
      <x:c r="D100" s="2" t="str">
        <x:v>D</x:v>
      </x:c>
      <x:c r="E100" s="2" t="str">
        <x:v>是</x:v>
      </x:c>
      <x:c r="F100" s="13" t="n">
        <x:v>0.06563151269424089</x:v>
      </x:c>
      <x:c r="G100" s="13" t="n">
        <x:v>0.0663049018321212</x:v>
      </x:c>
      <x:c r="H100" s="13" t="n">
        <x:v>0.016363636363636365</x:v>
      </x:c>
      <x:c r="I100" s="13" t="n">
        <x:v>0.07345085470085481</x:v>
      </x:c>
      <x:c r="J100" s="13" t="n">
        <x:v>0.015520929476879919</x:v>
      </x:c>
      <x:c r="K100" s="13" t="n">
        <x:v>0.0162347557898333</x:v>
      </x:c>
      <x:c r="L100" s="13" t="n">
        <x:v>0.04976486103162557</x:v>
      </x:c>
      <x:c r="M100" s="13" t="n">
        <x:v>0.08025425278946409</x:v>
      </x:c>
      <x:c r="N100" s="13" t="n">
        <x:v>0.26019151637324284</x:v>
      </x:c>
      <x:c r="O100" s="13" t="n">
        <x:v>0.23343178393980063</x:v>
      </x:c>
      <x:c r="P100" s="13" t="n">
        <x:v>0.4457289540227239</x:v>
      </x:c>
      <x:c r="Q100" s="13" t="n">
        <x:v>0.022207607253716195</x:v>
      </x:c>
      <x:c r="R100" s="13" t="n">
        <x:v>0.4910088401894298</x:v>
      </x:c>
      <x:c r="S100" s="13" t="n">
        <x:v>0.6236881226576357</x:v>
      </x:c>
      <x:c r="T100" s="13" t="n">
        <x:v>0.6388888888888888</x:v>
      </x:c>
      <x:c r="U100" s="13" t="n">
        <x:v>0</x:v>
      </x:c>
      <x:c r="V100" s="13" t="n">
        <x:v>0</x:v>
      </x:c>
      <x:c r="W100" s="13" t="n">
        <x:v>0.0037048014226437496</x:v>
      </x:c>
      <x:c r="X100" s="13" t="n">
        <x:v>0</x:v>
      </x:c>
      <x:c r="Y100" s="13" t="n">
        <x:v>0.0017503079890876627</x:v>
      </x:c>
      <x:c r="Z100" s="13" t="n">
        <x:v>0.0011531809273314616</x:v>
      </x:c>
      <x:c r="AA100" s="13" t="n">
        <x:v>0.0003714323918760309</x:v>
      </x:c>
      <x:c r="AB100" s="13" t="n">
        <x:v>0.4609020556470074</x:v>
      </x:c>
      <x:c r="AC100" s="13" t="n">
        <x:v>0</x:v>
      </x:c>
      <x:c r="AD100" s="13" t="n">
        <x:v>0.6153367944674569</x:v>
      </x:c>
      <x:c r="AE100" s="13" t="n">
        <x:v>0.7277233941703486</x:v>
      </x:c>
      <x:c r="AF100" s="13" t="n">
        <x:v>0.003597944489997799</x:v>
      </x:c>
      <x:c r="AG100" s="13" t="n">
        <x:v>0.5381449147179461</x:v>
      </x:c>
      <x:c r="AH100" s="13" t="n">
        <x:v>0.2743662538887848</x:v>
      </x:c>
      <x:c r="AI100" s="13" t="n">
        <x:v>0</x:v>
      </x:c>
      <x:c r="AJ100" s="13" t="n">
        <x:v>0.13632776084218676</x:v>
      </x:c>
      <x:c r="AK100" s="13" t="n">
        <x:v>0.18176769696090944</x:v>
      </x:c>
      <x:c r="AL100" s="13" t="n">
        <x:v>0.034243479220233984</x:v>
      </x:c>
      <x:c r="AM100" s="13" t="n">
        <x:v>0.12182239487494045</x:v>
      </x:c>
      <x:c r="AN100" s="13" t="n">
        <x:v>0.48114130385813597</x:v>
      </x:c>
      <x:c r="AO100" s="13" t="n">
        <x:v>0.6131319451605644</x:v>
      </x:c>
      <x:c r="AP100" s="13" t="n">
        <x:v>0.4255261069627015</x:v>
      </x:c>
    </x:row>
    <x:row r="101" ht="15" hidden="0" customHeight="1">
      <x:c r="A101" s="2" t="str">
        <x:v>E100</x:v>
      </x:c>
      <x:c r="B101" s="2" t="str">
        <x:v>***装饰工程有限公司</x:v>
      </x:c>
      <x:c r="C101" s="2" t="str">
        <x:v>有信贷记录</x:v>
      </x:c>
      <x:c r="D101" s="2" t="str">
        <x:v>D</x:v>
      </x:c>
      <x:c r="E101" s="2" t="str">
        <x:v>是</x:v>
      </x:c>
      <x:c r="F101" s="13" t="n">
        <x:v>0.00418606459097664</x:v>
      </x:c>
      <x:c r="G101" s="13" t="n">
        <x:v>0.004272813006442793</x:v>
      </x:c>
      <x:c r="H101" s="13" t="n">
        <x:v>0</x:v>
      </x:c>
      <x:c r="I101" s="13" t="n">
        <x:v>0</x:v>
      </x:c>
      <x:c r="J101" s="13" t="n">
        <x:v>0.00007789727780071935</x:v>
      </x:c>
      <x:c r="K101" s="13" t="n">
        <x:v>0.00007732233323851426</x:v>
      </x:c>
      <x:c r="L101" s="13" t="n">
        <x:v>0.012441215257906393</x:v>
      </x:c>
      <x:c r="M101" s="13" t="n">
        <x:v>0</x:v>
      </x:c>
      <x:c r="N101" s="13" t="n">
        <x:v>0</x:v>
      </x:c>
      <x:c r="O101" s="13" t="n">
        <x:v>0.11196563996211505</x:v>
      </x:c>
      <x:c r="P101" s="13" t="n">
        <x:v>0.20605872486566099</x:v>
      </x:c>
      <x:c r="Q101" s="13" t="n">
        <x:v>0.00008509982339544592</x:v>
      </x:c>
      <x:c r="R101" s="13" t="n">
        <x:v>0.27259559176921394</x:v>
      </x:c>
      <x:c r="S101" s="13" t="n">
        <x:v>0.6880827224701709</x:v>
      </x:c>
      <x:c r="T101" s="13" t="n">
        <x:v>0.6944444444444444</x:v>
      </x:c>
      <x:c r="U101" s="13" t="n">
        <x:v>0.00782443081546715</x:v>
      </x:c>
      <x:c r="V101" s="13" t="n">
        <x:v>0.008518071974348743</x:v>
      </x:c>
      <x:c r="W101" s="13" t="n">
        <x:v>0.0012349338075479165</x:v>
      </x:c>
      <x:c r="X101" s="13" t="n">
        <x:v>0.04251218682689044</x:v>
      </x:c>
      <x:c r="Y101" s="13" t="n">
        <x:v>0.0009378039323133814</x:v>
      </x:c>
      <x:c r="Z101" s="13" t="n">
        <x:v>0.0008701017688443301</x:v>
      </x:c>
      <x:c r="AA101" s="13" t="n">
        <x:v>0.00408575631063634</x:v>
      </x:c>
      <x:c r="AB101" s="13" t="n">
        <x:v>0.012414870185777978</x:v>
      </x:c>
      <x:c r="AC101" s="13" t="n">
        <x:v>0.858538412983315</x:v>
      </x:c>
      <x:c r="AD101" s="13" t="n">
        <x:v>0.16937722978803949</x:v>
      </x:c>
      <x:c r="AE101" s="13" t="n">
        <x:v>0.22841809428871174</x:v>
      </x:c>
      <x:c r="AF101" s="13" t="n">
        <x:v>0.0008772060034386781</x:v>
      </x:c>
      <x:c r="AG101" s="13" t="n">
        <x:v>0.5479505411262858</x:v>
      </x:c>
      <x:c r="AH101" s="13" t="n">
        <x:v>0.4675258537313121</x:v>
      </x:c>
      <x:c r="AI101" s="13" t="n">
        <x:v>0.7352941176470589</x:v>
      </x:c>
      <x:c r="AJ101" s="13" t="n">
        <x:v>0.14485494644657773</x:v>
      </x:c>
      <x:c r="AK101" s="13" t="n">
        <x:v>0.0011398438216550363</x:v>
      </x:c>
      <x:c r="AL101" s="13" t="n">
        <x:v>0.014042133985467112</x:v>
      </x:c>
      <x:c r="AM101" s="13" t="n">
        <x:v>0.9328358208955232</x:v>
      </x:c>
      <x:c r="AN101" s="13" t="n">
        <x:v>0.14437452314209298</x:v>
      </x:c>
      <x:c r="AO101" s="13" t="n">
        <x:v>0.45876992430350877</x:v>
      </x:c>
      <x:c r="AP101" s="13" t="n">
        <x:v>0.5616003075697521</x:v>
      </x:c>
    </x:row>
    <x:row r="102" ht="15" hidden="0" customHeight="1">
      <x:c r="A102" s="2" t="str">
        <x:v>E101</x:v>
      </x:c>
      <x:c r="B102" s="2" t="str">
        <x:v>***灯饰工程有限公司</x:v>
      </x:c>
      <x:c r="C102" s="2" t="str">
        <x:v>有信贷记录</x:v>
      </x:c>
      <x:c r="D102" s="2" t="str">
        <x:v>D</x:v>
      </x:c>
      <x:c r="E102" s="2" t="str">
        <x:v>是</x:v>
      </x:c>
      <x:c r="F102" s="13" t="n">
        <x:v>0.00104651614774416</x:v>
      </x:c>
      <x:c r="G102" s="13" t="n">
        <x:v>0.0010682032516106982</x:v>
      </x:c>
      <x:c r="H102" s="13" t="n">
        <x:v>0</x:v>
      </x:c>
      <x:c r="I102" s="13" t="n">
        <x:v>0</x:v>
      </x:c>
      <x:c r="J102" s="13" t="n">
        <x:v>0.00017999549346976967</x:v>
      </x:c>
      <x:c r="K102" s="13" t="n">
        <x:v>0.00017866698195930823</x:v>
      </x:c>
      <x:c r="L102" s="13" t="n">
        <x:v>0.003110303814476598</x:v>
      </x:c>
      <x:c r="M102" s="13" t="n">
        <x:v>0</x:v>
      </x:c>
      <x:c r="N102" s="13" t="n">
        <x:v>0</x:v>
      </x:c>
      <x:c r="O102" s="13" t="n">
        <x:v>0.6067839230187526</x:v>
      </x:c>
      <x:c r="P102" s="13" t="n">
        <x:v>0.7509161905732027</x:v>
      </x:c>
      <x:c r="Q102" s="13" t="n">
        <x:v>0.00044631634722485904</x:v>
      </x:c>
      <x:c r="R102" s="13" t="n">
        <x:v>0.5710000504682645</x:v>
      </x:c>
      <x:c r="S102" s="13" t="n">
        <x:v>0.14941793104113069</x:v>
      </x:c>
      <x:c r="T102" s="13" t="n">
        <x:v>0.2777777777777778</x:v>
      </x:c>
      <x:c r="U102" s="13" t="n">
        <x:v>0.0046792822071954066</x:v>
      </x:c>
      <x:c r="V102" s="13" t="n">
        <x:v>0.0023590804065681007</x:v>
      </x:c>
      <x:c r="W102" s="13" t="n">
        <x:v>0.03828294803398541</x:v>
      </x:c>
      <x:c r="X102" s="13" t="n">
        <x:v>0</x:v>
      </x:c>
      <x:c r="Y102" s="13" t="n">
        <x:v>0.0004906611529284076</x:v>
      </x:c>
      <x:c r="Z102" s="13" t="n">
        <x:v>0.00032105488927979003</x:v>
      </x:c>
      <x:c r="AA102" s="13" t="n">
        <x:v>0</x:v>
      </x:c>
      <x:c r="AB102" s="13" t="n">
        <x:v>0.6047815333357557</x:v>
      </x:c>
      <x:c r="AC102" s="13" t="n">
        <x:v>0</x:v>
      </x:c>
      <x:c r="AD102" s="13" t="n">
        <x:v>0.6295321559293325</x:v>
      </x:c>
      <x:c r="AE102" s="13" t="n">
        <x:v>0.7429658267024685</x:v>
      </x:c>
      <x:c r="AF102" s="13" t="n">
        <x:v>0.001503621947460626</x:v>
      </x:c>
      <x:c r="AG102" s="13" t="n">
        <x:v>0.4891531696958463</x:v>
      </x:c>
      <x:c r="AH102" s="13" t="n">
        <x:v>0.057856399948218</x:v>
      </x:c>
      <x:c r="AI102" s="13" t="n">
        <x:v>0</x:v>
      </x:c>
      <x:c r="AJ102" s="13" t="n">
        <x:v>0.14414826273970258</x:v>
      </x:c>
      <x:c r="AK102" s="13" t="n">
        <x:v>0.006347789688032496</x:v>
      </x:c>
      <x:c r="AL102" s="13" t="n">
        <x:v>1</x:v>
      </x:c>
      <x:c r="AM102" s="13" t="n">
        <x:v>0</x:v>
      </x:c>
      <x:c r="AN102" s="13" t="n">
        <x:v>0.7132672204031977</x:v>
      </x:c>
      <x:c r="AO102" s="13" t="n">
        <x:v>0.6466628805190751</x:v>
      </x:c>
      <x:c r="AP102" s="13" t="n">
        <x:v>0.006257645954495368</x:v>
      </x:c>
    </x:row>
    <x:row r="103" ht="15" hidden="0" customHeight="1">
      <x:c r="A103" s="2" t="str">
        <x:v>E102</x:v>
      </x:c>
      <x:c r="B103" s="2" t="str">
        <x:v>***大药房有限责任公司</x:v>
      </x:c>
      <x:c r="C103" s="2" t="str">
        <x:v>有信贷记录</x:v>
      </x:c>
      <x:c r="D103" s="2" t="str">
        <x:v>D</x:v>
      </x:c>
      <x:c r="E103" s="2" t="str">
        <x:v>是</x:v>
      </x:c>
      <x:c r="F103" s="13" t="n">
        <x:v>0.05441883968269631</x:v>
      </x:c>
      <x:c r="G103" s="13" t="n">
        <x:v>0.05402056443859817</x:v>
      </x:c>
      <x:c r="H103" s="13" t="n">
        <x:v>0.03636363636363636</x:v>
      </x:c>
      <x:c r="I103" s="13" t="n">
        <x:v>0.04674145299145307</x:v>
      </x:c>
      <x:c r="J103" s="13" t="n">
        <x:v>0.012517201996409441</x:v>
      </x:c>
      <x:c r="K103" s="13" t="n">
        <x:v>0.01257484279584872</x:v>
      </x:c>
      <x:c r="L103" s="13" t="n">
        <x:v>0.042922192639777056</x:v>
      </x:c>
      <x:c r="M103" s="13" t="n">
        <x:v>0.2149885615060225</x:v>
      </x:c>
      <x:c r="N103" s="13" t="n">
        <x:v>0.2031226216808786</x:v>
      </x:c>
      <x:c r="O103" s="13" t="n">
        <x:v>0.14915456178109468</x:v>
      </x:c>
      <x:c r="P103" s="13" t="n">
        <x:v>0.277252709119879</x:v>
      </x:c>
      <x:c r="Q103" s="13" t="n">
        <x:v>0.012252263957240096</x:v>
      </x:c>
      <x:c r="R103" s="13" t="n">
        <x:v>0.018576880273208203</x:v>
      </x:c>
      <x:c r="S103" s="13" t="n">
        <x:v>0.5489234569218218</x:v>
      </x:c>
      <x:c r="T103" s="13" t="n">
        <x:v>1</x:v>
      </x:c>
      <x:c r="U103" s="13" t="n">
        <x:v>0.014638919466722597</x:v>
      </x:c>
      <x:c r="V103" s="13" t="n">
        <x:v>0.013463928839384713</x:v>
      </x:c>
      <x:c r="W103" s="13" t="n">
        <x:v>0.032108278996245826</x:v>
      </x:c>
      <x:c r="X103" s="13" t="n">
        <x:v>0.008502437365378089</x:v>
      </x:c>
      <x:c r="Y103" s="13" t="n">
        <x:v>0.0005601848393028998</x:v>
      </x:c>
      <x:c r="Z103" s="13" t="n">
        <x:v>0.00042909579980484865</x:v>
      </x:c>
      <x:c r="AA103" s="13" t="n">
        <x:v>0.03825753636323118</x:v>
      </x:c>
      <x:c r="AB103" s="13" t="n">
        <x:v>0.18054167151521194</x:v>
      </x:c>
      <x:c r="AC103" s="13" t="n">
        <x:v>0.11143942314220513</x:v>
      </x:c>
      <x:c r="AD103" s="13" t="n">
        <x:v>0.3183705076685703</x:v>
      </x:c>
      <x:c r="AE103" s="13" t="n">
        <x:v>0.5339778400369951</x:v>
      </x:c>
      <x:c r="AF103" s="13" t="n">
        <x:v>0.0004881199624852885</x:v>
      </x:c>
      <x:c r="AG103" s="13" t="n">
        <x:v>0.38545033537034773</x:v>
      </x:c>
      <x:c r="AH103" s="13" t="n">
        <x:v>0.5672875748179992</x:v>
      </x:c>
      <x:c r="AI103" s="13" t="n">
        <x:v>0.5294117647058824</x:v>
      </x:c>
      <x:c r="AJ103" s="13" t="n">
        <x:v>0.13650311757871142</x:v>
      </x:c>
      <x:c r="AK103" s="13" t="n">
        <x:v>0.34654444493393494</x:v>
      </x:c>
      <x:c r="AL103" s="13" t="n">
        <x:v>0.13944284122446374</x:v>
      </x:c>
      <x:c r="AM103" s="13" t="n">
        <x:v>0.11267703295369849</x:v>
      </x:c>
      <x:c r="AN103" s="13" t="n">
        <x:v>0.2548541001184561</x:v>
      </x:c>
      <x:c r="AO103" s="13" t="n">
        <x:v>0.19113499006253165</x:v>
      </x:c>
      <x:c r="AP103" s="13" t="n">
        <x:v>0.5174983614055917</x:v>
      </x:c>
    </x:row>
    <x:row r="104" ht="15" hidden="0" customHeight="1">
      <x:c r="A104" s="2" t="str">
        <x:v>E103</x:v>
      </x:c>
      <x:c r="B104" s="2" t="str">
        <x:v>***科技有限公司</x:v>
      </x:c>
      <x:c r="C104" s="2" t="str">
        <x:v>有信贷记录</x:v>
      </x:c>
      <x:c r="D104" s="2" t="str">
        <x:v>D</x:v>
      </x:c>
      <x:c r="E104" s="2" t="str">
        <x:v>是</x:v>
      </x:c>
      <x:c r="F104" s="13" t="n">
        <x:v>0.012707696079750513</x:v>
      </x:c>
      <x:c r="G104" s="13" t="n">
        <x:v>0.012742138787070473</x:v>
      </x:c>
      <x:c r="H104" s="13" t="n">
        <x:v>0.005454545454545455</x:v>
      </x:c>
      <x:c r="I104" s="13" t="n">
        <x:v>0</x:v>
      </x:c>
      <x:c r="J104" s="13" t="n">
        <x:v>0.0025245006522561213</x:v>
      </x:c>
      <x:c r="K104" s="13" t="n">
        <x:v>0.0025058678070107323</x:v>
      </x:c>
      <x:c r="L104" s="13" t="n">
        <x:v>0.040433949588195774</x:v>
      </x:c>
      <x:c r="M104" s="13" t="n">
        <x:v>0.13686771793552013</x:v>
      </x:c>
      <x:c r="N104" s="13" t="n">
        <x:v>0</x:v>
      </x:c>
      <x:c r="O104" s="13" t="n">
        <x:v>0.10966052401178711</x:v>
      </x:c>
      <x:c r="P104" s="13" t="n">
        <x:v>0.24485320703822025</x:v>
      </x:c>
      <x:c r="Q104" s="13" t="n">
        <x:v>0.0029324571240983287</x:v>
      </x:c>
      <x:c r="R104" s="13" t="n">
        <x:v>0.44530553215159563</x:v>
      </x:c>
      <x:c r="S104" s="13" t="n">
        <x:v>0.8068451929784811</x:v>
      </x:c>
      <x:c r="T104" s="13" t="n">
        <x:v>0.7222222222222222</x:v>
      </x:c>
      <x:c r="U104" s="13" t="n">
        <x:v>0.004766647446314066</x:v>
      </x:c>
      <x:c r="V104" s="13" t="n">
        <x:v>0.004412077595828315</x:v>
      </x:c>
      <x:c r="W104" s="13" t="n">
        <x:v>0.012349338075479164</x:v>
      </x:c>
      <x:c r="X104" s="13" t="n">
        <x:v>0.005668291576918725</x:v>
      </x:c>
      <x:c r="Y104" s="13" t="n">
        <x:v>0.0026284852760809566</x:v>
      </x:c>
      <x:c r="Z104" s="13" t="n">
        <x:v>0.0017616991858812206</x:v>
      </x:c>
      <x:c r="AA104" s="13" t="n">
        <x:v>0.006685783053768556</x:v>
      </x:c>
      <x:c r="AB104" s="13" t="n">
        <x:v>0.1920425231862531</x:v>
      </x:c>
      <x:c r="AC104" s="13" t="n">
        <x:v>0.20774509746262929</x:v>
      </x:c>
      <x:c r="AD104" s="13" t="n">
        <x:v>0.26843726068094403</x:v>
      </x:c>
      <x:c r="AE104" s="13" t="n">
        <x:v>0.43216745119616756</x:v>
      </x:c>
      <x:c r="AF104" s="13" t="n">
        <x:v>0.004177034917546669</x:v>
      </x:c>
      <x:c r="AG104" s="13" t="n">
        <x:v>0.7138483634709013</x:v>
      </x:c>
      <x:c r="AH104" s="13" t="n">
        <x:v>0.8138562384920847</x:v>
      </x:c>
      <x:c r="AI104" s="13" t="n">
        <x:v>0.3235294117647059</x:v>
      </x:c>
      <x:c r="AJ104" s="13" t="n">
        <x:v>0.1457486930333179</x:v>
      </x:c>
      <x:c r="AK104" s="13" t="n">
        <x:v>0.018715672255445355</x:v>
      </x:c>
      <x:c r="AL104" s="13" t="n">
        <x:v>0.15179451723070964</x:v>
      </x:c>
      <x:c r="AM104" s="13" t="n">
        <x:v>0.08700890167994117</x:v>
      </x:c>
      <x:c r="AN104" s="13" t="n">
        <x:v>0.20163072464192822</x:v>
      </x:c>
      <x:c r="AO104" s="13" t="n">
        <x:v>0.6688124140218079</x:v>
      </x:c>
      <x:c r="AP104" s="13" t="n">
        <x:v>0.8077701988141763</x:v>
      </x:c>
    </x:row>
    <x:row r="105" ht="15" hidden="0" customHeight="1">
      <x:c r="A105" s="2" t="str">
        <x:v>E104</x:v>
      </x:c>
      <x:c r="B105" s="2" t="str">
        <x:v>***管理咨询有限责任公司</x:v>
      </x:c>
      <x:c r="C105" s="2" t="str">
        <x:v>有信贷记录</x:v>
      </x:c>
      <x:c r="D105" s="2" t="str">
        <x:v>C</x:v>
      </x:c>
      <x:c r="E105" s="2" t="str">
        <x:v>否</x:v>
      </x:c>
      <x:c r="F105" s="13" t="n">
        <x:v>0</x:v>
      </x:c>
      <x:c r="G105" s="13" t="n">
        <x:v>0</x:v>
      </x:c>
      <x:c r="H105" s="13" t="n">
        <x:v>0</x:v>
      </x:c>
      <x:c r="I105" s="13" t="n">
        <x:v>0</x:v>
      </x:c>
      <x:c r="J105" s="13" t="n">
        <x:v>0</x:v>
      </x:c>
      <x:c r="K105" s="13" t="n">
        <x:v>0</x:v>
      </x:c>
      <x:c r="L105" s="13" t="n">
        <x:v>0</x:v>
      </x:c>
      <x:c r="M105" s="13" t="n">
        <x:v>0</x:v>
      </x:c>
      <x:c r="N105" s="13" t="n">
        <x:v>0</x:v>
      </x:c>
      <x:c r="O105" s="13" t="n">
        <x:v>1</x:v>
      </x:c>
      <x:c r="P105" s="13" t="n">
        <x:v>1</x:v>
      </x:c>
      <x:c r="Q105" s="13" t="n">
        <x:v>0.000030765592690004024</x:v>
      </x:c>
      <x:c r="R105" s="13" t="n">
        <x:v>0</x:v>
      </x:c>
      <x:c r="S105" s="13" t="n">
        <x:v>0.5561143088127759</x:v>
      </x:c>
      <x:c r="T105" s="13" t="n">
        <x:v>0</x:v>
      </x:c>
      <x:c r="U105" s="13" t="n">
        <x:v>0.0010099421642117043</x:v>
      </x:c>
      <x:c r="V105" s="13" t="n">
        <x:v>0.0011459457038234286</x:v>
      </x:c>
      <x:c r="W105" s="13" t="n">
        <x:v>0.002469867615095833</x:v>
      </x:c>
      <x:c r="X105" s="13" t="n">
        <x:v>0.0028341457884593626</x:v>
      </x:c>
      <x:c r="Y105" s="13" t="n">
        <x:v>0.00030850999455991874</x:v>
      </x:c>
      <x:c r="Z105" s="13" t="n">
        <x:v>0.00031962493416431206</x:v>
      </x:c>
      <x:c r="AA105" s="13" t="n">
        <x:v>0.0029714591350082473</x:v>
      </x:c>
      <x:c r="AB105" s="13" t="n">
        <x:v>0.11705449032304949</x:v>
      </x:c>
      <x:c r="AC105" s="13" t="n">
        <x:v>0.29521671744689426</x:v>
      </x:c>
      <x:c r="AD105" s="13" t="n">
        <x:v>0.27321148936314965</x:v>
      </x:c>
      <x:c r="AE105" s="13" t="n">
        <x:v>0.44699582158899615</x:v>
      </x:c>
      <x:c r="AF105" s="13" t="n">
        <x:v>0.0008415872329362472</x:v>
      </x:c>
      <x:c r="AG105" s="13" t="n">
        <x:v>0.2826385130583565</x:v>
      </x:c>
      <x:c r="AH105" s="13" t="n">
        <x:v>0.5251435519661488</x:v>
      </x:c>
      <x:c r="AI105" s="13" t="n">
        <x:v>0.14705882352941177</x:v>
      </x:c>
      <x:c r="AJ105" s="13" t="n">
        <x:v>0.1440000926840981</x:v>
      </x:c>
      <x:c r="AK105" s="13" t="n">
        <x:v>0.000018396873439323853</x:v>
      </x:c>
      <x:c r="AL105" s="13" t="n">
        <x:v>0.25309507365296025</x:v>
      </x:c>
      <x:c r="AM105" s="13" t="n">
        <x:v>0.48507462686567204</x:v>
      </x:c>
      <x:c r="AN105" s="13" t="n">
        <x:v>0.7379732951834419</x:v>
      </x:c>
      <x:c r="AO105" s="13" t="n">
        <x:v>0.07313140715802541</x:v>
      </x:c>
      <x:c r="AP105" s="13" t="n">
        <x:v>0.5019002632476015</x:v>
      </x:c>
    </x:row>
    <x:row r="106" ht="15" hidden="0" customHeight="1">
      <x:c r="A106" s="2" t="str">
        <x:v>E105</x:v>
      </x:c>
      <x:c r="B106" s="2" t="str">
        <x:v>***建材经营部</x:v>
      </x:c>
      <x:c r="C106" s="2" t="str">
        <x:v>有信贷记录</x:v>
      </x:c>
      <x:c r="D106" s="2" t="str">
        <x:v>C</x:v>
      </x:c>
      <x:c r="E106" s="2" t="str">
        <x:v>否</x:v>
      </x:c>
      <x:c r="F106" s="13" t="n">
        <x:v>0.00029900461364118855</x:v>
      </x:c>
      <x:c r="G106" s="13" t="n">
        <x:v>0.0003052009290316281</x:v>
      </x:c>
      <x:c r="H106" s="13" t="n">
        <x:v>0</x:v>
      </x:c>
      <x:c r="I106" s="13" t="n">
        <x:v>0</x:v>
      </x:c>
      <x:c r="J106" s="13" t="n">
        <x:v>0.000027103013579994975</x:v>
      </x:c>
      <x:c r="K106" s="13" t="n">
        <x:v>0.000026902971541079914</x:v>
      </x:c>
      <x:c r="L106" s="13" t="n">
        <x:v>0.001866182288685959</x:v>
      </x:c>
      <x:c r="M106" s="13" t="n">
        <x:v>0</x:v>
      </x:c>
      <x:c r="N106" s="13" t="n">
        <x:v>0</x:v>
      </x:c>
      <x:c r="O106" s="13" t="n">
        <x:v>0.6385361002595396</x:v>
      </x:c>
      <x:c r="P106" s="13" t="n">
        <x:v>0.783495629656806</x:v>
      </x:c>
      <x:c r="Q106" s="13" t="n">
        <x:v>0.000051940676988846784</x:v>
      </x:c>
      <x:c r="R106" s="13" t="n">
        <x:v>0.4822512927015352</x:v>
      </x:c>
      <x:c r="S106" s="13" t="n">
        <x:v>0</x:v>
      </x:c>
      <x:c r="T106" s="13" t="n">
        <x:v>0.08333333333333333</x:v>
      </x:c>
      <x:c r="U106" s="13" t="n">
        <x:v>0.00983383131519632</x:v>
      </x:c>
      <x:c r="V106" s="13" t="n">
        <x:v>0.01066438721766624</x:v>
      </x:c>
      <x:c r="W106" s="13" t="n">
        <x:v>0.0012349338075479165</x:v>
      </x:c>
      <x:c r="X106" s="13" t="n">
        <x:v>0.01133658315383745</x:v>
      </x:c>
      <x:c r="Y106" s="13" t="n">
        <x:v>0.0013280857209572864</x:v>
      </x:c>
      <x:c r="Z106" s="13" t="n">
        <x:v>0.0009276288828907694</x:v>
      </x:c>
      <x:c r="AA106" s="13" t="n">
        <x:v>0.03677180679572706</x:v>
      </x:c>
      <x:c r="AB106" s="13" t="n">
        <x:v>0.010074361872065736</x:v>
      </x:c>
      <x:c r="AC106" s="13" t="n">
        <x:v>0.18542537624763608</x:v>
      </x:c>
      <x:c r="AD106" s="13" t="n">
        <x:v>0.02203886914339046</x:v>
      </x:c>
      <x:c r="AE106" s="13" t="n">
        <x:v>0.0953291658340715</x:v>
      </x:c>
      <x:c r="AF106" s="13" t="n">
        <x:v>0.0015891425534902196</x:v>
      </x:c>
      <x:c r="AG106" s="13" t="n">
        <x:v>0.22741461264989488</x:v>
      </x:c>
      <x:c r="AH106" s="13" t="n">
        <x:v>0.2934295803819756</x:v>
      </x:c>
      <x:c r="AI106" s="13" t="n">
        <x:v>0.5294117647058824</x:v>
      </x:c>
      <x:c r="AJ106" s="13" t="n">
        <x:v>0.145447707660892</x:v>
      </x:c>
      <x:c r="AK106" s="13" t="n">
        <x:v>0.0003804295452791921</x:v>
      </x:c>
      <x:c r="AL106" s="13" t="n">
        <x:v>0.018122714451751912</x:v>
      </x:c>
      <x:c r="AM106" s="13" t="n">
        <x:v>0.3055588200728643</x:v>
      </x:c>
      <x:c r="AN106" s="13" t="n">
        <x:v>0.3726950740250526</x:v>
      </x:c>
      <x:c r="AO106" s="13" t="n">
        <x:v>0.4493112361458857</x:v>
      </x:c>
      <x:c r="AP106" s="13" t="n">
        <x:v>0</x:v>
      </x:c>
    </x:row>
    <x:row r="107" ht="15" hidden="0" customHeight="1">
      <x:c r="A107" s="2" t="str">
        <x:v>E106</x:v>
      </x:c>
      <x:c r="B107" s="2" t="str">
        <x:v>***财务管理有限公司</x:v>
      </x:c>
      <x:c r="C107" s="2" t="str">
        <x:v>有信贷记录</x:v>
      </x:c>
      <x:c r="D107" s="2" t="str">
        <x:v>B</x:v>
      </x:c>
      <x:c r="E107" s="2" t="str">
        <x:v>否</x:v>
      </x:c>
      <x:c r="F107" s="13" t="n">
        <x:v>0.0025415392159501026</x:v>
      </x:c>
      <x:c r="G107" s="13" t="n">
        <x:v>0.0025179076645109317</x:v>
      </x:c>
      <x:c r="H107" s="13" t="n">
        <x:v>0.0018181818181818182</x:v>
      </x:c>
      <x:c r="I107" s="13" t="n">
        <x:v>0</x:v>
      </x:c>
      <x:c r="J107" s="13" t="n">
        <x:v>0.00017761063360059056</x:v>
      </x:c>
      <x:c r="K107" s="13" t="n">
        <x:v>0.00017629972427408367</x:v>
      </x:c>
      <x:c r="L107" s="13" t="n">
        <x:v>0.011197093732115753</x:v>
      </x:c>
      <x:c r="M107" s="13" t="n">
        <x:v>0.21797451374916169</x:v>
      </x:c>
      <x:c r="N107" s="13" t="n">
        <x:v>0</x:v>
      </x:c>
      <x:c r="O107" s="13" t="n">
        <x:v>0.3168469649106432</x:v>
      </x:c>
      <x:c r="P107" s="13" t="n">
        <x:v>0.49034099233824957</x:v>
      </x:c>
      <x:c r="Q107" s="13" t="n">
        <x:v>0.00021775876388404486</x:v>
      </x:c>
      <x:c r="R107" s="13" t="n">
        <x:v>0.4375064982015739</x:v>
      </x:c>
      <x:c r="S107" s="13" t="n">
        <x:v>0.45507373915187743</x:v>
      </x:c>
      <x:c r="T107" s="13" t="n">
        <x:v>0.4444444444444444</x:v>
      </x:c>
      <x:c r="U107" s="13" t="n">
        <x:v>0.012542153727874766</x:v>
      </x:c>
      <x:c r="V107" s="13" t="n">
        <x:v>0.012250794136640042</x:v>
      </x:c>
      <x:c r="W107" s="13" t="n">
        <x:v>0.01852400711321875</x:v>
      </x:c>
      <x:c r="X107" s="13" t="n">
        <x:v>0.01133658315383745</x:v>
      </x:c>
      <x:c r="Y107" s="13" t="n">
        <x:v>0.000806534324930406</x:v>
      </x:c>
      <x:c r="Z107" s="13" t="n">
        <x:v>0.0005743582642289472</x:v>
      </x:c>
      <x:c r="AA107" s="13" t="n">
        <x:v>0.03825753636323118</x:v>
      </x:c>
      <x:c r="AB107" s="13" t="n">
        <x:v>0.12049726945019801</x:v>
      </x:c>
      <x:c r="AC107" s="13" t="n">
        <x:v>0.16258311975336207</x:v>
      </x:c>
      <x:c r="AD107" s="13" t="n">
        <x:v>0.052935144774319084</x:v>
      </x:c>
      <x:c r="AE107" s="13" t="n">
        <x:v>0.17676015207383033</x:v>
      </x:c>
      <x:c r="AF107" s="13" t="n">
        <x:v>0.0008556445091534695</x:v>
      </x:c>
      <x:c r="AG107" s="13" t="n">
        <x:v>0.20431461240157187</x:v>
      </x:c>
      <x:c r="AH107" s="13" t="n">
        <x:v>0.6076643490212843</x:v>
      </x:c>
      <x:c r="AI107" s="13" t="n">
        <x:v>0.7941176470588235</x:v>
      </x:c>
      <x:c r="AJ107" s="13" t="n">
        <x:v>0.14460370092611938</x:v>
      </x:c>
      <x:c r="AK107" s="13" t="n">
        <x:v>0.0037820542063087123</x:v>
      </x:c>
      <x:c r="AL107" s="13" t="n">
        <x:v>0.23541343815751364</x:v>
      </x:c>
      <x:c r="AM107" s="13" t="n">
        <x:v>0.22431196618065757</x:v>
      </x:c>
      <x:c r="AN107" s="13" t="n">
        <x:v>0.1982185829427771</x:v>
      </x:c>
      <x:c r="AO107" s="13" t="n">
        <x:v>0.4049667359764698</x:v>
      </x:c>
      <x:c r="AP107" s="13" t="n">
        <x:v>0.4747533803798685</x:v>
      </x:c>
    </x:row>
    <x:row r="108" ht="15" hidden="0" customHeight="1">
      <x:c r="A108" s="2" t="str">
        <x:v>E107</x:v>
      </x:c>
      <x:c r="B108" s="2" t="str">
        <x:v>***科技有限公司</x:v>
      </x:c>
      <x:c r="C108" s="2" t="str">
        <x:v>有信贷记录</x:v>
      </x:c>
      <x:c r="D108" s="2" t="str">
        <x:v>D</x:v>
      </x:c>
      <x:c r="E108" s="2" t="str">
        <x:v>是</x:v>
      </x:c>
      <x:c r="F108" s="13" t="n">
        <x:v>0.00052325807387208</x:v>
      </x:c>
      <x:c r="G108" s="13" t="n">
        <x:v>0.0005341016258053491</x:v>
      </x:c>
      <x:c r="H108" s="13" t="n">
        <x:v>0</x:v>
      </x:c>
      <x:c r="I108" s="13" t="n">
        <x:v>0</x:v>
      </x:c>
      <x:c r="J108" s="13" t="n">
        <x:v>0.00037762847835258153</x:v>
      </x:c>
      <x:c r="K108" s="13" t="n">
        <x:v>0.00037484127645936473</x:v>
      </x:c>
      <x:c r="L108" s="13" t="n">
        <x:v>0.003732364577371918</x:v>
      </x:c>
      <x:c r="M108" s="13" t="n">
        <x:v>0</x:v>
      </x:c>
      <x:c r="N108" s="13" t="n">
        <x:v>0</x:v>
      </x:c>
      <x:c r="O108" s="13" t="n">
        <x:v>0.6788717030355136</x:v>
      </x:c>
      <x:c r="P108" s="13" t="n">
        <x:v>0.7976701610760503</x:v>
      </x:c>
      <x:c r="Q108" s="13" t="n">
        <x:v>0.0004820439797096776</x:v>
      </x:c>
      <x:c r="R108" s="13" t="n">
        <x:v>0.7180653247739494</x:v>
      </x:c>
      <x:c r="S108" s="13" t="n">
        <x:v>0.41054616317504905</x:v>
      </x:c>
      <x:c r="T108" s="13" t="n">
        <x:v>0.1388888888888889</x:v>
      </x:c>
      <x:c r="U108" s="13" t="n">
        <x:v>0.00389299505512747</x:v>
      </x:c>
      <x:c r="V108" s="13" t="n">
        <x:v>0.0025457165146826654</x:v>
      </x:c>
      <x:c r="W108" s="13" t="n">
        <x:v>0.02469867615095833</x:v>
      </x:c>
      <x:c r="X108" s="13" t="n">
        <x:v>0</x:v>
      </x:c>
      <x:c r="Y108" s="13" t="n">
        <x:v>0.0011508439943456548</x:v>
      </x:c>
      <x:c r="Z108" s="13" t="n">
        <x:v>0.0007571734238154295</x:v>
      </x:c>
      <x:c r="AA108" s="13" t="n">
        <x:v>0.0007428647837520618</x:v>
      </x:c>
      <x:c r="AB108" s="13" t="n">
        <x:v>0.45521190681185913</x:v>
      </x:c>
      <x:c r="AC108" s="13" t="n">
        <x:v>0</x:v>
      </x:c>
      <x:c r="AD108" s="13" t="n">
        <x:v>0.5743695974514511</x:v>
      </x:c>
      <x:c r="AE108" s="13" t="n">
        <x:v>0.7160838483057745</x:v>
      </x:c>
      <x:c r="AF108" s="13" t="n">
        <x:v>0.0018348655647712725</x:v>
      </x:c>
      <x:c r="AG108" s="13" t="n">
        <x:v>0.9782837861446387</x:v>
      </x:c>
      <x:c r="AH108" s="13" t="n">
        <x:v>0.9835580624703375</x:v>
      </x:c>
      <x:c r="AI108" s="13" t="n">
        <x:v>0.17647058823529413</x:v>
      </x:c>
      <x:c r="AJ108" s="13" t="n">
        <x:v>0.1449729407046857</x:v>
      </x:c>
      <x:c r="AK108" s="13" t="n">
        <x:v>0.006230797916071424</x:v>
      </x:c>
      <x:c r="AL108" s="13" t="n">
        <x:v>0.8937143289110638</x:v>
      </x:c>
      <x:c r="AM108" s="13" t="n">
        <x:v>0</x:v>
      </x:c>
      <x:c r="AN108" s="13" t="n">
        <x:v>0.7238113831515077</x:v>
      </x:c>
      <x:c r="AO108" s="13" t="n">
        <x:v>1</x:v>
      </x:c>
      <x:c r="AP108" s="13" t="n">
        <x:v>0.6268858002801208</x:v>
      </x:c>
    </x:row>
    <x:row r="109" ht="15" hidden="0" customHeight="1">
      <x:c r="A109" s="2" t="str">
        <x:v>E108</x:v>
      </x:c>
      <x:c r="B109" s="2" t="str">
        <x:v>***商贸有限公司</x:v>
      </x:c>
      <x:c r="C109" s="2" t="str">
        <x:v>有信贷记录</x:v>
      </x:c>
      <x:c r="D109" s="2" t="str">
        <x:v>D</x:v>
      </x:c>
      <x:c r="E109" s="2" t="str">
        <x:v>是</x:v>
      </x:c>
      <x:c r="F109" s="13" t="n">
        <x:v>0.016146249136624182</x:v>
      </x:c>
      <x:c r="G109" s="13" t="n">
        <x:v>0.016480850167707915</x:v>
      </x:c>
      <x:c r="H109" s="13" t="n">
        <x:v>0</x:v>
      </x:c>
      <x:c r="I109" s="13" t="n">
        <x:v>0.026709401709401753</x:v>
      </x:c>
      <x:c r="J109" s="13" t="n">
        <x:v>0.0003615889354485265</x:v>
      </x:c>
      <x:c r="K109" s="13" t="n">
        <x:v>0.0003623341461330338</x:v>
      </x:c>
      <x:c r="L109" s="13" t="n">
        <x:v>0.042922192639777056</x:v>
      </x:c>
      <x:c r="M109" s="13" t="n">
        <x:v>0</x:v>
      </x:c>
      <x:c r="N109" s="13" t="n">
        <x:v>0.3780263732461961</x:v>
      </x:c>
      <x:c r="O109" s="13" t="n">
        <x:v>0.06449395482735865</x:v>
      </x:c>
      <x:c r="P109" s="13" t="n">
        <x:v>0.15321041763774185</x:v>
      </x:c>
      <x:c r="Q109" s="13" t="n">
        <x:v>0.0004960108972496343</x:v>
      </x:c>
      <x:c r="R109" s="13" t="n">
        <x:v>0.26944383001056454</x:v>
      </x:c>
      <x:c r="S109" s="13" t="n">
        <x:v>0.5597242005786652</x:v>
      </x:c>
      <x:c r="T109" s="13" t="n">
        <x:v>0.6388888888888888</x:v>
      </x:c>
      <x:c r="U109" s="13" t="n">
        <x:v>0.002058325033635619</x:v>
      </x:c>
      <x:c r="V109" s="13" t="n">
        <x:v>0.002452398460625383</x:v>
      </x:c>
      <x:c r="W109" s="13" t="n">
        <x:v>0</x:v>
      </x:c>
      <x:c r="X109" s="13" t="n">
        <x:v>0.0028341457884593626</x:v>
      </x:c>
      <x:c r="Y109" s="13" t="n">
        <x:v>0.00019891143884718994</x:v>
      </x:c>
      <x:c r="Z109" s="13" t="n">
        <x:v>0.0001283262300923154</x:v>
      </x:c>
      <x:c r="AA109" s="13" t="n">
        <x:v>0.006314350661892525</x:v>
      </x:c>
      <x:c r="AB109" s="13" t="n">
        <x:v>0</x:v>
      </x:c>
      <x:c r="AC109" s="13" t="n">
        <x:v>0.16997326156033307</x:v>
      </x:c>
      <x:c r="AD109" s="13" t="n">
        <x:v>0.22012963486905107</x:v>
      </x:c>
      <x:c r="AE109" s="13" t="n">
        <x:v>0.40911700768545445</x:v>
      </x:c>
      <x:c r="AF109" s="13" t="n">
        <x:v>0.0005304302411092888</x:v>
      </x:c>
      <x:c r="AG109" s="13" t="n">
        <x:v>0.5445509783761965</x:v>
      </x:c>
      <x:c r="AH109" s="13" t="n">
        <x:v>0.08650666295346945</x:v>
      </x:c>
      <x:c r="AI109" s="13" t="n">
        <x:v>0</x:v>
      </x:c>
      <x:c r="AJ109" s="13" t="n">
        <x:v>0.14361498869838216</x:v>
      </x:c>
      <x:c r="AK109" s="13" t="n">
        <x:v>0.025521382968451058</x:v>
      </x:c>
      <x:c r="AL109" s="13" t="n">
        <x:v>0</x:v>
      </x:c>
      <x:c r="AM109" s="13" t="n">
        <x:v>0.19325682345245898</x:v>
      </x:c>
      <x:c r="AN109" s="13" t="n">
        <x:v>0.1459704769085083</x:v>
      </x:c>
      <x:c r="AO109" s="13" t="n">
        <x:v>0.4547483530013967</x:v>
      </x:c>
      <x:c r="AP109" s="13" t="n">
        <x:v>0.292299142146378</x:v>
      </x:c>
    </x:row>
    <x:row r="110" ht="15" hidden="0" customHeight="1">
      <x:c r="A110" s="2" t="str">
        <x:v>E109</x:v>
      </x:c>
      <x:c r="B110" s="2" t="str">
        <x:v>***服饰有限公司</x:v>
      </x:c>
      <x:c r="C110" s="2" t="str">
        <x:v>有信贷记录</x:v>
      </x:c>
      <x:c r="D110" s="2" t="str">
        <x:v>D</x:v>
      </x:c>
      <x:c r="E110" s="2" t="str">
        <x:v>是</x:v>
      </x:c>
      <x:c r="F110" s="13" t="n">
        <x:v>0.0005980092272823771</x:v>
      </x:c>
      <x:c r="G110" s="13" t="n">
        <x:v>0.0006104018580632562</x:v>
      </x:c>
      <x:c r="H110" s="13" t="n">
        <x:v>0</x:v>
      </x:c>
      <x:c r="I110" s="13" t="n">
        <x:v>0</x:v>
      </x:c>
      <x:c r="J110" s="13" t="n">
        <x:v>0.000009619516562293671</x:v>
      </x:c>
      <x:c r="K110" s="13" t="n">
        <x:v>0.000009548516793178742</x:v>
      </x:c>
      <x:c r="L110" s="13" t="n">
        <x:v>0.003732364577371918</x:v>
      </x:c>
      <x:c r="M110" s="13" t="n">
        <x:v>0</x:v>
      </x:c>
      <x:c r="N110" s="13" t="n">
        <x:v>0</x:v>
      </x:c>
      <x:c r="O110" s="13" t="n">
        <x:v>0.170501242597112</x:v>
      </x:c>
      <x:c r="P110" s="13" t="n">
        <x:v>0.2208038014136451</x:v>
      </x:c>
      <x:c r="Q110" s="13" t="n">
        <x:v>0.00001555405797616838</x:v>
      </x:c>
      <x:c r="R110" s="13" t="n">
        <x:v>0.35025358794167116</x:v>
      </x:c>
      <x:c r="S110" s="13" t="n">
        <x:v>1</x:v>
      </x:c>
      <x:c r="T110" s="13" t="n">
        <x:v>0.1388888888888889</x:v>
      </x:c>
      <x:c r="U110" s="13" t="n">
        <x:v>0.002058325033635619</x:v>
      </x:c>
      <x:c r="V110" s="13" t="n">
        <x:v>0.0015192179200525585</x:v>
      </x:c>
      <x:c r="W110" s="13" t="n">
        <x:v>0.012349338075479164</x:v>
      </x:c>
      <x:c r="X110" s="13" t="n">
        <x:v>0</x:v>
      </x:c>
      <x:c r="Y110" s="13" t="n">
        <x:v>0.0005869763733876958</x:v>
      </x:c>
      <x:c r="Z110" s="13" t="n">
        <x:v>0.00038468097915211685</x:v>
      </x:c>
      <x:c r="AA110" s="13" t="n">
        <x:v>0.005571485878140463</x:v>
      </x:c>
      <x:c r="AB110" s="13" t="n">
        <x:v>0.37244610557333935</x:v>
      </x:c>
      <x:c r="AC110" s="13" t="n">
        <x:v>0</x:v>
      </x:c>
      <x:c r="AD110" s="13" t="n">
        <x:v>0.15204622011938018</x:v>
      </x:c>
      <x:c r="AE110" s="13" t="n">
        <x:v>0.2687695991480335</x:v>
      </x:c>
      <x:c r="AF110" s="13" t="n">
        <x:v>0.0008545006521523471</x:v>
      </x:c>
      <x:c r="AG110" s="13" t="n">
        <x:v>0.5668592198191958</x:v>
      </x:c>
      <x:c r="AH110" s="13" t="n">
        <x:v>1</x:v>
      </x:c>
      <x:c r="AI110" s="13" t="n">
        <x:v>0.23529411764705882</x:v>
      </x:c>
      <x:c r="AJ110" s="13" t="n">
        <x:v>0.14439363596097152</x:v>
      </x:c>
      <x:c r="AK110" s="13" t="n">
        <x:v>0.00033135473914877925</x:v>
      </x:c>
      <x:c r="AL110" s="13" t="n">
        <x:v>0.6536363084988284</x:v>
      </x:c>
      <x:c r="AM110" s="13" t="n">
        <x:v>0</x:v>
      </x:c>
      <x:c r="AN110" s="13" t="n">
        <x:v>0.16919180685329732</x:v>
      </x:c>
      <x:c r="AO110" s="13" t="n">
        <x:v>0.5250007010382142</x:v>
      </x:c>
      <x:c r="AP110" s="13" t="n">
        <x:v>1</x:v>
      </x:c>
    </x:row>
    <x:row r="111" ht="15" hidden="0" customHeight="1">
      <x:c r="A111" s="2" t="str">
        <x:v>E110</x:v>
      </x:c>
      <x:c r="B111" s="2" t="str">
        <x:v>***通讯器材经营部</x:v>
      </x:c>
      <x:c r="C111" s="2" t="str">
        <x:v>有信贷记录</x:v>
      </x:c>
      <x:c r="D111" s="2" t="str">
        <x:v>C</x:v>
      </x:c>
      <x:c r="E111" s="2" t="str">
        <x:v>否</x:v>
      </x:c>
      <x:c r="F111" s="13" t="n">
        <x:v>0.00007475115341029714</x:v>
      </x:c>
      <x:c r="G111" s="13" t="n">
        <x:v>0.00007630023225790702</x:v>
      </x:c>
      <x:c r="H111" s="13" t="n">
        <x:v>0</x:v>
      </x:c>
      <x:c r="I111" s="13" t="n">
        <x:v>0</x:v>
      </x:c>
      <x:c r="J111" s="13" t="n">
        <x:v>0.000001642606883636059</x:v>
      </x:c>
      <x:c r="K111" s="13" t="n">
        <x:v>0.000001630483123701813</x:v>
      </x:c>
      <x:c r="L111" s="13" t="n">
        <x:v>0</x:v>
      </x:c>
      <x:c r="M111" s="13" t="n">
        <x:v>0</x:v>
      </x:c>
      <x:c r="N111" s="13" t="n">
        <x:v>0</x:v>
      </x:c>
      <x:c r="O111" s="13" t="n">
        <x:v>1</x:v>
      </x:c>
      <x:c r="P111" s="13" t="n">
        <x:v>1</x:v>
      </x:c>
      <x:c r="Q111" s="13" t="n">
        <x:v>4.1285160138435674e-7</x:v>
      </x:c>
      <x:c r="R111" s="13" t="n">
        <x:v>0.5524216057925021</x:v>
      </x:c>
      <x:c r="S111" s="13" t="n">
        <x:v>0.4553060426312741</x:v>
      </x:c>
      <x:c r="T111" s="13" t="n">
        <x:v>0.027777777777777776</x:v>
      </x:c>
      <x:c r="U111" s="13" t="n">
        <x:v>0.006426586989568597</x:v>
      </x:c>
      <x:c r="V111" s="13" t="n">
        <x:v>0.005158622028286574</x:v>
      </x:c>
      <x:c r="W111" s="13" t="n">
        <x:v>0.025933609958506246</x:v>
      </x:c>
      <x:c r="X111" s="13" t="n">
        <x:v>0</x:v>
      </x:c>
      <x:c r="Y111" s="13" t="n">
        <x:v>0.00020730121823260087</x:v>
      </x:c>
      <x:c r="Z111" s="13" t="n">
        <x:v>0.0001338665655112451</x:v>
      </x:c>
      <x:c r="AA111" s="13" t="n">
        <x:v>0.013000133715661081</x:v>
      </x:c>
      <x:c r="AB111" s="13" t="n">
        <x:v>0.3109700616413544</x:v>
      </x:c>
      <x:c r="AC111" s="13" t="n">
        <x:v>0</x:v>
      </x:c>
      <x:c r="AD111" s="13" t="n">
        <x:v>0.15298260750962195</x:v>
      </x:c>
      <x:c r="AE111" s="13" t="n">
        <x:v>0.25683911180950003</x:v>
      </x:c>
      <x:c r="AF111" s="13" t="n">
        <x:v>0.00026808038411122424</x:v>
      </x:c>
      <x:c r="AG111" s="13" t="n">
        <x:v>0.32068141820681567</x:v>
      </x:c>
      <x:c r="AH111" s="13" t="n">
        <x:v>0.34487019909617433</x:v>
      </x:c>
      <x:c r="AI111" s="13" t="n">
        <x:v>0.5</x:v>
      </x:c>
      <x:c r="AJ111" s="13" t="n">
        <x:v>0.14385301292550565</x:v>
      </x:c>
      <x:c r="AK111" s="13" t="n">
        <x:v>0.00022558445471452707</x:v>
      </x:c>
      <x:c r="AL111" s="13" t="n">
        <x:v>0.6865165591205041</x:v>
      </x:c>
      <x:c r="AM111" s="13" t="n">
        <x:v>0</x:v>
      </x:c>
      <x:c r="AN111" s="13" t="n">
        <x:v>0.6668051355215722</x:v>
      </x:c>
      <x:c r="AO111" s="13" t="n">
        <x:v>0.5477535349906114</x:v>
      </x:c>
      <x:c r="AP111" s="13" t="n">
        <x:v>0.34789746325532256</x:v>
      </x:c>
    </x:row>
    <x:row r="112" ht="15" hidden="0" customHeight="1">
      <x:c r="A112" s="2" t="str">
        <x:v>E111</x:v>
      </x:c>
      <x:c r="B112" s="2" t="str">
        <x:v>***科技有限公司</x:v>
      </x:c>
      <x:c r="C112" s="2" t="str">
        <x:v>有信贷记录</x:v>
      </x:c>
      <x:c r="D112" s="2" t="str">
        <x:v>D</x:v>
      </x:c>
      <x:c r="E112" s="2" t="str">
        <x:v>是</x:v>
      </x:c>
      <x:c r="F112" s="13" t="n">
        <x:v>0.02063131834124201</x:v>
      </x:c>
      <x:c r="G112" s="13" t="n">
        <x:v>0.01999066085157164</x:v>
      </x:c>
      <x:c r="H112" s="13" t="n">
        <x:v>0.025454545454545455</x:v>
      </x:c>
      <x:c r="I112" s="13" t="n">
        <x:v>0.026709401709401753</x:v>
      </x:c>
      <x:c r="J112" s="13" t="n">
        <x:v>0.0018093109839600505</x:v>
      </x:c>
      <x:c r="K112" s="13" t="n">
        <x:v>0.0038340607183141653</x:v>
      </x:c>
      <x:c r="L112" s="13" t="n">
        <x:v>0.05909577247505537</x:v>
      </x:c>
      <x:c r="M112" s="13" t="n">
        <x:v>0.39517681629344426</x:v>
      </x:c>
      <x:c r="N112" s="13" t="n">
        <x:v>0.31215814154420735</x:v>
      </x:c>
      <x:c r="O112" s="13" t="n">
        <x:v>0.1536478907754552</x:v>
      </x:c>
      <x:c r="P112" s="13" t="n">
        <x:v>0.2594233893275249</x:v>
      </x:c>
      <x:c r="Q112" s="13" t="n">
        <x:v>0.0021688711347197013</x:v>
      </x:c>
      <x:c r="R112" s="13" t="n">
        <x:v>0.3016105893683848</x:v>
      </x:c>
      <x:c r="S112" s="13" t="n">
        <x:v>0.599361674919934</x:v>
      </x:c>
      <x:c r="T112" s="13" t="n">
        <x:v>0.7777777777777778</x:v>
      </x:c>
      <x:c r="U112" s="13" t="n">
        <x:v>0.021016581922384744</x:v>
      </x:c>
      <x:c r="V112" s="13" t="n">
        <x:v>0.018409785704420683</x:v>
      </x:c>
      <x:c r="W112" s="13" t="n">
        <x:v>0.05680695514720416</x:v>
      </x:c>
      <x:c r="X112" s="13" t="n">
        <x:v>0.07935608207686215</x:v>
      </x:c>
      <x:c r="Y112" s="13" t="n">
        <x:v>0.0012183266872157772</x:v>
      </x:c>
      <x:c r="Z112" s="13" t="n">
        <x:v>0.004924918035788514</x:v>
      </x:c>
      <x:c r="AA112" s="13" t="n">
        <x:v>0.003342891526884278</x:v>
      </x:c>
      <x:c r="AB112" s="13" t="n">
        <x:v>0.22614927530413162</x:v>
      </x:c>
      <x:c r="AC112" s="13" t="n">
        <x:v>0.7698788905968028</x:v>
      </x:c>
      <x:c r="AD112" s="13" t="n">
        <x:v>0.3680867254530545</x:v>
      </x:c>
      <x:c r="AE112" s="13" t="n">
        <x:v>0.5431594437131447</x:v>
      </x:c>
      <x:c r="AF112" s="13" t="n">
        <x:v>0.0014557608884330736</x:v>
      </x:c>
      <x:c r="AG112" s="13" t="n">
        <x:v>0.3407265398196843</x:v>
      </x:c>
      <x:c r="AH112" s="13" t="n">
        <x:v>0.5138170084464968</x:v>
      </x:c>
      <x:c r="AI112" s="13" t="n">
        <x:v>0.7647058823529411</x:v>
      </x:c>
      <x:c r="AJ112" s="13" t="n">
        <x:v>0.14417113766555967</x:v>
      </x:c>
      <x:c r="AK112" s="13" t="n">
        <x:v>0.01047861578066443</x:v>
      </x:c>
      <x:c r="AL112" s="13" t="n">
        <x:v>0.31736101804987193</x:v>
      </x:c>
      <x:c r="AM112" s="13" t="n">
        <x:v>0.6633499170812609</x:v>
      </x:c>
      <x:c r="AN112" s="13" t="n">
        <x:v>0.28697559595428235</x:v>
      </x:c>
      <x:c r="AO112" s="13" t="n">
        <x:v>0.3749455609206454</x:v>
      </x:c>
      <x:c r="AP112" s="13" t="n">
        <x:v>0.5251161111380729</x:v>
      </x:c>
    </x:row>
    <x:row r="113" ht="15" hidden="0" customHeight="1">
      <x:c r="A113" s="2" t="str">
        <x:v>E112</x:v>
      </x:c>
      <x:c r="B113" s="2" t="str">
        <x:v>***机械设备有限公司</x:v>
      </x:c>
      <x:c r="C113" s="2" t="str">
        <x:v>有信贷记录</x:v>
      </x:c>
      <x:c r="D113" s="2" t="str">
        <x:v>D</x:v>
      </x:c>
      <x:c r="E113" s="2" t="str">
        <x:v>是</x:v>
      </x:c>
      <x:c r="F113" s="13" t="n">
        <x:v>0.007774119954670902</x:v>
      </x:c>
      <x:c r="G113" s="13" t="n">
        <x:v>0.007630023225790702</x:v>
      </x:c>
      <x:c r="H113" s="13" t="n">
        <x:v>0.007272727272727273</x:v>
      </x:c>
      <x:c r="I113" s="13" t="n">
        <x:v>0.013354700854700877</x:v>
      </x:c>
      <x:c r="J113" s="13" t="n">
        <x:v>0.0031472549452019904</x:v>
      </x:c>
      <x:c r="K113" s="13" t="n">
        <x:v>0.003172600482126287</x:v>
      </x:c>
      <x:c r="L113" s="13" t="n">
        <x:v>0.014929458309487671</x:v>
      </x:c>
      <x:c r="M113" s="13" t="n">
        <x:v>0.2961163205648989</x:v>
      </x:c>
      <x:c r="N113" s="13" t="n">
        <x:v>0.40396935964544484</x:v>
      </x:c>
      <x:c r="O113" s="13" t="n">
        <x:v>0.3030184549661119</x:v>
      </x:c>
      <x:c r="P113" s="13" t="n">
        <x:v>0.5166791823364472</x:v>
      </x:c>
      <x:c r="Q113" s="13" t="n">
        <x:v>0.0040352670072058535</x:v>
      </x:c>
      <x:c r="R113" s="13" t="n">
        <x:v>0.16466374174957468</x:v>
      </x:c>
      <x:c r="S113" s="13" t="n">
        <x:v>0.4314445257314382</x:v>
      </x:c>
      <x:c r="T113" s="13" t="n">
        <x:v>0.6666666666666666</x:v>
      </x:c>
      <x:c r="U113" s="13" t="n">
        <x:v>0.001097307403330364</x:v>
      </x:c>
      <x:c r="V113" s="13" t="n">
        <x:v>0.0008659915416515811</x:v>
      </x:c>
      <x:c r="W113" s="13" t="n">
        <x:v>0.007409602845287499</x:v>
      </x:c>
      <x:c r="X113" s="13" t="n">
        <x:v>0.0028341457884593626</x:v>
      </x:c>
      <x:c r="Y113" s="13" t="n">
        <x:v>0.0015407196472572906</x:v>
      </x:c>
      <x:c r="Z113" s="13" t="n">
        <x:v>0.0012108622948233691</x:v>
      </x:c>
      <x:c r="AA113" s="13" t="n">
        <x:v>0</x:v>
      </x:c>
      <x:c r="AB113" s="13" t="n">
        <x:v>0.3352014950160054</x:v>
      </x:c>
      <x:c r="AC113" s="13" t="n">
        <x:v>0.35056985196818696</x:v>
      </x:c>
      <x:c r="AD113" s="13" t="n">
        <x:v>1</x:v>
      </x:c>
      <x:c r="AE113" s="13" t="n">
        <x:v>1</x:v>
      </x:c>
      <x:c r="AF113" s="13" t="n">
        <x:v>0.002699910962065508</x:v>
      </x:c>
      <x:c r="AG113" s="13" t="n">
        <x:v>0.34504071535171277</x:v>
      </x:c>
      <x:c r="AH113" s="13" t="n">
        <x:v>0.39846072993355336</x:v>
      </x:c>
      <x:c r="AI113" s="13" t="n">
        <x:v>0.17647058823529413</x:v>
      </x:c>
      <x:c r="AJ113" s="13" t="n">
        <x:v>0.1437945131447005</x:v>
      </x:c>
      <x:c r="AK113" s="13" t="n">
        <x:v>0.033920959750896366</x:v>
      </x:c>
      <x:c r="AL113" s="13" t="n">
        <x:v>0.21694547992969743</x:v>
      </x:c>
      <x:c r="AM113" s="13" t="n">
        <x:v>0.24664811535542647</x:v>
      </x:c>
      <x:c r="AN113" s="13" t="n">
        <x:v>0.7566907416624485</x:v>
      </x:c>
      <x:c r="AO113" s="13" t="n">
        <x:v>0.27723012807414715</x:v>
      </x:c>
      <x:c r="AP113" s="13" t="n">
        <x:v>0.3579685126541929</x:v>
      </x:c>
    </x:row>
    <x:row r="114" ht="15" hidden="0" customHeight="1">
      <x:c r="A114" s="2" t="str">
        <x:v>E113</x:v>
      </x:c>
      <x:c r="B114" s="2" t="str">
        <x:v>***美居科技有限公司</x:v>
      </x:c>
      <x:c r="C114" s="2" t="str">
        <x:v>有信贷记录</x:v>
      </x:c>
      <x:c r="D114" s="2" t="str">
        <x:v>D</x:v>
      </x:c>
      <x:c r="E114" s="2" t="str">
        <x:v>是</x:v>
      </x:c>
      <x:c r="F114" s="13" t="n">
        <x:v>0.0076246176478503075</x:v>
      </x:c>
      <x:c r="G114" s="13" t="n">
        <x:v>0.007630023225790702</x:v>
      </x:c>
      <x:c r="H114" s="13" t="n">
        <x:v>0.0036363636363636364</x:v>
      </x:c>
      <x:c r="I114" s="13" t="n">
        <x:v>0</x:v>
      </x:c>
      <x:c r="J114" s="13" t="n">
        <x:v>0.004643857484030896</x:v>
      </x:c>
      <x:c r="K114" s="13" t="n">
        <x:v>0.004609582080788572</x:v>
      </x:c>
      <x:c r="L114" s="13" t="n">
        <x:v>0.02115006593844087</x:v>
      </x:c>
      <x:c r="M114" s="13" t="n">
        <x:v>0.15090543259557349</x:v>
      </x:c>
      <x:c r="N114" s="13" t="n">
        <x:v>0</x:v>
      </x:c>
      <x:c r="O114" s="13" t="n">
        <x:v>0.4828148014119545</x:v>
      </x:c>
      <x:c r="P114" s="13" t="n">
        <x:v>0.6537816723120252</x:v>
      </x:c>
      <x:c r="Q114" s="13" t="n">
        <x:v>0.005756623168115742</x:v>
      </x:c>
      <x:c r="R114" s="13" t="n">
        <x:v>0.735803331520399</x:v>
      </x:c>
      <x:c r="S114" s="13" t="n">
        <x:v>0.3903433204033307</x:v>
      </x:c>
      <x:c r="T114" s="13" t="n">
        <x:v>0.5555555555555556</x:v>
      </x:c>
      <x:c r="U114" s="13" t="n">
        <x:v>0.0032814383812968533</x:v>
      </x:c>
      <x:c r="V114" s="13" t="n">
        <x:v>0.002265762352510818</x:v>
      </x:c>
      <x:c r="W114" s="13" t="n">
        <x:v>0.019758940920766663</x:v>
      </x:c>
      <x:c r="X114" s="13" t="n">
        <x:v>0</x:v>
      </x:c>
      <x:c r="Y114" s="13" t="n">
        <x:v>0.0003966645297922556</x:v>
      </x:c>
      <x:c r="Z114" s="13" t="n">
        <x:v>0.0002589604709434483</x:v>
      </x:c>
      <x:c r="AA114" s="13" t="n">
        <x:v>0.0007428647837520618</x:v>
      </x:c>
      <x:c r="AB114" s="13" t="n">
        <x:v>0.4184075398781344</x:v>
      </x:c>
      <x:c r="AC114" s="13" t="n">
        <x:v>0</x:v>
      </x:c>
      <x:c r="AD114" s="13" t="n">
        <x:v>0.4618293741261925</x:v>
      </x:c>
      <x:c r="AE114" s="13" t="n">
        <x:v>0.5858678260252888</x:v>
      </x:c>
      <x:c r="AF114" s="13" t="n">
        <x:v>0.0007565502128606134</x:v>
      </x:c>
      <x:c r="AG114" s="13" t="n">
        <x:v>0.7199091512483637</x:v>
      </x:c>
      <x:c r="AH114" s="13" t="n">
        <x:v>0.08224419159060753</x:v>
      </x:c>
      <x:c r="AI114" s="13" t="n">
        <x:v>0</x:v>
      </x:c>
      <x:c r="AJ114" s="13" t="n">
        <x:v>0.14121085480593235</x:v>
      </x:c>
      <x:c r="AK114" s="13" t="n">
        <x:v>0.1934978887603703</x:v>
      </x:c>
      <x:c r="AL114" s="13" t="n">
        <x:v>0.33310830243851913</x:v>
      </x:c>
      <x:c r="AM114" s="13" t="n">
        <x:v>0</x:v>
      </x:c>
      <x:c r="AN114" s="13" t="n">
        <x:v>0.5397116164541628</x:v>
      </x:c>
      <x:c r="AO114" s="13" t="n">
        <x:v>0.8837980747799209</x:v>
      </x:c>
      <x:c r="AP114" s="13" t="n">
        <x:v>0.17787283249953423</x:v>
      </x:c>
    </x:row>
    <x:row r="115" ht="15" hidden="0" customHeight="1">
      <x:c r="A115" s="2" t="str">
        <x:v>E114</x:v>
      </x:c>
      <x:c r="B115" s="2" t="str">
        <x:v>***食品有限责任公司</x:v>
      </x:c>
      <x:c r="C115" s="2" t="str">
        <x:v>有信贷记录</x:v>
      </x:c>
      <x:c r="D115" s="2" t="str">
        <x:v>D</x:v>
      </x:c>
      <x:c r="E115" s="2" t="str">
        <x:v>是</x:v>
      </x:c>
      <x:c r="F115" s="13" t="n">
        <x:v>0.005531585352361988</x:v>
      </x:c>
      <x:c r="G115" s="13" t="n">
        <x:v>0.0051121155612797705</x:v>
      </x:c>
      <x:c r="H115" s="13" t="n">
        <x:v>0.012727272727272728</x:v>
      </x:c>
      <x:c r="I115" s="13" t="n">
        <x:v>0</x:v>
      </x:c>
      <x:c r="J115" s="13" t="n">
        <x:v>0.002202999332476872</x:v>
      </x:c>
      <x:c r="K115" s="13" t="n">
        <x:v>0.0021867394255518915</x:v>
      </x:c>
      <x:c r="L115" s="13" t="n">
        <x:v>0.011819154495011074</x:v>
      </x:c>
      <x:c r="M115" s="13" t="n">
        <x:v>0.7227575982209046</x:v>
      </x:c>
      <x:c r="N115" s="13" t="n">
        <x:v>0</x:v>
      </x:c>
      <x:c r="O115" s="13" t="n">
        <x:v>0.17514342225876733</x:v>
      </x:c>
      <x:c r="P115" s="13" t="n">
        <x:v>0.2618613382723056</x:v>
      </x:c>
      <x:c r="Q115" s="13" t="n">
        <x:v>0.0025586633642716585</x:v>
      </x:c>
      <x:c r="R115" s="13" t="n">
        <x:v>0.320776719454603</x:v>
      </x:c>
      <x:c r="S115" s="13" t="n">
        <x:v>0.6334209854543159</x:v>
      </x:c>
      <x:c r="T115" s="13" t="n">
        <x:v>0.6944444444444444</x:v>
      </x:c>
      <x:c r="U115" s="13" t="n">
        <x:v>0.005727665076619321</x:v>
      </x:c>
      <x:c r="V115" s="13" t="n">
        <x:v>0.005531894244515704</x:v>
      </x:c>
      <x:c r="W115" s="13" t="n">
        <x:v>0.011114404267931248</x:v>
      </x:c>
      <x:c r="X115" s="13" t="n">
        <x:v>0.0028341457884593626</x:v>
      </x:c>
      <x:c r="Y115" s="13" t="n">
        <x:v>0.00024226723551552337</x:v>
      </x:c>
      <x:c r="Z115" s="13" t="n">
        <x:v>0.00016629546880974656</x:v>
      </x:c>
      <x:c r="AA115" s="13" t="n">
        <x:v>0.007800080229396648</x:v>
      </x:c>
      <x:c r="AB115" s="13" t="n">
        <x:v>0.14748865780704237</x:v>
      </x:c>
      <x:c r="AC115" s="13" t="n">
        <x:v>0.08498663078016654</x:v>
      </x:c>
      <x:c r="AD115" s="13" t="n">
        <x:v>0.07733405755683254</x:v>
      </x:c>
      <x:c r="AE115" s="13" t="n">
        <x:v>0.1351718384631441</x:v>
      </x:c>
      <x:c r="AF115" s="13" t="n">
        <x:v>0.0001918827962460875</x:v>
      </x:c>
      <x:c r="AG115" s="13" t="n">
        <x:v>0.34352668521987967</x:v>
      </x:c>
      <x:c r="AH115" s="13" t="n">
        <x:v>0.41209496075249147</x:v>
      </x:c>
      <x:c r="AI115" s="13" t="n">
        <x:v>0.5882352941176471</x:v>
      </x:c>
      <x:c r="AJ115" s="13" t="n">
        <x:v>0.14252129374330497</x:v>
      </x:c>
      <x:c r="AK115" s="13" t="n">
        <x:v>0.12839613847511683</x:v>
      </x:c>
      <x:c r="AL115" s="13" t="n">
        <x:v>0.2956553017303852</x:v>
      </x:c>
      <x:c r="AM115" s="13" t="n">
        <x:v>0.07186290768380327</x:v>
      </x:c>
      <x:c r="AN115" s="13" t="n">
        <x:v>0.12774849176029754</x:v>
      </x:c>
      <x:c r="AO115" s="13" t="n">
        <x:v>0.3903457416981633</x:v>
      </x:c>
      <x:c r="AP115" s="13" t="n">
        <x:v>0.4985479575786874</x:v>
      </x:c>
    </x:row>
    <x:row r="116" ht="15" hidden="0" customHeight="1">
      <x:c r="A116" s="2" t="str">
        <x:v>E115</x:v>
      </x:c>
      <x:c r="B116" s="2" t="str">
        <x:v>***装饰工程有限公司</x:v>
      </x:c>
      <x:c r="C116" s="2" t="str">
        <x:v>有信贷记录</x:v>
      </x:c>
      <x:c r="D116" s="2" t="str">
        <x:v>D</x:v>
      </x:c>
      <x:c r="E116" s="2" t="str">
        <x:v>是</x:v>
      </x:c>
      <x:c r="F116" s="13" t="n">
        <x:v>0</x:v>
      </x:c>
      <x:c r="G116" s="13" t="n">
        <x:v>0</x:v>
      </x:c>
      <x:c r="H116" s="13" t="n">
        <x:v>0</x:v>
      </x:c>
      <x:c r="I116" s="13" t="n">
        <x:v>0</x:v>
      </x:c>
      <x:c r="J116" s="13" t="n">
        <x:v>0</x:v>
      </x:c>
      <x:c r="K116" s="13" t="n">
        <x:v>0</x:v>
      </x:c>
      <x:c r="L116" s="13" t="n">
        <x:v>0.0006220607628953196</x:v>
      </x:c>
      <x:c r="M116" s="13" t="n">
        <x:v>0</x:v>
      </x:c>
      <x:c r="N116" s="13" t="n">
        <x:v>0</x:v>
      </x:c>
      <x:c r="O116" s="13" t="n">
        <x:v>0.4946611450188113</x:v>
      </x:c>
      <x:c r="P116" s="13" t="n">
        <x:v>0.4784212896277597</x:v>
      </x:c>
      <x:c r="Q116" s="13" t="n">
        <x:v>0</x:v>
      </x:c>
      <x:c r="R116" s="13" t="n">
        <x:v>0.49264486426482706</x:v>
      </x:c>
      <x:c r="S116" s="13" t="n">
        <x:v>0.5561143088127759</x:v>
      </x:c>
      <x:c r="T116" s="13" t="n">
        <x:v>0</x:v>
      </x:c>
      <x:c r="U116" s="13" t="n">
        <x:v>0</x:v>
      </x:c>
      <x:c r="V116" s="13" t="n">
        <x:v>0</x:v>
      </x:c>
      <x:c r="W116" s="13" t="n">
        <x:v>0.002469867615095833</x:v>
      </x:c>
      <x:c r="X116" s="13" t="n">
        <x:v>0</x:v>
      </x:c>
      <x:c r="Y116" s="13" t="n">
        <x:v>0</x:v>
      </x:c>
      <x:c r="Z116" s="13" t="n">
        <x:v>0</x:v>
      </x:c>
      <x:c r="AA116" s="13" t="n">
        <x:v>0.0007428647837520618</x:v>
      </x:c>
      <x:c r="AB116" s="13" t="n">
        <x:v>0.4096907161306732</x:v>
      </x:c>
      <x:c r="AC116" s="13" t="n">
        <x:v>0</x:v>
      </x:c>
      <x:c r="AD116" s="13" t="n">
        <x:v>0.45562853678579035</x:v>
      </x:c>
      <x:c r="AE116" s="13" t="n">
        <x:v>0.6036859573085843</x:v>
      </x:c>
      <x:c r="AF116" s="13" t="n">
        <x:v>0.00008134324554050322</x:v>
      </x:c>
      <x:c r="AG116" s="13" t="n">
        <x:v>0.648028554994251</x:v>
      </x:c>
      <x:c r="AH116" s="13" t="n">
        <x:v>1</x:v>
      </x:c>
      <x:c r="AI116" s="13" t="n">
        <x:v>0</x:v>
      </x:c>
      <x:c r="AJ116" s="13" t="n">
        <x:v>0.14354118873197874</x:v>
      </x:c>
      <x:c r="AK116" s="13" t="n">
        <x:v>0.0004445812148983569</x:v>
      </x:c>
      <x:c r="AL116" s="13" t="n">
        <x:v>0.702956684431342</x:v>
      </x:c>
      <x:c r="AM116" s="13" t="n">
        <x:v>0</x:v>
      </x:c>
      <x:c r="AN116" s="13" t="n">
        <x:v>0.5431397623443278</x:v>
      </x:c>
      <x:c r="AO116" s="13" t="n">
        <x:v>0.669998188911431</x:v>
      </x:c>
      <x:c r="AP116" s="13" t="n">
        <x:v>0.8740404454380194</x:v>
      </x:c>
    </x:row>
    <x:row r="117" ht="15" hidden="0" customHeight="1">
      <x:c r="A117" s="2" t="str">
        <x:v>E116</x:v>
      </x:c>
      <x:c r="B117" s="2" t="str">
        <x:v>***门窗有限公司</x:v>
      </x:c>
      <x:c r="C117" s="2" t="str">
        <x:v>有信贷记录</x:v>
      </x:c>
      <x:c r="D117" s="2" t="str">
        <x:v>D</x:v>
      </x:c>
      <x:c r="E117" s="2" t="str">
        <x:v>是</x:v>
      </x:c>
      <x:c r="F117" s="13" t="n">
        <x:v>0.0005980092272823771</x:v>
      </x:c>
      <x:c r="G117" s="13" t="n">
        <x:v>0.0006104018580632562</x:v>
      </x:c>
      <x:c r="H117" s="13" t="n">
        <x:v>0</x:v>
      </x:c>
      <x:c r="I117" s="13" t="n">
        <x:v>0</x:v>
      </x:c>
      <x:c r="J117" s="13" t="n">
        <x:v>0.00000768688690076562</x:v>
      </x:c>
      <x:c r="K117" s="13" t="n">
        <x:v>0.000007630151492948328</x:v>
      </x:c>
      <x:c r="L117" s="13" t="n">
        <x:v>0.0043544253402672374</x:v>
      </x:c>
      <x:c r="M117" s="13" t="n">
        <x:v>0</x:v>
      </x:c>
      <x:c r="N117" s="13" t="n">
        <x:v>0</x:v>
      </x:c>
      <x:c r="O117" s="13" t="n">
        <x:v>0.14402811742824512</x:v>
      </x:c>
      <x:c r="P117" s="13" t="n">
        <x:v>0.20552759109625254</x:v>
      </x:c>
      <x:c r="Q117" s="13" t="n">
        <x:v>0.000012980783458390936</x:v>
      </x:c>
      <x:c r="R117" s="13" t="n">
        <x:v>0.2644488998460973</x:v>
      </x:c>
      <x:c r="S117" s="13" t="n">
        <x:v>0.7559345269890096</x:v>
      </x:c>
      <x:c r="T117" s="13" t="n">
        <x:v>0.1388888888888889</x:v>
      </x:c>
      <x:c r="U117" s="13" t="n">
        <x:v>0.0032814383812968533</x:v>
      </x:c>
      <x:c r="V117" s="13" t="n">
        <x:v>0.003385579001198208</x:v>
      </x:c>
      <x:c r="W117" s="13" t="n">
        <x:v>0.004939735230191666</x:v>
      </x:c>
      <x:c r="X117" s="13" t="n">
        <x:v>0</x:v>
      </x:c>
      <x:c r="Y117" s="13" t="n">
        <x:v>0.00026043433501064486</x:v>
      </x:c>
      <x:c r="Z117" s="13" t="n">
        <x:v>0.00016896644325845576</x:v>
      </x:c>
      <x:c r="AA117" s="13" t="n">
        <x:v>0.008542945013148711</x:v>
      </x:c>
      <x:c r="AB117" s="13" t="n">
        <x:v>0.1046018849695336</x:v>
      </x:c>
      <x:c r="AC117" s="13" t="n">
        <x:v>0</x:v>
      </x:c>
      <x:c r="AD117" s="13" t="n">
        <x:v>0.086712203028997</x:v>
      </x:c>
      <x:c r="AE117" s="13" t="n">
        <x:v>0.13141199570060677</x:v>
      </x:c>
      <x:c r="AF117" s="13" t="n">
        <x:v>0.00033982323695640074</x:v>
      </x:c>
      <x:c r="AG117" s="13" t="n">
        <x:v>0.3918951980576316</x:v>
      </x:c>
      <x:c r="AH117" s="13" t="n">
        <x:v>0.4469060949833198</x:v>
      </x:c>
      <x:c r="AI117" s="13" t="n">
        <x:v>0.3235294117647059</x:v>
      </x:c>
      <x:c r="AJ117" s="13" t="n">
        <x:v>0.1439255759931195</x:v>
      </x:c>
      <x:c r="AK117" s="13" t="n">
        <x:v>0.0005376919970339197</x:v>
      </x:c>
      <x:c r="AL117" s="13" t="n">
        <x:v>0.1944664927996373</x:v>
      </x:c>
      <x:c r="AM117" s="13" t="n">
        <x:v>0</x:v>
      </x:c>
      <x:c r="AN117" s="13" t="n">
        <x:v>0.11465461346659805</x:v>
      </x:c>
      <x:c r="AO117" s="13" t="n">
        <x:v>0.37376122764995556</x:v>
      </x:c>
      <x:c r="AP117" s="13" t="n">
        <x:v>0.5966471201623236</x:v>
      </x:c>
    </x:row>
    <x:row r="118" ht="15" hidden="0" customHeight="1">
      <x:c r="A118" s="2" t="str">
        <x:v>E117</x:v>
      </x:c>
      <x:c r="B118" s="2" t="str">
        <x:v>***人力资源管理咨询有限公司</x:v>
      </x:c>
      <x:c r="C118" s="2" t="str">
        <x:v>有信贷记录</x:v>
      </x:c>
      <x:c r="D118" s="2" t="str">
        <x:v>D</x:v>
      </x:c>
      <x:c r="E118" s="2" t="str">
        <x:v>是</x:v>
      </x:c>
      <x:c r="F118" s="13" t="n">
        <x:v>0.00014950230682059427</x:v>
      </x:c>
      <x:c r="G118" s="13" t="n">
        <x:v>0.00015260046451581405</x:v>
      </x:c>
      <x:c r="H118" s="13" t="n">
        <x:v>0</x:v>
      </x:c>
      <x:c r="I118" s="13" t="n">
        <x:v>0</x:v>
      </x:c>
      <x:c r="J118" s="13" t="n">
        <x:v>0.000022448960743026143</x:v>
      </x:c>
      <x:c r="K118" s="13" t="n">
        <x:v>0.00002228326935725811</x:v>
      </x:c>
      <x:c r="L118" s="13" t="n">
        <x:v>0.0012441215257906393</x:v>
      </x:c>
      <x:c r="M118" s="13" t="n">
        <x:v>0</x:v>
      </x:c>
      <x:c r="N118" s="13" t="n">
        <x:v>0</x:v>
      </x:c>
      <x:c r="O118" s="13" t="n">
        <x:v>0.5537893318048551</x:v>
      </x:c>
      <x:c r="P118" s="13" t="n">
        <x:v>0.6893969477558569</x:v>
      </x:c>
      <x:c r="Q118" s="13" t="n">
        <x:v>0.00004844040244354291</x:v>
      </x:c>
      <x:c r="R118" s="13" t="n">
        <x:v>0.44439690899218864</x:v>
      </x:c>
      <x:c r="S118" s="13" t="n">
        <x:v>0.7288760689253914</x:v>
      </x:c>
      <x:c r="T118" s="13" t="n">
        <x:v>0.05555555555555555</x:v>
      </x:c>
      <x:c r="U118" s="13" t="n">
        <x:v>0.0030193426639408744</x:v>
      </x:c>
      <x:c r="V118" s="13" t="n">
        <x:v>0.0017991720822244058</x:v>
      </x:c>
      <x:c r="W118" s="13" t="n">
        <x:v>0.022228808535862496</x:v>
      </x:c>
      <x:c r="X118" s="13" t="n">
        <x:v>0</x:v>
      </x:c>
      <x:c r="Y118" s="13" t="n">
        <x:v>0.0006891695594656639</x:v>
      </x:c>
      <x:c r="Z118" s="13" t="n">
        <x:v>0.00045219006868884925</x:v>
      </x:c>
      <x:c r="AA118" s="13" t="n">
        <x:v>0</x:v>
      </x:c>
      <x:c r="AB118" s="13" t="n">
        <x:v>0.5028022425240081</x:v>
      </x:c>
      <x:c r="AC118" s="13" t="n">
        <x:v>0</x:v>
      </x:c>
      <x:c r="AD118" s="13" t="n">
        <x:v>1</x:v>
      </x:c>
      <x:c r="AE118" s="13" t="n">
        <x:v>1</x:v>
      </x:c>
      <x:c r="AF118" s="13" t="n">
        <x:v>0.0020603109798424356</x:v>
      </x:c>
      <x:c r="AG118" s="13" t="n">
        <x:v>0.26737841208499147</x:v>
      </x:c>
      <x:c r="AH118" s="13" t="n">
        <x:v>0</x:v>
      </x:c>
      <x:c r="AI118" s="13" t="n">
        <x:v>0.17647058823529413</x:v>
      </x:c>
      <x:c r="AJ118" s="13" t="n">
        <x:v>0.14453244361114864</x:v>
      </x:c>
      <x:c r="AK118" s="13" t="n">
        <x:v>0.0006215256550895764</x:v>
      </x:c>
      <x:c r="AL118" s="13" t="n">
        <x:v>1</x:v>
      </x:c>
      <x:c r="AM118" s="13" t="n">
        <x:v>0</x:v>
      </x:c>
      <x:c r="AN118" s="13" t="n">
        <x:v>0.911533865744032</x:v>
      </x:c>
      <x:c r="AO118" s="13" t="n">
        <x:v>0.44194462432361037</x:v>
      </x:c>
      <x:c r="AP118" s="13" t="n">
        <x:v>0.2149223134613039</x:v>
      </x:c>
    </x:row>
    <x:row r="119" ht="15" hidden="0" customHeight="1">
      <x:c r="A119" s="2" t="str">
        <x:v>E118</x:v>
      </x:c>
      <x:c r="B119" s="2" t="str">
        <x:v>***体育用品有限公司</x:v>
      </x:c>
      <x:c r="C119" s="2" t="str">
        <x:v>有信贷记录</x:v>
      </x:c>
      <x:c r="D119" s="2" t="str">
        <x:v>D</x:v>
      </x:c>
      <x:c r="E119" s="2" t="str">
        <x:v>是</x:v>
      </x:c>
      <x:c r="F119" s="13" t="n">
        <x:v>0.0020182811420780228</x:v>
      </x:c>
      <x:c r="G119" s="13" t="n">
        <x:v>0.0019075058064476754</x:v>
      </x:c>
      <x:c r="H119" s="13" t="n">
        <x:v>0.0036363636363636364</x:v>
      </x:c>
      <x:c r="I119" s="13" t="n">
        <x:v>0</x:v>
      </x:c>
      <x:c r="J119" s="13" t="n">
        <x:v>0.00022980340647784736</x:v>
      </x:c>
      <x:c r="K119" s="13" t="n">
        <x:v>0.00022810727250935809</x:v>
      </x:c>
      <x:c r="L119" s="13" t="n">
        <x:v>0.004976486103162557</x:v>
      </x:c>
      <x:c r="M119" s="13" t="n">
        <x:v>0.541178103101367</x:v>
      </x:c>
      <x:c r="N119" s="13" t="n">
        <x:v>0</x:v>
      </x:c>
      <x:c r="O119" s="13" t="n">
        <x:v>0.3445837491635417</x:v>
      </x:c>
      <x:c r="P119" s="13" t="n">
        <x:v>0.47516461887237826</x:v>
      </x:c>
      <x:c r="Q119" s="13" t="n">
        <x:v>0.0002645255841832982</x:v>
      </x:c>
      <x:c r="R119" s="13" t="n">
        <x:v>0.5960472158110521</x:v>
      </x:c>
      <x:c r="S119" s="13" t="n">
        <x:v>0.7595001418321994</x:v>
      </x:c>
      <x:c r="T119" s="13" t="n">
        <x:v>0.3333333333333333</x:v>
      </x:c>
      <x:c r="U119" s="13" t="n">
        <x:v>0.011755866575806831</x:v>
      </x:c>
      <x:c r="V119" s="13" t="n">
        <x:v>0.012064158028525476</x:v>
      </x:c>
      <x:c r="W119" s="13" t="n">
        <x:v>0.009879470460383332</x:v>
      </x:c>
      <x:c r="X119" s="13" t="n">
        <x:v>0.0028341457884593626</x:v>
      </x:c>
      <x:c r="Y119" s="13" t="n">
        <x:v>0.00032407374726826037</x:v>
      </x:c>
      <x:c r="Z119" s="13" t="n">
        <x:v>0.0002120279219986508</x:v>
      </x:c>
      <x:c r="AA119" s="13" t="n">
        <x:v>0.04308615745761958</x:v>
      </x:c>
      <x:c r="AB119" s="13" t="n">
        <x:v>0.06828178602177887</x:v>
      </x:c>
      <x:c r="AC119" s="13" t="n">
        <x:v>0.04124351199625729</x:v>
      </x:c>
      <x:c r="AD119" s="13" t="n">
        <x:v>0.10158562273600844</x:v>
      </x:c>
      <x:c r="AE119" s="13" t="n">
        <x:v>0.22203172426372647</x:v>
      </x:c>
      <x:c r="AF119" s="13" t="n">
        <x:v>0.00029613450370250216</x:v>
      </x:c>
      <x:c r="AG119" s="13" t="n">
        <x:v>0.4321918023742852</x:v>
      </x:c>
      <x:c r="AH119" s="13" t="n">
        <x:v>0.3749531923049903</x:v>
      </x:c>
      <x:c r="AI119" s="13" t="n">
        <x:v>0.7647058823529411</x:v>
      </x:c>
      <x:c r="AJ119" s="13" t="n">
        <x:v>0.14387759171032752</x:v>
      </x:c>
      <x:c r="AK119" s="13" t="n">
        <x:v>0.011263481205249143</x:v>
      </x:c>
      <x:c r="AL119" s="13" t="n">
        <x:v>0.15948225291295018</x:v>
      </x:c>
      <x:c r="AM119" s="13" t="n">
        <x:v>0.05951835912462233</x:v>
      </x:c>
      <x:c r="AN119" s="13" t="n">
        <x:v>0.24363735963045977</x:v>
      </x:c>
      <x:c r="AO119" s="13" t="n">
        <x:v>0.636074913151743</x:v>
      </x:c>
      <x:c r="AP119" s="13" t="n">
        <x:v>0.564237247507498</x:v>
      </x:c>
    </x:row>
    <x:row r="120" ht="15" hidden="0" customHeight="1">
      <x:c r="A120" s="2" t="str">
        <x:v>E119</x:v>
      </x:c>
      <x:c r="B120" s="2" t="str">
        <x:v>***药房</x:v>
      </x:c>
      <x:c r="C120" s="2" t="str">
        <x:v>有信贷记录</x:v>
      </x:c>
      <x:c r="D120" s="2" t="str">
        <x:v>D</x:v>
      </x:c>
      <x:c r="E120" s="2" t="str">
        <x:v>是</x:v>
      </x:c>
      <x:c r="F120" s="13" t="n">
        <x:v>0.023397111017423002</x:v>
      </x:c>
      <x:c r="G120" s="13" t="n">
        <x:v>0.02380567246446699</x:v>
      </x:c>
      <x:c r="H120" s="13" t="n">
        <x:v>0.0018181818181818182</x:v>
      </x:c>
      <x:c r="I120" s="13" t="n">
        <x:v>0.006677350427350438</x:v>
      </x:c>
      <x:c r="J120" s="13" t="n">
        <x:v>0.0008527006062225934</x:v>
      </x:c>
      <x:c r="K120" s="13" t="n">
        <x:v>0.000846671943437327</x:v>
      </x:c>
      <x:c r="L120" s="13" t="n">
        <x:v>0.009952972206325114</x:v>
      </x:c>
      <x:c r="M120" s="13" t="n">
        <x:v>0.024911372999904195</x:v>
      </x:c>
      <x:c r="N120" s="13" t="n">
        <x:v>0.06561285777680792</x:v>
      </x:c>
      <x:c r="O120" s="13" t="n">
        <x:v>0.1551538186196228</x:v>
      </x:c>
      <x:c r="P120" s="13" t="n">
        <x:v>0.211574509729759</x:v>
      </x:c>
      <x:c r="Q120" s="13" t="n">
        <x:v>0.000988737498579058</x:v>
      </x:c>
      <x:c r="R120" s="13" t="n">
        <x:v>0.10720616982176352</x:v>
      </x:c>
      <x:c r="S120" s="13" t="n">
        <x:v>0.6430213633048171</x:v>
      </x:c>
      <x:c r="T120" s="13" t="n">
        <x:v>0.8055555555555556</x:v>
      </x:c>
      <x:c r="U120" s="13" t="n">
        <x:v>0.0010099421642117043</x:v>
      </x:c>
      <x:c r="V120" s="13" t="n">
        <x:v>0.001052627649766146</x:v>
      </x:c>
      <x:c r="W120" s="13" t="n">
        <x:v>0.0037048014226437496</x:v>
      </x:c>
      <x:c r="X120" s="13" t="n">
        <x:v>0</x:v>
      </x:c>
      <x:c r="Y120" s="13" t="n">
        <x:v>0</x:v>
      </x:c>
      <x:c r="Z120" s="13" t="n">
        <x:v>0</x:v>
      </x:c>
      <x:c r="AA120" s="13" t="n">
        <x:v>0.005571485878140463</x:v>
      </x:c>
      <x:c r="AB120" s="13" t="n">
        <x:v>0.17558173548457423</x:v>
      </x:c>
      <x:c r="AC120" s="13" t="n">
        <x:v>0</x:v>
      </x:c>
      <x:c r="AD120" s="13" t="n">
        <x:v>0.09390950470303867</x:v>
      </x:c>
      <x:c r="AE120" s="13" t="n">
        <x:v>0.16895548757908802</x:v>
      </x:c>
      <x:c r="AF120" s="13" t="n">
        <x:v>0</x:v>
      </x:c>
      <x:c r="AG120" s="13" t="n">
        <x:v>0.46102232652183334</x:v>
      </x:c>
      <x:c r="AH120" s="13" t="n">
        <x:v>0.7869510625676895</x:v>
      </x:c>
      <x:c r="AI120" s="13" t="n">
        <x:v>0.14705882352941177</x:v>
      </x:c>
      <x:c r="AJ120" s="13" t="n">
        <x:v>0.14296192946832947</x:v>
      </x:c>
      <x:c r="AK120" s="13" t="n">
        <x:v>0.3193238904028729</x:v>
      </x:c>
      <x:c r="AL120" s="13" t="n">
        <x:v>0.029694409797029163</x:v>
      </x:c>
      <x:c r="AM120" s="13" t="n">
        <x:v>0.02922136306419711</x:v>
      </x:c>
      <x:c r="AN120" s="13" t="n">
        <x:v>0.12558181061772986</x:v>
      </x:c>
      <x:c r="AO120" s="13" t="n">
        <x:v>0.294077793517844</x:v>
      </x:c>
      <x:c r="AP120" s="13" t="n">
        <x:v>0.6860870440843814</x:v>
      </x:c>
    </x:row>
    <x:row r="121" ht="15" hidden="0" customHeight="1">
      <x:c r="A121" s="2" t="str">
        <x:v>E120</x:v>
      </x:c>
      <x:c r="B121" s="2" t="str">
        <x:v>***陈列广告有限公司</x:v>
      </x:c>
      <x:c r="C121" s="2" t="str">
        <x:v>有信贷记录</x:v>
      </x:c>
      <x:c r="D121" s="2" t="str">
        <x:v>D</x:v>
      </x:c>
      <x:c r="E121" s="2" t="str">
        <x:v>是</x:v>
      </x:c>
      <x:c r="F121" s="13" t="n">
        <x:v>0.0025415392159501026</x:v>
      </x:c>
      <x:c r="G121" s="13" t="n">
        <x:v>0.0025179076645109317</x:v>
      </x:c>
      <x:c r="H121" s="13" t="n">
        <x:v>0.0018181818181818182</x:v>
      </x:c>
      <x:c r="I121" s="13" t="n">
        <x:v>0</x:v>
      </x:c>
      <x:c r="J121" s="13" t="n">
        <x:v>0.00006463090018893969</x:v>
      </x:c>
      <x:c r="K121" s="13" t="n">
        <x:v>0.0000641538721635302</x:v>
      </x:c>
      <x:c r="L121" s="13" t="n">
        <x:v>0.009330911443429795</x:v>
      </x:c>
      <x:c r="M121" s="13" t="n">
        <x:v>0.21797451374916169</x:v>
      </x:c>
      <x:c r="N121" s="13" t="n">
        <x:v>0</x:v>
      </x:c>
      <x:c r="O121" s="13" t="n">
        <x:v>0.3356769061858948</x:v>
      </x:c>
      <x:c r="P121" s="13" t="n">
        <x:v>0.5335033942470893</x:v>
      </x:c>
      <x:c r="Q121" s="13" t="n">
        <x:v>0.00011301543400116263</x:v>
      </x:c>
      <x:c r="R121" s="13" t="n">
        <x:v>0.4782455238718336</x:v>
      </x:c>
      <x:c r="S121" s="13" t="n">
        <x:v>0.10962083807273713</x:v>
      </x:c>
      <x:c r="T121" s="13" t="n">
        <x:v>0.2777777777777778</x:v>
      </x:c>
      <x:c r="U121" s="13" t="n">
        <x:v>0.0017088640771609808</x:v>
      </x:c>
      <x:c r="V121" s="13" t="n">
        <x:v>0.00021276516325060394</x:v>
      </x:c>
      <x:c r="W121" s="13" t="n">
        <x:v>0.02469867615095833</x:v>
      </x:c>
      <x:c r="X121" s="13" t="n">
        <x:v>0</x:v>
      </x:c>
      <x:c r="Y121" s="13" t="n">
        <x:v>0.00019768286629783696</x:v>
      </x:c>
      <x:c r="Z121" s="13" t="n">
        <x:v>0.00012751265673434899</x:v>
      </x:c>
      <x:c r="AA121" s="13" t="n">
        <x:v>0.00891437740502474</x:v>
      </x:c>
      <x:c r="AB121" s="13" t="n">
        <x:v>0.8476359644082895</x:v>
      </x:c>
      <x:c r="AC121" s="13" t="n">
        <x:v>0</x:v>
      </x:c>
      <x:c r="AD121" s="13" t="n">
        <x:v>0.3074836545153479</x:v>
      </x:c>
      <x:c r="AE121" s="13" t="n">
        <x:v>0.3792524105743339</x:v>
      </x:c>
      <x:c r="AF121" s="13" t="n">
        <x:v>0.0002703400913349191</x:v>
      </x:c>
      <x:c r="AG121" s="13" t="n">
        <x:v>0.7538990372054758</x:v>
      </x:c>
      <x:c r="AH121" s="13" t="n">
        <x:v>0.42397617000125654</x:v>
      </x:c>
      <x:c r="AI121" s="13" t="n">
        <x:v>0.058823529411764705</x:v>
      </x:c>
      <x:c r="AJ121" s="13" t="n">
        <x:v>0.14379964757978522</x:v>
      </x:c>
      <x:c r="AK121" s="13" t="n">
        <x:v>0.004635379654606378</x:v>
      </x:c>
      <x:c r="AL121" s="13" t="n">
        <x:v>0.909596413338335</x:v>
      </x:c>
      <x:c r="AM121" s="13" t="n">
        <x:v>0</x:v>
      </x:c>
      <x:c r="AN121" s="13" t="n">
        <x:v>0.3601791956161133</x:v>
      </x:c>
      <x:c r="AO121" s="13" t="n">
        <x:v>0.7131335354994428</x:v>
      </x:c>
      <x:c r="AP121" s="13" t="n">
        <x:v>0.15680443226165758</x:v>
      </x:c>
    </x:row>
    <x:row r="122" ht="15" hidden="0" customHeight="1">
      <x:c r="A122" s="2" t="str">
        <x:v>E121</x:v>
      </x:c>
      <x:c r="B122" s="2" t="str">
        <x:v>***药业连锁有限公司***药店</x:v>
      </x:c>
      <x:c r="C122" s="2" t="str">
        <x:v>有信贷记录</x:v>
      </x:c>
      <x:c r="D122" s="2" t="str">
        <x:v>D</x:v>
      </x:c>
      <x:c r="E122" s="2" t="str">
        <x:v>是</x:v>
      </x:c>
      <x:c r="F122" s="13" t="n">
        <x:v>0.0035880553636942624</x:v>
      </x:c>
      <x:c r="G122" s="13" t="n">
        <x:v>0.003662411148379537</x:v>
      </x:c>
      <x:c r="H122" s="13" t="n">
        <x:v>0</x:v>
      </x:c>
      <x:c r="I122" s="13" t="n">
        <x:v>0.006677350427350438</x:v>
      </x:c>
      <x:c r="J122" s="13" t="n">
        <x:v>0.004279538056848092</x:v>
      </x:c>
      <x:c r="K122" s="13" t="n">
        <x:v>0.004264256455234027</x:v>
      </x:c>
      <x:c r="L122" s="13" t="n">
        <x:v>0.006220607628953196</x:v>
      </x:c>
      <x:c r="M122" s="13" t="n">
        <x:v>0</x:v>
      </x:c>
      <x:c r="N122" s="13" t="n">
        <x:v>0.41204874683835374</x:v>
      </x:c>
      <x:c r="O122" s="13" t="n">
        <x:v>0.964962036400088</x:v>
      </x:c>
      <x:c r="P122" s="13" t="n">
        <x:v>0.9816910539044484</x:v>
      </x:c>
      <x:c r="Q122" s="13" t="n">
        <x:v>0.004972952729370855</x:v>
      </x:c>
      <x:c r="R122" s="13" t="n">
        <x:v>0.1008905979332714</x:v>
      </x:c>
      <x:c r="S122" s="13" t="n">
        <x:v>0.35933501599691603</x:v>
      </x:c>
      <x:c r="T122" s="13" t="n">
        <x:v>0.6111111111111112</x:v>
      </x:c>
      <x:c r="U122" s="13" t="n">
        <x:v>0.015425206618790531</x:v>
      </x:c>
      <x:c r="V122" s="13" t="n">
        <x:v>0.014583745488072102</x:v>
      </x:c>
      <x:c r="W122" s="13" t="n">
        <x:v>0.02840347757360208</x:v>
      </x:c>
      <x:c r="X122" s="13" t="n">
        <x:v>0</x:v>
      </x:c>
      <x:c r="Y122" s="13" t="n">
        <x:v>0.00007494240827347423</x:v>
      </x:c>
      <x:c r="Z122" s="13" t="n">
        <x:v>0.00004642998489921913</x:v>
      </x:c>
      <x:c r="AA122" s="13" t="n">
        <x:v>0.044943319416999736</x:v>
      </x:c>
      <x:c r="AB122" s="13" t="n">
        <x:v>0.15198203985492717</x:v>
      </x:c>
      <x:c r="AC122" s="13" t="n">
        <x:v>0</x:v>
      </x:c>
      <x:c r="AD122" s="13" t="n">
        <x:v>0.03954533152494654</x:v>
      </x:c>
      <x:c r="AE122" s="13" t="n">
        <x:v>0.15046009293390286</x:v>
      </x:c>
      <x:c r="AF122" s="13" t="n">
        <x:v>0.00011819929814792835</x:v>
      </x:c>
      <x:c r="AG122" s="13" t="n">
        <x:v>0.16773899390148328</x:v>
      </x:c>
      <x:c r="AH122" s="13" t="n">
        <x:v>0.5579384136248956</x:v>
      </x:c>
      <x:c r="AI122" s="13" t="n">
        <x:v>0.5882352941176471</x:v>
      </x:c>
      <x:c r="AJ122" s="13" t="n">
        <x:v>0.14097722089815976</x:v>
      </x:c>
      <x:c r="AK122" s="13" t="n">
        <x:v>0.5161196357609718</x:v>
      </x:c>
      <x:c r="AL122" s="13" t="n">
        <x:v>0.27161237966562973</x:v>
      </x:c>
      <x:c r="AM122" s="13" t="n">
        <x:v>0.045546913320720375</x:v>
      </x:c>
      <x:c r="AN122" s="13" t="n">
        <x:v>0.5786614562548493</x:v>
      </x:c>
      <x:c r="AO122" s="13" t="n">
        <x:v>0.14087802336094216</x:v>
      </x:c>
      <x:c r="AP122" s="13" t="n">
        <x:v>0.3872080521894719</x:v>
      </x:c>
    </x:row>
    <x:row r="123" ht="15" hidden="0" customHeight="1">
      <x:c r="A123" s="2" t="str">
        <x:v>E122</x:v>
      </x:c>
      <x:c r="B123" s="2" t="str">
        <x:v>***商贸有限责任公司</x:v>
      </x:c>
      <x:c r="C123" s="2" t="str">
        <x:v>有信贷记录</x:v>
      </x:c>
      <x:c r="D123" s="2" t="str">
        <x:v>D</x:v>
      </x:c>
      <x:c r="E123" s="2" t="str">
        <x:v>是</x:v>
      </x:c>
      <x:c r="F123" s="13" t="n">
        <x:v>0.003438553056873668</x:v>
      </x:c>
      <x:c r="G123" s="13" t="n">
        <x:v>0.003433510451605816</x:v>
      </x:c>
      <x:c r="H123" s="13" t="n">
        <x:v>0.0018181818181818182</x:v>
      </x:c>
      <x:c r="I123" s="13" t="n">
        <x:v>0.006677350427350438</x:v>
      </x:c>
      <x:c r="J123" s="13" t="n">
        <x:v>0.00018200857664761914</x:v>
      </x:c>
      <x:c r="K123" s="13" t="n">
        <x:v>0.0002186282890277255</x:v>
      </x:c>
      <x:c r="L123" s="13" t="n">
        <x:v>0.013063276020801713</x:v>
      </x:c>
      <x:c r="M123" s="13" t="n">
        <x:v>0.16348088531187127</x:v>
      </x:c>
      <x:c r="N123" s="13" t="n">
        <x:v>0.4383497306790997</x:v>
      </x:c>
      <x:c r="O123" s="13" t="n">
        <x:v>0.2654852717544706</x:v>
      </x:c>
      <x:c r="P123" s="13" t="n">
        <x:v>0.37301448015211164</x:v>
      </x:c>
      <x:c r="Q123" s="13" t="n">
        <x:v>0.00020895688805855518</x:v>
      </x:c>
      <x:c r="R123" s="13" t="n">
        <x:v>0.3890108338605214</x:v>
      </x:c>
      <x:c r="S123" s="13" t="n">
        <x:v>0.4438089483048357</x:v>
      </x:c>
      <x:c r="T123" s="13" t="n">
        <x:v>0.4722222222222222</x:v>
      </x:c>
      <x:c r="U123" s="13" t="n">
        <x:v>0.009484370358721681</x:v>
      </x:c>
      <x:c r="V123" s="13" t="n">
        <x:v>0.008891344190577872</x:v>
      </x:c>
      <x:c r="W123" s="13" t="n">
        <x:v>0.019758940920766663</x:v>
      </x:c>
      <x:c r="X123" s="13" t="n">
        <x:v>0.0226731663076749</x:v>
      </x:c>
      <x:c r="Y123" s="13" t="n">
        <x:v>0</x:v>
      </x:c>
      <x:c r="Z123" s="13" t="n">
        <x:v>0</x:v>
      </x:c>
      <x:c r="AA123" s="13" t="n">
        <x:v>0.0252574026475701</x:v>
      </x:c>
      <x:c r="AB123" s="13" t="n">
        <x:v>0.1666538506294264</x:v>
      </x:c>
      <x:c r="AC123" s="13" t="n">
        <x:v>0.4399307946267444</x:v>
      </x:c>
      <x:c r="AD123" s="13" t="n">
        <x:v>0.06614089086197393</x:v>
      </x:c>
      <x:c r="AE123" s="13" t="n">
        <x:v>0.11888411144016202</x:v>
      </x:c>
      <x:c r="AF123" s="13" t="n">
        <x:v>0</x:v>
      </x:c>
      <x:c r="AG123" s="13" t="n">
        <x:v>0.3783111925581063</x:v>
      </x:c>
      <x:c r="AH123" s="13" t="n">
        <x:v>0.2675973935897634</x:v>
      </x:c>
      <x:c r="AI123" s="13" t="n">
        <x:v>0.6470588235294118</x:v>
      </x:c>
      <x:c r="AJ123" s="13" t="n">
        <x:v>0.14343453366161887</x:v>
      </x:c>
      <x:c r="AK123" s="13" t="n">
        <x:v>0.047011705348689564</x:v>
      </x:c>
      <x:c r="AL123" s="13" t="n">
        <x:v>0.285615190094771</x:v>
      </x:c>
      <x:c r="AM123" s="13" t="n">
        <x:v>0.5859961935289998</x:v>
      </x:c>
      <x:c r="AN123" s="13" t="n">
        <x:v>0.1752582038244496</x:v>
      </x:c>
      <x:c r="AO123" s="13" t="n">
        <x:v>0.4577454229883135</x:v>
      </x:c>
      <x:c r="AP123" s="13" t="n">
        <x:v>0.30292394055959065</x:v>
      </x:c>
    </x:row>
    <x:row r="124" ht="15" hidden="0" customHeight="1">
      <x:c r="A124" s="2" t="str">
        <x:v>E123</x:v>
      </x:c>
      <x:c r="B124" s="2" t="str">
        <x:v>***创科技有限责任公司</x:v>
      </x:c>
      <x:c r="C124" s="2" t="str">
        <x:v>有信贷记录</x:v>
      </x:c>
      <x:c r="D124" s="2" t="str">
        <x:v>D</x:v>
      </x:c>
      <x:c r="E124" s="2" t="str">
        <x:v>是</x:v>
      </x:c>
      <x:c r="F124" s="13" t="n">
        <x:v>0.00007475115341029714</x:v>
      </x:c>
      <x:c r="G124" s="13" t="n">
        <x:v>0.00007630023225790702</x:v>
      </x:c>
      <x:c r="H124" s="13" t="n">
        <x:v>0</x:v>
      </x:c>
      <x:c r="I124" s="13" t="n">
        <x:v>0</x:v>
      </x:c>
      <x:c r="J124" s="13" t="n">
        <x:v>9.58187348787701e-7</x:v>
      </x:c>
      <x:c r="K124" s="13" t="n">
        <x:v>9.511151554927243e-7</x:v>
      </x:c>
      <x:c r="L124" s="13" t="n">
        <x:v>0.0006220607628953196</x:v>
      </x:c>
      <x:c r="M124" s="13" t="n">
        <x:v>0</x:v>
      </x:c>
      <x:c r="N124" s="13" t="n">
        <x:v>0</x:v>
      </x:c>
      <x:c r="O124" s="13" t="n">
        <x:v>0.5508099066833878</x:v>
      </x:c>
      <x:c r="P124" s="13" t="n">
        <x:v>0.6522808597518397</x:v>
      </x:c>
      <x:c r="Q124" s="13" t="n">
        <x:v>0</x:v>
      </x:c>
      <x:c r="R124" s="13" t="n">
        <x:v>0.527735112247839</x:v>
      </x:c>
      <x:c r="S124" s="13" t="n">
        <x:v>0.5561143088127759</x:v>
      </x:c>
      <x:c r="T124" s="13" t="n">
        <x:v>0.027777777777777776</x:v>
      </x:c>
      <x:c r="U124" s="13" t="n">
        <x:v>0.004854012685432725</x:v>
      </x:c>
      <x:c r="V124" s="13" t="n">
        <x:v>0.002452398460625383</x:v>
      </x:c>
      <x:c r="W124" s="13" t="n">
        <x:v>0.03951788184153333</x:v>
      </x:c>
      <x:c r="X124" s="13" t="n">
        <x:v>0</x:v>
      </x:c>
      <x:c r="Y124" s="13" t="n">
        <x:v>0.00024427348743266615</x:v>
      </x:c>
      <x:c r="Z124" s="13" t="n">
        <x:v>0.0001582905445219307</x:v>
      </x:c>
      <x:c r="AA124" s="13" t="n">
        <x:v>0.0018571619593801545</x:v>
      </x:c>
      <x:c r="AB124" s="13" t="n">
        <x:v>0.6050816730545329</x:v>
      </x:c>
      <x:c r="AC124" s="13" t="n">
        <x:v>0</x:v>
      </x:c>
      <x:c r="AD124" s="13" t="n">
        <x:v>0.4282073364028722</x:v>
      </x:c>
      <x:c r="AE124" s="13" t="n">
        <x:v>0.5796424808989349</x:v>
      </x:c>
      <x:c r="AF124" s="13" t="n">
        <x:v>0.00022343471432345255</x:v>
      </x:c>
      <x:c r="AG124" s="13" t="n">
        <x:v>1</x:v>
      </x:c>
      <x:c r="AH124" s="13" t="n">
        <x:v>0.4957438782683349</x:v>
      </x:c>
      <x:c r="AI124" s="13" t="n">
        <x:v>0.29411764705882354</x:v>
      </x:c>
      <x:c r="AJ124" s="13" t="n">
        <x:v>0.143906575401635</x:v>
      </x:c>
      <x:c r="AK124" s="13" t="n">
        <x:v>0.00015813068658516825</x:v>
      </x:c>
      <x:c r="AL124" s="13" t="n">
        <x:v>1</x:v>
      </x:c>
      <x:c r="AM124" s="13" t="n">
        <x:v>0</x:v>
      </x:c>
      <x:c r="AN124" s="13" t="n">
        <x:v>0.5605540066161199</x:v>
      </x:c>
      <x:c r="AO124" s="13" t="n">
        <x:v>0.8773977215408714</x:v>
      </x:c>
      <x:c r="AP124" s="13" t="n">
        <x:v>0.4876912204796512</x:v>
      </x:c>
    </x:row>
    <x:row r="125" ht="15" hidden="0" customHeight="1">
      <x:c r="A125" s="2" t="str">
        <x:v>E124</x:v>
      </x:c>
      <x:c r="B125" s="2" t="str">
        <x:v>个体经营E124 </x:v>
      </x:c>
      <x:c r="C125" s="2" t="str">
        <x:v>无信贷记录</x:v>
      </x:c>
      <x:c r="D125" s="2" t="str"/>
      <x:c r="E125" s="2" t="str"/>
      <x:c r="F125" s="13" t="n">
        <x:v>1</x:v>
      </x:c>
      <x:c r="G125" s="13" t="n">
        <x:v>1</x:v>
      </x:c>
      <x:c r="H125" s="13" t="n">
        <x:v>1</x:v>
      </x:c>
      <x:c r="I125" s="13" t="n">
        <x:v>1</x:v>
      </x:c>
      <x:c r="J125" s="13" t="n">
        <x:v>1</x:v>
      </x:c>
      <x:c r="K125" s="13" t="n">
        <x:v>1</x:v>
      </x:c>
      <x:c r="L125" s="13" t="n">
        <x:v>0.8839483440742492</x:v>
      </x:c>
      <x:c r="M125" s="13" t="n">
        <x:v>0.9676460925104938</x:v>
      </x:c>
      <x:c r="N125" s="13" t="n">
        <x:v>0.46161121402881605</x:v>
      </x:c>
      <x:c r="O125" s="13" t="n">
        <x:v>0.019031174530502903</x:v>
      </x:c>
      <x:c r="P125" s="13" t="n">
        <x:v>0.10769815727666611</x:v>
      </x:c>
      <x:c r="Q125" s="13" t="n">
        <x:v>1</x:v>
      </x:c>
      <x:c r="R125" s="13" t="n">
        <x:v>0.05744928004836381</x:v>
      </x:c>
      <x:c r="S125" s="13" t="n">
        <x:v>0.6757082872597124</x:v>
      </x:c>
      <x:c r="T125" s="13" t="n">
        <x:v>0.6388888888888888</x:v>
      </x:c>
      <x:c r="U125" s="13" t="n">
        <x:v>0.11213852632314666</x:v>
      </x:c>
      <x:c r="V125" s="13" t="n">
        <x:v>0.10192944408568848</x:v>
      </x:c>
      <x:c r="W125" s="13" t="n">
        <x:v>0.2395771586642958</x:v>
      </x:c>
      <x:c r="X125" s="13" t="n">
        <x:v>0.11619997732683388</x:v>
      </x:c>
      <x:c r="Y125" s="13" t="n">
        <x:v>1</x:v>
      </x:c>
      <x:c r="Z125" s="13" t="n">
        <x:v>0.8697616414922056</x:v>
      </x:c>
      <x:c r="AA125" s="13" t="n">
        <x:v>0.019314484377553606</x:v>
      </x:c>
      <x:c r="AB125" s="13" t="n">
        <x:v>0.18440835018410814</x:v>
      </x:c>
      <x:c r="AC125" s="13" t="n">
        <x:v>0.20925734566981857</x:v>
      </x:c>
      <x:c r="AD125" s="13" t="n">
        <x:v>0.07022505131427058</x:v>
      </x:c>
      <x:c r="AE125" s="13" t="n">
        <x:v>0.14622194504603395</x:v>
      </x:c>
      <x:c r="AF125" s="13" t="n">
        <x:v>1</x:v>
      </x:c>
      <x:c r="AG125" s="13" t="n">
        <x:v>0.11781513512536276</x:v>
      </x:c>
      <x:c r="AH125" s="13" t="n">
        <x:v>0.6644085896992602</x:v>
      </x:c>
      <x:c r="AI125" s="13" t="n">
        <x:v>0.6176470588235294</x:v>
      </x:c>
      <x:c r="AJ125" s="13" t="n">
        <x:v>0.06658451684759042</x:v>
      </x:c>
      <x:c r="AK125" s="13" t="n">
        <x:v>0.04729707380339432</x:v>
      </x:c>
      <x:c r="AL125" s="13" t="n">
        <x:v>0.34994753519381494</x:v>
      </x:c>
      <x:c r="AM125" s="13" t="n">
        <x:v>0.2270776533515277</x:v>
      </x:c>
      <x:c r="AN125" s="13" t="n">
        <x:v>0.029993533301550804</x:v>
      </x:c>
      <x:c r="AO125" s="13" t="n">
        <x:v>0.08389402955274955</x:v>
      </x:c>
      <x:c r="AP125" s="13" t="n">
        <x:v>0.648545818440907</x:v>
      </x:c>
    </x:row>
    <x:row r="126" ht="15" hidden="0" customHeight="1">
      <x:c r="A126" s="2" t="str">
        <x:v>E125</x:v>
      </x:c>
      <x:c r="B126" s="2" t="str">
        <x:v>个体经营E125 </x:v>
      </x:c>
      <x:c r="C126" s="2" t="str">
        <x:v>无信贷记录</x:v>
      </x:c>
      <x:c r="D126" s="2" t="str"/>
      <x:c r="E126" s="2" t="str"/>
      <x:c r="F126" s="13" t="n">
        <x:v>1</x:v>
      </x:c>
      <x:c r="G126" s="13" t="n">
        <x:v>1</x:v>
      </x:c>
      <x:c r="H126" s="13" t="n">
        <x:v>1</x:v>
      </x:c>
      <x:c r="I126" s="13" t="n">
        <x:v>1</x:v>
      </x:c>
      <x:c r="J126" s="13" t="n">
        <x:v>1</x:v>
      </x:c>
      <x:c r="K126" s="13" t="n">
        <x:v>1</x:v>
      </x:c>
      <x:c r="L126" s="13" t="n">
        <x:v>1</x:v>
      </x:c>
      <x:c r="M126" s="13" t="n">
        <x:v>0.9716024855759163</x:v>
      </x:c>
      <x:c r="N126" s="13" t="n">
        <x:v>0.45896518831004746</x:v>
      </x:c>
      <x:c r="O126" s="13" t="n">
        <x:v>0.0053505306895693045</x:v>
      </x:c>
      <x:c r="P126" s="13" t="n">
        <x:v>0.0635950999765882</x:v>
      </x:c>
      <x:c r="Q126" s="13" t="n">
        <x:v>1</x:v>
      </x:c>
      <x:c r="R126" s="13" t="n">
        <x:v>0.091091137271357</x:v>
      </x:c>
      <x:c r="S126" s="13" t="n">
        <x:v>0.6914186652721667</x:v>
      </x:c>
      <x:c r="T126" s="13" t="n">
        <x:v>0.9444444444444444</x:v>
      </x:c>
      <x:c r="U126" s="13" t="n">
        <x:v>0.13852282853698183</x:v>
      </x:c>
      <x:c r="V126" s="13" t="n">
        <x:v>0.12815181727578484</x:v>
      </x:c>
      <x:c r="W126" s="13" t="n">
        <x:v>0.26551076862280204</x:v>
      </x:c>
      <x:c r="X126" s="13" t="n">
        <x:v>0.11903412311529322</x:v>
      </x:c>
      <x:c r="Y126" s="13" t="n">
        <x:v>1</x:v>
      </x:c>
      <x:c r="Z126" s="13" t="n">
        <x:v>1</x:v>
      </x:c>
      <x:c r="AA126" s="13" t="n">
        <x:v>0.023028808296313916</x:v>
      </x:c>
      <x:c r="AB126" s="13" t="n">
        <x:v>0.1656743021343475</x:v>
      </x:c>
      <x:c r="AC126" s="13" t="n">
        <x:v>0.17071227574103018</x:v>
      </x:c>
      <x:c r="AD126" s="13" t="n">
        <x:v>0.05596696182656073</x:v>
      </x:c>
      <x:c r="AE126" s="13" t="n">
        <x:v>0.13403643074012042</x:v>
      </x:c>
      <x:c r="AF126" s="13" t="n">
        <x:v>1</x:v>
      </x:c>
      <x:c r="AG126" s="13" t="n">
        <x:v>0.14464197592420663</x:v>
      </x:c>
      <x:c r="AH126" s="13" t="n">
        <x:v>0.6693860175844973</x:v>
      </x:c>
      <x:c r="AI126" s="13" t="n">
        <x:v>0.9117647058823529</x:v>
      </x:c>
      <x:c r="AJ126" s="13" t="n">
        <x:v>0.19420443715202926</x:v>
      </x:c>
      <x:c r="AK126" s="13" t="n">
        <x:v>0.0450475863334429</x:v>
      </x:c>
      <x:c r="AL126" s="13" t="n">
        <x:v>0.3484117802903576</x:v>
      </x:c>
      <x:c r="AM126" s="13" t="n">
        <x:v>0.22182364435911917</x:v>
      </x:c>
      <x:c r="AN126" s="13" t="n">
        <x:v>0.01335578705683039</x:v>
      </x:c>
      <x:c r="AO126" s="13" t="n">
        <x:v>0.12202727085695926</x:v>
      </x:c>
      <x:c r="AP126" s="13" t="n">
        <x:v>0.6613736077548015</x:v>
      </x:c>
    </x:row>
    <x:row r="127" ht="15" hidden="0" customHeight="1">
      <x:c r="A127" s="2" t="str">
        <x:v>E126</x:v>
      </x:c>
      <x:c r="B127" s="2" t="str">
        <x:v>个体经营E126 </x:v>
      </x:c>
      <x:c r="C127" s="2" t="str">
        <x:v>无信贷记录</x:v>
      </x:c>
      <x:c r="D127" s="2" t="str"/>
      <x:c r="E127" s="2" t="str"/>
      <x:c r="F127" s="13" t="n">
        <x:v>0.03969286246086778</x:v>
      </x:c>
      <x:c r="G127" s="13" t="n">
        <x:v>0.0391420191483063</x:v>
      </x:c>
      <x:c r="H127" s="13" t="n">
        <x:v>0.03272727272727273</x:v>
      </x:c>
      <x:c r="I127" s="13" t="n">
        <x:v>0.020032051282051315</x:v>
      </x:c>
      <x:c r="J127" s="13" t="n">
        <x:v>0.44082833815832134</x:v>
      </x:c>
      <x:c r="K127" s="13" t="n">
        <x:v>0.43830518248041334</x:v>
      </x:c>
      <x:c r="L127" s="13" t="n">
        <x:v>0.0441663141655677</x:v>
      </x:c>
      <x:c r="M127" s="13" t="n">
        <x:v>0.2650046621190559</x:v>
      </x:c>
      <x:c r="N127" s="13" t="n">
        <x:v>0.12001419810825836</x:v>
      </x:c>
      <x:c r="O127" s="13" t="n">
        <x:v>0.28846365373115884</x:v>
      </x:c>
      <x:c r="P127" s="13" t="n">
        <x:v>0.39825536779800885</x:v>
      </x:c>
      <x:c r="Q127" s="13" t="n">
        <x:v>0.45557879529040485</x:v>
      </x:c>
      <x:c r="R127" s="13" t="n">
        <x:v>0.10349653953720818</x:v>
      </x:c>
      <x:c r="S127" s="13" t="n">
        <x:v>0.6543837936676683</x:v>
      </x:c>
      <x:c r="T127" s="13" t="n">
        <x:v>0.9444444444444444</x:v>
      </x:c>
      <x:c r="U127" s="13" t="n">
        <x:v>0.13162097464660774</x:v>
      </x:c>
      <x:c r="V127" s="13" t="n">
        <x:v>0.11732692300514008</x:v>
      </x:c>
      <x:c r="W127" s="13" t="n">
        <x:v>0.31120331950207497</x:v>
      </x:c>
      <x:c r="X127" s="13" t="n">
        <x:v>0.0906926652306996</x:v>
      </x:c>
      <x:c r="Y127" s="13" t="n">
        <x:v>0.8041738952740483</x:v>
      </x:c>
      <x:c r="Z127" s="13" t="n">
        <x:v>0.5663556745443151</x:v>
      </x:c>
      <x:c r="AA127" s="13" t="n">
        <x:v>0.05460056160577654</x:v>
      </x:c>
      <x:c r="AB127" s="13" t="n">
        <x:v>0.20430486899392414</x:v>
      </x:c>
      <x:c r="AC127" s="13" t="n">
        <x:v>0.14200297801243014</x:v>
      </x:c>
      <x:c r="AD127" s="13" t="n">
        <x:v>0.058861085880582885</x:v>
      </x:c>
      <x:c r="AE127" s="13" t="n">
        <x:v>0.15044239760098216</x:v>
      </x:c>
      <x:c r="AF127" s="13" t="n">
        <x:v>0.8143310821764425</x:v>
      </x:c>
      <x:c r="AG127" s="13" t="n">
        <x:v>0.12856613865423946</x:v>
      </x:c>
      <x:c r="AH127" s="13" t="n">
        <x:v>0.6583935695084382</x:v>
      </x:c>
      <x:c r="AI127" s="13" t="n">
        <x:v>0.9411764705882353</x:v>
      </x:c>
      <x:c r="AJ127" s="13" t="n">
        <x:v>1</x:v>
      </x:c>
      <x:c r="AK127" s="13" t="n">
        <x:v>0.010550918607828832</x:v>
      </x:c>
      <x:c r="AL127" s="13" t="n">
        <x:v>0.36864204249543103</x:v>
      </x:c>
      <x:c r="AM127" s="13" t="n">
        <x:v>0.19086691332544709</x:v>
      </x:c>
      <x:c r="AN127" s="13" t="n">
        <x:v>0.1847182980048931</x:v>
      </x:c>
      <x:c r="AO127" s="13" t="n">
        <x:v>0.12293201791480536</x:v>
      </x:c>
      <x:c r="AP127" s="13" t="n">
        <x:v>0.6314921847519817</x:v>
      </x:c>
    </x:row>
    <x:row r="128" ht="15" hidden="0" customHeight="1">
      <x:c r="A128" s="2" t="str">
        <x:v>E127</x:v>
      </x:c>
      <x:c r="B128" s="2" t="str">
        <x:v>个体经营E127 </x:v>
      </x:c>
      <x:c r="C128" s="2" t="str">
        <x:v>无信贷记录</x:v>
      </x:c>
      <x:c r="D128" s="2" t="str"/>
      <x:c r="E128" s="2" t="str"/>
      <x:c r="F128" s="13" t="n">
        <x:v>0.10823967013811026</x:v>
      </x:c>
      <x:c r="G128" s="13" t="n">
        <x:v>0.10849893027074378</x:v>
      </x:c>
      <x:c r="H128" s="13" t="n">
        <x:v>0.04727272727272727</x:v>
      </x:c>
      <x:c r="I128" s="13" t="n">
        <x:v>0.013354700854700877</x:v>
      </x:c>
      <x:c r="J128" s="13" t="n">
        <x:v>0.006039998767613224</x:v>
      </x:c>
      <x:c r="K128" s="13" t="n">
        <x:v>0.006002484145664351</x:v>
      </x:c>
      <x:c r="L128" s="13" t="n">
        <x:v>0.18412998581701462</x:v>
      </x:c>
      <x:c r="M128" s="13" t="n">
        <x:v>0.1407063068063554</x:v>
      </x:c>
      <x:c r="N128" s="13" t="n">
        <x:v>0.02893600750269338</x:v>
      </x:c>
      <x:c r="O128" s="13" t="n">
        <x:v>0.05343577253691215</x:v>
      </x:c>
      <x:c r="P128" s="13" t="n">
        <x:v>0.13388508445363645</x:v>
      </x:c>
      <x:c r="Q128" s="13" t="n">
        <x:v>0.006417641973304734</x:v>
      </x:c>
      <x:c r="R128" s="13" t="n">
        <x:v>0.28847640806036395</x:v>
      </x:c>
      <x:c r="S128" s="13" t="n">
        <x:v>0.6938535884420487</x:v>
      </x:c>
      <x:c r="T128" s="13" t="n">
        <x:v>0.8333333333333334</x:v>
      </x:c>
      <x:c r="U128" s="13" t="n">
        <x:v>0.3509077248344432</x:v>
      </x:c>
      <x:c r="V128" s="13" t="n">
        <x:v>0.3636865857163658</x:v>
      </x:c>
      <x:c r="W128" s="13" t="n">
        <x:v>0.1506619245208458</x:v>
      </x:c>
      <x:c r="X128" s="13" t="n">
        <x:v>0.01133658315383745</x:v>
      </x:c>
      <x:c r="Y128" s="13" t="n">
        <x:v>1</x:v>
      </x:c>
      <x:c r="Z128" s="13" t="n">
        <x:v>0.665784391837661</x:v>
      </x:c>
      <x:c r="AA128" s="13" t="n">
        <x:v>0.00891437740502474</x:v>
      </x:c>
      <x:c r="AB128" s="13" t="n">
        <x:v>0.03724461055733393</x:v>
      </x:c>
      <x:c r="AC128" s="13" t="n">
        <x:v>0.005747046753576836</x:v>
      </x:c>
      <x:c r="AD128" s="13" t="n">
        <x:v>0.1318684942946457</x:v>
      </x:c>
      <x:c r="AE128" s="13" t="n">
        <x:v>0.19809635050270677</x:v>
      </x:c>
      <x:c r="AF128" s="13" t="n">
        <x:v>1</x:v>
      </x:c>
      <x:c r="AG128" s="13" t="n">
        <x:v>0.1671810668328082</x:v>
      </x:c>
      <x:c r="AH128" s="13" t="n">
        <x:v>0.4643363827151239</x:v>
      </x:c>
      <x:c r="AI128" s="13" t="n">
        <x:v>0.9411764705882353</x:v>
      </x:c>
      <x:c r="AJ128" s="13" t="n">
        <x:v>1</x:v>
      </x:c>
      <x:c r="AK128" s="13" t="n">
        <x:v>0.00010788854429804245</x:v>
      </x:c>
      <x:c r="AL128" s="13" t="n">
        <x:v>0.07245566237515444</x:v>
      </x:c>
      <x:c r="AM128" s="13" t="n">
        <x:v>0.010925104208686306</x:v>
      </x:c>
      <x:c r="AN128" s="13" t="n">
        <x:v>0.08709889424113036</x:v>
      </x:c>
      <x:c r="AO128" s="13" t="n">
        <x:v>0.2774371337543994</x:v>
      </x:c>
      <x:c r="AP128" s="13" t="n">
        <x:v>0.5638871735368758</x:v>
      </x:c>
    </x:row>
    <x:row r="129" ht="15" hidden="0" customHeight="1">
      <x:c r="A129" s="2" t="str">
        <x:v>E128</x:v>
      </x:c>
      <x:c r="B129" s="2" t="str">
        <x:v>个体经营E128 </x:v>
      </x:c>
      <x:c r="C129" s="2" t="str">
        <x:v>无信贷记录</x:v>
      </x:c>
      <x:c r="D129" s="2" t="str"/>
      <x:c r="E129" s="2" t="str"/>
      <x:c r="F129" s="13" t="n">
        <x:v>0.24069871398115678</x:v>
      </x:c>
      <x:c r="G129" s="13" t="n">
        <x:v>0.23897232743176477</x:v>
      </x:c>
      <x:c r="H129" s="13" t="n">
        <x:v>0.16</x:v>
      </x:c>
      <x:c r="I129" s="13" t="n">
        <x:v>0.10016025641025657</x:v>
      </x:c>
      <x:c r="J129" s="13" t="n">
        <x:v>0.03203062873393782</x:v>
      </x:c>
      <x:c r="K129" s="13" t="n">
        <x:v>0.03434813816774338</x:v>
      </x:c>
      <x:c r="L129" s="13" t="n">
        <x:v>0.33093632586031</x:v>
      </x:c>
      <x:c r="M129" s="13" t="n">
        <x:v>0.2143213096081143</x:v>
      </x:c>
      <x:c r="N129" s="13" t="n">
        <x:v>0.09860770903917208</x:v>
      </x:c>
      <x:c r="O129" s="13" t="n">
        <x:v>0.015558983369750945</x:v>
      </x:c>
      <x:c r="P129" s="13" t="n">
        <x:v>0.032050352222252415</x:v>
      </x:c>
      <x:c r="Q129" s="13" t="n">
        <x:v>0.03843915616014753</x:v>
      </x:c>
      <x:c r="R129" s="13" t="n">
        <x:v>0.17340891627953753</x:v>
      </x:c>
      <x:c r="S129" s="13" t="n">
        <x:v>0.624523219985858</x:v>
      </x:c>
      <x:c r="T129" s="13" t="n">
        <x:v>0.8055555555555556</x:v>
      </x:c>
      <x:c r="U129" s="13" t="n">
        <x:v>0.1088186472366376</x:v>
      </x:c>
      <x:c r="V129" s="13" t="n">
        <x:v>0.10771516343724</x:v>
      </x:c>
      <x:c r="W129" s="13" t="n">
        <x:v>0.11608377790950415</x:v>
      </x:c>
      <x:c r="X129" s="13" t="n">
        <x:v>0</x:v>
      </x:c>
      <x:c r="Y129" s="13" t="n">
        <x:v>0.37466060637871557</x:v>
      </x:c>
      <x:c r="Z129" s="13" t="n">
        <x:v>0.2474987122619538</x:v>
      </x:c>
      <x:c r="AA129" s="13" t="n">
        <x:v>0.002228594351256185</x:v>
      </x:c>
      <x:c r="AB129" s="13" t="n">
        <x:v>0.09205799358474091</x:v>
      </x:c>
      <x:c r="AC129" s="13" t="n">
        <x:v>0</x:v>
      </x:c>
      <x:c r="AD129" s="13" t="n">
        <x:v>0.9694703403308996</x:v>
      </x:c>
      <x:c r="AE129" s="13" t="n">
        <x:v>0.9840964485153414</x:v>
      </x:c>
      <x:c r="AF129" s="13" t="n">
        <x:v>0.3793691806049305</x:v>
      </x:c>
      <x:c r="AG129" s="13" t="n">
        <x:v>0.3629574113390026</x:v>
      </x:c>
      <x:c r="AH129" s="13" t="n">
        <x:v>0.614274330484967</x:v>
      </x:c>
      <x:c r="AI129" s="13" t="n">
        <x:v>0.8529411764705882</x:v>
      </x:c>
      <x:c r="AJ129" s="13" t="n">
        <x:v>0.6618723086033577</x:v>
      </x:c>
      <x:c r="AK129" s="13" t="n">
        <x:v>0.00187935308020083</x:v>
      </x:c>
      <x:c r="AL129" s="13" t="n">
        <x:v>0.11098364869664448</x:v>
      </x:c>
      <x:c r="AM129" s="13" t="n">
        <x:v>0.03388181328514589</x:v>
      </x:c>
      <x:c r="AN129" s="13" t="n">
        <x:v>0.5602112224281701</x:v>
      </x:c>
      <x:c r="AO129" s="13" t="n">
        <x:v>0.29268716918596416</x:v>
      </x:c>
      <x:c r="AP129" s="13" t="n">
        <x:v>0.5903597653224002</x:v>
      </x:c>
    </x:row>
    <x:row r="130" ht="15" hidden="0" customHeight="1">
      <x:c r="A130" s="2" t="str">
        <x:v>E129</x:v>
      </x:c>
      <x:c r="B130" s="2" t="str">
        <x:v>个体经营E129 </x:v>
      </x:c>
      <x:c r="C130" s="2" t="str">
        <x:v>无信贷记录</x:v>
      </x:c>
      <x:c r="D130" s="2" t="str"/>
      <x:c r="E130" s="2" t="str"/>
      <x:c r="F130" s="13" t="n">
        <x:v>0.4727262941667191</x:v>
      </x:c>
      <x:c r="G130" s="13" t="n">
        <x:v>0.452155176360357</x:v>
      </x:c>
      <x:c r="H130" s="13" t="n">
        <x:v>0.7236363636363636</x:v>
      </x:c>
      <x:c r="I130" s="13" t="n">
        <x:v>0.1936431623931627</x:v>
      </x:c>
      <x:c r="J130" s="13" t="n">
        <x:v>0.29285369731073757</x:v>
      </x:c>
      <x:c r="K130" s="13" t="n">
        <x:v>0.3003509042897301</x:v>
      </x:c>
      <x:c r="L130" s="13" t="n">
        <x:v>0.8534673666923785</x:v>
      </x:c>
      <x:c r="M130" s="13" t="n">
        <x:v>0.49369883544071913</x:v>
      </x:c>
      <x:c r="N130" s="13" t="n">
        <x:v>0.10078790197631797</x:v>
      </x:c>
      <x:c r="O130" s="13" t="n">
        <x:v>0.032716860729375664</x:v>
      </x:c>
      <x:c r="P130" s="13" t="n">
        <x:v>0.11718875427332923</x:v>
      </x:c>
      <x:c r="Q130" s="13" t="n">
        <x:v>0.30265183402450363</x:v>
      </x:c>
      <x:c r="R130" s="13" t="n">
        <x:v>0.1442971615169514</x:v>
      </x:c>
      <x:c r="S130" s="13" t="n">
        <x:v>0.49067275835514224</x:v>
      </x:c>
      <x:c r="T130" s="13" t="n">
        <x:v>0.9444444444444444</x:v>
      </x:c>
      <x:c r="U130" s="13" t="n">
        <x:v>0.5073788680959626</x:v>
      </x:c>
      <x:c r="V130" s="13" t="n">
        <x:v>0.48285374074751547</x:v>
      </x:c>
      <x:c r="W130" s="13" t="n">
        <x:v>0.7854179016004749</x:v>
      </x:c>
      <x:c r="X130" s="13" t="n">
        <x:v>0.24373653780750518</x:v>
      </x:c>
      <x:c r="Y130" s="13" t="n">
        <x:v>0.5595950584701946</x:v>
      </x:c>
      <x:c r="Z130" s="13" t="n">
        <x:v>0.38360331112071683</x:v>
      </x:c>
      <x:c r="AA130" s="13" t="n">
        <x:v>0.2960316163251966</x:v>
      </x:c>
      <x:c r="AB130" s="13" t="n">
        <x:v>0.1343802452084106</x:v>
      </x:c>
      <x:c r="AC130" s="13" t="n">
        <x:v>0.09310637257444997</x:v>
      </x:c>
      <x:c r="AD130" s="13" t="n">
        <x:v>0.00595087775231223</x:v>
      </x:c>
      <x:c r="AE130" s="13" t="n">
        <x:v>0.009063234837366894</x:v>
      </x:c>
      <x:c r="AF130" s="13" t="n">
        <x:v>0.5666496280962714</x:v>
      </x:c>
      <x:c r="AG130" s="13" t="n">
        <x:v>0.09739980242787023</x:v>
      </x:c>
      <x:c r="AH130" s="13" t="n">
        <x:v>0.49212513083311304</x:v>
      </x:c>
      <x:c r="AI130" s="13" t="n">
        <x:v>0.9411764705882353</x:v>
      </x:c>
      <x:c r="AJ130" s="13" t="n">
        <x:v>0.7639017891955963</x:v>
      </x:c>
      <x:c r="AK130" s="13" t="n">
        <x:v>0.010674151268092156</x:v>
      </x:c>
      <x:c r="AL130" s="13" t="n">
        <x:v>0.2368155673559249</x:v>
      </x:c>
      <x:c r="AM130" s="13" t="n">
        <x:v>0.10042952937177474</x:v>
      </x:c>
      <x:c r="AN130" s="13" t="n">
        <x:v>0.00014799470796664013</x:v>
      </x:c>
      <x:c r="AO130" s="13" t="n">
        <x:v>0.1369051317674502</x:v>
      </x:c>
      <x:c r="AP130" s="13" t="n">
        <x:v>0.4425287367371487</x:v>
      </x:c>
    </x:row>
    <x:row r="131" ht="15" hidden="0" customHeight="1">
      <x:c r="A131" s="2" t="str">
        <x:v>E130</x:v>
      </x:c>
      <x:c r="B131" s="2" t="str">
        <x:v>个体经营E130 </x:v>
      </x:c>
      <x:c r="C131" s="2" t="str">
        <x:v>无信贷记录</x:v>
      </x:c>
      <x:c r="D131" s="2" t="str"/>
      <x:c r="E131" s="2" t="str"/>
      <x:c r="F131" s="13" t="n">
        <x:v>0.2428664974300554</x:v>
      </x:c>
      <x:c r="G131" s="13" t="n">
        <x:v>0.2381330248769278</x:v>
      </x:c>
      <x:c r="H131" s="13" t="n">
        <x:v>0.23272727272727273</x:v>
      </x:c>
      <x:c r="I131" s="13" t="n">
        <x:v>0.12019230769230788</x:v>
      </x:c>
      <x:c r="J131" s="13" t="n">
        <x:v>0.2648923165756442</x:v>
      </x:c>
      <x:c r="K131" s="13" t="n">
        <x:v>0.26608068871079354</x:v>
      </x:c>
      <x:c r="L131" s="13" t="n">
        <x:v>0.3228495359426709</x:v>
      </x:c>
      <x:c r="M131" s="13" t="n">
        <x:v>0.3089592615675599</x:v>
      </x:c>
      <x:c r="N131" s="13" t="n">
        <x:v>0.11874603655283968</x:v>
      </x:c>
      <x:c r="O131" s="13" t="n">
        <x:v>0.034413771763555125</x:v>
      </x:c>
      <x:c r="P131" s="13" t="n">
        <x:v>0.09467418365887427</x:v>
      </x:c>
      <x:c r="Q131" s="13" t="n">
        <x:v>0.3179094247763169</x:v>
      </x:c>
      <x:c r="R131" s="13" t="n">
        <x:v>0.27060515020700826</x:v>
      </x:c>
      <x:c r="S131" s="13" t="n">
        <x:v>0.8647505973310522</x:v>
      </x:c>
      <x:c r="T131" s="13" t="n">
        <x:v>0.8055555555555556</x:v>
      </x:c>
      <x:c r="U131" s="13" t="n">
        <x:v>0.11991403260470736</x:v>
      </x:c>
      <x:c r="V131" s="13" t="n">
        <x:v>0.12264605208640518</x:v>
      </x:c>
      <x:c r="W131" s="13" t="n">
        <x:v>0.0753309622604229</x:v>
      </x:c>
      <x:c r="X131" s="13" t="n">
        <x:v>0.05951706155764661</x:v>
      </x:c>
      <x:c r="Y131" s="13" t="n">
        <x:v>0.17950856506004123</x:v>
      </x:c>
      <x:c r="Z131" s="13" t="n">
        <x:v>0.12253250077477244</x:v>
      </x:c>
      <x:c r="AA131" s="13" t="n">
        <x:v>0.00445718870251237</x:v>
      </x:c>
      <x:c r="AB131" s="13" t="n">
        <x:v>0.05424992840225268</x:v>
      </x:c>
      <x:c r="AC131" s="13" t="n">
        <x:v>0.08916841049304378</x:v>
      </x:c>
      <x:c r="AD131" s="13" t="n">
        <x:v>0.7783339290057154</x:v>
      </x:c>
      <x:c r="AE131" s="13" t="n">
        <x:v>0.874578668639262</x:v>
      </x:c>
      <x:c r="AF131" s="13" t="n">
        <x:v>0.21811809880230434</x:v>
      </x:c>
      <x:c r="AG131" s="13" t="n">
        <x:v>0.4791645401150968</x:v>
      </x:c>
      <x:c r="AH131" s="13" t="n">
        <x:v>0.9332474867409216</x:v>
      </x:c>
      <x:c r="AI131" s="13" t="n">
        <x:v>0.5294117647058824</x:v>
      </x:c>
      <x:c r="AJ131" s="13" t="n">
        <x:v>0.23523348102928654</x:v>
      </x:c>
      <x:c r="AK131" s="13" t="n">
        <x:v>0.02962001623371813</x:v>
      </x:c>
      <x:c r="AL131" s="13" t="n">
        <x:v>0.11138540649154222</x:v>
      </x:c>
      <x:c r="AM131" s="13" t="n">
        <x:v>0.08513911092601803</x:v>
      </x:c>
      <x:c r="AN131" s="13" t="n">
        <x:v>0.4583684541398538</x:v>
      </x:c>
      <x:c r="AO131" s="13" t="n">
        <x:v>0.42246734403270053</x:v>
      </x:c>
      <x:c r="AP131" s="13" t="n">
        <x:v>0.9038868100300801</x:v>
      </x:c>
    </x:row>
    <x:row r="132" ht="15" hidden="0" customHeight="1">
      <x:c r="A132" s="2" t="str">
        <x:v>E131</x:v>
      </x:c>
      <x:c r="B132" s="2" t="str">
        <x:v>个体经营E131 </x:v>
      </x:c>
      <x:c r="C132" s="2" t="str">
        <x:v>无信贷记录</x:v>
      </x:c>
      <x:c r="D132" s="2" t="str"/>
      <x:c r="E132" s="2" t="str"/>
      <x:c r="F132" s="13" t="n">
        <x:v>0.5288644103778523</x:v>
      </x:c>
      <x:c r="G132" s="13" t="n">
        <x:v>0.4978590154828433</x:v>
      </x:c>
      <x:c r="H132" s="13" t="n">
        <x:v>1</x:v>
      </x:c>
      <x:c r="I132" s="13" t="n">
        <x:v>0.8680555555555569</x:v>
      </x:c>
      <x:c r="J132" s="13" t="n">
        <x:v>0.42811506259271825</x:v>
      </x:c>
      <x:c r="K132" s="13" t="n">
        <x:v>0.44205690679019966</x:v>
      </x:c>
      <x:c r="L132" s="13" t="n">
        <x:v>0.5654532334718455</x:v>
      </x:c>
      <x:c r="M132" s="13" t="n">
        <x:v>0.6098481520748059</x:v>
      </x:c>
      <x:c r="N132" s="13" t="n">
        <x:v>0.4103442399952963</x:v>
      </x:c>
      <x:c r="O132" s="13" t="n">
        <x:v>0.05288286515596871</x:v>
      </x:c>
      <x:c r="P132" s="13" t="n">
        <x:v>0.18897907849332257</x:v>
      </x:c>
      <x:c r="Q132" s="13" t="n">
        <x:v>0.442440039968226</x:v>
      </x:c>
      <x:c r="R132" s="13" t="n">
        <x:v>0.17858398073006385</x:v>
      </x:c>
      <x:c r="S132" s="13" t="n">
        <x:v>0.5798062249856508</x:v>
      </x:c>
      <x:c r="T132" s="13" t="n">
        <x:v>0.9444444444444444</x:v>
      </x:c>
      <x:c r="U132" s="13" t="n">
        <x:v>0.29062570984256814</x:v>
      </x:c>
      <x:c r="V132" s="13" t="n">
        <x:v>0.28837891609213884</x:v>
      </x:c>
      <x:c r="W132" s="13" t="n">
        <x:v>0.295149180003952</x:v>
      </x:c>
      <x:c r="X132" s="13" t="n">
        <x:v>0.11903412311529322</x:v>
      </x:c>
      <x:c r="Y132" s="13" t="n">
        <x:v>0.3613131674852852</x:v>
      </x:c>
      <x:c r="Z132" s="13" t="n">
        <x:v>0.24381582328151477</x:v>
      </x:c>
      <x:c r="AA132" s="13" t="n">
        <x:v>0.30606029090584946</x:v>
      </x:c>
      <x:c r="AB132" s="13" t="n">
        <x:v>0.08805402981585513</x:v>
      </x:c>
      <x:c r="AC132" s="13" t="n">
        <x:v>0.07606811124398503</x:v>
      </x:c>
      <x:c r="AD132" s="13" t="n">
        <x:v>0.004901631136058997</x:v>
      </x:c>
      <x:c r="AE132" s="13" t="n">
        <x:v>0.0031819559210655496</x:v>
      </x:c>
      <x:c r="AF132" s="13" t="n">
        <x:v>0.365852422096416</x:v>
      </x:c>
      <x:c r="AG132" s="13" t="n">
        <x:v>0.035325323140667476</x:v>
      </x:c>
      <x:c r="AH132" s="13" t="n">
        <x:v>0.541390722362879</x:v>
      </x:c>
      <x:c r="AI132" s="13" t="n">
        <x:v>0.9411764705882353</x:v>
      </x:c>
      <x:c r="AJ132" s="13" t="n">
        <x:v>0.3940366364273439</x:v>
      </x:c>
      <x:c r="AK132" s="13" t="n">
        <x:v>0.024734962402808983</x:v>
      </x:c>
      <x:c r="AL132" s="13" t="n">
        <x:v>0.21028814094029535</x:v>
      </x:c>
      <x:c r="AM132" s="13" t="n">
        <x:v>0.17338494559620862</x:v>
      </x:c>
      <x:c r="AN132" s="13" t="n">
        <x:v>0.011610943219224583</x:v>
      </x:c>
      <x:c r="AO132" s="13" t="n">
        <x:v>0.13046682112562266</x:v>
      </x:c>
      <x:c r="AP132" s="13" t="n">
        <x:v>0.5254696914775937</x:v>
      </x:c>
    </x:row>
    <x:row r="133" ht="15" hidden="0" customHeight="1">
      <x:c r="A133" s="2" t="str">
        <x:v>E132</x:v>
      </x:c>
      <x:c r="B133" s="2" t="str">
        <x:v>个体经营E132 </x:v>
      </x:c>
      <x:c r="C133" s="2" t="str">
        <x:v>无信贷记录</x:v>
      </x:c>
      <x:c r="D133" s="2" t="str"/>
      <x:c r="E133" s="2" t="str"/>
      <x:c r="F133" s="13" t="n">
        <x:v>0.3854916981369023</x:v>
      </x:c>
      <x:c r="G133" s="13" t="n">
        <x:v>0.38516357243791466</x:v>
      </x:c>
      <x:c r="H133" s="13" t="n">
        <x:v>0.19818181818181818</x:v>
      </x:c>
      <x:c r="I133" s="13" t="n">
        <x:v>0.06677350427350438</x:v>
      </x:c>
      <x:c r="J133" s="13" t="n">
        <x:v>0.24013313766283825</x:v>
      </x:c>
      <x:c r="K133" s="13" t="n">
        <x:v>0.24228963715031906</x:v>
      </x:c>
      <x:c r="L133" s="13" t="n">
        <x:v>0.4236233795317127</x:v>
      </x:c>
      <x:c r="M133" s="13" t="n">
        <x:v>0.16579414459230674</x:v>
      </x:c>
      <x:c r="N133" s="13" t="n">
        <x:v>0.040796905627559776</x:v>
      </x:c>
      <x:c r="O133" s="13" t="n">
        <x:v>0.061508716000856535</x:v>
      </x:c>
      <x:c r="P133" s="13" t="n">
        <x:v>0.19142260911977055</x:v>
      </x:c>
      <x:c r="Q133" s="13" t="n">
        <x:v>0.28819455649716336</x:v>
      </x:c>
      <x:c r="R133" s="13" t="n">
        <x:v>0.08814032301461341</x:v>
      </x:c>
      <x:c r="S133" s="13" t="n">
        <x:v>0.6100259465357143</x:v>
      </x:c>
      <x:c r="T133" s="13" t="n">
        <x:v>0.8055555555555556</x:v>
      </x:c>
      <x:c r="U133" s="13" t="n">
        <x:v>0.15625797207806974</x:v>
      </x:c>
      <x:c r="V133" s="13" t="n">
        <x:v>0.15418755435776665</x:v>
      </x:c>
      <x:c r="W133" s="13" t="n">
        <x:v>0.17165579924916038</x:v>
      </x:c>
      <x:c r="X133" s="13" t="n">
        <x:v>0.0226731663076749</x:v>
      </x:c>
      <x:c r="Y133" s="13" t="n">
        <x:v>0.3303172695543646</x:v>
      </x:c>
      <x:c r="Z133" s="13" t="n">
        <x:v>0.22339174200552078</x:v>
      </x:c>
      <x:c r="AA133" s="13" t="n">
        <x:v>0.036028942011975</x:v>
      </x:c>
      <x:c r="AB133" s="13" t="n">
        <x:v>0.09501725730060664</x:v>
      </x:c>
      <x:c r="AC133" s="13" t="n">
        <x:v>0.027048186288081935</x:v>
      </x:c>
      <x:c r="AD133" s="13" t="n">
        <x:v>0.021941388355775155</x:v>
      </x:c>
      <x:c r="AE133" s="13" t="n">
        <x:v>0.03851230582201002</x:v>
      </x:c>
      <x:c r="AF133" s="13" t="n">
        <x:v>0.35414595055526704</x:v>
      </x:c>
      <x:c r="AG133" s="13" t="n">
        <x:v>0.1272913674634197</x:v>
      </x:c>
      <x:c r="AH133" s="13" t="n">
        <x:v>0.5640874690131319</x:v>
      </x:c>
      <x:c r="AI133" s="13" t="n">
        <x:v>0.8823529411764706</x:v>
      </x:c>
      <x:c r="AJ133" s="13" t="n">
        <x:v>0.46750384818284785</x:v>
      </x:c>
      <x:c r="AK133" s="13" t="n">
        <x:v>0.014790184761357038</x:v>
      </x:c>
      <x:c r="AL133" s="13" t="n">
        <x:v>0.09683192640297347</x:v>
      </x:c>
      <x:c r="AM133" s="13" t="n">
        <x:v>0.02602874730535727</x:v>
      </x:c>
      <x:c r="AN133" s="13" t="n">
        <x:v>0.026866292485733686</x:v>
      </x:c>
      <x:c r="AO133" s="13" t="n">
        <x:v>0.11108396129590624</x:v>
      </x:c>
      <x:c r="AP133" s="13" t="n">
        <x:v>0.556486745321676</x:v>
      </x:c>
    </x:row>
    <x:row r="134" ht="15" hidden="0" customHeight="1">
      <x:c r="A134" s="2" t="str">
        <x:v>E133</x:v>
      </x:c>
      <x:c r="B134" s="2" t="str">
        <x:v>个体经营E133 </x:v>
      </x:c>
      <x:c r="C134" s="2" t="str">
        <x:v>无信贷记录</x:v>
      </x:c>
      <x:c r="D134" s="2" t="str"/>
      <x:c r="E134" s="2" t="str"/>
      <x:c r="F134" s="13" t="n">
        <x:v>0.12281614505311819</x:v>
      </x:c>
      <x:c r="G134" s="13" t="n">
        <x:v>0.12185147091587752</x:v>
      </x:c>
      <x:c r="H134" s="13" t="n">
        <x:v>0.08363636363636363</x:v>
      </x:c>
      <x:c r="I134" s="13" t="n">
        <x:v>0.013354700854700877</x:v>
      </x:c>
      <x:c r="J134" s="13" t="n">
        <x:v>0.13913726260630885</x:v>
      </x:c>
      <x:c r="K134" s="13" t="n">
        <x:v>0.13811295025238102</x:v>
      </x:c>
      <x:c r="L134" s="13" t="n">
        <x:v>0.17542113513648014</x:v>
      </x:c>
      <x:c r="M134" s="13" t="n">
        <x:v>0.21943209408426248</x:v>
      </x:c>
      <x:c r="N134" s="13" t="n">
        <x:v>0.025769152397645635</x:v>
      </x:c>
      <x:c r="O134" s="13" t="n">
        <x:v>0.05987065626961515</x:v>
      </x:c>
      <x:c r="P134" s="13" t="n">
        <x:v>0.14483244544557558</x:v>
      </x:c>
      <x:c r="Q134" s="13" t="n">
        <x:v>0.15686326166452658</x:v>
      </x:c>
      <x:c r="R134" s="13" t="n">
        <x:v>0.22512843772606195</x:v>
      </x:c>
      <x:c r="S134" s="13" t="n">
        <x:v>0.6445685146597573</x:v>
      </x:c>
      <x:c r="T134" s="13" t="n">
        <x:v>0.8333333333333334</x:v>
      </x:c>
      <x:c r="U134" s="13" t="n">
        <x:v>0.01402736279289198</x:v>
      </x:c>
      <x:c r="V134" s="13" t="n">
        <x:v>0.012437430244754607</x:v>
      </x:c>
      <x:c r="W134" s="13" t="n">
        <x:v>0.0370480142264375</x:v>
      </x:c>
      <x:c r="X134" s="13" t="n">
        <x:v>0.008502437365378089</x:v>
      </x:c>
      <x:c r="Y134" s="13" t="n">
        <x:v>0.17490462117729985</x:v>
      </x:c>
      <x:c r="Z134" s="13" t="n">
        <x:v>0.12027956178448881</x:v>
      </x:c>
      <x:c r="AA134" s="13" t="n">
        <x:v>0.002600026743132216</x:v>
      </x:c>
      <x:c r="AB134" s="13" t="n">
        <x:v>0.21689508501035643</x:v>
      </x:c>
      <x:c r="AC134" s="13" t="n">
        <x:v>0.1201953778176641</x:v>
      </x:c>
      <x:c r="AD134" s="13" t="n">
        <x:v>0.46186905020120017</x:v>
      </x:c>
      <x:c r="AE134" s="13" t="n">
        <x:v>0.617448199469929</x:v>
      </x:c>
      <x:c r="AF134" s="13" t="n">
        <x:v>0.1770791806913965</x:v>
      </x:c>
      <x:c r="AG134" s="13" t="n">
        <x:v>0.5041955256583143</x:v>
      </x:c>
      <x:c r="AH134" s="13" t="n">
        <x:v>0.588444301882727</x:v>
      </x:c>
      <x:c r="AI134" s="13" t="n">
        <x:v>0.47058823529411764</x:v>
      </x:c>
      <x:c r="AJ134" s="13" t="n">
        <x:v>0.30756372768347534</x:v>
      </x:c>
      <x:c r="AK134" s="13" t="n">
        <x:v>0.01565543189412136</x:v>
      </x:c>
      <x:c r="AL134" s="13" t="n">
        <x:v>0.11443642998447201</x:v>
      </x:c>
      <x:c r="AM134" s="13" t="n">
        <x:v>0.027893883086007595</x:v>
      </x:c>
      <x:c r="AN134" s="13" t="n">
        <x:v>0.28629504490915253</x:v>
      </x:c>
      <x:c r="AO134" s="13" t="n">
        <x:v>0.401974584997542</x:v>
      </x:c>
      <x:c r="AP134" s="13" t="n">
        <x:v>0.5911738787774345</x:v>
      </x:c>
    </x:row>
    <x:row r="135" ht="15" hidden="0" customHeight="1">
      <x:c r="A135" s="2" t="str">
        <x:v>E134</x:v>
      </x:c>
      <x:c r="B135" s="2" t="str">
        <x:v>***工程咨询有限公司</x:v>
      </x:c>
      <x:c r="C135" s="2" t="str">
        <x:v>无信贷记录</x:v>
      </x:c>
      <x:c r="D135" s="2" t="str"/>
      <x:c r="E135" s="2" t="str"/>
      <x:c r="F135" s="13" t="n">
        <x:v>0.12655370272363306</x:v>
      </x:c>
      <x:c r="G135" s="13" t="n">
        <x:v>0.12681098601264146</x:v>
      </x:c>
      <x:c r="H135" s="13" t="n">
        <x:v>0.056363636363636366</x:v>
      </x:c>
      <x:c r="I135" s="13" t="n">
        <x:v>0.04674145299145307</x:v>
      </x:c>
      <x:c r="J135" s="13" t="n">
        <x:v>0.014696778131156406</x:v>
      </x:c>
      <x:c r="K135" s="13" t="n">
        <x:v>0.014615091499120016</x:v>
      </x:c>
      <x:c r="L135" s="13" t="n">
        <x:v>0.362039364005076</x:v>
      </x:c>
      <x:c r="M135" s="13" t="n">
        <x:v>0.1435159630348463</x:v>
      </x:c>
      <x:c r="N135" s="13" t="n">
        <x:v>0.08666890708739411</x:v>
      </x:c>
      <x:c r="O135" s="13" t="n">
        <x:v>0.11184417061130622</x:v>
      </x:c>
      <x:c r="P135" s="13" t="n">
        <x:v>0.2998656273113841</x:v>
      </x:c>
      <x:c r="Q135" s="13" t="n">
        <x:v>0.01477518006679912</x:v>
      </x:c>
      <x:c r="R135" s="13" t="n">
        <x:v>0.4310597994826151</x:v>
      </x:c>
      <x:c r="S135" s="13" t="n">
        <x:v>0.764555596963347</x:v>
      </x:c>
      <x:c r="T135" s="13" t="n">
        <x:v>0.9444444444444444</x:v>
      </x:c>
      <x:c r="U135" s="13" t="n">
        <x:v>0.2673865562370047</x:v>
      </x:c>
      <x:c r="V135" s="13" t="n">
        <x:v>0.26392958592913085</x:v>
      </x:c>
      <x:c r="W135" s="13" t="n">
        <x:v>0.29020944477376037</x:v>
      </x:c>
      <x:c r="X135" s="13" t="n">
        <x:v>0.16438045573064303</x:v>
      </x:c>
      <x:c r="Y135" s="13" t="n">
        <x:v>0.1945173764032909</x:v>
      </x:c>
      <x:c r="Z135" s="13" t="n">
        <x:v>0.1345774558800245</x:v>
      </x:c>
      <x:c r="AA135" s="13" t="n">
        <x:v>0.6537210097018143</x:v>
      </x:c>
      <x:c r="AB135" s="13" t="n">
        <x:v>0.09408206999092009</x:v>
      </x:c>
      <x:c r="AC135" s="13" t="n">
        <x:v>0.11475443478888095</x:v>
      </x:c>
      <x:c r="AD135" s="13" t="n">
        <x:v>0.002791208225239996</x:v>
      </x:c>
      <x:c r="AE135" s="13" t="n">
        <x:v>0.03781323386125212</x:v>
      </x:c>
      <x:c r="AF135" s="13" t="n">
        <x:v>0.19161419236741878</x:v>
      </x:c>
      <x:c r="AG135" s="13" t="n">
        <x:v>0.16497544685880655</x:v>
      </x:c>
      <x:c r="AH135" s="13" t="n">
        <x:v>0.6959198003836727</x:v>
      </x:c>
      <x:c r="AI135" s="13" t="n">
        <x:v>0.9705882352941176</x:v>
      </x:c>
      <x:c r="AJ135" s="13" t="n">
        <x:v>0.41387050719475177</x:v>
      </x:c>
      <x:c r="AK135" s="13" t="n">
        <x:v>0.0014671053418428147</x:v>
      </x:c>
      <x:c r="AL135" s="13" t="n">
        <x:v>0.1538841005189241</x:v>
      </x:c>
      <x:c r="AM135" s="13" t="n">
        <x:v>0.14016381749841603</x:v>
      </x:c>
      <x:c r="AN135" s="13" t="n">
        <x:v>0.04569297840731931</x:v>
      </x:c>
      <x:c r="AO135" s="13" t="n">
        <x:v>0.38033266751135253</x:v>
      </x:c>
      <x:c r="AP135" s="13" t="n">
        <x:v>0.7227161371934747</x:v>
      </x:c>
    </x:row>
    <x:row r="136" ht="15" hidden="0" customHeight="1">
      <x:c r="A136" s="2" t="str">
        <x:v>E135</x:v>
      </x:c>
      <x:c r="B136" s="2" t="str">
        <x:v>***建设工程有限公司</x:v>
      </x:c>
      <x:c r="C136" s="2" t="str">
        <x:v>无信贷记录</x:v>
      </x:c>
      <x:c r="D136" s="2" t="str"/>
      <x:c r="E136" s="2" t="str"/>
      <x:c r="F136" s="13" t="n">
        <x:v>0.2159560822023484</x:v>
      </x:c>
      <x:c r="G136" s="13" t="n">
        <x:v>0.21707416077374547</x:v>
      </x:c>
      <x:c r="H136" s="13" t="n">
        <x:v>0.08</x:v>
      </x:c>
      <x:c r="I136" s="13" t="n">
        <x:v>0.03338675213675219</x:v>
      </x:c>
      <x:c r="J136" s="13" t="n">
        <x:v>0.09027629672499807</x:v>
      </x:c>
      <x:c r="K136" s="13" t="n">
        <x:v>0.09170728364123851</x:v>
      </x:c>
      <x:c r="L136" s="13" t="n">
        <x:v>0.22705217845679165</x:v>
      </x:c>
      <x:c r="M136" s="13" t="n">
        <x:v>0.11942982697290631</x:v>
      </x:c>
      <x:c r="N136" s="13" t="n">
        <x:v>0.036182713982995586</x:v>
      </x:c>
      <x:c r="O136" s="13" t="n">
        <x:v>0.03984249931572887</x:v>
      </x:c>
      <x:c r="P136" s="13" t="n">
        <x:v>0.08967785117794333</x:v>
      </x:c>
      <x:c r="Q136" s="13" t="n">
        <x:v>0.10495715116919752</x:v>
      </x:c>
      <x:c r="R136" s="13" t="n">
        <x:v>0.22703056096451651</x:v>
      </x:c>
      <x:c r="S136" s="13" t="n">
        <x:v>0.83526156221378</x:v>
      </x:c>
      <x:c r="T136" s="13" t="n">
        <x:v>0.8055555555555556</x:v>
      </x:c>
      <x:c r="U136" s="13" t="n">
        <x:v>0.03525711589872625</x:v>
      </x:c>
      <x:c r="V136" s="13" t="n">
        <x:v>0.03362062851575772</x:v>
      </x:c>
      <x:c r="W136" s="13" t="n">
        <x:v>0.05680695514720416</x:v>
      </x:c>
      <x:c r="X136" s="13" t="n">
        <x:v>0.039678041038431075</x:v>
      </x:c>
      <x:c r="Y136" s="13" t="n">
        <x:v>0.21411779042787182</x:v>
      </x:c>
      <x:c r="Z136" s="13" t="n">
        <x:v>0.1578029437261634</x:v>
      </x:c>
      <x:c r="AA136" s="13" t="n">
        <x:v>0.028228861782578347</x:v>
      </x:c>
      <x:c r="AB136" s="13" t="n">
        <x:v>0.13689423444560025</x:v>
      </x:c>
      <x:c r="AC136" s="13" t="n">
        <x:v>0.21397178975714953</x:v>
      </x:c>
      <x:c r="AD136" s="13" t="n">
        <x:v>0.09342952816613888</x:v>
      </x:c>
      <x:c r="AE136" s="13" t="n">
        <x:v>0.20530524604723005</x:v>
      </x:c>
      <x:c r="AF136" s="13" t="n">
        <x:v>0.21092678746623977</x:v>
      </x:c>
      <x:c r="AG136" s="13" t="n">
        <x:v>0.19027328415273753</x:v>
      </x:c>
      <x:c r="AH136" s="13" t="n">
        <x:v>0.6111977786141758</x:v>
      </x:c>
      <x:c r="AI136" s="13" t="n">
        <x:v>0.9117647058823529</x:v>
      </x:c>
      <x:c r="AJ136" s="13" t="n">
        <x:v>0.3945908950393622</x:v>
      </x:c>
      <x:c r="AK136" s="13" t="n">
        <x:v>0.007916961310832218</x:v>
      </x:c>
      <x:c r="AL136" s="13" t="n">
        <x:v>0.07305706477347643</x:v>
      </x:c>
      <x:c r="AM136" s="13" t="n">
        <x:v>0.057351698260409256</x:v>
      </x:c>
      <x:c r="AN136" s="13" t="n">
        <x:v>0.05619989988914991</x:v>
      </x:c>
      <x:c r="AO136" s="13" t="n">
        <x:v>0.2443127855715443</x:v>
      </x:c>
      <x:c r="AP136" s="13" t="n">
        <x:v>0.7286753651995046</x:v>
      </x:c>
    </x:row>
    <x:row r="137" ht="15" hidden="0" customHeight="1">
      <x:c r="A137" s="2" t="str">
        <x:v>E136</x:v>
      </x:c>
      <x:c r="B137" s="2" t="str">
        <x:v>***机械有限责任公司</x:v>
      </x:c>
      <x:c r="C137" s="2" t="str">
        <x:v>无信贷记录</x:v>
      </x:c>
      <x:c r="D137" s="2" t="str"/>
      <x:c r="E137" s="2" t="str"/>
      <x:c r="F137" s="13" t="n">
        <x:v>0.09612998328564211</x:v>
      </x:c>
      <x:c r="G137" s="13" t="n">
        <x:v>0.09796949821915261</x:v>
      </x:c>
      <x:c r="H137" s="13" t="n">
        <x:v>0.0036363636363636364</x:v>
      </x:c>
      <x:c r="I137" s="13" t="n">
        <x:v>0.006677350427350438</x:v>
      </x:c>
      <x:c r="J137" s="13" t="n">
        <x:v>0.4520914390237888</x:v>
      </x:c>
      <x:c r="K137" s="13" t="n">
        <x:v>0.4487719288073421</x:v>
      </x:c>
      <x:c r="L137" s="13" t="n">
        <x:v>0.009330911443429795</x:v>
      </x:c>
      <x:c r="M137" s="13" t="n">
        <x:v>0.012184910706474877</x:v>
      </x:c>
      <x:c r="N137" s="13" t="n">
        <x:v>0.01602055780864517</x:v>
      </x:c>
      <x:c r="O137" s="13" t="n">
        <x:v>0.9993777362212909</x:v>
      </x:c>
      <x:c r="P137" s="13" t="n">
        <x:v>0.9996788077946382</x:v>
      </x:c>
      <x:c r="Q137" s="13" t="n">
        <x:v>0.5606635875942636</x:v>
      </x:c>
      <x:c r="R137" s="13" t="n">
        <x:v>0.1607689436753634</x:v>
      </x:c>
      <x:c r="S137" s="13" t="n">
        <x:v>0.6441227250283624</x:v>
      </x:c>
      <x:c r="T137" s="13" t="n">
        <x:v>0.7222222222222222</x:v>
      </x:c>
      <x:c r="U137" s="13" t="n">
        <x:v>0.11755517114850356</x:v>
      </x:c>
      <x:c r="V137" s="13" t="n">
        <x:v>0.11919328408628574</x:v>
      </x:c>
      <x:c r="W137" s="13" t="n">
        <x:v>0.08768030033590207</x:v>
      </x:c>
      <x:c r="X137" s="13" t="n">
        <x:v>0.01133658315383745</x:v>
      </x:c>
      <x:c r="Y137" s="13" t="n">
        <x:v>0.20106629228883557</x:v>
      </x:c>
      <x:c r="Z137" s="13" t="n">
        <x:v>0.1335210252951151</x:v>
      </x:c>
      <x:c r="AA137" s="13" t="n">
        <x:v>0.0007428647837520618</x:v>
      </x:c>
      <x:c r="AB137" s="13" t="n">
        <x:v>0.06440156644710952</x:v>
      </x:c>
      <x:c r="AC137" s="13" t="n">
        <x:v>0.017473886702464147</x:v>
      </x:c>
      <x:c r="AD137" s="13" t="n">
        <x:v>0.6521544897888685</x:v>
      </x:c>
      <x:c r="AE137" s="13" t="n">
        <x:v>0.7885630597751647</x:v>
      </x:c>
      <x:c r="AF137" s="13" t="n">
        <x:v>0.24431553745137397</x:v>
      </x:c>
      <x:c r="AG137" s="13" t="n">
        <x:v>0.23318009070855036</x:v>
      </x:c>
      <x:c r="AH137" s="13" t="n">
        <x:v>0.6530228221472968</x:v>
      </x:c>
      <x:c r="AI137" s="13" t="n">
        <x:v>0.7058823529411765</x:v>
      </x:c>
      <x:c r="AJ137" s="13" t="n">
        <x:v>0.14869411177459196</x:v>
      </x:c>
      <x:c r="AK137" s="13" t="n">
        <x:v>0.045856031048468755</x:v>
      </x:c>
      <x:c r="AL137" s="13" t="n">
        <x:v>0.07413277673231326</x:v>
      </x:c>
      <x:c r="AM137" s="13" t="n">
        <x:v>0.018874499099831597</x:v>
      </x:c>
      <x:c r="AN137" s="13" t="n">
        <x:v>0.9619115439364028</x:v>
      </x:c>
      <x:c r="AO137" s="13" t="n">
        <x:v>0.21771449016155883</x:v>
      </x:c>
      <x:c r="AP137" s="13" t="n">
        <x:v>0.6220893399447409</x:v>
      </x:c>
    </x:row>
    <x:row r="138" ht="15" hidden="0" customHeight="1">
      <x:c r="A138" s="2" t="str">
        <x:v>E137</x:v>
      </x:c>
      <x:c r="B138" s="2" t="str">
        <x:v>***建设工程有限公司</x:v>
      </x:c>
      <x:c r="C138" s="2" t="str">
        <x:v>无信贷记录</x:v>
      </x:c>
      <x:c r="D138" s="2" t="str"/>
      <x:c r="E138" s="2" t="str"/>
      <x:c r="F138" s="13" t="n">
        <x:v>0.2451090320323643</x:v>
      </x:c>
      <x:c r="G138" s="13" t="n">
        <x:v>0.23950642905757014</x:v>
      </x:c>
      <x:c r="H138" s="13" t="n">
        <x:v>0.2545454545454545</x:v>
      </x:c>
      <x:c r="I138" s="13" t="n">
        <x:v>0.2470619658119662</x:v>
      </x:c>
      <x:c r="J138" s="13" t="n">
        <x:v>0.37061619565767306</x:v>
      </x:c>
      <x:c r="K138" s="13" t="n">
        <x:v>0.3893612314082258</x:v>
      </x:c>
      <x:c r="L138" s="13" t="n">
        <x:v>0.42175719724302674</x:v>
      </x:c>
      <x:c r="M138" s="13" t="n">
        <x:v>0.334834364308374</x:v>
      </x:c>
      <x:c r="N138" s="13" t="n">
        <x:v>0.2426902838748661</x:v>
      </x:c>
      <x:c r="O138" s="13" t="n">
        <x:v>0.02775895773035262</x:v>
      </x:c>
      <x:c r="P138" s="13" t="n">
        <x:v>0.0478485934652927</x:v>
      </x:c>
      <x:c r="Q138" s="13" t="n">
        <x:v>0.37266489939856684</x:v>
      </x:c>
      <x:c r="R138" s="13" t="n">
        <x:v>0.1400061744222691</x:v>
      </x:c>
      <x:c r="S138" s="13" t="n">
        <x:v>0.6111199709852736</x:v>
      </x:c>
      <x:c r="T138" s="13" t="n">
        <x:v>0.9722222222222222</x:v>
      </x:c>
      <x:c r="U138" s="13" t="n">
        <x:v>0.021366042878859383</x:v>
      </x:c>
      <x:c r="V138" s="13" t="n">
        <x:v>0.02092937316396731</x:v>
      </x:c>
      <x:c r="W138" s="13" t="n">
        <x:v>0.02840347757360208</x:v>
      </x:c>
      <x:c r="X138" s="13" t="n">
        <x:v>0.017004874730756177</x:v>
      </x:c>
      <x:c r="Y138" s="13" t="n">
        <x:v>0.22942889371819333</x:v>
      </x:c>
      <x:c r="Z138" s="13" t="n">
        <x:v>0.1592018026407099</x:v>
      </x:c>
      <x:c r="AA138" s="13" t="n">
        <x:v>0.00891437740502474</x:v>
      </x:c>
      <x:c r="AB138" s="13" t="n">
        <x:v>0.11129393469691518</x:v>
      </x:c>
      <x:c r="AC138" s="13" t="n">
        <x:v>0.14569136705171407</x:v>
      </x:c>
      <x:c r="AD138" s="13" t="n">
        <x:v>0.1384857340550605</x:v>
      </x:c>
      <x:c r="AE138" s="13" t="n">
        <x:v>0.24689549753260054</x:v>
      </x:c>
      <x:c r="AF138" s="13" t="n">
        <x:v>0.22601305748030018</x:v>
      </x:c>
      <x:c r="AG138" s="13" t="n">
        <x:v>0.3190442452462417</x:v>
      </x:c>
      <x:c r="AH138" s="13" t="n">
        <x:v>0.6085712158813675</x:v>
      </x:c>
      <x:c r="AI138" s="13" t="n">
        <x:v>0.7647058823529411</x:v>
      </x:c>
      <x:c r="AJ138" s="13" t="n">
        <x:v>0.24060254622210342</x:v>
      </x:c>
      <x:c r="AK138" s="13" t="n">
        <x:v>0.033366162883207894</x:v>
      </x:c>
      <x:c r="AL138" s="13" t="n">
        <x:v>0.12641753459845373</x:v>
      </x:c>
      <x:c r="AM138" s="13" t="n">
        <x:v>0.12371416936668979</x:v>
      </x:c>
      <x:c r="AN138" s="13" t="n">
        <x:v>0.07562962485246795</x:v>
      </x:c>
      <x:c r="AO138" s="13" t="n">
        <x:v>0.2460715365298142</x:v>
      </x:c>
      <x:c r="AP138" s="13" t="n">
        <x:v>0.5787117823177038</x:v>
      </x:c>
    </x:row>
    <x:row r="139" ht="15" hidden="0" customHeight="1">
      <x:c r="A139" s="2" t="str">
        <x:v>E138</x:v>
      </x:c>
      <x:c r="B139" s="2" t="str">
        <x:v>个体经营E138 </x:v>
      </x:c>
      <x:c r="C139" s="2" t="str">
        <x:v>无信贷记录</x:v>
      </x:c>
      <x:c r="D139" s="2" t="str"/>
      <x:c r="E139" s="2" t="str"/>
      <x:c r="F139" s="13" t="n">
        <x:v>0.03872109746653392</x:v>
      </x:c>
      <x:c r="G139" s="13" t="n">
        <x:v>0.03891311845153258</x:v>
      </x:c>
      <x:c r="H139" s="13" t="n">
        <x:v>0.014545454545454545</x:v>
      </x:c>
      <x:c r="I139" s="13" t="n">
        <x:v>0.16693376068376095</x:v>
      </x:c>
      <x:c r="J139" s="13" t="n">
        <x:v>0.08170071867456008</x:v>
      </x:c>
      <x:c r="K139" s="13" t="n">
        <x:v>0.08115573272798496</x:v>
      </x:c>
      <x:c r="L139" s="13" t="n">
        <x:v>0.03296922043345194</x:v>
      </x:c>
      <x:c r="M139" s="13" t="n">
        <x:v>0.1207243460764588</x:v>
      </x:c>
      <x:c r="N139" s="13" t="n">
        <x:v>1</x:v>
      </x:c>
      <x:c r="O139" s="13" t="n">
        <x:v>0.16364963055589532</x:v>
      </x:c>
      <x:c r="P139" s="13" t="n">
        <x:v>0.23384796840527297</x:v>
      </x:c>
      <x:c r="Q139" s="13" t="n">
        <x:v>0.08443212286240889</x:v>
      </x:c>
      <x:c r="R139" s="13" t="n">
        <x:v>0.2299146261957053</x:v>
      </x:c>
      <x:c r="S139" s="13" t="n">
        <x:v>0.6277609489716572</x:v>
      </x:c>
      <x:c r="T139" s="13" t="n">
        <x:v>0.9444444444444444</x:v>
      </x:c>
      <x:c r="U139" s="13" t="n">
        <x:v>0.12952420890775992</x:v>
      </x:c>
      <x:c r="V139" s="13" t="n">
        <x:v>0.13365758246516452</x:v>
      </x:c>
      <x:c r="W139" s="13" t="n">
        <x:v>0.06545149180003958</x:v>
      </x:c>
      <x:c r="X139" s="13" t="n">
        <x:v>0.034009749461512355</x:v>
      </x:c>
      <x:c r="Y139" s="13" t="n">
        <x:v>0.18548352581177513</x:v>
      </x:c>
      <x:c r="Z139" s="13" t="n">
        <x:v>0.12405950305303792</x:v>
      </x:c>
      <x:c r="AA139" s="13" t="n">
        <x:v>0.04420045463324768</x:v>
      </x:c>
      <x:c r="AB139" s="13" t="n">
        <x:v>0.04366006961446183</x:v>
      </x:c>
      <x:c r="AC139" s="13" t="n">
        <x:v>0.04677512965802077</x:v>
      </x:c>
      <x:c r="AD139" s="13" t="n">
        <x:v>0.038368561170236036</x:v>
      </x:c>
      <x:c r="AE139" s="13" t="n">
        <x:v>0.0703052849562513</x:v>
      </x:c>
      <x:c r="AF139" s="13" t="n">
        <x:v>0.18779228455877497</x:v>
      </x:c>
      <x:c r="AG139" s="13" t="n">
        <x:v>0.10640851523967709</x:v>
      </x:c>
      <x:c r="AH139" s="13" t="n">
        <x:v>0.6344922715313478</x:v>
      </x:c>
      <x:c r="AI139" s="13" t="n">
        <x:v>0.9411764705882353</x:v>
      </x:c>
      <x:c r="AJ139" s="13" t="n">
        <x:v>0.3588242027641573</x:v>
      </x:c>
      <x:c r="AK139" s="13" t="n">
        <x:v>0.0089125846191911</x:v>
      </x:c>
      <x:c r="AL139" s="13" t="n">
        <x:v>0.08176181036019967</x:v>
      </x:c>
      <x:c r="AM139" s="13" t="n">
        <x:v>0.1839852505794963</x:v>
      </x:c>
      <x:c r="AN139" s="13" t="n">
        <x:v>0.09779589215732061</x:v>
      </x:c>
      <x:c r="AO139" s="13" t="n">
        <x:v>0.20392641427466016</x:v>
      </x:c>
      <x:c r="AP139" s="13" t="n">
        <x:v>0.6022791097749283</x:v>
      </x:c>
    </x:row>
    <x:row r="140" ht="15" hidden="0" customHeight="1">
      <x:c r="A140" s="2" t="str">
        <x:v>E139</x:v>
      </x:c>
      <x:c r="B140" s="2" t="str">
        <x:v>个体经营E139 </x:v>
      </x:c>
      <x:c r="C140" s="2" t="str">
        <x:v>无信贷记录</x:v>
      </x:c>
      <x:c r="D140" s="2" t="str"/>
      <x:c r="E140" s="2" t="str"/>
      <x:c r="F140" s="13" t="n">
        <x:v>0.03513304210283966</x:v>
      </x:c>
      <x:c r="G140" s="13" t="n">
        <x:v>0.034716605677347696</x:v>
      </x:c>
      <x:c r="H140" s="13" t="n">
        <x:v>0.02727272727272727</x:v>
      </x:c>
      <x:c r="I140" s="13" t="n">
        <x:v>0.013354700854700877</x:v>
      </x:c>
      <x:c r="J140" s="13" t="n">
        <x:v>0.0044263086435454855</x:v>
      </x:c>
      <x:c r="K140" s="13" t="n">
        <x:v>0.004435562723036579</x:v>
      </x:c>
      <x:c r="L140" s="13" t="n">
        <x:v>0.047276617980044296</x:v>
      </x:c>
      <x:c r="M140" s="13" t="n">
        <x:v>0.24937762166217653</x:v>
      </x:c>
      <x:c r="N140" s="13" t="n">
        <x:v>0.09016383957075573</x:v>
      </x:c>
      <x:c r="O140" s="13" t="n">
        <x:v>0.06757224567864983</x:v>
      </x:c>
      <x:c r="P140" s="13" t="n">
        <x:v>0.09988124927226891</x:v>
      </x:c>
      <x:c r="Q140" s="13" t="n">
        <x:v>0.004571542414503634</x:v>
      </x:c>
      <x:c r="R140" s="13" t="n">
        <x:v>0.203849336662335</x:v>
      </x:c>
      <x:c r="S140" s="13" t="n">
        <x:v>0.6224838924646654</x:v>
      </x:c>
      <x:c r="T140" s="13" t="n">
        <x:v>0.9444444444444444</x:v>
      </x:c>
      <x:c r="U140" s="13" t="n">
        <x:v>1</x:v>
      </x:c>
      <x:c r="V140" s="13" t="n">
        <x:v>1</x:v>
      </x:c>
      <x:c r="W140" s="13" t="n">
        <x:v>0.7570144240268728</x:v>
      </x:c>
      <x:c r="X140" s="13" t="n">
        <x:v>0.0906926652306996</x:v>
      </x:c>
      <x:c r="Y140" s="13" t="n">
        <x:v>0.2945622427362471</x:v>
      </x:c>
      <x:c r="Z140" s="13" t="n">
        <x:v>0.19602550096737764</x:v>
      </x:c>
      <x:c r="AA140" s="13" t="n">
        <x:v>0.06202920944329716</x:v>
      </x:c>
      <x:c r="AB140" s="13" t="n">
        <x:v>0.05876003953862955</x:v>
      </x:c>
      <x:c r="AC140" s="13" t="n">
        <x:v>0.014701594250774977</x:v>
      </x:c>
      <x:c r="AD140" s="13" t="n">
        <x:v>0.1036865035292986</x:v>
      </x:c>
      <x:c r="AE140" s="13" t="n">
        <x:v>0.26160596224393473</x:v>
      </x:c>
      <x:c r="AF140" s="13" t="n">
        <x:v>0.2982547250957679</x:v>
      </x:c>
      <x:c r="AG140" s="13" t="n">
        <x:v>0.04551504160511802</x:v>
      </x:c>
      <x:c r="AH140" s="13" t="n">
        <x:v>0.4725472686606364</x:v>
      </x:c>
      <x:c r="AI140" s="13" t="n">
        <x:v>0.9411764705882353</x:v>
      </x:c>
      <x:c r="AJ140" s="13" t="n">
        <x:v>0.5640924844173905</x:v>
      </x:c>
      <x:c r="AK140" s="13" t="n">
        <x:v>0.0002937535599644891</x:v>
      </x:c>
      <x:c r="AL140" s="13" t="n">
        <x:v>0.12961009669533183</x:v>
      </x:c>
      <x:c r="AM140" s="13" t="n">
        <x:v>0.0260422190327378</x:v>
      </x:c>
      <x:c r="AN140" s="13" t="n">
        <x:v>0.07888784915586206</x:v>
      </x:c>
      <x:c r="AO140" s="13" t="n">
        <x:v>0.1540602631287179</x:v>
      </x:c>
      <x:c r="AP140" s="13" t="n">
        <x:v>0.5205093290537723</x:v>
      </x:c>
    </x:row>
    <x:row r="141" ht="15" hidden="0" customHeight="1">
      <x:c r="A141" s="2" t="str">
        <x:v>E140</x:v>
      </x:c>
      <x:c r="B141" s="2" t="str">
        <x:v>***建筑工程有限公司</x:v>
      </x:c>
      <x:c r="C141" s="2" t="str">
        <x:v>无信贷记录</x:v>
      </x:c>
      <x:c r="D141" s="2" t="str"/>
      <x:c r="E141" s="2" t="str"/>
      <x:c r="F141" s="13" t="n">
        <x:v>0.15488438986613567</x:v>
      </x:c>
      <x:c r="G141" s="13" t="n">
        <x:v>0.15420276939323008</x:v>
      </x:c>
      <x:c r="H141" s="13" t="n">
        <x:v>0.09272727272727273</x:v>
      </x:c>
      <x:c r="I141" s="13" t="n">
        <x:v>0.11351495726495744</x:v>
      </x:c>
      <x:c r="J141" s="13" t="n">
        <x:v>0.025316215550004458</x:v>
      </x:c>
      <x:c r="K141" s="13" t="n">
        <x:v>0.03127970738412849</x:v>
      </x:c>
      <x:c r="L141" s="13" t="n">
        <x:v>0.35022020951006494</x:v>
      </x:c>
      <x:c r="M141" s="13" t="n">
        <x:v>0.1929610449582743</x:v>
      </x:c>
      <x:c r="N141" s="13" t="n">
        <x:v>0.1731297255623335</x:v>
      </x:c>
      <x:c r="O141" s="13" t="n">
        <x:v>0.11070621416280571</x:v>
      </x:c>
      <x:c r="P141" s="13" t="n">
        <x:v>0.20490082999350276</x:v>
      </x:c>
      <x:c r="Q141" s="13" t="n">
        <x:v>0.026160579333490704</x:v>
      </x:c>
      <x:c r="R141" s="13" t="n">
        <x:v>0.2805271776105419</x:v>
      </x:c>
      <x:c r="S141" s="13" t="n">
        <x:v>0.6872327750393127</x:v>
      </x:c>
      <x:c r="T141" s="13" t="n">
        <x:v>0.9444444444444444</x:v>
      </x:c>
      <x:c r="U141" s="13" t="n">
        <x:v>0.07299889919798717</x:v>
      </x:c>
      <x:c r="V141" s="13" t="n">
        <x:v>0.06712180992232213</x:v>
      </x:c>
      <x:c r="W141" s="13" t="n">
        <x:v>0.14695712309820205</x:v>
      </x:c>
      <x:c r="X141" s="13" t="n">
        <x:v>0.062351207346105976</x:v>
      </x:c>
      <x:c r="Y141" s="13" t="n">
        <x:v>0.2812357053772993</x:v>
      </x:c>
      <x:c r="Z141" s="13" t="n">
        <x:v>0.19378146686456957</x:v>
      </x:c>
      <x:c r="AA141" s="13" t="n">
        <x:v>0.006685783053768556</x:v>
      </x:c>
      <x:c r="AB141" s="13" t="n">
        <x:v>0.1730882670516572</x:v>
      </x:c>
      <x:c r="AC141" s="13" t="n">
        <x:v>0.16997326156033307</x:v>
      </x:c>
      <x:c r="AD141" s="13" t="n">
        <x:v>0.13341099456485797</x:v>
      </x:c>
      <x:c r="AE141" s="13" t="n">
        <x:v>0.19284856654216612</x:v>
      </x:c>
      <x:c r="AF141" s="13" t="n">
        <x:v>0.27705912087867696</x:v>
      </x:c>
      <x:c r="AG141" s="13" t="n">
        <x:v>0.1717212759765632</x:v>
      </x:c>
      <x:c r="AH141" s="13" t="n">
        <x:v>0.5090946674420852</x:v>
      </x:c>
      <x:c r="AI141" s="13" t="n">
        <x:v>0.9411764705882353</x:v>
      </x:c>
      <x:c r="AJ141" s="13" t="n">
        <x:v>0.5318266549203726</x:v>
      </x:c>
      <x:c r="AK141" s="13" t="n">
        <x:v>0.0021882257016938543</x:v>
      </x:c>
      <x:c r="AL141" s="13" t="n">
        <x:v>0.1607141546089584</x:v>
      </x:c>
      <x:c r="AM141" s="13" t="n">
        <x:v>0.13763485229364286</x:v>
      </x:c>
      <x:c r="AN141" s="13" t="n">
        <x:v>0.1223300237061464</x:v>
      </x:c>
      <x:c r="AO141" s="13" t="n">
        <x:v>0.27393856427724317</x:v>
      </x:c>
      <x:c r="AP141" s="13" t="n">
        <x:v>0.5811269205235114</x:v>
      </x:c>
    </x:row>
    <x:row r="142" ht="15" hidden="0" customHeight="1">
      <x:c r="A142" s="2" t="str">
        <x:v>E141</x:v>
      </x:c>
      <x:c r="B142" s="2" t="str">
        <x:v>***食品有限公司</x:v>
      </x:c>
      <x:c r="C142" s="2" t="str">
        <x:v>无信贷记录</x:v>
      </x:c>
      <x:c r="D142" s="2" t="str"/>
      <x:c r="E142" s="2" t="str"/>
      <x:c r="F142" s="13" t="n">
        <x:v>0.10547387746192925</x:v>
      </x:c>
      <x:c r="G142" s="13" t="n">
        <x:v>0.10338681470946401</x:v>
      </x:c>
      <x:c r="H142" s="13" t="n">
        <x:v>0.10181818181818182</x:v>
      </x:c>
      <x:c r="I142" s="13" t="n">
        <x:v>0.020032051282051315</x:v>
      </x:c>
      <x:c r="J142" s="13" t="n">
        <x:v>0.1404698689164824</x:v>
      </x:c>
      <x:c r="K142" s="13" t="n">
        <x:v>0.13960322242558476</x:v>
      </x:c>
      <x:c r="L142" s="13" t="n">
        <x:v>0.1293886386822265</x:v>
      </x:c>
      <x:c r="M142" s="13" t="n">
        <x:v>0.3109954845847912</x:v>
      </x:c>
      <x:c r="N142" s="13" t="n">
        <x:v>0.045547024337327234</x:v>
      </x:c>
      <x:c r="O142" s="13" t="n">
        <x:v>0.044801428065595485</x:v>
      </x:c>
      <x:c r="P142" s="13" t="n">
        <x:v>0.07480835971942099</x:v>
      </x:c>
      <x:c r="Q142" s="13" t="n">
        <x:v>0.1451681213497007</x:v>
      </x:c>
      <x:c r="R142" s="13" t="n">
        <x:v>0.1425273213430085</x:v>
      </x:c>
      <x:c r="S142" s="13" t="n">
        <x:v>0.6928878281581178</x:v>
      </x:c>
      <x:c r="T142" s="13" t="n">
        <x:v>0.9444444444444444</x:v>
      </x:c>
      <x:c r="U142" s="13" t="n">
        <x:v>0.4132865055651662</x:v>
      </x:c>
      <x:c r="V142" s="13" t="n">
        <x:v>0.41538478766410025</x:v>
      </x:c>
      <x:c r="W142" s="13" t="n">
        <x:v>0.34825133372851247</x:v>
      </x:c>
      <x:c r="X142" s="13" t="n">
        <x:v>0.40811699353814823</x:v>
      </x:c>
      <x:c r="Y142" s="13" t="n">
        <x:v>0.2418395491969911</x:v>
      </x:c>
      <x:c r="Z142" s="13" t="n">
        <x:v>0.16782925011612454</x:v>
      </x:c>
      <x:c r="AA142" s="13" t="n">
        <x:v>0.44163311394060073</x:v>
      </x:c>
      <x:c r="AB142" s="13" t="n">
        <x:v>0.07312201389167712</x:v>
      </x:c>
      <x:c r="AC142" s="13" t="n">
        <x:v>0.18118280370899567</x:v>
      </x:c>
      <x:c r="AD142" s="13" t="n">
        <x:v>0.011134690740807824</x:v>
      </x:c>
      <x:c r="AE142" s="13" t="n">
        <x:v>0.040740770675518345</x:v>
      </x:c>
      <x:c r="AF142" s="13" t="n">
        <x:v>0.25186334486915496</x:v>
      </x:c>
      <x:c r="AG142" s="13" t="n">
        <x:v>0.04953236173719989</x:v>
      </x:c>
      <x:c r="AH142" s="13" t="n">
        <x:v>0.5871853908607385</x:v>
      </x:c>
      <x:c r="AI142" s="13" t="n">
        <x:v>0.9117647058823529</x:v>
      </x:c>
      <x:c r="AJ142" s="13" t="n">
        <x:v>0.4029192611993326</x:v>
      </x:c>
      <x:c r="AK142" s="13" t="n">
        <x:v>0.011338545119790325</x:v>
      </x:c>
      <x:c r="AL142" s="13" t="n">
        <x:v>0.15136416215841778</x:v>
      </x:c>
      <x:c r="AM142" s="13" t="n">
        <x:v>0.24524839260276454</x:v>
      </x:c>
      <x:c r="AN142" s="13" t="n">
        <x:v>0.010457909085077993</x:v>
      </x:c>
      <x:c r="AO142" s="13" t="n">
        <x:v>0.11136191126554348</x:v>
      </x:c>
      <x:c r="AP142" s="13" t="n">
        <x:v>0.6226201738668607</x:v>
      </x:c>
    </x:row>
    <x:row r="143" ht="15" hidden="0" customHeight="1">
      <x:c r="A143" s="2" t="str">
        <x:v>E142</x:v>
      </x:c>
      <x:c r="B143" s="2" t="str">
        <x:v>***运业有限公司</x:v>
      </x:c>
      <x:c r="C143" s="2" t="str">
        <x:v>无信贷记录</x:v>
      </x:c>
      <x:c r="D143" s="2" t="str"/>
      <x:c r="E143" s="2" t="str"/>
      <x:c r="F143" s="13" t="n">
        <x:v>0.054194586222465424</x:v>
      </x:c>
      <x:c r="G143" s="13" t="n">
        <x:v>0.053562763045050726</x:v>
      </x:c>
      <x:c r="H143" s="13" t="n">
        <x:v>0.04181818181818182</x:v>
      </x:c>
      <x:c r="I143" s="13" t="n">
        <x:v>0.07345085470085481</x:v>
      </x:c>
      <x:c r="J143" s="13" t="n">
        <x:v>0.1916349094467233</x:v>
      </x:c>
      <x:c r="K143" s="13" t="n">
        <x:v>0.19466052648757737</x:v>
      </x:c>
      <x:c r="L143" s="13" t="n">
        <x:v>0.05909577247505537</x:v>
      </x:c>
      <x:c r="M143" s="13" t="n">
        <x:v>0.24825708030853633</x:v>
      </x:c>
      <x:c r="N143" s="13" t="n">
        <x:v>0.32191308346746383</x:v>
      </x:c>
      <x:c r="O143" s="13" t="n">
        <x:v>0.2318138977717798</x:v>
      </x:c>
      <x:c r="P143" s="13" t="n">
        <x:v>0.40595847510394123</x:v>
      </x:c>
      <x:c r="Q143" s="13" t="n">
        <x:v>0.19269280702767697</x:v>
      </x:c>
      <x:c r="R143" s="13" t="n">
        <x:v>0.16687076227318776</x:v>
      </x:c>
      <x:c r="S143" s="13" t="n">
        <x:v>0.7204143772684445</x:v>
      </x:c>
      <x:c r="T143" s="13" t="n">
        <x:v>0.9722222222222222</x:v>
      </x:c>
      <x:c r="U143" s="13" t="n">
        <x:v>0.12812636508186137</x:v>
      </x:c>
      <x:c r="V143" s="13" t="n">
        <x:v>0.1268453645189829</x:v>
      </x:c>
      <x:c r="W143" s="13" t="n">
        <x:v>0.13584271883027083</x:v>
      </x:c>
      <x:c r="X143" s="13" t="n">
        <x:v>0.028341457884593628</x:v>
      </x:c>
      <x:c r="Y143" s="13" t="n">
        <x:v>0.15949808398763568</x:v>
      </x:c>
      <x:c r="Z143" s="13" t="n">
        <x:v>0.10632699411691801</x:v>
      </x:c>
      <x:c r="AA143" s="13" t="n">
        <x:v>0.027114564606950255</x:v>
      </x:c>
      <x:c r="AB143" s="13" t="n">
        <x:v>0.09159751783409362</x:v>
      </x:c>
      <x:c r="AC143" s="13" t="n">
        <x:v>0.04106235454971443</x:v>
      </x:c>
      <x:c r="AD143" s="13" t="n">
        <x:v>0.3029857738511257</x:v>
      </x:c>
      <x:c r="AE143" s="13" t="n">
        <x:v>0.4148657032342409</x:v>
      </x:c>
      <x:c r="AF143" s="13" t="n">
        <x:v>0.1571091347588094</x:v>
      </x:c>
      <x:c r="AG143" s="13" t="n">
        <x:v>0.10958007782984973</x:v>
      </x:c>
      <x:c r="AH143" s="13" t="n">
        <x:v>0.7025342883212404</x:v>
      </x:c>
      <x:c r="AI143" s="13" t="n">
        <x:v>0.9705882352941176</x:v>
      </x:c>
      <x:c r="AJ143" s="13" t="n">
        <x:v>0.2524660099622471</x:v>
      </x:c>
      <x:c r="AK143" s="13" t="n">
        <x:v>0.024967855535912575</x:v>
      </x:c>
      <x:c r="AL143" s="13" t="n">
        <x:v>0.16674591549823553</x:v>
      </x:c>
      <x:c r="AM143" s="13" t="n">
        <x:v>0.09842093878433925</x:v>
      </x:c>
      <x:c r="AN143" s="13" t="n">
        <x:v>0.2952790815731708</x:v>
      </x:c>
      <x:c r="AO143" s="13" t="n">
        <x:v>0.1595434879192731</x:v>
      </x:c>
      <x:c r="AP143" s="13" t="n">
        <x:v>0.6966299469589258</x:v>
      </x:c>
    </x:row>
    <x:row r="144" ht="15" hidden="0" customHeight="1">
      <x:c r="A144" s="2" t="str">
        <x:v>E143</x:v>
      </x:c>
      <x:c r="B144" s="2" t="str">
        <x:v>***电子科技有限公司</x:v>
      </x:c>
      <x:c r="C144" s="2" t="str">
        <x:v>无信贷记录</x:v>
      </x:c>
      <x:c r="D144" s="2" t="str"/>
      <x:c r="E144" s="2" t="str"/>
      <x:c r="F144" s="13" t="n">
        <x:v>0.277476281459023</x:v>
      </x:c>
      <x:c r="G144" s="13" t="n">
        <x:v>0.27292593078653343</x:v>
      </x:c>
      <x:c r="H144" s="13" t="n">
        <x:v>0.24545454545454545</x:v>
      </x:c>
      <x:c r="I144" s="13" t="n">
        <x:v>0.28712606837606885</x:v>
      </x:c>
      <x:c r="J144" s="13" t="n">
        <x:v>0.12424949610888174</x:v>
      </x:c>
      <x:c r="K144" s="13" t="n">
        <x:v>0.12546936883566692</x:v>
      </x:c>
      <x:c r="L144" s="13" t="n">
        <x:v>0.3732364577371918</x:v>
      </x:c>
      <x:c r="M144" s="13" t="n">
        <x:v>0.2852332086216817</x:v>
      </x:c>
      <x:c r="N144" s="13" t="n">
        <x:v>0.24752858499649635</x:v>
      </x:c>
      <x:c r="O144" s="13" t="n">
        <x:v>0.07292314270291965</x:v>
      </x:c>
      <x:c r="P144" s="13" t="n">
        <x:v>0.20969502573579685</x:v>
      </x:c>
      <x:c r="Q144" s="13" t="n">
        <x:v>0.12164648607682826</x:v>
      </x:c>
      <x:c r="R144" s="13" t="n">
        <x:v>0.12677860361408005</x:v>
      </x:c>
      <x:c r="S144" s="13" t="n">
        <x:v>0.654287841425194</x:v>
      </x:c>
      <x:c r="T144" s="13" t="n">
        <x:v>1</x:v>
      </x:c>
      <x:c r="U144" s="13" t="n">
        <x:v>0.09964529712917834</x:v>
      </x:c>
      <x:c r="V144" s="13" t="n">
        <x:v>0.10192944408568848</x:v>
      </x:c>
      <x:c r="W144" s="13" t="n">
        <x:v>0.06298162418494374</x:v>
      </x:c>
      <x:c r="X144" s="13" t="n">
        <x:v>0.05951706155764661</x:v>
      </x:c>
      <x:c r="Y144" s="13" t="n">
        <x:v>0.1538023389208045</x:v>
      </x:c>
      <x:c r="Z144" s="13" t="n">
        <x:v>0.10474782383691504</x:v>
      </x:c>
      <x:c r="AA144" s="13" t="n">
        <x:v>0.027857429390702317</x:v>
      </x:c>
      <x:c r="AB144" s="13" t="n">
        <x:v>0.0545066778852113</x:v>
      </x:c>
      <x:c r="AC144" s="13" t="n">
        <x:v>0.10718059168454122</x:v>
      </x:c>
      <x:c r="AD144" s="13" t="n">
        <x:v>0.39140750639347616</x:v>
      </x:c>
      <x:c r="AE144" s="13" t="n">
        <x:v>0.5853583866500756</x:v>
      </x:c>
      <x:c r="AF144" s="13" t="n">
        <x:v>0.14750654491033424</x:v>
      </x:c>
      <x:c r="AG144" s="13" t="n">
        <x:v>0.3076642574182937</x:v>
      </x:c>
      <x:c r="AH144" s="13" t="n">
        <x:v>0.773247451275074</x:v>
      </x:c>
      <x:c r="AI144" s="13" t="n">
        <x:v>0.9117647058823529</x:v>
      </x:c>
      <x:c r="AJ144" s="13" t="n">
        <x:v>0.28658390845999326</x:v>
      </x:c>
      <x:c r="AK144" s="13" t="n">
        <x:v>0.01633043338664302</x:v>
      </x:c>
      <x:c r="AL144" s="13" t="n">
        <x:v>0.10416297553577511</x:v>
      </x:c>
      <x:c r="AM144" s="13" t="n">
        <x:v>0.1327267042300257</x:v>
      </x:c>
      <x:c r="AN144" s="13" t="n">
        <x:v>0.2524075296342146</x:v>
      </x:c>
      <x:c r="AO144" s="13" t="n">
        <x:v>0.23065647385051594</x:v>
      </x:c>
      <x:c r="AP144" s="13" t="n">
        <x:v>0.6869381167141884</x:v>
      </x:c>
    </x:row>
    <x:row r="145" ht="15" hidden="0" customHeight="1">
      <x:c r="A145" s="2" t="str">
        <x:v>E144</x:v>
      </x:c>
      <x:c r="B145" s="2" t="str">
        <x:v>***劳务有限公司</x:v>
      </x:c>
      <x:c r="C145" s="2" t="str">
        <x:v>无信贷记录</x:v>
      </x:c>
      <x:c r="D145" s="2" t="str"/>
      <x:c r="E145" s="2" t="str"/>
      <x:c r="F145" s="13" t="n">
        <x:v>0.1850838558438957</x:v>
      </x:c>
      <x:c r="G145" s="13" t="n">
        <x:v>0.18556216485122987</x:v>
      </x:c>
      <x:c r="H145" s="13" t="n">
        <x:v>0.08</x:v>
      </x:c>
      <x:c r="I145" s="13" t="n">
        <x:v>0.07345085470085481</x:v>
      </x:c>
      <x:c r="J145" s="13" t="n">
        <x:v>0.03196601538910995</x:v>
      </x:c>
      <x:c r="K145" s="13" t="n">
        <x:v>0.033739708070386364</x:v>
      </x:c>
      <x:c r="L145" s="13" t="n">
        <x:v>0.4180248326656548</x:v>
      </x:c>
      <x:c r="M145" s="13" t="n">
        <x:v>0.13933479813505736</x:v>
      </x:c>
      <x:c r="N145" s="13" t="n">
        <x:v>0.09310879653290655</x:v>
      </x:c>
      <x:c r="O145" s="13" t="n">
        <x:v>0.05963535925156025</x:v>
      </x:c>
      <x:c r="P145" s="13" t="n">
        <x:v>0.1668763420598881</x:v>
      </x:c>
      <x:c r="Q145" s="13" t="n">
        <x:v>0.03964049321275056</x:v>
      </x:c>
      <x:c r="R145" s="13" t="n">
        <x:v>0.38468122692050316</x:v>
      </x:c>
      <x:c r="S145" s="13" t="n">
        <x:v>0.8434221020306463</x:v>
      </x:c>
      <x:c r="T145" s="13" t="n">
        <x:v>0.7777777777777778</x:v>
      </x:c>
      <x:c r="U145" s="13" t="n">
        <x:v>0.11799199734409685</x:v>
      </x:c>
      <x:c r="V145" s="13" t="n">
        <x:v>0.11555387997805172</x:v>
      </x:c>
      <x:c r="W145" s="13" t="n">
        <x:v>0.1420173878680104</x:v>
      </x:c>
      <x:c r="X145" s="13" t="n">
        <x:v>0.16438045573064303</x:v>
      </x:c>
      <x:c r="Y145" s="13" t="n">
        <x:v>0.16351442204341074</x:v>
      </x:c>
      <x:c r="Z145" s="13" t="n">
        <x:v>0.11905636992289075</x:v>
      </x:c>
      <x:c r="AA145" s="13" t="n">
        <x:v>0.011885836540032989</x:v>
      </x:c>
      <x:c r="AB145" s="13" t="n">
        <x:v>0.10392889490079579</x:v>
      </x:c>
      <x:c r="AC145" s="13" t="n">
        <x:v>0.261308291266247</x:v>
      </x:c>
      <x:c r="AD145" s="13" t="n">
        <x:v>0.12517312498563754</x:v>
      </x:c>
      <x:c r="AE145" s="13" t="n">
        <x:v>0.23743563475511598</x:v>
      </x:c>
      <x:c r="AF145" s="13" t="n">
        <x:v>0.19868165376449143</x:v>
      </x:c>
      <x:c r="AG145" s="13" t="n">
        <x:v>0.2569679270564469</x:v>
      </x:c>
      <x:c r="AH145" s="13" t="n">
        <x:v>0.8388265123522106</x:v>
      </x:c>
      <x:c r="AI145" s="13" t="n">
        <x:v>0.6470588235294118</x:v>
      </x:c>
      <x:c r="AJ145" s="13" t="n">
        <x:v>0.3584749023741263</x:v>
      </x:c>
      <x:c r="AK145" s="13" t="n">
        <x:v>0.0038524307031664704</x:v>
      </x:c>
      <x:c r="AL145" s="13" t="n">
        <x:v>0.11317682681070022</x:v>
      </x:c>
      <x:c r="AM145" s="13" t="n">
        <x:v>0.18195242866937414</x:v>
      </x:c>
      <x:c r="AN145" s="13" t="n">
        <x:v>0.08685061144136323</x:v>
      </x:c>
      <x:c r="AO145" s="13" t="n">
        <x:v>0.39310819644744455</x:v>
      </x:c>
      <x:c r="AP145" s="13" t="n">
        <x:v>0.8441033812890237</x:v>
      </x:c>
    </x:row>
    <x:row r="146" ht="15" hidden="0" customHeight="1">
      <x:c r="A146" s="2" t="str">
        <x:v>E145</x:v>
      </x:c>
      <x:c r="B146" s="2" t="str">
        <x:v>***工贸有限公司</x:v>
      </x:c>
      <x:c r="C146" s="2" t="str">
        <x:v>无信贷记录</x:v>
      </x:c>
      <x:c r="D146" s="2" t="str"/>
      <x:c r="E146" s="2" t="str"/>
      <x:c r="F146" s="13" t="n">
        <x:v>0.22320694408314726</x:v>
      </x:c>
      <x:c r="G146" s="13" t="n">
        <x:v>0.22233887679954106</x:v>
      </x:c>
      <x:c r="H146" s="13" t="n">
        <x:v>0.13090909090909092</x:v>
      </x:c>
      <x:c r="I146" s="13" t="n">
        <x:v>0.12019230769230788</x:v>
      </x:c>
      <x:c r="J146" s="13" t="n">
        <x:v>0.44152319765764936</x:v>
      </x:c>
      <x:c r="K146" s="13" t="n">
        <x:v>0.4416419655476696</x:v>
      </x:c>
      <x:c r="L146" s="13" t="n">
        <x:v>0.2345169076115355</x:v>
      </x:c>
      <x:c r="M146" s="13" t="n">
        <x:v>0.1890863251799957</x:v>
      </x:c>
      <x:c r="N146" s="13" t="n">
        <x:v>0.12717553914764004</x:v>
      </x:c>
      <x:c r="O146" s="13" t="n">
        <x:v>0.14415334179776051</x:v>
      </x:c>
      <x:c r="P146" s="13" t="n">
        <x:v>0.328491680509707</x:v>
      </x:c>
      <x:c r="Q146" s="13" t="n">
        <x:v>0.44396442899654953</x:v>
      </x:c>
      <x:c r="R146" s="13" t="n">
        <x:v>0.06165837614207789</x:v>
      </x:c>
      <x:c r="S146" s="13" t="n">
        <x:v>0.5902000031810262</x:v>
      </x:c>
      <x:c r="T146" s="13" t="n">
        <x:v>0.9722222222222222</x:v>
      </x:c>
      <x:c r="U146" s="13" t="n">
        <x:v>0.37231220841851487</x:v>
      </x:c>
      <x:c r="V146" s="13" t="n">
        <x:v>0.35808750247292886</x:v>
      </x:c>
      <x:c r="W146" s="13" t="n">
        <x:v>0.5273167358229603</x:v>
      </x:c>
      <x:c r="X146" s="13" t="n">
        <x:v>0.22673166307674902</x:v>
      </x:c>
      <x:c r="Y146" s="13" t="n">
        <x:v>0.2002789300639694</x:v>
      </x:c>
      <x:c r="Z146" s="13" t="n">
        <x:v>0.13747079550884148</x:v>
      </x:c>
      <x:c r="AA146" s="13" t="n">
        <x:v>0.15228728066917266</x:v>
      </x:c>
      <x:c r="AB146" s="13" t="n">
        <x:v>0.12287843768751872</x:v>
      </x:c>
      <x:c r="AC146" s="13" t="n">
        <x:v>0.11673501834528598</x:v>
      </x:c>
      <x:c r="AD146" s="13" t="n">
        <x:v>0.08539629196216156</x:v>
      </x:c>
      <x:c r="AE146" s="13" t="n">
        <x:v>0.21806853342787674</x:v>
      </x:c>
      <x:c r="AF146" s="13" t="n">
        <x:v>0.19729114147927276</x:v>
      </x:c>
      <x:c r="AG146" s="13" t="n">
        <x:v>0.03826201718208138</x:v>
      </x:c>
      <x:c r="AH146" s="13" t="n">
        <x:v>0.5697784158717847</x:v>
      </x:c>
      <x:c r="AI146" s="13" t="n">
        <x:v>0.9705882352941176</x:v>
      </x:c>
      <x:c r="AJ146" s="13" t="n">
        <x:v>0.15419713008791722</x:v>
      </x:c>
      <x:c r="AK146" s="13" t="n">
        <x:v>0.04383085001754453</x:v>
      </x:c>
      <x:c r="AL146" s="13" t="n">
        <x:v>0.19041386600312768</x:v>
      </x:c>
      <x:c r="AM146" s="13" t="n">
        <x:v>0.14064293915040194</x:v>
      </x:c>
      <x:c r="AN146" s="13" t="n">
        <x:v>0.11395071240724894</x:v>
      </x:c>
      <x:c r="AO146" s="13" t="n">
        <x:v>0.046658760914464824</x:v>
      </x:c>
      <x:c r="AP146" s="13" t="n">
        <x:v>0.5460848063483639</x:v>
      </x:c>
    </x:row>
    <x:row r="147" ht="15" hidden="0" customHeight="1">
      <x:c r="A147" s="2" t="str">
        <x:v>E146</x:v>
      </x:c>
      <x:c r="B147" s="2" t="str">
        <x:v>***基础建设工程有限公司</x:v>
      </x:c>
      <x:c r="C147" s="2" t="str">
        <x:v>无信贷记录</x:v>
      </x:c>
      <x:c r="D147" s="2" t="str"/>
      <x:c r="E147" s="2" t="str"/>
      <x:c r="F147" s="13" t="n">
        <x:v>0.2427917462766451</x:v>
      </x:c>
      <x:c r="G147" s="13" t="n">
        <x:v>0.24171913579304943</x:v>
      </x:c>
      <x:c r="H147" s="13" t="n">
        <x:v>0.14545454545454545</x:v>
      </x:c>
      <x:c r="I147" s="13" t="n">
        <x:v>0.05341880341880351</x:v>
      </x:c>
      <x:c r="J147" s="13" t="n">
        <x:v>0.46994849516661436</x:v>
      </x:c>
      <x:c r="K147" s="13" t="n">
        <x:v>0.47046671189903344</x:v>
      </x:c>
      <x:c r="L147" s="13" t="n">
        <x:v>0.23949339371469805</x:v>
      </x:c>
      <x:c r="M147" s="13" t="n">
        <x:v>0.19315895372233408</x:v>
      </x:c>
      <x:c r="N147" s="13" t="n">
        <x:v>0.05199353272408249</x:v>
      </x:c>
      <x:c r="O147" s="13" t="n">
        <x:v>0.38872130129659743</x:v>
      </x:c>
      <x:c r="P147" s="13" t="n">
        <x:v>0.6009832163027368</x:v>
      </x:c>
      <x:c r="Q147" s="13" t="n">
        <x:v>0.4725470835145418</x:v>
      </x:c>
      <x:c r="R147" s="13" t="n">
        <x:v>0.1603114648829605</x:v>
      </x:c>
      <x:c r="S147" s="13" t="n">
        <x:v>0.596207641072275</x:v>
      </x:c>
      <x:c r="T147" s="13" t="n">
        <x:v>0.9722222222222222</x:v>
      </x:c>
      <x:c r="U147" s="13" t="n">
        <x:v>0.14000803760199906</x:v>
      </x:c>
      <x:c r="V147" s="13" t="n">
        <x:v>0.13151126722184703</x:v>
      </x:c>
      <x:c r="W147" s="13" t="n">
        <x:v>0.24204702627939162</x:v>
      </x:c>
      <x:c r="X147" s="13" t="n">
        <x:v>0.0906926652306996</x:v>
      </x:c>
      <x:c r="Y147" s="13" t="n">
        <x:v>0.21384968270772695</x:v>
      </x:c>
      <x:c r="Z147" s="13" t="n">
        <x:v>0.1475675995352784</x:v>
      </x:c>
      <x:c r="AA147" s="13" t="n">
        <x:v>0.023400240688189945</x:v>
      </x:c>
      <x:c r="AB147" s="13" t="n">
        <x:v>0.1494405341717344</x:v>
      </x:c>
      <x:c r="AC147" s="13" t="n">
        <x:v>0.1267597204856721</x:v>
      </x:c>
      <x:c r="AD147" s="13" t="n">
        <x:v>0.07792030257510797</x:v>
      </x:c>
      <x:c r="AE147" s="13" t="n">
        <x:v>0.19076949718930145</x:v>
      </x:c>
      <x:c r="AF147" s="13" t="n">
        <x:v>0.2106626167280333</x:v>
      </x:c>
      <x:c r="AG147" s="13" t="n">
        <x:v>0.123546394940595</x:v>
      </x:c>
      <x:c r="AH147" s="13" t="n">
        <x:v>0.5510333121620807</x:v>
      </x:c>
      <x:c r="AI147" s="13" t="n">
        <x:v>0.9411764705882353</x:v>
      </x:c>
      <x:c r="AJ147" s="13" t="n">
        <x:v>0.15585479778439984</x:v>
      </x:c>
      <x:c r="AK147" s="13" t="n">
        <x:v>0.04349816898615778</x:v>
      </x:c>
      <x:c r="AL147" s="13" t="n">
        <x:v>0.15655075899334633</x:v>
      </x:c>
      <x:c r="AM147" s="13" t="n">
        <x:v>0.08461833874673737</x:v>
      </x:c>
      <x:c r="AN147" s="13" t="n">
        <x:v>0.25607740031983045</x:v>
      </x:c>
      <x:c r="AO147" s="13" t="n">
        <x:v>0.1618346171540945</x:v>
      </x:c>
      <x:c r="AP147" s="13" t="n">
        <x:v>0.5410106125772817</x:v>
      </x:c>
    </x:row>
    <x:row r="148" ht="15" hidden="0" customHeight="1">
      <x:c r="A148" s="2" t="str">
        <x:v>E147</x:v>
      </x:c>
      <x:c r="B148" s="2" t="str">
        <x:v>***装饰工程有限责任公司</x:v>
      </x:c>
      <x:c r="C148" s="2" t="str">
        <x:v>无信贷记录</x:v>
      </x:c>
      <x:c r="D148" s="2" t="str"/>
      <x:c r="E148" s="2" t="str"/>
      <x:c r="F148" s="13" t="n">
        <x:v>0.4476846577742695</x:v>
      </x:c>
      <x:c r="G148" s="13" t="n">
        <x:v>0.42735760087653724</x:v>
      </x:c>
      <x:c r="H148" s="13" t="n">
        <x:v>0.7054545454545454</x:v>
      </x:c>
      <x:c r="I148" s="13" t="n">
        <x:v>0.41399572649572713</x:v>
      </x:c>
      <x:c r="J148" s="13" t="n">
        <x:v>0.5352268629770529</x:v>
      </x:c>
      <x:c r="K148" s="13" t="n">
        <x:v>0.5425886046420579</x:v>
      </x:c>
      <x:c r="L148" s="13" t="n">
        <x:v>0.4621911468312225</x:v>
      </x:c>
      <x:c r="M148" s="13" t="n">
        <x:v>0.5082069784757621</x:v>
      </x:c>
      <x:c r="N148" s="13" t="n">
        <x:v>0.22797628327661906</x:v>
      </x:c>
      <x:c r="O148" s="13" t="n">
        <x:v>0.03670861087614677</x:v>
      </x:c>
      <x:c r="P148" s="13" t="n">
        <x:v>0.12354000204945097</x:v>
      </x:c>
      <x:c r="Q148" s="13" t="n">
        <x:v>0.5381868198809152</x:v>
      </x:c>
      <x:c r="R148" s="13" t="n">
        <x:v>0.06958109560769664</x:v>
      </x:c>
      <x:c r="S148" s="13" t="n">
        <x:v>0.5913515464323728</x:v>
      </x:c>
      <x:c r="T148" s="13" t="n">
        <x:v>0.9722222222222222</x:v>
      </x:c>
      <x:c r="U148" s="13" t="n">
        <x:v>0.20631825409306168</x:v>
      </x:c>
      <x:c r="V148" s="13" t="n">
        <x:v>0.21531087976528668</x:v>
      </x:c>
      <x:c r="W148" s="13" t="n">
        <x:v>0.07039122703023123</x:v>
      </x:c>
      <x:c r="X148" s="13" t="n">
        <x:v>0.06801949892302471</x:v>
      </x:c>
      <x:c r="Y148" s="13" t="n">
        <x:v>0.29861163750196335</x:v>
      </x:c>
      <x:c r="Z148" s="13" t="n">
        <x:v>0.20006233166772008</x:v>
      </x:c>
      <x:c r="AA148" s="13" t="n">
        <x:v>0.05497199399765257</x:v>
      </x:c>
      <x:c r="AB148" s="13" t="n">
        <x:v>0.029547495764801823</x:v>
      </x:c>
      <x:c r="AC148" s="13" t="n">
        <x:v>0.05817580948823845</x:v>
      </x:c>
      <x:c r="AD148" s="13" t="n">
        <x:v>0.05662133621762469</x:v>
      </x:c>
      <x:c r="AE148" s="13" t="n">
        <x:v>0.0793761496388723</x:v>
      </x:c>
      <x:c r="AF148" s="13" t="n">
        <x:v>0.29417989910139125</x:v>
      </x:c>
      <x:c r="AG148" s="13" t="n">
        <x:v>0.15399662649981843</x:v>
      </x:c>
      <x:c r="AH148" s="13" t="n">
        <x:v>0.4963602808441078</x:v>
      </x:c>
      <x:c r="AI148" s="13" t="n">
        <x:v>0.9411764705882353</x:v>
      </x:c>
      <x:c r="AJ148" s="13" t="n">
        <x:v>0.23668563187452915</x:v>
      </x:c>
      <x:c r="AK148" s="13" t="n">
        <x:v>0.03700520252811876</x:v>
      </x:c>
      <x:c r="AL148" s="13" t="n">
        <x:v>0.14651290229486755</x:v>
      </x:c>
      <x:c r="AM148" s="13" t="n">
        <x:v>0.10538440800921509</x:v>
      </x:c>
      <x:c r="AN148" s="13" t="n">
        <x:v>0.03253378259467469</x:v>
      </x:c>
      <x:c r="AO148" s="13" t="n">
        <x:v>0.11107548583114984</x:v>
      </x:c>
      <x:c r="AP148" s="13" t="n">
        <x:v>0.5113652977020943</x:v>
      </x:c>
    </x:row>
    <x:row r="149" ht="15" hidden="0" customHeight="1">
      <x:c r="A149" s="2" t="str">
        <x:v>E148</x:v>
      </x:c>
      <x:c r="B149" s="2" t="str">
        <x:v>***商贸有限公司</x:v>
      </x:c>
      <x:c r="C149" s="2" t="str">
        <x:v>无信贷记录</x:v>
      </x:c>
      <x:c r="D149" s="2" t="str"/>
      <x:c r="E149" s="2" t="str"/>
      <x:c r="F149" s="13" t="n">
        <x:v>0.04066462745520164</x:v>
      </x:c>
      <x:c r="G149" s="13" t="n">
        <x:v>0.03883681821927467</x:v>
      </x:c>
      <x:c r="H149" s="13" t="n">
        <x:v>0.06363636363636363</x:v>
      </x:c>
      <x:c r="I149" s="13" t="n">
        <x:v>0.013354700854700877</x:v>
      </x:c>
      <x:c r="J149" s="13" t="n">
        <x:v>0.10345186517646332</x:v>
      </x:c>
      <x:c r="K149" s="13" t="n">
        <x:v>0.10274126529797277</x:v>
      </x:c>
      <x:c r="L149" s="13" t="n">
        <x:v>0.0827340814650775</x:v>
      </x:c>
      <x:c r="M149" s="13" t="n">
        <x:v>0.5030181086519115</x:v>
      </x:c>
      <x:c r="N149" s="13" t="n">
        <x:v>0.08063576259067587</x:v>
      </x:c>
      <x:c r="O149" s="13" t="n">
        <x:v>0.4629087394464147</x:v>
      </x:c>
      <x:c r="P149" s="13" t="n">
        <x:v>0.662544584138527</x:v>
      </x:c>
      <x:c r="Q149" s="13" t="n">
        <x:v>0.10402159829444466</x:v>
      </x:c>
      <x:c r="R149" s="13" t="n">
        <x:v>0.411256977578337</x:v>
      </x:c>
      <x:c r="S149" s="13" t="n">
        <x:v>0.4248613255160759</x:v>
      </x:c>
      <x:c r="T149" s="13" t="n">
        <x:v>0.9444444444444444</x:v>
      </x:c>
      <x:c r="U149" s="13" t="n">
        <x:v>0.02372490433506319</x:v>
      </x:c>
      <x:c r="V149" s="13" t="n">
        <x:v>0.024568777272201324</x:v>
      </x:c>
      <x:c r="W149" s="13" t="n">
        <x:v>0.013584271883027082</x:v>
      </x:c>
      <x:c r="X149" s="13" t="n">
        <x:v>0.0028341457884593626</x:v>
      </x:c>
      <x:c r="Y149" s="13" t="n">
        <x:v>0.12636794858387046</x:v>
      </x:c>
      <x:c r="Z149" s="13" t="n">
        <x:v>0.08487096031260961</x:v>
      </x:c>
      <x:c r="AA149" s="13" t="n">
        <x:v>0.06945785728081777</x:v>
      </x:c>
      <x:c r="AB149" s="13" t="n">
        <x:v>0.04811314459897586</x:v>
      </x:c>
      <x:c r="AC149" s="13" t="n">
        <x:v>0.02077450974626293</x:v>
      </x:c>
      <x:c r="AD149" s="13" t="n">
        <x:v>0.0064008130984304495</x:v>
      </x:c>
      <x:c r="AE149" s="13" t="n">
        <x:v>0.03192275031598612</x:v>
      </x:c>
      <x:c r="AF149" s="13" t="n">
        <x:v>0.23038128874814423</x:v>
      </x:c>
      <x:c r="AG149" s="13" t="n">
        <x:v>0.2617554744017739</x:v>
      </x:c>
      <x:c r="AH149" s="13" t="n">
        <x:v>0.6838483133075849</x:v>
      </x:c>
      <x:c r="AI149" s="13" t="n">
        <x:v>0.38235294117647056</x:v>
      </x:c>
      <x:c r="AJ149" s="13" t="n">
        <x:v>0.26021432068889144</x:v>
      </x:c>
      <x:c r="AK149" s="13" t="n">
        <x:v>0.01650182589286587</x:v>
      </x:c>
      <x:c r="AL149" s="13" t="n">
        <x:v>0.15331578392426062</x:v>
      </x:c>
      <x:c r="AM149" s="13" t="n">
        <x:v>0.03726565635331667</x:v>
      </x:c>
      <x:c r="AN149" s="13" t="n">
        <x:v>0.25819743264939676</x:v>
      </x:c>
      <x:c r="AO149" s="13" t="n">
        <x:v>0.4149205353987615</x:v>
      </x:c>
      <x:c r="AP149" s="13" t="n">
        <x:v>0.4915308291355719</x:v>
      </x:c>
    </x:row>
    <x:row r="150" ht="15" hidden="0" customHeight="1">
      <x:c r="A150" s="2" t="str">
        <x:v>E149</x:v>
      </x:c>
      <x:c r="B150" s="2" t="str">
        <x:v>***建筑劳务有限公司</x:v>
      </x:c>
      <x:c r="C150" s="2" t="str">
        <x:v>无信贷记录</x:v>
      </x:c>
      <x:c r="D150" s="2" t="str"/>
      <x:c r="E150" s="2" t="str"/>
      <x:c r="F150" s="13" t="n">
        <x:v>0.021752585642396467</x:v>
      </x:c>
      <x:c r="G150" s="13" t="n">
        <x:v>0.02159296572898769</x:v>
      </x:c>
      <x:c r="H150" s="13" t="n">
        <x:v>0.014545454545454545</x:v>
      </x:c>
      <x:c r="I150" s="13" t="n">
        <x:v>0</x:v>
      </x:c>
      <x:c r="J150" s="13" t="n">
        <x:v>0.002179499582421993</x:v>
      </x:c>
      <x:c r="K150" s="13" t="n">
        <x:v>0.002163413122553042</x:v>
      </x:c>
      <x:c r="L150" s="13" t="n">
        <x:v>0.06842668391848516</x:v>
      </x:c>
      <x:c r="M150" s="13" t="n">
        <x:v>0.21425481214934666</x:v>
      </x:c>
      <x:c r="N150" s="13" t="n">
        <x:v>0</x:v>
      </x:c>
      <x:c r="O150" s="13" t="n">
        <x:v>0.1946381134583249</x:v>
      </x:c>
      <x:c r="P150" s="13" t="n">
        <x:v>0.3469895462152961</x:v>
      </x:c>
      <x:c r="Q150" s="13" t="n">
        <x:v>0.0023139506505888137</x:v>
      </x:c>
      <x:c r="R150" s="13" t="n">
        <x:v>0.26806482910665236</x:v>
      </x:c>
      <x:c r="S150" s="13" t="n">
        <x:v>0.5742381618108704</x:v>
      </x:c>
      <x:c r="T150" s="13" t="n">
        <x:v>0.8888888888888888</x:v>
      </x:c>
      <x:c r="U150" s="13" t="n">
        <x:v>0.10628505530219647</x:v>
      </x:c>
      <x:c r="V150" s="13" t="n">
        <x:v>0.10640871068043804</x:v>
      </x:c>
      <x:c r="W150" s="13" t="n">
        <x:v>0.0975597707962854</x:v>
      </x:c>
      <x:c r="X150" s="13" t="n">
        <x:v>0.0906926652306996</x:v>
      </x:c>
      <x:c r="Y150" s="13" t="n">
        <x:v>0.1600950207262445</x:v>
      </x:c>
      <x:c r="Z150" s="13" t="n">
        <x:v>0.11198617354001182</x:v>
      </x:c>
      <x:c r="AA150" s="13" t="n">
        <x:v>0.0029714591350082473</x:v>
      </x:c>
      <x:c r="AB150" s="13" t="n">
        <x:v>0.07919796062232427</x:v>
      </x:c>
      <x:c r="AC150" s="13" t="n">
        <x:v>0.15648802459259958</x:v>
      </x:c>
      <x:c r="AD150" s="13" t="n">
        <x:v>0.23281784595345617</x:v>
      </x:c>
      <x:c r="AE150" s="13" t="n">
        <x:v>0.3514503993994093</x:v>
      </x:c>
      <x:c r="AF150" s="13" t="n">
        <x:v>0.17682926116235675</x:v>
      </x:c>
      <x:c r="AG150" s="13" t="n">
        <x:v>0.2770852394547808</x:v>
      </x:c>
      <x:c r="AH150" s="13" t="n">
        <x:v>0.618816346688121</x:v>
      </x:c>
      <x:c r="AI150" s="13" t="n">
        <x:v>0.6176470588235294</x:v>
      </x:c>
      <x:c r="AJ150" s="13" t="n">
        <x:v>0.37226027775718945</x:v>
      </x:c>
      <x:c r="AK150" s="13" t="n">
        <x:v>0.00024861941844448913</x:v>
      </x:c>
      <x:c r="AL150" s="13" t="n">
        <x:v>0.15798655291283026</x:v>
      </x:c>
      <x:c r="AM150" s="13" t="n">
        <x:v>0.21679312932544</x:v>
      </x:c>
      <x:c r="AN150" s="13" t="n">
        <x:v>0.2314671728972497</x:v>
      </x:c>
      <x:c r="AO150" s="13" t="n">
        <x:v>0.3182302963413227</x:v>
      </x:c>
      <x:c r="AP150" s="13" t="n">
        <x:v>0.5591961522277029</x:v>
      </x:c>
    </x:row>
    <x:row r="151" ht="15" hidden="0" customHeight="1">
      <x:c r="A151" s="2" t="str">
        <x:v>E150</x:v>
      </x:c>
      <x:c r="B151" s="2" t="str">
        <x:v>***建设工程有限公司</x:v>
      </x:c>
      <x:c r="C151" s="2" t="str">
        <x:v>无信贷记录</x:v>
      </x:c>
      <x:c r="D151" s="2" t="str"/>
      <x:c r="E151" s="2" t="str"/>
      <x:c r="F151" s="13" t="n">
        <x:v>0.2524346450665734</x:v>
      </x:c>
      <x:c r="G151" s="13" t="n">
        <x:v>0.24919655855432432</x:v>
      </x:c>
      <x:c r="H151" s="13" t="n">
        <x:v>0.2018181818181818</x:v>
      </x:c>
      <x:c r="I151" s="13" t="n">
        <x:v>0.10683760683760701</x:v>
      </x:c>
      <x:c r="J151" s="13" t="n">
        <x:v>0.3021668651226599</x:v>
      </x:c>
      <x:c r="K151" s="13" t="n">
        <x:v>0.3037879124752323</x:v>
      </x:c>
      <x:c r="L151" s="13" t="n">
        <x:v>0.2886361939834283</x:v>
      </x:c>
      <x:c r="M151" s="13" t="n">
        <x:v>0.2577763116133916</x:v>
      </x:c>
      <x:c r="N151" s="13" t="n">
        <x:v>0.10086872627621878</x:v>
      </x:c>
      <x:c r="O151" s="13" t="n">
        <x:v>0.02509968114224749</x:v>
      </x:c>
      <x:c r="P151" s="13" t="n">
        <x:v>0.057565693115725014</x:v>
      </x:c>
      <x:c r="Q151" s="13" t="n">
        <x:v>0.3038366464646056</x:v>
      </x:c>
      <x:c r="R151" s="13" t="n">
        <x:v>0.18970431528982273</x:v>
      </x:c>
      <x:c r="S151" s="13" t="n">
        <x:v>0.6821218287084715</x:v>
      </x:c>
      <x:c r="T151" s="13" t="n">
        <x:v>0.9722222222222222</x:v>
      </x:c>
      <x:c r="U151" s="13" t="n">
        <x:v>0.03971274309377789</x:v>
      </x:c>
      <x:c r="V151" s="13" t="n">
        <x:v>0.037633304840220864</x:v>
      </x:c>
      <x:c r="W151" s="13" t="n">
        <x:v>0.06668642560758749</x:v>
      </x:c>
      <x:c r="X151" s="13" t="n">
        <x:v>0.0028341457884593626</x:v>
      </x:c>
      <x:c r="Y151" s="13" t="n">
        <x:v>0.18418912266357632</x:v>
      </x:c>
      <x:c r="Z151" s="13" t="n">
        <x:v>0.12167597165401549</x:v>
      </x:c>
      <x:c r="AA151" s="13" t="n">
        <x:v>0.04940050811951211</x:v>
      </x:c>
      <x:c r="AB151" s="13" t="n">
        <x:v>0.14303856899389886</x:v>
      </x:c>
      <x:c r="AC151" s="13" t="n">
        <x:v>0.013680774710953638</x:v>
      </x:c>
      <x:c r="AD151" s="13" t="n">
        <x:v>0.07239831728724168</x:v>
      </x:c>
      <x:c r="AE151" s="13" t="n">
        <x:v>0.1244816221849283</x:v>
      </x:c>
      <x:c r="AF151" s="13" t="n">
        <x:v>0.18143760210239476</x:v>
      </x:c>
      <x:c r="AG151" s="13" t="n">
        <x:v>0.1803105293315635</x:v>
      </x:c>
      <x:c r="AH151" s="13" t="n">
        <x:v>0.6553984812206386</x:v>
      </x:c>
      <x:c r="AI151" s="13" t="n">
        <x:v>0.9411764705882353</x:v>
      </x:c>
      <x:c r="AJ151" s="13" t="n">
        <x:v>0.21855967119202785</x:v>
      </x:c>
      <x:c r="AK151" s="13" t="n">
        <x:v>0.034057751019098054</x:v>
      </x:c>
      <x:c r="AL151" s="13" t="n">
        <x:v>0.11743924722887814</x:v>
      </x:c>
      <x:c r="AM151" s="13" t="n">
        <x:v>0.04484104761672879</x:v>
      </x:c>
      <x:c r="AN151" s="13" t="n">
        <x:v>0.034916394381244456</x:v>
      </x:c>
      <x:c r="AO151" s="13" t="n">
        <x:v>0.21203604876906157</x:v>
      </x:c>
      <x:c r="AP151" s="13" t="n">
        <x:v>0.6484458815394534</x:v>
      </x:c>
    </x:row>
    <x:row r="152" ht="15" hidden="0" customHeight="1">
      <x:c r="A152" s="2" t="str">
        <x:v>E151</x:v>
      </x:c>
      <x:c r="B152" s="2" t="str">
        <x:v>***路桥工程有限公司</x:v>
      </x:c>
      <x:c r="C152" s="2" t="str">
        <x:v>无信贷记录</x:v>
      </x:c>
      <x:c r="D152" s="2" t="str"/>
      <x:c r="E152" s="2" t="str"/>
      <x:c r="F152" s="13" t="n">
        <x:v>0.05972617157482741</x:v>
      </x:c>
      <x:c r="G152" s="13" t="n">
        <x:v>0.059437880928909566</x:v>
      </x:c>
      <x:c r="H152" s="13" t="n">
        <x:v>0.03636363636363636</x:v>
      </x:c>
      <x:c r="I152" s="13" t="n">
        <x:v>0.006677350427350438</x:v>
      </x:c>
      <x:c r="J152" s="13" t="n">
        <x:v>0.04056753913391547</x:v>
      </x:c>
      <x:c r="K152" s="13" t="n">
        <x:v>0.04026934092936608</x:v>
      </x:c>
      <x:c r="L152" s="13" t="n">
        <x:v>0.1076165119808903</x:v>
      </x:c>
      <x:c r="M152" s="13" t="n">
        <x:v>0.1959321471902577</x:v>
      </x:c>
      <x:c r="N152" s="13" t="n">
        <x:v>0.026379561257256958</x:v>
      </x:c>
      <x:c r="O152" s="13" t="n">
        <x:v>0.2772291009834792</x:v>
      </x:c>
      <x:c r="P152" s="13" t="n">
        <x:v>0.4188441062121247</x:v>
      </x:c>
      <x:c r="Q152" s="13" t="n">
        <x:v>0.043120244667650215</x:v>
      </x:c>
      <x:c r="R152" s="13" t="n">
        <x:v>0.5660592641882471</x:v>
      </x:c>
      <x:c r="S152" s="13" t="n">
        <x:v>0.5355942833524175</x:v>
      </x:c>
      <x:c r="T152" s="13" t="n">
        <x:v>0.8055555555555556</x:v>
      </x:c>
      <x:c r="U152" s="13" t="n">
        <x:v>0.012105327532281468</x:v>
      </x:c>
      <x:c r="V152" s="13" t="n">
        <x:v>0.012437430244754607</x:v>
      </x:c>
      <x:c r="W152" s="13" t="n">
        <x:v>0.009879470460383332</x:v>
      </x:c>
      <x:c r="X152" s="13" t="n">
        <x:v>0</x:v>
      </x:c>
      <x:c r="Y152" s="13" t="n">
        <x:v>0.16259628417255012</x:v>
      </x:c>
      <x:c r="Z152" s="13" t="n">
        <x:v>0.10740845903861346</x:v>
      </x:c>
      <x:c r="AA152" s="13" t="n">
        <x:v>0.0011142971756280926</x:v>
      </x:c>
      <x:c r="AB152" s="13" t="n">
        <x:v>0.06643633234551459</x:v>
      </x:c>
      <x:c r="AC152" s="13" t="n">
        <x:v>0</x:v>
      </x:c>
      <x:c r="AD152" s="13" t="n">
        <x:v>0.2739914878758371</x:v>
      </x:c>
      <x:c r="AE152" s="13" t="n">
        <x:v>0.35529782307261193</x:v>
      </x:c>
      <x:c r="AF152" s="13" t="n">
        <x:v>0.21953338259547459</x:v>
      </x:c>
      <x:c r="AG152" s="13" t="n">
        <x:v>0.23998742633110445</x:v>
      </x:c>
      <x:c r="AH152" s="13" t="n">
        <x:v>0.6743916628741679</x:v>
      </x:c>
      <x:c r="AI152" s="13" t="n">
        <x:v>0.5588235294117647</x:v>
      </x:c>
      <x:c r="AJ152" s="13" t="n">
        <x:v>0.3517555785458356</x:v>
      </x:c>
      <x:c r="AK152" s="13" t="n">
        <x:v>0.005101186038523777</x:v>
      </x:c>
      <x:c r="AL152" s="13" t="n">
        <x:v>0.07946190038248442</x:v>
      </x:c>
      <x:c r="AM152" s="13" t="n">
        <x:v>0.010533650963423931</x:v>
      </x:c>
      <x:c r="AN152" s="13" t="n">
        <x:v>0.3053303043156026</x:v>
      </x:c>
      <x:c r="AO152" s="13" t="n">
        <x:v>0.5168182726259294</x:v>
      </x:c>
      <x:c r="AP152" s="13" t="n">
        <x:v>0.5604199330970966</x:v>
      </x:c>
    </x:row>
    <x:row r="153" ht="15" hidden="0" customHeight="1">
      <x:c r="A153" s="2" t="str">
        <x:v>E152</x:v>
      </x:c>
      <x:c r="B153" s="2" t="str">
        <x:v>***运贸有限责任公司</x:v>
      </x:c>
      <x:c r="C153" s="2" t="str">
        <x:v>无信贷记录</x:v>
      </x:c>
      <x:c r="D153" s="2" t="str"/>
      <x:c r="E153" s="2" t="str"/>
      <x:c r="F153" s="13" t="n">
        <x:v>0.0680235496033704</x:v>
      </x:c>
      <x:c r="G153" s="13" t="n">
        <x:v>0.06783090647727934</x:v>
      </x:c>
      <x:c r="H153" s="13" t="n">
        <x:v>0.038181818181818185</x:v>
      </x:c>
      <x:c r="I153" s="13" t="n">
        <x:v>0.15357905982906006</x:v>
      </x:c>
      <x:c r="J153" s="13" t="n">
        <x:v>0.022599714274985607</x:v>
      </x:c>
      <x:c r="K153" s="13" t="n">
        <x:v>0.02415049238033612</x:v>
      </x:c>
      <x:c r="L153" s="13" t="n">
        <x:v>0.09206499290850731</x:v>
      </x:c>
      <x:c r="M153" s="13" t="n">
        <x:v>0.18068939955522614</x:v>
      </x:c>
      <x:c r="N153" s="13" t="n">
        <x:v>0.531824981890131</x:v>
      </x:c>
      <x:c r="O153" s="13" t="n">
        <x:v>0.185073463046593</x:v>
      </x:c>
      <x:c r="P153" s="13" t="n">
        <x:v>0.35440749818879447</x:v>
      </x:c>
      <x:c r="Q153" s="13" t="n">
        <x:v>0.022721865353226907</x:v>
      </x:c>
      <x:c r="R153" s="13" t="n">
        <x:v>0.08503285878828706</x:v>
      </x:c>
      <x:c r="S153" s="13" t="n">
        <x:v>0.6769093745686258</x:v>
      </x:c>
      <x:c r="T153" s="13" t="n">
        <x:v>0.9722222222222222</x:v>
      </x:c>
      <x:c r="U153" s="13" t="n">
        <x:v>0.13240726179867568</x:v>
      </x:c>
      <x:c r="V153" s="13" t="n">
        <x:v>0.13823016711397135</x:v>
      </x:c>
      <x:c r="W153" s="13" t="n">
        <x:v>0.04569255087927291</x:v>
      </x:c>
      <x:c r="X153" s="13" t="n">
        <x:v>0.025507312096134264</x:v>
      </x:c>
      <x:c r="Y153" s="13" t="n">
        <x:v>0.18915543503927446</x:v>
      </x:c>
      <x:c r="Z153" s="13" t="n">
        <x:v>0.1263168584517954</x:v>
      </x:c>
      <x:c r="AA153" s="13" t="n">
        <x:v>0.0048286210943884016</x:v>
      </x:c>
      <x:c r="AB153" s="13" t="n">
        <x:v>0.029820111141314578</x:v>
      </x:c>
      <x:c r="AC153" s="13" t="n">
        <x:v>0.03392611470659874</x:v>
      </x:c>
      <x:c r="AD153" s="13" t="n">
        <x:v>0.7078510026212576</x:v>
      </x:c>
      <x:c r="AE153" s="13" t="n">
        <x:v>0.8265519136153472</x:v>
      </x:c>
      <x:c r="AF153" s="13" t="n">
        <x:v>0.1863309875138375</x:v>
      </x:c>
      <x:c r="AG153" s="13" t="n">
        <x:v>0.010623300260756018</x:v>
      </x:c>
      <x:c r="AH153" s="13" t="n">
        <x:v>0.6124282605231742</x:v>
      </x:c>
      <x:c r="AI153" s="13" t="n">
        <x:v>0.9705882352941176</x:v>
      </x:c>
      <x:c r="AJ153" s="13" t="n">
        <x:v>0.4012035575026973</x:v>
      </x:c>
      <x:c r="AK153" s="13" t="n">
        <x:v>0.002594209764319764</x:v>
      </x:c>
      <x:c r="AL153" s="13" t="n">
        <x:v>0.06332989684533756</x:v>
      </x:c>
      <x:c r="AM153" s="13" t="n">
        <x:v>0.13049506565533</x:v>
      </x:c>
      <x:c r="AN153" s="13" t="n">
        <x:v>0.5069263988870388</x:v>
      </x:c>
      <x:c r="AO153" s="13" t="n">
        <x:v>0.04970697367527351</x:v>
      </x:c>
      <x:c r="AP153" s="13" t="n">
        <x:v>0.6242202001807837</x:v>
      </x:c>
    </x:row>
    <x:row r="154" ht="15" hidden="0" customHeight="1">
      <x:c r="A154" s="2" t="str">
        <x:v>E153</x:v>
      </x:c>
      <x:c r="B154" s="2" t="str">
        <x:v>个体经营E153 </x:v>
      </x:c>
      <x:c r="C154" s="2" t="str">
        <x:v>无信贷记录</x:v>
      </x:c>
      <x:c r="D154" s="2" t="str"/>
      <x:c r="E154" s="2" t="str"/>
      <x:c r="F154" s="13" t="n">
        <x:v>0.005157829585310502</x:v>
      </x:c>
      <x:c r="G154" s="13" t="n">
        <x:v>0.005264716025795584</x:v>
      </x:c>
      <x:c r="H154" s="13" t="n">
        <x:v>0</x:v>
      </x:c>
      <x:c r="I154" s="13" t="n">
        <x:v>0</x:v>
      </x:c>
      <x:c r="J154" s="13" t="n">
        <x:v>0.0003166022105278277</x:v>
      </x:c>
      <x:c r="K154" s="13" t="n">
        <x:v>0.0003142654315740013</x:v>
      </x:c>
      <x:c r="L154" s="13" t="n">
        <x:v>0.01990594441265023</x:v>
      </x:c>
      <x:c r="M154" s="13" t="n">
        <x:v>0</x:v>
      </x:c>
      <x:c r="N154" s="13" t="n">
        <x:v>0</x:v>
      </x:c>
      <x:c r="O154" s="13" t="n">
        <x:v>0.4236817053736463</x:v>
      </x:c>
      <x:c r="P154" s="13" t="n">
        <x:v>0.6292906087866478</x:v>
      </x:c>
      <x:c r="Q154" s="13" t="n">
        <x:v>0.00041834597862161276</x:v>
      </x:c>
      <x:c r="R154" s="13" t="n">
        <x:v>0.6770718567636893</x:v>
      </x:c>
      <x:c r="S154" s="13" t="n">
        <x:v>0.4607673638746747</x:v>
      </x:c>
      <x:c r="T154" s="13" t="n">
        <x:v>0.4444444444444444</x:v>
      </x:c>
      <x:c r="U154" s="13" t="n">
        <x:v>0.030189932029843998</x:v>
      </x:c>
      <x:c r="V154" s="13" t="n">
        <x:v>0.02550195781277415</x:v>
      </x:c>
      <x:c r="W154" s="13" t="n">
        <x:v>0.09262003556609373</x:v>
      </x:c>
      <x:c r="X154" s="13" t="n">
        <x:v>0.0028341457884593626</x:v>
      </x:c>
      <x:c r="Y154" s="13" t="n">
        <x:v>0.3806071634461962</x:v>
      </x:c>
      <x:c r="Z154" s="13" t="n">
        <x:v>0.253177276830094</x:v>
      </x:c>
      <x:c r="AA154" s="13" t="n">
        <x:v>0.0014857295675041236</x:v>
      </x:c>
      <x:c r="AB154" s="13" t="n">
        <x:v>0.259663129941976</x:v>
      </x:c>
      <x:c r="AC154" s="13" t="n">
        <x:v>0.020032562969610684</x:v>
      </x:c>
      <x:c r="AD154" s="13" t="n">
        <x:v>0.5033983146819493</x:v>
      </x:c>
      <x:c r="AE154" s="13" t="n">
        <x:v>0.5385833678420878</x:v>
      </x:c>
      <x:c r="AF154" s="13" t="n">
        <x:v>0.38539117302459974</x:v>
      </x:c>
      <x:c r="AG154" s="13" t="n">
        <x:v>0.3165314515852882</x:v>
      </x:c>
      <x:c r="AH154" s="13" t="n">
        <x:v>0.3374782859800423</x:v>
      </x:c>
      <x:c r="AI154" s="13" t="n">
        <x:v>0.7352941176470589</x:v>
      </x:c>
      <x:c r="AJ154" s="13" t="n">
        <x:v>0.6903275469927016</x:v>
      </x:c>
      <x:c r="AK154" s="13" t="n">
        <x:v>0.0000018040066074239857</x:v>
      </x:c>
      <x:c r="AL154" s="13" t="n">
        <x:v>0.49386607660477017</x:v>
      </x:c>
      <x:c r="AM154" s="13" t="n">
        <x:v>0.027639579878385872</x:v>
      </x:c>
      <x:c r="AN154" s="13" t="n">
        <x:v>0.5288836735259733</x:v>
      </x:c>
      <x:c r="AO154" s="13" t="n">
        <x:v>0.6365819326227351</x:v>
      </x:c>
      <x:c r="AP154" s="13" t="n">
        <x:v>0.34794791309544065</x:v>
      </x:c>
    </x:row>
    <x:row r="155" ht="15" hidden="0" customHeight="1">
      <x:c r="A155" s="2" t="str">
        <x:v>E154</x:v>
      </x:c>
      <x:c r="B155" s="2" t="str">
        <x:v>***汽车销售服务有限公司</x:v>
      </x:c>
      <x:c r="C155" s="2" t="str">
        <x:v>无信贷记录</x:v>
      </x:c>
      <x:c r="D155" s="2" t="str"/>
      <x:c r="E155" s="2" t="str"/>
      <x:c r="F155" s="13" t="n">
        <x:v>0.20137960728734047</x:v>
      </x:c>
      <x:c r="G155" s="13" t="n">
        <x:v>0.20257711664474315</x:v>
      </x:c>
      <x:c r="H155" s="13" t="n">
        <x:v>0.07090909090909091</x:v>
      </x:c>
      <x:c r="I155" s="13" t="n">
        <x:v>0.3538995726495732</x:v>
      </x:c>
      <x:c r="J155" s="13" t="n">
        <x:v>0.4847650503095718</x:v>
      </x:c>
      <x:c r="K155" s="13" t="n">
        <x:v>0.519279553071804</x:v>
      </x:c>
      <x:c r="L155" s="13" t="n">
        <x:v>0.1866182288685959</x:v>
      </x:c>
      <x:c r="M155" s="13" t="n">
        <x:v>0.11351491739756048</x:v>
      </x:c>
      <x:c r="N155" s="13" t="n">
        <x:v>0.4109631837115685</x:v>
      </x:c>
      <x:c r="O155" s="13" t="n">
        <x:v>0.3829655218716418</x:v>
      </x:c>
      <x:c r="P155" s="13" t="n">
        <x:v>0.5399533301652693</x:v>
      </x:c>
      <x:c r="Q155" s="13" t="n">
        <x:v>0.6011841205090732</x:v>
      </x:c>
      <x:c r="R155" s="13" t="n">
        <x:v>0.02677282978260176</x:v>
      </x:c>
      <x:c r="S155" s="13" t="n">
        <x:v>0.6157323908342659</x:v>
      </x:c>
      <x:c r="T155" s="13" t="n">
        <x:v>0.7777777777777778</x:v>
      </x:c>
      <x:c r="U155" s="13" t="n">
        <x:v>0.16717862696790217</x:v>
      </x:c>
      <x:c r="V155" s="13" t="n">
        <x:v>0.16883848884476</x:v>
      </x:c>
      <x:c r="W155" s="13" t="n">
        <x:v>0.13213791740762706</x:v>
      </x:c>
      <x:c r="X155" s="13" t="n">
        <x:v>0.06518535313456535</x:v>
      </x:c>
      <x:c r="Y155" s="13" t="n">
        <x:v>0.12813151943698545</x:v>
      </x:c>
      <x:c r="Z155" s="13" t="n">
        <x:v>0.0854060726548383</x:v>
      </x:c>
      <x:c r="AA155" s="13" t="n">
        <x:v>0.11402974430594148</x:v>
      </x:c>
      <x:c r="AB155" s="13" t="n">
        <x:v>0.06838830986892673</x:v>
      </x:c>
      <x:c r="AC155" s="13" t="n">
        <x:v>0.07104058674245198</x:v>
      </x:c>
      <x:c r="AD155" s="13" t="n">
        <x:v>0.36591363314257913</x:v>
      </x:c>
      <x:c r="AE155" s="13" t="n">
        <x:v>0.5701234288139753</x:v>
      </x:c>
      <x:c r="AF155" s="13" t="n">
        <x:v>0.15568354870359558</x:v>
      </x:c>
      <x:c r="AG155" s="13" t="n">
        <x:v>0.10830348080836809</x:v>
      </x:c>
      <x:c r="AH155" s="13" t="n">
        <x:v>0.6959308399579012</x:v>
      </x:c>
      <x:c r="AI155" s="13" t="n">
        <x:v>0.7647058823529411</x:v>
      </x:c>
      <x:c r="AJ155" s="13" t="n">
        <x:v>0.02336776723474958</x:v>
      </x:c>
      <x:c r="AK155" s="13" t="n">
        <x:v>0.08294219739514888</x:v>
      </x:c>
      <x:c r="AL155" s="13" t="n">
        <x:v>0.08541090784400168</x:v>
      </x:c>
      <x:c r="AM155" s="13" t="n">
        <x:v>0.16483644820832136</x:v>
      </x:c>
      <x:c r="AN155" s="13" t="n">
        <x:v>0.42310284847751845</x:v>
      </x:c>
      <x:c r="AO155" s="13" t="n">
        <x:v>0.056696796402449366</x:v>
      </x:c>
      <x:c r="AP155" s="13" t="n">
        <x:v>0.623993075766475</x:v>
      </x:c>
    </x:row>
    <x:row r="156" ht="15" hidden="0" customHeight="1">
      <x:c r="A156" s="2" t="str">
        <x:v>E155</x:v>
      </x:c>
      <x:c r="B156" s="2" t="str">
        <x:v>个体经营E155 </x:v>
      </x:c>
      <x:c r="C156" s="2" t="str">
        <x:v>无信贷记录</x:v>
      </x:c>
      <x:c r="D156" s="2" t="str"/>
      <x:c r="E156" s="2" t="str"/>
      <x:c r="F156" s="13" t="n">
        <x:v>0.03102172866527331</x:v>
      </x:c>
      <x:c r="G156" s="13" t="n">
        <x:v>0.03021489197413118</x:v>
      </x:c>
      <x:c r="H156" s="13" t="n">
        <x:v>0.034545454545454546</x:v>
      </x:c>
      <x:c r="I156" s="13" t="n">
        <x:v>0.04674145299145307</x:v>
      </x:c>
      <x:c r="J156" s="13" t="n">
        <x:v>0.2931512858674937</x:v>
      </x:c>
      <x:c r="K156" s="13" t="n">
        <x:v>0.2961117264992322</x:v>
      </x:c>
      <x:c r="L156" s="13" t="n">
        <x:v>0.030480977381870663</x:v>
      </x:c>
      <x:c r="M156" s="13" t="n">
        <x:v>0.3575409290274019</x:v>
      </x:c>
      <x:c r="N156" s="13" t="n">
        <x:v>0.36235442561161757</x:v>
      </x:c>
      <x:c r="O156" s="13" t="n">
        <x:v>0.15562848854842756</x:v>
      </x:c>
      <x:c r="P156" s="13" t="n">
        <x:v>0.21411212200409693</x:v>
      </x:c>
      <x:c r="Q156" s="13" t="n">
        <x:v>0.43626365898533653</x:v>
      </x:c>
      <x:c r="R156" s="13" t="n">
        <x:v>0.07126238142721099</x:v>
      </x:c>
      <x:c r="S156" s="13" t="n">
        <x:v>0.6321455277099921</x:v>
      </x:c>
      <x:c r="T156" s="13" t="n">
        <x:v>0.6388888888888888</x:v>
      </x:c>
      <x:c r="U156" s="13" t="n">
        <x:v>0.09379182610822816</x:v>
      </x:c>
      <x:c r="V156" s="13" t="n">
        <x:v>0.09689026916659522</x:v>
      </x:c>
      <x:c r="W156" s="13" t="n">
        <x:v>0.04692748468682083</x:v>
      </x:c>
      <x:c r="X156" s="13" t="n">
        <x:v>0.025507312096134264</x:v>
      </x:c>
      <x:c r="Y156" s="13" t="n">
        <x:v>0.13516819527786253</x:v>
      </x:c>
      <x:c r="Z156" s="13" t="n">
        <x:v>0.09047913718688659</x:v>
      </x:c>
      <x:c r="AA156" s="13" t="n">
        <x:v>0.0204287815531817</x:v>
      </x:c>
      <x:c r="AB156" s="13" t="n">
        <x:v>0.04312533854007086</x:v>
      </x:c>
      <x:c r="AC156" s="13" t="n">
        <x:v>0.0483081901276736</x:v>
      </x:c>
      <x:c r="AD156" s="13" t="n">
        <x:v>0.07209518422675561</x:v>
      </x:c>
      <x:c r="AE156" s="13" t="n">
        <x:v>0.11783608129080664</x:v>
      </x:c>
      <x:c r="AF156" s="13" t="n">
        <x:v>0.19710987700877267</x:v>
      </x:c>
      <x:c r="AG156" s="13" t="n">
        <x:v>0.09698332877800513</x:v>
      </x:c>
      <x:c r="AH156" s="13" t="n">
        <x:v>0.6843725297098823</x:v>
      </x:c>
      <x:c r="AI156" s="13" t="n">
        <x:v>0.6176470588235294</x:v>
      </x:c>
      <x:c r="AJ156" s="13" t="n">
        <x:v>0.15377155052012184</x:v>
      </x:c>
      <x:c r="AK156" s="13" t="n">
        <x:v>0.044639763089467085</x:v>
      </x:c>
      <x:c r="AL156" s="13" t="n">
        <x:v>0.10348395509694985</x:v>
      </x:c>
      <x:c r="AM156" s="13" t="n">
        <x:v>0.10757025682398826</x:v>
      </x:c>
      <x:c r="AN156" s="13" t="n">
        <x:v>0.11295349997917795</x:v>
      </x:c>
      <x:c r="AO156" s="13" t="n">
        <x:v>0.08341605569059765</x:v>
      </x:c>
      <x:c r="AP156" s="13" t="n">
        <x:v>0.6292952472308783</x:v>
      </x:c>
    </x:row>
    <x:row r="157" ht="15" hidden="0" customHeight="1">
      <x:c r="A157" s="2" t="str">
        <x:v>E156</x:v>
      </x:c>
      <x:c r="B157" s="2" t="str">
        <x:v>个体经营E156 </x:v>
      </x:c>
      <x:c r="C157" s="2" t="str">
        <x:v>无信贷记录</x:v>
      </x:c>
      <x:c r="D157" s="2" t="str"/>
      <x:c r="E157" s="2" t="str"/>
      <x:c r="F157" s="13" t="n">
        <x:v>0.045523452426870954</x:v>
      </x:c>
      <x:c r="G157" s="13" t="n">
        <x:v>0.045017137032165144</x:v>
      </x:c>
      <x:c r="H157" s="13" t="n">
        <x:v>0.034545454545454546</x:v>
      </x:c>
      <x:c r="I157" s="13" t="n">
        <x:v>0.07345085470085481</x:v>
      </x:c>
      <x:c r="J157" s="13" t="n">
        <x:v>0.0076560045225141935</x:v>
      </x:c>
      <x:c r="K157" s="13" t="n">
        <x:v>0.00810980396112307</x:v>
      </x:c>
      <x:c r="L157" s="13" t="n">
        <x:v>0.09455323596008859</x:v>
      </x:c>
      <x:c r="M157" s="13" t="n">
        <x:v>0.24401729526092733</x:v>
      </x:c>
      <x:c r="N157" s="13" t="n">
        <x:v>0.3828155587180651</x:v>
      </x:c>
      <x:c r="O157" s="13" t="n">
        <x:v>0.18823180093337252</x:v>
      </x:c>
      <x:c r="P157" s="13" t="n">
        <x:v>0.38451687249426775</x:v>
      </x:c>
      <x:c r="Q157" s="13" t="n">
        <x:v>0.008628801437842353</x:v>
      </x:c>
      <x:c r="R157" s="13" t="n">
        <x:v>0.35792724722340696</x:v>
      </x:c>
      <x:c r="S157" s="13" t="n">
        <x:v>0.7138149945585279</x:v>
      </x:c>
      <x:c r="T157" s="13" t="n">
        <x:v>0.8333333333333334</x:v>
      </x:c>
      <x:c r="U157" s="13" t="n">
        <x:v>0.0379654383114047</x:v>
      </x:c>
      <x:c r="V157" s="13" t="n">
        <x:v>0.035207035434731526</x:v>
      </x:c>
      <x:c r="W157" s="13" t="n">
        <x:v>0.074096028452875</x:v>
      </x:c>
      <x:c r="X157" s="13" t="n">
        <x:v>0.07935608207686215</x:v>
      </x:c>
      <x:c r="Y157" s="13" t="n">
        <x:v>0.23707418791719967</x:v>
      </x:c>
      <x:c r="Z157" s="13" t="n">
        <x:v>0.1955078090335925</x:v>
      </x:c>
      <x:c r="AA157" s="13" t="n">
        <x:v>0.011885836540032989</x:v>
      </x:c>
      <x:c r="AB157" s="13" t="n">
        <x:v>0.16609083086378645</x:v>
      </x:c>
      <x:c r="AC157" s="13" t="n">
        <x:v>0.40899816062955147</x:v>
      </x:c>
      <x:c r="AD157" s="13" t="n">
        <x:v>0.17766827869536403</x:v>
      </x:c>
      <x:c r="AE157" s="13" t="n">
        <x:v>0.34043570995534794</x:v>
      </x:c>
      <x:c r="AF157" s="13" t="n">
        <x:v>0.24003740263282172</x:v>
      </x:c>
      <x:c r="AG157" s="13" t="n">
        <x:v>0.4105184273189843</x:v>
      </x:c>
      <x:c r="AH157" s="13" t="n">
        <x:v>0.4006790509678446</x:v>
      </x:c>
      <x:c r="AI157" s="13" t="n">
        <x:v>0.8823529411764706</x:v>
      </x:c>
      <x:c r="AJ157" s="13" t="n">
        <x:v>0.4794489185629467</x:v>
      </x:c>
      <x:c r="AK157" s="13" t="n">
        <x:v>0.0005510996069613383</x:v>
      </x:c>
      <x:c r="AL157" s="13" t="n">
        <x:v>0.20777387684603862</x:v>
      </x:c>
      <x:c r="AM157" s="13" t="n">
        <x:v>0.38766209933936907</x:v>
      </x:c>
      <x:c r="AN157" s="13" t="n">
        <x:v>0.1949831521365505</x:v>
      </x:c>
      <x:c r="AO157" s="13" t="n">
        <x:v>0.4513881530225998</x:v>
      </x:c>
      <x:c r="AP157" s="13" t="n">
        <x:v>0.5463634680276205</x:v>
      </x:c>
    </x:row>
    <x:row r="158" ht="15" hidden="0" customHeight="1">
      <x:c r="A158" s="2" t="str">
        <x:v>E157</x:v>
      </x:c>
      <x:c r="B158" s="2" t="str">
        <x:v>***环境设备工程有限公司</x:v>
      </x:c>
      <x:c r="C158" s="2" t="str">
        <x:v>无信贷记录</x:v>
      </x:c>
      <x:c r="D158" s="2" t="str"/>
      <x:c r="E158" s="2" t="str"/>
      <x:c r="F158" s="13" t="n">
        <x:v>0.11593903893937085</x:v>
      </x:c>
      <x:c r="G158" s="13" t="n">
        <x:v>0.11216134141912332</x:v>
      </x:c>
      <x:c r="H158" s="13" t="n">
        <x:v>0.14727272727272728</x:v>
      </x:c>
      <x:c r="I158" s="13" t="n">
        <x:v>0.08012820512820526</x:v>
      </x:c>
      <x:c r="J158" s="13" t="n">
        <x:v>0.18162070682333586</x:v>
      </x:c>
      <x:c r="K158" s="13" t="n">
        <x:v>0.18468407608297094</x:v>
      </x:c>
      <x:c r="L158" s="13" t="n">
        <x:v>0.19159471497175845</x:v>
      </x:c>
      <x:c r="M158" s="13" t="n">
        <x:v>0.4092811861510338</x:v>
      </x:c>
      <x:c r="N158" s="13" t="n">
        <x:v>0.16795465224389416</x:v>
      </x:c>
      <x:c r="O158" s="13" t="n">
        <x:v>0.04121554971131977</x:v>
      </x:c>
      <x:c r="P158" s="13" t="n">
        <x:v>0.08670152769783643</x:v>
      </x:c>
      <x:c r="Q158" s="13" t="n">
        <x:v>0.1826231676943619</x:v>
      </x:c>
      <x:c r="R158" s="13" t="n">
        <x:v>0.2982969170337465</x:v>
      </x:c>
      <x:c r="S158" s="13" t="n">
        <x:v>0.7789957854528577</x:v>
      </x:c>
      <x:c r="T158" s="13" t="n">
        <x:v>0.9722222222222222</x:v>
      </x:c>
      <x:c r="U158" s="13" t="n">
        <x:v>0.08645314602226074</x:v>
      </x:c>
      <x:c r="V158" s="13" t="n">
        <x:v>0.08503887630132036</x:v>
      </x:c>
      <x:c r="W158" s="13" t="n">
        <x:v>0.10002963841138124</x:v>
      </x:c>
      <x:c r="X158" s="13" t="n">
        <x:v>0.2125609341344522</x:v>
      </x:c>
      <x:c r="Y158" s="13" t="n">
        <x:v>0.1080771123065828</x:v>
      </x:c>
      <x:c r="Z158" s="13" t="n">
        <x:v>0.08508299432376798</x:v>
      </x:c>
      <x:c r="AA158" s="13" t="n">
        <x:v>0.03305748287696675</x:v>
      </x:c>
      <x:c r="AB158" s="13" t="n">
        <x:v>0.09965449851827188</x:v>
      </x:c>
      <x:c r="AC158" s="13" t="n">
        <x:v>0.45826124440285876</x:v>
      </x:c>
      <x:c r="AD158" s="13" t="n">
        <x:v>0.2077360404985475</x:v>
      </x:c>
      <x:c r="AE158" s="13" t="n">
        <x:v>0.4026553283603825</x:v>
      </x:c>
      <x:c r="AF158" s="13" t="n">
        <x:v>0.10644324553735218</x:v>
      </x:c>
      <x:c r="AG158" s="13" t="n">
        <x:v>0.4627486187571703</x:v>
      </x:c>
      <x:c r="AH158" s="13" t="n">
        <x:v>0.747578495948785</x:v>
      </x:c>
      <x:c r="AI158" s="13" t="n">
        <x:v>0.8823529411764706</x:v>
      </x:c>
      <x:c r="AJ158" s="13" t="n">
        <x:v>0.18485570431689247</x:v>
      </x:c>
      <x:c r="AK158" s="13" t="n">
        <x:v>0.029601081188201938</x:v>
      </x:c>
      <x:c r="AL158" s="13" t="n">
        <x:v>0.17553272696703234</x:v>
      </x:c>
      <x:c r="AM158" s="13" t="n">
        <x:v>0.35315056516580307</x:v>
      </x:c>
      <x:c r="AN158" s="13" t="n">
        <x:v>0.1246851487898568</x:v>
      </x:c>
      <x:c r="AO158" s="13" t="n">
        <x:v>0.43435102157879707</x:v>
      </x:c>
      <x:c r="AP158" s="13" t="n">
        <x:v>0.7572626338355766</x:v>
      </x:c>
    </x:row>
    <x:row r="159" ht="15" hidden="0" customHeight="1">
      <x:c r="A159" s="2" t="str">
        <x:v>E158</x:v>
      </x:c>
      <x:c r="B159" s="2" t="str">
        <x:v>***装饰工程有限公司</x:v>
      </x:c>
      <x:c r="C159" s="2" t="str">
        <x:v>无信贷记录</x:v>
      </x:c>
      <x:c r="D159" s="2" t="str"/>
      <x:c r="E159" s="2" t="str"/>
      <x:c r="F159" s="13" t="n">
        <x:v>0.08760835179686824</x:v>
      </x:c>
      <x:c r="G159" s="13" t="n">
        <x:v>0.083701354786924</x:v>
      </x:c>
      <x:c r="H159" s="13" t="n">
        <x:v>0.13636363636363635</x:v>
      </x:c>
      <x:c r="I159" s="13" t="n">
        <x:v>0.08680555555555569</x:v>
      </x:c>
      <x:c r="J159" s="13" t="n">
        <x:v>0.22231826681311437</x:v>
      </x:c>
      <x:c r="K159" s="13" t="n">
        <x:v>0.22629132233795596</x:v>
      </x:c>
      <x:c r="L159" s="13" t="n">
        <x:v>0.1897285326830725</x:v>
      </x:c>
      <x:c r="M159" s="13" t="n">
        <x:v>0.5013042479750738</x:v>
      </x:c>
      <x:c r="N159" s="13" t="n">
        <x:v>0.24370490031385797</x:v>
      </x:c>
      <x:c r="O159" s="13" t="n">
        <x:v>0.8147577892794108</x:v>
      </x:c>
      <x:c r="P159" s="13" t="n">
        <x:v>0.8992118514625747</x:v>
      </x:c>
      <x:c r="Q159" s="13" t="n">
        <x:v>0.26681393872409664</x:v>
      </x:c>
      <x:c r="R159" s="13" t="n">
        <x:v>0.26167755285674993</x:v>
      </x:c>
      <x:c r="S159" s="13" t="n">
        <x:v>0.6363193308472955</x:v>
      </x:c>
      <x:c r="T159" s="13" t="n">
        <x:v>0.8055555555555556</x:v>
      </x:c>
      <x:c r="U159" s="13" t="n">
        <x:v>0.08531739791371817</x:v>
      </x:c>
      <x:c r="V159" s="13" t="n">
        <x:v>0.0795331111119407</x:v>
      </x:c>
      <x:c r="W159" s="13" t="n">
        <x:v>0.1568365935585854</x:v>
      </x:c>
      <x:c r="X159" s="13" t="n">
        <x:v>0</x:v>
      </x:c>
      <x:c r="Y159" s="13" t="n">
        <x:v>0.1267732420718343</x:v>
      </x:c>
      <x:c r="Z159" s="13" t="n">
        <x:v>0.08374366249522885</x:v>
      </x:c>
      <x:c r="AA159" s="13" t="n">
        <x:v>0.0029714591350082473</x:v>
      </x:c>
      <x:c r="AB159" s="13" t="n">
        <x:v>0.15830848158801875</x:v>
      </x:c>
      <x:c r="AC159" s="13" t="n">
        <x:v>0</x:v>
      </x:c>
      <x:c r="AD159" s="13" t="n">
        <x:v>0.17770222980062453</x:v>
      </x:c>
      <x:c r="AE159" s="13" t="n">
        <x:v>0.23130515213371272</x:v>
      </x:c>
      <x:c r="AF159" s="13" t="n">
        <x:v>0.15934929321603641</x:v>
      </x:c>
      <x:c r="AG159" s="13" t="n">
        <x:v>0.4055741534822004</x:v>
      </x:c>
      <x:c r="AH159" s="13" t="n">
        <x:v>0.5865369260460409</x:v>
      </x:c>
      <x:c r="AI159" s="13" t="n">
        <x:v>0.7058823529411765</x:v>
      </x:c>
      <x:c r="AJ159" s="13" t="n">
        <x:v>0.18617475933118272</x:v>
      </x:c>
      <x:c r="AK159" s="13" t="n">
        <x:v>0.03685314752118169</x:v>
      </x:c>
      <x:c r="AL159" s="13" t="n">
        <x:v>0.26047375615779084</x:v>
      </x:c>
      <x:c r="AM159" s="13" t="n">
        <x:v>0.06441236107511476</x:v>
      </x:c>
      <x:c r="AN159" s="13" t="n">
        <x:v>0.570435287243466</x:v>
      </x:c>
      <x:c r="AO159" s="13" t="n">
        <x:v>0.37867003262570487</x:v>
      </x:c>
      <x:c r="AP159" s="13" t="n">
        <x:v>0.5847795746715514</x:v>
      </x:c>
    </x:row>
    <x:row r="160" ht="15" hidden="0" customHeight="1">
      <x:c r="A160" s="2" t="str">
        <x:v>E159</x:v>
      </x:c>
      <x:c r="B160" s="2" t="str">
        <x:v>个体经营E159 </x:v>
      </x:c>
      <x:c r="C160" s="2" t="str">
        <x:v>无信贷记录</x:v>
      </x:c>
      <x:c r="D160" s="2" t="str"/>
      <x:c r="E160" s="2" t="str"/>
      <x:c r="F160" s="13" t="n">
        <x:v>0.3499849002670112</x:v>
      </x:c>
      <x:c r="G160" s="13" t="n">
        <x:v>0.34106203819284436</x:v>
      </x:c>
      <x:c r="H160" s="13" t="n">
        <x:v>0.38545454545454544</x:v>
      </x:c>
      <x:c r="I160" s="13" t="n">
        <x:v>0.08680555555555569</x:v>
      </x:c>
      <x:c r="J160" s="13" t="n">
        <x:v>0.2394815788551278</x:v>
      </x:c>
      <x:c r="K160" s="13" t="n">
        <x:v>0.23937709763943443</x:v>
      </x:c>
      <x:c r="L160" s="13" t="n">
        <x:v>0.6475652541740278</x:v>
      </x:c>
      <x:c r="M160" s="13" t="n">
        <x:v>0.3551625723598638</x:v>
      </x:c>
      <x:c r="N160" s="13" t="n">
        <x:v>0.0598908062265049</x:v>
      </x:c>
      <x:c r="O160" s="13" t="n">
        <x:v>0.028706511241209428</x:v>
      </x:c>
      <x:c r="P160" s="13" t="n">
        <x:v>0.10043252790097223</x:v>
      </x:c>
      <x:c r="Q160" s="13" t="n">
        <x:v>0.2874125845175828</x:v>
      </x:c>
      <x:c r="R160" s="13" t="n">
        <x:v>0.1030301380334882</x:v>
      </x:c>
      <x:c r="S160" s="13" t="n">
        <x:v>0.5448019702995184</x:v>
      </x:c>
      <x:c r="T160" s="13" t="n">
        <x:v>0.8055555555555556</x:v>
      </x:c>
      <x:c r="U160" s="13" t="n">
        <x:v>0.02127867763974072</x:v>
      </x:c>
      <x:c r="V160" s="13" t="n">
        <x:v>0.021116009272081876</x:v>
      </x:c>
      <x:c r="W160" s="13" t="n">
        <x:v>0.02469867615095833</x:v>
      </x:c>
      <x:c r="X160" s="13" t="n">
        <x:v>0.005668291576918725</x:v>
      </x:c>
      <x:c r="Y160" s="13" t="n">
        <x:v>0.16745769447510558</x:v>
      </x:c>
      <x:c r="Z160" s="13" t="n">
        <x:v>0.11404086992270611</x:v>
      </x:c>
      <x:c r="AA160" s="13" t="n">
        <x:v>0.02934315895820644</x:v>
      </x:c>
      <x:c r="AB160" s="13" t="n">
        <x:v>0.09715985362782766</x:v>
      </x:c>
      <x:c r="AC160" s="13" t="n">
        <x:v>0.04814693245915014</x:v>
      </x:c>
      <x:c r="AD160" s="13" t="n">
        <x:v>0.03930495072533226</x:v>
      </x:c>
      <x:c r="AE160" s="13" t="n">
        <x:v>0.09367608424966613</x:v>
      </x:c>
      <x:c r="AF160" s="13" t="n">
        <x:v>0.16953778562168675</x:v>
      </x:c>
      <x:c r="AG160" s="13" t="n">
        <x:v>0.1412975953688459</x:v>
      </x:c>
      <x:c r="AH160" s="13" t="n">
        <x:v>0.5302628811093711</x:v>
      </x:c>
      <x:c r="AI160" s="13" t="n">
        <x:v>0.9117647058823529</x:v>
      </x:c>
      <x:c r="AJ160" s="13" t="n">
        <x:v>0.23386755248128144</x:v>
      </x:c>
      <x:c r="AK160" s="13" t="n">
        <x:v>0.028629937983315156</x:v>
      </x:c>
      <x:c r="AL160" s="13" t="n">
        <x:v>0.12891093155319575</x:v>
      </x:c>
      <x:c r="AM160" s="13" t="n">
        <x:v>0.030929306707694282</x:v>
      </x:c>
      <x:c r="AN160" s="13" t="n">
        <x:v>0.01748845558799707</x:v>
      </x:c>
      <x:c r="AO160" s="13" t="n">
        <x:v>0.12904220301660954</x:v>
      </x:c>
      <x:c r="AP160" s="13" t="n">
        <x:v>0.4968699308586617</x:v>
      </x:c>
    </x:row>
    <x:row r="161" ht="15" hidden="0" customHeight="1">
      <x:c r="A161" s="2" t="str">
        <x:v>E160</x:v>
      </x:c>
      <x:c r="B161" s="2" t="str">
        <x:v>***钢结构工程有限公司</x:v>
      </x:c>
      <x:c r="C161" s="2" t="str">
        <x:v>无信贷记录</x:v>
      </x:c>
      <x:c r="D161" s="2" t="str"/>
      <x:c r="E161" s="2" t="str"/>
      <x:c r="F161" s="13" t="n">
        <x:v>0.18448584661661332</x:v>
      </x:c>
      <x:c r="G161" s="13" t="n">
        <x:v>0.18197605393510824</x:v>
      </x:c>
      <x:c r="H161" s="13" t="n">
        <x:v>0.1509090909090909</x:v>
      </x:c>
      <x:c r="I161" s="13" t="n">
        <x:v>0.05341880341880351</x:v>
      </x:c>
      <x:c r="J161" s="13" t="n">
        <x:v>0.35575968749014786</x:v>
      </x:c>
      <x:c r="K161" s="13" t="n">
        <x:v>0.3547576129077664</x:v>
      </x:c>
      <x:c r="L161" s="13" t="n">
        <x:v>0.2631317027047202</x:v>
      </x:c>
      <x:c r="M161" s="13" t="n">
        <x:v>0.2636873874827916</x:v>
      </x:c>
      <x:c r="N161" s="13" t="n">
        <x:v>0.06904880550286614</x:v>
      </x:c>
      <x:c r="O161" s="13" t="n">
        <x:v>0.07136415811685368</x:v>
      </x:c>
      <x:c r="P161" s="13" t="n">
        <x:v>0.19804556263898826</x:v>
      </x:c>
      <x:c r="Q161" s="13" t="n">
        <x:v>0.3577261484439928</x:v>
      </x:c>
      <x:c r="R161" s="13" t="n">
        <x:v>0.10218868261796456</x:v>
      </x:c>
      <x:c r="S161" s="13" t="n">
        <x:v>0.6027248812505227</x:v>
      </x:c>
      <x:c r="T161" s="13" t="n">
        <x:v>0.9722222222222222</x:v>
      </x:c>
      <x:c r="U161" s="13" t="n">
        <x:v>0.1846516747916341</x:v>
      </x:c>
      <x:c r="V161" s="13" t="n">
        <x:v>0.16631890138521338</x:v>
      </x:c>
      <x:c r="W161" s="13" t="n">
        <x:v>0.4124678917210041</x:v>
      </x:c>
      <x:c r="X161" s="13" t="n">
        <x:v>0.18705362203831793</x:v>
      </x:c>
      <x:c r="Y161" s="13" t="n">
        <x:v>0.233832320969206</x:v>
      </x:c>
      <x:c r="Z161" s="13" t="n">
        <x:v>0.1655571813976392</x:v>
      </x:c>
      <x:c r="AA161" s="13" t="n">
        <x:v>0.024514537863818037</x:v>
      </x:c>
      <x:c r="AB161" s="13" t="n">
        <x:v>0.19336321128729844</x:v>
      </x:c>
      <x:c r="AC161" s="13" t="n">
        <x:v>0.20693223235237868</x:v>
      </x:c>
      <x:c r="AD161" s="13" t="n">
        <x:v>0.1727915260742735</x:v>
      </x:c>
      <x:c r="AE161" s="13" t="n">
        <x:v>0.35564636041875874</x:v>
      </x:c>
      <x:c r="AF161" s="13" t="n">
        <x:v>0.23035182335735102</x:v>
      </x:c>
      <x:c r="AG161" s="13" t="n">
        <x:v>0.16575540330177935</x:v>
      </x:c>
      <x:c r="AH161" s="13" t="n">
        <x:v>0.5417331511576917</x:v>
      </x:c>
      <x:c r="AI161" s="13" t="n">
        <x:v>0.9705882352941176</x:v>
      </x:c>
      <x:c r="AJ161" s="13" t="n">
        <x:v>0.25625733311924526</x:v>
      </x:c>
      <x:c r="AK161" s="13" t="n">
        <x:v>0.02923239224460283</x:v>
      </x:c>
      <x:c r="AL161" s="13" t="n">
        <x:v>0.25275926205585036</x:v>
      </x:c>
      <x:c r="AM161" s="13" t="n">
        <x:v>0.17191342139875349</x:v>
      </x:c>
      <x:c r="AN161" s="13" t="n">
        <x:v>0.1220660253997993</x:v>
      </x:c>
      <x:c r="AO161" s="13" t="n">
        <x:v>0.14081997142696423</x:v>
      </x:c>
      <x:c r="AP161" s="13" t="n">
        <x:v>0.540839284607109</x:v>
      </x:c>
    </x:row>
    <x:row r="162" ht="15" hidden="0" customHeight="1">
      <x:c r="A162" s="2" t="str">
        <x:v>E161</x:v>
      </x:c>
      <x:c r="B162" s="2" t="str">
        <x:v>***建筑劳务有限责任公司</x:v>
      </x:c>
      <x:c r="C162" s="2" t="str">
        <x:v>无信贷记录</x:v>
      </x:c>
      <x:c r="D162" s="2" t="str"/>
      <x:c r="E162" s="2" t="str"/>
      <x:c r="F162" s="13" t="n">
        <x:v>0.018388783738933094</x:v>
      </x:c>
      <x:c r="G162" s="13" t="n">
        <x:v>0.018617256670929314</x:v>
      </x:c>
      <x:c r="H162" s="13" t="n">
        <x:v>0.0036363636363636364</x:v>
      </x:c>
      <x:c r="I162" s="13" t="n">
        <x:v>0</x:v>
      </x:c>
      <x:c r="J162" s="13" t="n">
        <x:v>0.0032942158005300716</x:v>
      </x:c>
      <x:c r="K162" s="13" t="n">
        <x:v>0.003269901838415886</x:v>
      </x:c>
      <x:c r="L162" s="13" t="n">
        <x:v>0.08646644604244944</x:v>
      </x:c>
      <x:c r="M162" s="13" t="n">
        <x:v>0.06328292334653082</x:v>
      </x:c>
      <x:c r="N162" s="13" t="n">
        <x:v>0</x:v>
      </x:c>
      <x:c r="O162" s="13" t="n">
        <x:v>0.1451659753649419</x:v>
      </x:c>
      <x:c r="P162" s="13" t="n">
        <x:v>0.3141318295816482</x:v>
      </x:c>
      <x:c r="Q162" s="13" t="n">
        <x:v>0.003401561413964857</x:v>
      </x:c>
      <x:c r="R162" s="13" t="n">
        <x:v>0.4190445544926298</x:v>
      </x:c>
      <x:c r="S162" s="13" t="n">
        <x:v>0.572852882363674</x:v>
      </x:c>
      <x:c r="T162" s="13" t="n">
        <x:v>0.8888888888888888</x:v>
      </x:c>
      <x:c r="U162" s="13" t="n">
        <x:v>0.024423826248012467</x:v>
      </x:c>
      <x:c r="V162" s="13" t="n">
        <x:v>0.021582599542368287</x:v>
      </x:c>
      <x:c r="W162" s="13" t="n">
        <x:v>0.06298162418494374</x:v>
      </x:c>
      <x:c r="X162" s="13" t="n">
        <x:v>0.008502437365378089</x:v>
      </x:c>
      <x:c r="Y162" s="13" t="n">
        <x:v>0.23928602497064633</x:v>
      </x:c>
      <x:c r="Z162" s="13" t="n">
        <x:v>0.16399513341796462</x:v>
      </x:c>
      <x:c r="AA162" s="13" t="n">
        <x:v>0.010028674580652834</x:v>
      </x:c>
      <x:c r="AB162" s="13" t="n">
        <x:v>0.21689508501035643</x:v>
      </x:c>
      <x:c r="AC162" s="13" t="n">
        <x:v>0.07070316342215535</x:v>
      </x:c>
      <x:c r="AD162" s="13" t="n">
        <x:v>0.0853026142377891</x:v>
      </x:c>
      <x:c r="AE162" s="13" t="n">
        <x:v>0.14629307077711265</x:v>
      </x:c>
      <x:c r="AF162" s="13" t="n">
        <x:v>0.23572544337560927</x:v>
      </x:c>
      <x:c r="AG162" s="13" t="n">
        <x:v>0.24253268223591037</x:v>
      </x:c>
      <x:c r="AH162" s="13" t="n">
        <x:v>0.5054341588227954</x:v>
      </x:c>
      <x:c r="AI162" s="13" t="n">
        <x:v>0.8235294117647058</x:v>
      </x:c>
      <x:c r="AJ162" s="13" t="n">
        <x:v>0.4853657932430172</x:v>
      </x:c>
      <x:c r="AK162" s="13" t="n">
        <x:v>0.0002570639970958989</x:v>
      </x:c>
      <x:c r="AL162" s="13" t="n">
        <x:v>0.27511543448914605</x:v>
      </x:c>
      <x:c r="AM162" s="13" t="n">
        <x:v>0.060133218206488266</x:v>
      </x:c>
      <x:c r="AN162" s="13" t="n">
        <x:v>0.11450205949850337</x:v>
      </x:c>
      <x:c r="AO162" s="13" t="n">
        <x:v>0.41086221819933255</x:v>
      </x:c>
      <x:c r="AP162" s="13" t="n">
        <x:v>0.503478858996128</x:v>
      </x:c>
    </x:row>
    <x:row r="163" ht="15" hidden="0" customHeight="1">
      <x:c r="A163" s="2" t="str">
        <x:v>E162</x:v>
      </x:c>
      <x:c r="B163" s="2" t="str">
        <x:v>***网络信息安全有限公司</x:v>
      </x:c>
      <x:c r="C163" s="2" t="str">
        <x:v>无信贷记录</x:v>
      </x:c>
      <x:c r="D163" s="2" t="str"/>
      <x:c r="E163" s="2" t="str"/>
      <x:c r="F163" s="13" t="n">
        <x:v>0.7744967004840886</x:v>
      </x:c>
      <x:c r="G163" s="13" t="n">
        <x:v>0.7491156803081311</x:v>
      </x:c>
      <x:c r="H163" s="13" t="n">
        <x:v>0.9872727272727273</x:v>
      </x:c>
      <x:c r="I163" s="13" t="n">
        <x:v>1</x:v>
      </x:c>
      <x:c r="J163" s="13" t="n">
        <x:v>0.4904629733191057</x:v>
      </x:c>
      <x:c r="K163" s="13" t="n">
        <x:v>0.5874874113939061</x:v>
      </x:c>
      <x:c r="L163" s="13" t="n">
        <x:v>0.7993480803204858</x:v>
      </x:c>
      <x:c r="M163" s="13" t="n">
        <x:v>0.41117106964861655</x:v>
      </x:c>
      <x:c r="N163" s="13" t="n">
        <x:v>0.5014238823542084</x:v>
      </x:c>
      <x:c r="O163" s="13" t="n">
        <x:v>0.04143101858207456</x:v>
      </x:c>
      <x:c r="P163" s="13" t="n">
        <x:v>0.0930116200350346</x:v>
      </x:c>
      <x:c r="Q163" s="13" t="n">
        <x:v>0.4801967045910476</x:v>
      </x:c>
      <x:c r="R163" s="13" t="n">
        <x:v>0.0929696411942921</x:v>
      </x:c>
      <x:c r="S163" s="13" t="n">
        <x:v>0.6423152913849622</x:v>
      </x:c>
      <x:c r="T163" s="13" t="n">
        <x:v>1</x:v>
      </x:c>
      <x:c r="U163" s="13" t="n">
        <x:v>0.04381890933235489</x:v>
      </x:c>
      <x:c r="V163" s="13" t="n">
        <x:v>0.043325706137715095</x:v>
      </x:c>
      <x:c r="W163" s="13" t="n">
        <x:v>0.04939735230191666</x:v>
      </x:c>
      <x:c r="X163" s="13" t="n">
        <x:v>0.08502437365378088</x:v>
      </x:c>
      <x:c r="Y163" s="13" t="n">
        <x:v>0.2260115506307836</x:v>
      </x:c>
      <x:c r="Z163" s="13" t="n">
        <x:v>0.19558512057407507</x:v>
      </x:c>
      <x:c r="AA163" s="13" t="n">
        <x:v>0.03640037440385103</x:v>
      </x:c>
      <x:c r="AB163" s="13" t="n">
        <x:v>0.09620917012853383</x:v>
      </x:c>
      <x:c r="AC163" s="13" t="n">
        <x:v>0.3572686389484708</x:v>
      </x:c>
      <x:c r="AD163" s="13" t="n">
        <x:v>0.061995977219322596</x:v>
      </x:c>
      <x:c r="AE163" s="13" t="n">
        <x:v>0.10822595379705108</x:v>
      </x:c>
      <x:c r="AF163" s="13" t="n">
        <x:v>0.22264589578268856</x:v>
      </x:c>
      <x:c r="AG163" s="13" t="n">
        <x:v>0.40535723813266183</x:v>
      </x:c>
      <x:c r="AH163" s="13" t="n">
        <x:v>0.7603642589430986</x:v>
      </x:c>
      <x:c r="AI163" s="13" t="n">
        <x:v>0.9411764705882353</x:v>
      </x:c>
      <x:c r="AJ163" s="13" t="n">
        <x:v>0.16045401674094442</x:v>
      </x:c>
      <x:c r="AK163" s="13" t="n">
        <x:v>0.040985868995308386</x:v>
      </x:c>
      <x:c r="AL163" s="13" t="n">
        <x:v>0.14763604185063434</x:v>
      </x:c>
      <x:c r="AM163" s="13" t="n">
        <x:v>0.2535906610181047</x:v>
      </x:c>
      <x:c r="AN163" s="13" t="n">
        <x:v>0.03854504186965312</x:v>
      </x:c>
      <x:c r="AO163" s="13" t="n">
        <x:v>0.2554895659609701</x:v>
      </x:c>
      <x:c r="AP163" s="13" t="n">
        <x:v>0.6727690749334292</x:v>
      </x:c>
    </x:row>
    <x:row r="164" ht="15" hidden="0" customHeight="1">
      <x:c r="A164" s="2" t="str">
        <x:v>E163</x:v>
      </x:c>
      <x:c r="B164" s="2" t="str">
        <x:v>***物流有限公司</x:v>
      </x:c>
      <x:c r="C164" s="2" t="str">
        <x:v>无信贷记录</x:v>
      </x:c>
      <x:c r="D164" s="2" t="str"/>
      <x:c r="E164" s="2" t="str"/>
      <x:c r="F164" s="13" t="n">
        <x:v>0.19667028462249175</x:v>
      </x:c>
      <x:c r="G164" s="13" t="n">
        <x:v>0.19639679783185268</x:v>
      </x:c>
      <x:c r="H164" s="13" t="n">
        <x:v>0.10363636363636364</x:v>
      </x:c>
      <x:c r="I164" s="13" t="n">
        <x:v>0.06677350427350438</x:v>
      </x:c>
      <x:c r="J164" s="13" t="n">
        <x:v>0.2852869320270088</x:v>
      </x:c>
      <x:c r="K164" s="13" t="n">
        <x:v>0.284507717819869</x:v>
      </x:c>
      <x:c r="L164" s="13" t="n">
        <x:v>0.165468162930155</x:v>
      </x:c>
      <x:c r="M164" s="13" t="n">
        <x:v>0.16987607376121527</x:v>
      </x:c>
      <x:c r="N164" s="13" t="n">
        <x:v>0.0799784058304258</x:v>
      </x:c>
      <x:c r="O164" s="13" t="n">
        <x:v>0.11833471022546023</x:v>
      </x:c>
      <x:c r="P164" s="13" t="n">
        <x:v>0.20842444657575326</x:v>
      </x:c>
      <x:c r="Q164" s="13" t="n">
        <x:v>0.279314107370483</x:v>
      </x:c>
      <x:c r="R164" s="13" t="n">
        <x:v>0.21463451204561976</x:v>
      </x:c>
      <x:c r="S164" s="13" t="n">
        <x:v>0.5052626870113022</x:v>
      </x:c>
      <x:c r="T164" s="13" t="n">
        <x:v>1</x:v>
      </x:c>
      <x:c r="U164" s="13" t="n">
        <x:v>0.09457811326029608</x:v>
      </x:c>
      <x:c r="V164" s="13" t="n">
        <x:v>0.08597205684189319</x:v>
      </x:c>
      <x:c r="W164" s="13" t="n">
        <x:v>0.2025291444378583</x:v>
      </x:c>
      <x:c r="X164" s="13" t="n">
        <x:v>0.025507312096134264</x:v>
      </x:c>
      <x:c r="Y164" s="13" t="n">
        <x:v>0.214473032246293</x:v>
      </x:c>
      <x:c r="Z164" s="13" t="n">
        <x:v>0.14866419198966693</x:v>
      </x:c>
      <x:c r="AA164" s="13" t="n">
        <x:v>0.00817151262127268</x:v>
      </x:c>
      <x:c r="AB164" s="13" t="n">
        <x:v>0.18458592704788573</x:v>
      </x:c>
      <x:c r="AC164" s="13" t="n">
        <x:v>0.05439877013299453</x:v>
      </x:c>
      <x:c r="AD164" s="13" t="n">
        <x:v>0.588786912774584</x:v>
      </x:c>
      <x:c r="AE164" s="13" t="n">
        <x:v>0.73965245096873</x:v>
      </x:c>
      <x:c r="AF164" s="13" t="n">
        <x:v>0.21127681279696658</x:v>
      </x:c>
      <x:c r="AG164" s="13" t="n">
        <x:v>0.20718135235107768</x:v>
      </x:c>
      <x:c r="AH164" s="13" t="n">
        <x:v>0.48686325997443614</x:v>
      </x:c>
      <x:c r="AI164" s="13" t="n">
        <x:v>0.9411764705882353</x:v>
      </x:c>
      <x:c r="AJ164" s="13" t="n">
        <x:v>0.27267753992736177</x:v>
      </x:c>
      <x:c r="AK164" s="13" t="n">
        <x:v>0.026104897892545196</x:v>
      </x:c>
      <x:c r="AL164" s="13" t="n">
        <x:v>0.16379560299566767</x:v>
      </x:c>
      <x:c r="AM164" s="13" t="n">
        <x:v>0.05260512505963338</x:v>
      </x:c>
      <x:c r="AN164" s="13" t="n">
        <x:v>0.3964559825010619</x:v>
      </x:c>
      <x:c r="AO164" s="13" t="n">
        <x:v>0.24383651326344855</x:v>
      </x:c>
      <x:c r="AP164" s="13" t="n">
        <x:v>0.44966451092280374</x:v>
      </x:c>
    </x:row>
    <x:row r="165" ht="15" hidden="0" customHeight="1">
      <x:c r="A165" s="2" t="str">
        <x:v>E164</x:v>
      </x:c>
      <x:c r="B165" s="2" t="str">
        <x:v>个体经营E164 </x:v>
      </x:c>
      <x:c r="C165" s="2" t="str">
        <x:v>无信贷记录</x:v>
      </x:c>
      <x:c r="D165" s="2" t="str"/>
      <x:c r="E165" s="2" t="str"/>
      <x:c r="F165" s="13" t="n">
        <x:v>0.31335683509596557</x:v>
      </x:c>
      <x:c r="G165" s="13" t="n">
        <x:v>0.3126020515606451</x:v>
      </x:c>
      <x:c r="H165" s="13" t="n">
        <x:v>0.17272727272727273</x:v>
      </x:c>
      <x:c r="I165" s="13" t="n">
        <x:v>0.2470619658119662</x:v>
      </x:c>
      <x:c r="J165" s="13" t="n">
        <x:v>0.25928771389591904</x:v>
      </x:c>
      <x:c r="K165" s="13" t="n">
        <x:v>0.2702810639242297</x:v>
      </x:c>
      <x:c r="L165" s="13" t="n">
        <x:v>0.3128965637363458</x:v>
      </x:c>
      <x:c r="M165" s="13" t="n">
        <x:v>0.1777474575636941</x:v>
      </x:c>
      <x:c r="N165" s="13" t="n">
        <x:v>0.18596979303511937</x:v>
      </x:c>
      <x:c r="O165" s="13" t="n">
        <x:v>0.19129192313610077</x:v>
      </x:c>
      <x:c r="P165" s="13" t="n">
        <x:v>0.4070059913402542</x:v>
      </x:c>
      <x:c r="Q165" s="13" t="n">
        <x:v>0.2679624857947818</x:v>
      </x:c>
      <x:c r="R165" s="13" t="n">
        <x:v>0.17613942022761658</x:v>
      </x:c>
      <x:c r="S165" s="13" t="n">
        <x:v>0.6078124206323747</x:v>
      </x:c>
      <x:c r="T165" s="13" t="n">
        <x:v>0.9444444444444444</x:v>
      </x:c>
      <x:c r="U165" s="13" t="n">
        <x:v>0.14428893431881337</x:v>
      </x:c>
      <x:c r="V165" s="13" t="n">
        <x:v>0.13496403522196648</x:v>
      </x:c>
      <x:c r="W165" s="13" t="n">
        <x:v>0.2568662319699666</x:v>
      </x:c>
      <x:c r="X165" s="13" t="n">
        <x:v>0.05951706155764661</x:v>
      </x:c>
      <x:c r="Y165" s="13" t="n">
        <x:v>0.19534679728099344</x:v>
      </x:c>
      <x:c r="Z165" s="13" t="n">
        <x:v>0.13283430169513258</x:v>
      </x:c>
      <x:c r="AA165" s="13" t="n">
        <x:v>0.031200320917586594</x:v>
      </x:c>
      <x:c r="AB165" s="13" t="n">
        <x:v>0.1539115032303071</x:v>
      </x:c>
      <x:c r="AC165" s="13" t="n">
        <x:v>0.0810677703106062</x:v>
      </x:c>
      <x:c r="AD165" s="13" t="n">
        <x:v>0.036305759662011196</x:v>
      </x:c>
      <x:c r="AE165" s="13" t="n">
        <x:v>0.07834545148263097</x:v>
      </x:c>
      <x:c r="AF165" s="13" t="n">
        <x:v>0.19778067705997343</x:v>
      </x:c>
      <x:c r="AG165" s="13" t="n">
        <x:v>0.15459809971693897</x:v>
      </x:c>
      <x:c r="AH165" s="13" t="n">
        <x:v>0.5750651340084497</x:v>
      </x:c>
      <x:c r="AI165" s="13" t="n">
        <x:v>0.9411764705882353</x:v>
      </x:c>
      <x:c r="AJ165" s="13" t="n">
        <x:v>0.26151304886402243</x:v>
      </x:c>
      <x:c r="AK165" s="13" t="n">
        <x:v>0.027754397484525673</x:v>
      </x:c>
      <x:c r="AL165" s="13" t="n">
        <x:v>0.14236666253834965</x:v>
      </x:c>
      <x:c r="AM165" s="13" t="n">
        <x:v>0.10134844509441274</x:v>
      </x:c>
      <x:c r="AN165" s="13" t="n">
        <x:v>0.11313888070436982</x:v>
      </x:c>
      <x:c r="AO165" s="13" t="n">
        <x:v>0.18911334936455682</x:v>
      </x:c>
      <x:c r="AP165" s="13" t="n">
        <x:v>0.5603238787702667</x:v>
      </x:c>
    </x:row>
    <x:row r="166" ht="15" hidden="0" customHeight="1">
      <x:c r="A166" s="2" t="str">
        <x:v>E165</x:v>
      </x:c>
      <x:c r="B166" s="2" t="str">
        <x:v>***文化传媒股份有限公司</x:v>
      </x:c>
      <x:c r="C166" s="2" t="str">
        <x:v>无信贷记录</x:v>
      </x:c>
      <x:c r="D166" s="2" t="str"/>
      <x:c r="E166" s="2" t="str"/>
      <x:c r="F166" s="13" t="n">
        <x:v>0.3231492361927145</x:v>
      </x:c>
      <x:c r="G166" s="13" t="n">
        <x:v>0.3162644627090246</x:v>
      </x:c>
      <x:c r="H166" s="13" t="n">
        <x:v>0.3236363636363636</x:v>
      </x:c>
      <x:c r="I166" s="13" t="n">
        <x:v>0.32051282051282104</x:v>
      </x:c>
      <x:c r="J166" s="13" t="n">
        <x:v>0.31819186578842723</x:v>
      </x:c>
      <x:c r="K166" s="13" t="n">
        <x:v>0.3359938263279831</x:v>
      </x:c>
      <x:c r="L166" s="13" t="n">
        <x:v>0.5766503272039613</x:v>
      </x:c>
      <x:c r="M166" s="13" t="n">
        <x:v>0.3229550714692782</x:v>
      </x:c>
      <x:c r="N166" s="13" t="n">
        <x:v>0.23846563598072076</x:v>
      </x:c>
      <x:c r="O166" s="13" t="n">
        <x:v>0.06320960623073471</x:v>
      </x:c>
      <x:c r="P166" s="13" t="n">
        <x:v>0.2007650775759426</x:v>
      </x:c>
      <x:c r="Q166" s="13" t="n">
        <x:v>0.3199503584683503</x:v>
      </x:c>
      <x:c r="R166" s="13" t="n">
        <x:v>0.06960108228114437</x:v>
      </x:c>
      <x:c r="S166" s="13" t="n">
        <x:v>0.5247823210923467</x:v>
      </x:c>
      <x:c r="T166" s="13" t="n">
        <x:v>0.9722222222222222</x:v>
      </x:c>
      <x:c r="U166" s="13" t="n">
        <x:v>0.22684908528594666</x:v>
      </x:c>
      <x:c r="V166" s="13" t="n">
        <x:v>0.21829705749511974</x:v>
      </x:c>
      <x:c r="W166" s="13" t="n">
        <x:v>0.32108278996245826</x:v>
      </x:c>
      <x:c r="X166" s="13" t="n">
        <x:v>0.3230926198843673</x:v>
      </x:c>
      <x:c r="Y166" s="13" t="n">
        <x:v>0.18305901663721122</x:v>
      </x:c>
      <x:c r="Z166" s="13" t="n">
        <x:v>0.13138675387544516</x:v>
      </x:c>
      <x:c r="AA166" s="13" t="n">
        <x:v>0.09397239514463582</x:v>
      </x:c>
      <x:c r="AB166" s="13" t="n">
        <x:v>0.1226242358334325</x:v>
      </x:c>
      <x:c r="AC166" s="13" t="n">
        <x:v>0.2725658184100481</x:v>
      </x:c>
      <x:c r="AD166" s="13" t="n">
        <x:v>0.03592196297868405</x:v>
      </x:c>
      <x:c r="AE166" s="13" t="n">
        <x:v>0.12196251394884787</x:v>
      </x:c>
      <x:c r="AF166" s="13" t="n">
        <x:v>0.1803240909245923</x:v>
      </x:c>
      <x:c r="AG166" s="13" t="n">
        <x:v>0.0702953735789535</x:v>
      </x:c>
      <x:c r="AH166" s="13" t="n">
        <x:v>0.4844685903107435</x:v>
      </x:c>
      <x:c r="AI166" s="13" t="n">
        <x:v>0.9705882352941176</x:v>
      </x:c>
      <x:c r="AJ166" s="13" t="n">
        <x:v>0.20687541413927946</x:v>
      </x:c>
      <x:c r="AK166" s="13" t="n">
        <x:v>0.03488605676455255</x:v>
      </x:c>
      <x:c r="AL166" s="13" t="n">
        <x:v>0.17472604147251045</x:v>
      </x:c>
      <x:c r="AM166" s="13" t="n">
        <x:v>0.2420517158547324</x:v>
      </x:c>
      <x:c r="AN166" s="13" t="n">
        <x:v>0.03616116071696717</x:v>
      </x:c>
      <x:c r="AO166" s="13" t="n">
        <x:v>0.06868264645512048</x:v>
      </x:c>
      <x:c r="AP166" s="13" t="n">
        <x:v>0.4614563572159788</x:v>
      </x:c>
    </x:row>
    <x:row r="167" ht="15" hidden="0" customHeight="1">
      <x:c r="A167" s="2" t="str">
        <x:v>E166</x:v>
      </x:c>
      <x:c r="B167" s="2" t="str">
        <x:v>***建筑工程有限公司</x:v>
      </x:c>
      <x:c r="C167" s="2" t="str">
        <x:v>无信贷记录</x:v>
      </x:c>
      <x:c r="D167" s="2" t="str"/>
      <x:c r="E167" s="2" t="str"/>
      <x:c r="F167" s="13" t="n">
        <x:v>0.012632944926340216</x:v>
      </x:c>
      <x:c r="G167" s="13" t="n">
        <x:v>0.012665838554812566</x:v>
      </x:c>
      <x:c r="H167" s="13" t="n">
        <x:v>0.005454545454545455</x:v>
      </x:c>
      <x:c r="I167" s="13" t="n">
        <x:v>0</x:v>
      </x:c>
      <x:c r="J167" s="13" t="n">
        <x:v>0.010916083016589981</x:v>
      </x:c>
      <x:c r="K167" s="13" t="n">
        <x:v>0.010835513544226343</x:v>
      </x:c>
      <x:c r="L167" s="13" t="n">
        <x:v>0.04541043569135833</x:v>
      </x:c>
      <x:c r="M167" s="13" t="n">
        <x:v>0.13766811394683898</x:v>
      </x:c>
      <x:c r="N167" s="13" t="n">
        <x:v>0</x:v>
      </x:c>
      <x:c r="O167" s="13" t="n">
        <x:v>0.24205765858931136</x:v>
      </x:c>
      <x:c r="P167" s="13" t="n">
        <x:v>0.4472877316311095</x:v>
      </x:c>
      <x:c r="Q167" s="13" t="n">
        <x:v>0.010973555747355078</x:v>
      </x:c>
      <x:c r="R167" s="13" t="n">
        <x:v>0.6598874684265879</x:v>
      </x:c>
      <x:c r="S167" s="13" t="n">
        <x:v>0.9070938019240881</x:v>
      </x:c>
      <x:c r="T167" s="13" t="n">
        <x:v>0.75</x:v>
      </x:c>
      <x:c r="U167" s="13" t="n">
        <x:v>0.13651342803725267</x:v>
      </x:c>
      <x:c r="V167" s="13" t="n">
        <x:v>0.12973822419475864</x:v>
      </x:c>
      <x:c r="W167" s="13" t="n">
        <x:v>0.21611341632088538</x:v>
      </x:c>
      <x:c r="X167" s="13" t="n">
        <x:v>0.7312096134225156</x:v>
      </x:c>
      <x:c r="Y167" s="13" t="n">
        <x:v>0.12165524046672647</x:v>
      </x:c>
      <x:c r="Z167" s="13" t="n">
        <x:v>0.1299864847466691</x:v>
      </x:c>
      <x:c r="AA167" s="13" t="n">
        <x:v>0.01782875481004948</x:v>
      </x:c>
      <x:c r="AB167" s="13" t="n">
        <x:v>0.13682418954745768</x:v>
      </x:c>
      <x:c r="AC167" s="13" t="n">
        <x:v>1</x:v>
      </x:c>
      <x:c r="AD167" s="13" t="n">
        <x:v>0.5089258743169597</x:v>
      </x:c>
      <x:c r="AE167" s="13" t="n">
        <x:v>0.6947029920526477</x:v>
      </x:c>
      <x:c r="AF167" s="13" t="n">
        <x:v>0.11982198799799061</x:v>
      </x:c>
      <x:c r="AG167" s="13" t="n">
        <x:v>0.4851700010070958</x:v>
      </x:c>
      <x:c r="AH167" s="13" t="n">
        <x:v>0.7186718889089859</x:v>
      </x:c>
      <x:c r="AI167" s="13" t="n">
        <x:v>0.7352941176470589</x:v>
      </x:c>
      <x:c r="AJ167" s="13" t="n">
        <x:v>0.31153385153719004</x:v>
      </x:c>
      <x:c r="AK167" s="13" t="n">
        <x:v>0.0011226055480777859</x:v>
      </x:c>
      <x:c r="AL167" s="13" t="n">
        <x:v>0.2848040307277417</x:v>
      </x:c>
      <x:c r="AM167" s="13" t="n">
        <x:v>1</x:v>
      </x:c>
      <x:c r="AN167" s="13" t="n">
        <x:v>0.4233214014296339</x:v>
      </x:c>
      <x:c r="AO167" s="13" t="n">
        <x:v>0.7094871933335904</x:v>
      </x:c>
      <x:c r="AP167" s="13" t="n">
        <x:v>0.8282713271567042</x:v>
      </x:c>
    </x:row>
    <x:row r="168" ht="15" hidden="0" customHeight="1">
      <x:c r="A168" s="2" t="str">
        <x:v>E167</x:v>
      </x:c>
      <x:c r="B168" s="2" t="str">
        <x:v>***体育文化股份有限公司</x:v>
      </x:c>
      <x:c r="C168" s="2" t="str">
        <x:v>无信贷记录</x:v>
      </x:c>
      <x:c r="D168" s="2" t="str"/>
      <x:c r="E168" s="2" t="str"/>
      <x:c r="F168" s="13" t="n">
        <x:v>0.5453844152815279</x:v>
      </x:c>
      <x:c r="G168" s="13" t="n">
        <x:v>0.5393663418311447</x:v>
      </x:c>
      <x:c r="H168" s="13" t="n">
        <x:v>0.4127272727272727</x:v>
      </x:c>
      <x:c r="I168" s="13" t="n">
        <x:v>0.6477029914529925</x:v>
      </x:c>
      <x:c r="J168" s="13" t="n">
        <x:v>0.5417185737098454</x:v>
      </x:c>
      <x:c r="K168" s="13" t="n">
        <x:v>0.5468852916104328</x:v>
      </x:c>
      <x:c r="L168" s="13" t="n">
        <x:v>0.6842668391848516</x:v>
      </x:c>
      <x:c r="M168" s="13" t="n">
        <x:v>0.2440788882376198</x:v>
      </x:c>
      <x:c r="N168" s="13" t="n">
        <x:v>0.2826242995567834</x:v>
      </x:c>
      <x:c r="O168" s="13" t="n">
        <x:v>0.10042759326910251</x:v>
      </x:c>
      <x:c r="P168" s="13" t="n">
        <x:v>0.23148529262895937</x:v>
      </x:c>
      <x:c r="Q168" s="13" t="n">
        <x:v>0.5447144674824094</x:v>
      </x:c>
      <x:c r="R168" s="13" t="n">
        <x:v>0</x:v>
      </x:c>
      <x:c r="S168" s="13" t="n">
        <x:v>0.5481459471287787</x:v>
      </x:c>
      <x:c r="T168" s="13" t="n">
        <x:v>0.9722222222222222</x:v>
      </x:c>
      <x:c r="U168" s="13" t="n">
        <x:v>0.4341667977145258</x:v>
      </x:c>
      <x:c r="V168" s="13" t="n">
        <x:v>0.4325553096106402</x:v>
      </x:c>
      <x:c r="W168" s="13" t="n">
        <x:v>0.41617269314364785</x:v>
      </x:c>
      <x:c r="X168" s="13" t="n">
        <x:v>0.257907266749802</x:v>
      </x:c>
      <x:c r="Y168" s="13" t="n">
        <x:v>0.2059605930380219</x:v>
      </x:c>
      <x:c r="Z168" s="13" t="n">
        <x:v>0.13868945229939203</x:v>
      </x:c>
      <x:c r="AA168" s="13" t="n">
        <x:v>0.9568098414726556</x:v>
      </x:c>
      <x:c r="AB168" s="13" t="n">
        <x:v>0.08318885599680872</x:v>
      </x:c>
      <x:c r="AC168" s="13" t="n">
        <x:v>0.1099590057013529</x:v>
      </x:c>
      <x:c r="AD168" s="13" t="n">
        <x:v>0.07419883789532096</x:v>
      </x:c>
      <x:c r="AE168" s="13" t="n">
        <x:v>0.15884545398136954</x:v>
      </x:c>
      <x:c r="AF168" s="13" t="n">
        <x:v>0.20288937304561763</x:v>
      </x:c>
      <x:c r="AG168" s="13" t="n">
        <x:v>0.032681408423190735</x:v>
      </x:c>
      <x:c r="AH168" s="13" t="n">
        <x:v>0.5339562784387561</x:v>
      </x:c>
      <x:c r="AI168" s="13" t="n">
        <x:v>0.9705882352941176</x:v>
      </x:c>
      <x:c r="AJ168" s="13" t="n">
        <x:v>0.09946153966033743</x:v>
      </x:c>
      <x:c r="AK168" s="13" t="n">
        <x:v>0.053802478481337894</x:v>
      </x:c>
      <x:c r="AL168" s="13" t="n">
        <x:v>0.1259346662822851</x:v>
      </x:c>
      <x:c r="AM168" s="13" t="n">
        <x:v>0.15571421471996302</x:v>
      </x:c>
      <x:c r="AN168" s="13" t="n">
        <x:v>0.08112080162112213</x:v>
      </x:c>
      <x:c r="AO168" s="13" t="n">
        <x:v>0</x:v>
      </x:c>
      <x:c r="AP168" s="13" t="n">
        <x:v>0.5008733460608663</x:v>
      </x:c>
    </x:row>
    <x:row r="169" ht="15" hidden="0" customHeight="1">
      <x:c r="A169" s="2" t="str">
        <x:v>E168</x:v>
      </x:c>
      <x:c r="B169" s="2" t="str">
        <x:v>***建材有限公司</x:v>
      </x:c>
      <x:c r="C169" s="2" t="str">
        <x:v>无信贷记录</x:v>
      </x:c>
      <x:c r="D169" s="2" t="str"/>
      <x:c r="E169" s="2" t="str"/>
      <x:c r="F169" s="13" t="n">
        <x:v>0.034310779415326384</x:v>
      </x:c>
      <x:c r="G169" s="13" t="n">
        <x:v>0.035021806606379324</x:v>
      </x:c>
      <x:c r="H169" s="13" t="n">
        <x:v>0</x:v>
      </x:c>
      <x:c r="I169" s="13" t="n">
        <x:v>0</x:v>
      </x:c>
      <x:c r="J169" s="13" t="n">
        <x:v>0.005066584179246403</x:v>
      </x:c>
      <x:c r="K169" s="13" t="n">
        <x:v>0.005029188712998349</x:v>
      </x:c>
      <x:c r="L169" s="13" t="n">
        <x:v>0.0043544253402672374</x:v>
      </x:c>
      <x:c r="M169" s="13" t="n">
        <x:v>0</x:v>
      </x:c>
      <x:c r="N169" s="13" t="n">
        <x:v>0</x:v>
      </x:c>
      <x:c r="O169" s="13" t="n">
        <x:v>0.4914699411664458</x:v>
      </x:c>
      <x:c r="P169" s="13" t="n">
        <x:v>0.5625949605185863</x:v>
      </x:c>
      <x:c r="Q169" s="13" t="n">
        <x:v>0.007538023429118986</x:v>
      </x:c>
      <x:c r="R169" s="13" t="n">
        <x:v>0.3236145440863053</x:v>
      </x:c>
      <x:c r="S169" s="13" t="n">
        <x:v>0.9267624761133509</x:v>
      </x:c>
      <x:c r="T169" s="13" t="n">
        <x:v>0.25</x:v>
      </x:c>
      <x:c r="U169" s="13" t="n">
        <x:v>0.035431846376963574</x:v>
      </x:c>
      <x:c r="V169" s="13" t="n">
        <x:v>0.03660680624559076</x:v>
      </x:c>
      <x:c r="W169" s="13" t="n">
        <x:v>0.019758940920766663</x:v>
      </x:c>
      <x:c r="X169" s="13" t="n">
        <x:v>0</x:v>
      </x:c>
      <x:c r="Y169" s="13" t="n">
        <x:v>0.13885548872000542</x:v>
      </x:c>
      <x:c r="Z169" s="13" t="n">
        <x:v>0.09172522664916337</x:v>
      </x:c>
      <x:c r="AA169" s="13" t="n">
        <x:v>0.003714323918760309</x:v>
      </x:c>
      <x:c r="AB169" s="13" t="n">
        <x:v>0.04738591415487305</x:v>
      </x:c>
      <x:c r="AC169" s="13" t="n">
        <x:v>0</x:v>
      </x:c>
      <x:c r="AD169" s="13" t="n">
        <x:v>0.4150497154260337</x:v>
      </x:c>
      <x:c r="AE169" s="13" t="n">
        <x:v>0.5808438372376471</x:v>
      </x:c>
      <x:c r="AF169" s="13" t="n">
        <x:v>0.153364933340553</x:v>
      </x:c>
      <x:c r="AG169" s="13" t="n">
        <x:v>0.17505506882151903</x:v>
      </x:c>
      <x:c r="AH169" s="13" t="n">
        <x:v>0.6394265918347031</x:v>
      </x:c>
      <x:c r="AI169" s="13" t="n">
        <x:v>0.7352941176470589</x:v>
      </x:c>
      <x:c r="AJ169" s="13" t="n">
        <x:v>0.33992451227320875</x:v>
      </x:c>
      <x:c r="AK169" s="13" t="n">
        <x:v>0.0007331637479052835</x:v>
      </x:c>
      <x:c r="AL169" s="13" t="n">
        <x:v>0.047678813023562173</x:v>
      </x:c>
      <x:c r="AM169" s="13" t="n">
        <x:v>0</x:v>
      </x:c>
      <x:c r="AN169" s="13" t="n">
        <x:v>0.5172073175743989</x:v>
      </x:c>
      <x:c r="AO169" s="13" t="n">
        <x:v>0.3070593975283543</x:v>
      </x:c>
      <x:c r="AP169" s="13" t="n">
        <x:v>0.8030196657634556</x:v>
      </x:c>
    </x:row>
    <x:row r="170" ht="15" hidden="0" customHeight="1">
      <x:c r="A170" s="2" t="str">
        <x:v>E169</x:v>
      </x:c>
      <x:c r="B170" s="2" t="str">
        <x:v>***建筑设计有限公司</x:v>
      </x:c>
      <x:c r="C170" s="2" t="str">
        <x:v>无信贷记录</x:v>
      </x:c>
      <x:c r="D170" s="2" t="str"/>
      <x:c r="E170" s="2" t="str"/>
      <x:c r="F170" s="13" t="n">
        <x:v>0.45104845967773294</x:v>
      </x:c>
      <x:c r="G170" s="13" t="n">
        <x:v>0.44322804918618186</x:v>
      </x:c>
      <x:c r="H170" s="13" t="n">
        <x:v>0.4090909090909091</x:v>
      </x:c>
      <x:c r="I170" s="13" t="n">
        <x:v>0.18696581196581227</x:v>
      </x:c>
      <x:c r="J170" s="13" t="n">
        <x:v>0.2714581729747781</x:v>
      </x:c>
      <x:c r="K170" s="13" t="n">
        <x:v>0.27095572737116413</x:v>
      </x:c>
      <x:c r="L170" s="13" t="n">
        <x:v>0.6357460996790166</x:v>
      </x:c>
      <x:c r="M170" s="13" t="n">
        <x:v>0.29251053037909375</x:v>
      </x:c>
      <x:c r="N170" s="13" t="n">
        <x:v>0.09927176829697044</x:v>
      </x:c>
      <x:c r="O170" s="13" t="n">
        <x:v>0.02580676448801449</x:v>
      </x:c>
      <x:c r="P170" s="13" t="n">
        <x:v>0.05625837714588302</x:v>
      </x:c>
      <x:c r="Q170" s="13" t="n">
        <x:v>0.27295795687180674</x:v>
      </x:c>
      <x:c r="R170" s="13" t="n">
        <x:v>0.2546500358788188</x:v>
      </x:c>
      <x:c r="S170" s="13" t="n">
        <x:v>0.7558012275599589</x:v>
      </x:c>
      <x:c r="T170" s="13" t="n">
        <x:v>0.9722222222222222</x:v>
      </x:c>
      <x:c r="U170" s="13" t="n">
        <x:v>0.1293494784295226</x:v>
      </x:c>
      <x:c r="V170" s="13" t="n">
        <x:v>0.1309513588975033</x:v>
      </x:c>
      <x:c r="W170" s="13" t="n">
        <x:v>0.09879470460383331</x:v>
      </x:c>
      <x:c r="X170" s="13" t="n">
        <x:v>0.08502437365378088</x:v>
      </x:c>
      <x:c r="Y170" s="13" t="n">
        <x:v>0.18236703027948398</x:v>
      </x:c>
      <x:c r="Z170" s="13" t="n">
        <x:v>0.1251258729122918</x:v>
      </x:c>
      <x:c r="AA170" s="13" t="n">
        <x:v>0.06425780379455334</x:v>
      </x:c>
      <x:c r="AB170" s="13" t="n">
        <x:v>0.06599045092037689</x:v>
      </x:c>
      <x:c r="AC170" s="13" t="n">
        <x:v>0.11934292832959556</x:v>
      </x:c>
      <x:c r="AD170" s="13" t="n">
        <x:v>0.04017110753473841</x:v>
      </x:c>
      <x:c r="AE170" s="13" t="n">
        <x:v>0.08296060730021439</x:v>
      </x:c>
      <x:c r="AF170" s="13" t="n">
        <x:v>0.17964226592212376</x:v>
      </x:c>
      <x:c r="AG170" s="13" t="n">
        <x:v>0.18789830837548568</x:v>
      </x:c>
      <x:c r="AH170" s="13" t="n">
        <x:v>0.6824300407025222</x:v>
      </x:c>
      <x:c r="AI170" s="13" t="n">
        <x:v>0.9705882352941176</x:v>
      </x:c>
      <x:c r="AJ170" s="13" t="n">
        <x:v>0.23521946195503035</x:v>
      </x:c>
      <x:c r="AK170" s="13" t="n">
        <x:v>0.029537834221669362</x:v>
      </x:c>
      <x:c r="AL170" s="13" t="n">
        <x:v>0.1106272266800564</x:v>
      </x:c>
      <x:c r="AM170" s="13" t="n">
        <x:v>0.07792363483785895</x:v>
      </x:c>
      <x:c r="AN170" s="13" t="n">
        <x:v>0.016263557534121315</x:v>
      </x:c>
      <x:c r="AO170" s="13" t="n">
        <x:v>0.2632576021761617</x:v>
      </x:c>
      <x:c r="AP170" s="13" t="n">
        <x:v>0.7103888588723859</x:v>
      </x:c>
    </x:row>
    <x:row r="171" ht="15" hidden="0" customHeight="1">
      <x:c r="A171" s="2" t="str">
        <x:v>E170</x:v>
      </x:c>
      <x:c r="B171" s="2" t="str">
        <x:v>***建筑劳务有限公司</x:v>
      </x:c>
      <x:c r="C171" s="2" t="str">
        <x:v>无信贷记录</x:v>
      </x:c>
      <x:c r="D171" s="2" t="str"/>
      <x:c r="E171" s="2" t="str"/>
      <x:c r="F171" s="13" t="n">
        <x:v>0.0992695317288746</x:v>
      </x:c>
      <x:c r="G171" s="13" t="n">
        <x:v>0.09499378916109424</x:v>
      </x:c>
      <x:c r="H171" s="13" t="n">
        <x:v>0.1509090909090909</x:v>
      </x:c>
      <x:c r="I171" s="13" t="n">
        <x:v>0.3672542735042741</x:v>
      </x:c>
      <x:c r="J171" s="13" t="n">
        <x:v>0.11596722509191568</x:v>
      </x:c>
      <x:c r="K171" s="13" t="n">
        <x:v>0.12146054349293962</x:v>
      </x:c>
      <x:c r="L171" s="13" t="n">
        <x:v>0.14494015775460947</x:v>
      </x:c>
      <x:c r="M171" s="13" t="n">
        <x:v>0.4897051481823272</x:v>
      </x:c>
      <x:c r="N171" s="13" t="n">
        <x:v>0.9086880944711089</x:v>
      </x:c>
      <x:c r="O171" s="13" t="n">
        <x:v>0.08478337542906562</x:v>
      </x:c>
      <x:c r="P171" s="13" t="n">
        <x:v>0.21452596613255134</x:v>
      </x:c>
      <x:c r="Q171" s="13" t="n">
        <x:v>0.11660624084810248</x:v>
      </x:c>
      <x:c r="R171" s="13" t="n">
        <x:v>0.21053839260785595</x:v>
      </x:c>
      <x:c r="S171" s="13" t="n">
        <x:v>0.7281191103579944</x:v>
      </x:c>
      <x:c r="T171" s="13" t="n">
        <x:v>0.8888888888888888</x:v>
      </x:c>
      <x:c r="U171" s="13" t="n">
        <x:v>0.06871800248117285</x:v>
      </x:c>
      <x:c r="V171" s="13" t="n">
        <x:v>0.07272089316575907</x:v>
      </x:c>
      <x:c r="W171" s="13" t="n">
        <x:v>0.012349338075479164</x:v>
      </x:c>
      <x:c r="X171" s="13" t="n">
        <x:v>0.04251218682689044</x:v>
      </x:c>
      <x:c r="Y171" s="13" t="n">
        <x:v>0.11630574463352522</x:v>
      </x:c>
      <x:c r="Z171" s="13" t="n">
        <x:v>0.07988026893751128</x:v>
      </x:c>
      <x:c r="AA171" s="13" t="n">
        <x:v>0.003342891526884278</x:v>
      </x:c>
      <x:c r="AB171" s="13" t="n">
        <x:v>0.015440604879296731</x:v>
      </x:c>
      <x:c r="AC171" s="13" t="n">
        <x:v>0.10704422960860671</x:v>
      </x:c>
      <x:c r="AD171" s="13" t="n">
        <x:v>0.17288839868250197</x:v>
      </x:c>
      <x:c r="AE171" s="13" t="n">
        <x:v>0.26238067936269827</x:v>
      </x:c>
      <x:c r="AF171" s="13" t="n">
        <x:v>0.11455104592095688</x:v>
      </x:c>
      <x:c r="AG171" s="13" t="n">
        <x:v>0.24819144415015246</x:v>
      </x:c>
      <x:c r="AH171" s="13" t="n">
        <x:v>0.6639229040188784</x:v>
      </x:c>
      <x:c r="AI171" s="13" t="n">
        <x:v>0.6764705882352942</x:v>
      </x:c>
      <x:c r="AJ171" s="13" t="n">
        <x:v>0.2378970386902399</x:v>
      </x:c>
      <x:c r="AK171" s="13" t="n">
        <x:v>0.02073009090150334</x:v>
      </x:c>
      <x:c r="AL171" s="13" t="n">
        <x:v>0.11972661331468445</x:v>
      </x:c>
      <x:c r="AM171" s="13" t="n">
        <x:v>0.334040569410694</x:v>
      </x:c>
      <x:c r="AN171" s="13" t="n">
        <x:v>0.13016454146096165</x:v>
      </x:c>
      <x:c r="AO171" s="13" t="n">
        <x:v>0.26162629021152695</x:v>
      </x:c>
      <x:c r="AP171" s="13" t="n">
        <x:v>0.6830801003142337</x:v>
      </x:c>
    </x:row>
    <x:row r="172" ht="15" hidden="0" customHeight="1">
      <x:c r="A172" s="2" t="str">
        <x:v>E171</x:v>
      </x:c>
      <x:c r="B172" s="2" t="str">
        <x:v>***质量检验测试站</x:v>
      </x:c>
      <x:c r="C172" s="2" t="str">
        <x:v>无信贷记录</x:v>
      </x:c>
      <x:c r="D172" s="2" t="str"/>
      <x:c r="E172" s="2" t="str"/>
      <x:c r="F172" s="13" t="n">
        <x:v>0.1435969657011808</x:v>
      </x:c>
      <x:c r="G172" s="13" t="n">
        <x:v>0.1389427229416487</x:v>
      </x:c>
      <x:c r="H172" s="13" t="n">
        <x:v>0.18181818181818182</x:v>
      </x:c>
      <x:c r="I172" s="13" t="n">
        <x:v>0.05341880341880351</x:v>
      </x:c>
      <x:c r="J172" s="13" t="n">
        <x:v>0.15994492055868062</x:v>
      </x:c>
      <x:c r="K172" s="13" t="n">
        <x:v>0.1587914507673444</x:v>
      </x:c>
      <x:c r="L172" s="13" t="n">
        <x:v>0.2027918087038742</x:v>
      </x:c>
      <x:c r="M172" s="13" t="n">
        <x:v>0.4080646123229236</x:v>
      </x:c>
      <x:c r="N172" s="13" t="n">
        <x:v>0.09041113479722518</x:v>
      </x:c>
      <x:c r="O172" s="13" t="n">
        <x:v>0.09946333680686405</x:v>
      </x:c>
      <x:c r="P172" s="13" t="n">
        <x:v>0.21238837727520238</x:v>
      </x:c>
      <x:c r="Q172" s="13" t="n">
        <x:v>0.1565949602125472</x:v>
      </x:c>
      <x:c r="R172" s="13" t="n">
        <x:v>0.17592135875930062</x:v>
      </x:c>
      <x:c r="S172" s="13" t="n">
        <x:v>0.6671273746484627</x:v>
      </x:c>
      <x:c r="T172" s="13" t="n">
        <x:v>1</x:v>
      </x:c>
      <x:c r="U172" s="13" t="n">
        <x:v>0.6551134874456158</x:v>
      </x:c>
      <x:c r="V172" s="13" t="n">
        <x:v>0.6538124157804569</x:v>
      </x:c>
      <x:c r="W172" s="13" t="n">
        <x:v>0.6112922347362186</x:v>
      </x:c>
      <x:c r="X172" s="13" t="n">
        <x:v>0.32025847409590796</x:v>
      </x:c>
      <x:c r="Y172" s="13" t="n">
        <x:v>0.16535092728291476</x:v>
      </x:c>
      <x:c r="Z172" s="13" t="n">
        <x:v>0.1133226506922717</x:v>
      </x:c>
      <x:c r="AA172" s="13" t="n">
        <x:v>0.5408055625715009</x:v>
      </x:c>
      <x:c r="AB172" s="13" t="n">
        <x:v>0.0810323273114078</x:v>
      </x:c>
      <x:c r="AC172" s="13" t="n">
        <x:v>0.09037933728197377</x:v>
      </x:c>
      <x:c r="AD172" s="13" t="n">
        <x:v>0.013664925111110405</x:v>
      </x:c>
      <x:c r="AE172" s="13" t="n">
        <x:v>0.040065560351908884</x:v>
      </x:c>
      <x:c r="AF172" s="13" t="n">
        <x:v>0.16287603297824585</x:v>
      </x:c>
      <x:c r="AG172" s="13" t="n">
        <x:v>0.12851492381799848</x:v>
      </x:c>
      <x:c r="AH172" s="13" t="n">
        <x:v>0.6023511618488182</x:v>
      </x:c>
      <x:c r="AI172" s="13" t="n">
        <x:v>0.9705882352941176</x:v>
      </x:c>
      <x:c r="AJ172" s="13" t="n">
        <x:v>0.2807714820251961</x:v>
      </x:c>
      <x:c r="AK172" s="13" t="n">
        <x:v>0.01910705285834279</x:v>
      </x:c>
      <x:c r="AL172" s="13" t="n">
        <x:v>0.17443045037674898</x:v>
      </x:c>
      <x:c r="AM172" s="13" t="n">
        <x:v>0.13285203678303828</x:v>
      </x:c>
      <x:c r="AN172" s="13" t="n">
        <x:v>0.044710610392895686</x:v>
      </x:c>
      <x:c r="AO172" s="13" t="n">
        <x:v>0.17573917887206172</x:v>
      </x:c>
      <x:c r="AP172" s="13" t="n">
        <x:v>0.6128605581270598</x:v>
      </x:c>
    </x:row>
    <x:row r="173" ht="15" hidden="0" customHeight="1">
      <x:c r="A173" s="2" t="str">
        <x:v>E172</x:v>
      </x:c>
      <x:c r="B173" s="2" t="str">
        <x:v>***物流有限公司</x:v>
      </x:c>
      <x:c r="C173" s="2" t="str">
        <x:v>无信贷记录</x:v>
      </x:c>
      <x:c r="D173" s="2" t="str"/>
      <x:c r="E173" s="2" t="str"/>
      <x:c r="F173" s="13" t="n">
        <x:v>0.035058290949429353</x:v>
      </x:c>
      <x:c r="G173" s="13" t="n">
        <x:v>0.035250707303153044</x:v>
      </x:c>
      <x:c r="H173" s="13" t="n">
        <x:v>0.012727272727272728</x:v>
      </x:c>
      <x:c r="I173" s="13" t="n">
        <x:v>0.03338675213675219</x:v>
      </x:c>
      <x:c r="J173" s="13" t="n">
        <x:v>0.15914523331013658</x:v>
      </x:c>
      <x:c r="K173" s="13" t="n">
        <x:v>0.15825458930002956</x:v>
      </x:c>
      <x:c r="L173" s="13" t="n">
        <x:v>0.032347159670556624</x:v>
      </x:c>
      <x:c r="M173" s="13" t="n">
        <x:v>0.11662330671929672</x:v>
      </x:c>
      <x:c r="N173" s="13" t="n">
        <x:v>0.22200902308100956</x:v>
      </x:c>
      <x:c r="O173" s="13" t="n">
        <x:v>0.10705455369904307</x:v>
      </x:c>
      <x:c r="P173" s="13" t="n">
        <x:v>0.16473968783826612</x:v>
      </x:c>
      <x:c r="Q173" s="13" t="n">
        <x:v>0.1600232742595279</x:v>
      </x:c>
      <x:c r="R173" s="13" t="n">
        <x:v>0.13910780743600004</x:v>
      </x:c>
      <x:c r="S173" s="13" t="n">
        <x:v>0.7423456767786575</x:v>
      </x:c>
      <x:c r="T173" s="13" t="n">
        <x:v>0.9722222222222222</x:v>
      </x:c>
      <x:c r="U173" s="13" t="n">
        <x:v>0.11039122154077347</x:v>
      </x:c>
      <x:c r="V173" s="13" t="n">
        <x:v>0.10864834397781281</x:v>
      </x:c>
      <x:c r="W173" s="13" t="n">
        <x:v>0.12596324836988748</x:v>
      </x:c>
      <x:c r="X173" s="13" t="n">
        <x:v>0</x:v>
      </x:c>
      <x:c r="Y173" s="13" t="n">
        <x:v>0.12215398744901958</x:v>
      </x:c>
      <x:c r="Z173" s="13" t="n">
        <x:v>0.08069217065029662</x:v>
      </x:c>
      <x:c r="AA173" s="13" t="n">
        <x:v>0.03565750962009896</x:v>
      </x:c>
      <x:c r="AB173" s="13" t="n">
        <x:v>0.09848025069598274</x:v>
      </x:c>
      <x:c r="AC173" s="13" t="n">
        <x:v>0</x:v>
      </x:c>
      <x:c r="AD173" s="13" t="n">
        <x:v>0.11696980472318293</x:v>
      </x:c>
      <x:c r="AE173" s="13" t="n">
        <x:v>0.1916155127878836</x:v>
      </x:c>
      <x:c r="AF173" s="13" t="n">
        <x:v>0.12031341121556684</x:v>
      </x:c>
      <x:c r="AG173" s="13" t="n">
        <x:v>0.2054542343992617</x:v>
      </x:c>
      <x:c r="AH173" s="13" t="n">
        <x:v>0.7568295369637512</x:v>
      </x:c>
      <x:c r="AI173" s="13" t="n">
        <x:v>0.9705882352941176</x:v>
      </x:c>
      <x:c r="AJ173" s="13" t="n">
        <x:v>0.21919523127426957</x:v>
      </x:c>
      <x:c r="AK173" s="13" t="n">
        <x:v>0.026742636523548483</x:v>
      </x:c>
      <x:c r="AL173" s="13" t="n">
        <x:v>0.17276264315682066</x:v>
      </x:c>
      <x:c r="AM173" s="13" t="n">
        <x:v>0.029668172896982998</x:v>
      </x:c>
      <x:c r="AN173" s="13" t="n">
        <x:v>0.11040966492442278</x:v>
      </x:c>
      <x:c r="AO173" s="13" t="n">
        <x:v>0.18786556490804837</x:v>
      </x:c>
      <x:c r="AP173" s="13" t="n">
        <x:v>0.737420262729564</x:v>
      </x:c>
    </x:row>
    <x:row r="174" ht="15" hidden="0" customHeight="1">
      <x:c r="A174" s="2" t="str">
        <x:v>E173</x:v>
      </x:c>
      <x:c r="B174" s="2" t="str">
        <x:v>***贸易有限责任公司</x:v>
      </x:c>
      <x:c r="C174" s="2" t="str">
        <x:v>无信贷记录</x:v>
      </x:c>
      <x:c r="D174" s="2" t="str"/>
      <x:c r="E174" s="2" t="str"/>
      <x:c r="F174" s="13" t="n">
        <x:v>0.10076455479708053</x:v>
      </x:c>
      <x:c r="G174" s="13" t="n">
        <x:v>0.10010590472237402</x:v>
      </x:c>
      <x:c r="H174" s="13" t="n">
        <x:v>0.06545454545454546</x:v>
      </x:c>
      <x:c r="I174" s="13" t="n">
        <x:v>0.04006410256410263</x:v>
      </x:c>
      <x:c r="J174" s="13" t="n">
        <x:v>0.41934140541852366</x:v>
      </x:c>
      <x:c r="K174" s="13" t="n">
        <x:v>0.41668916113284304</x:v>
      </x:c>
      <x:c r="L174" s="13" t="n">
        <x:v>0.1262783348677499</x:v>
      </x:c>
      <x:c r="M174" s="13" t="n">
        <x:v>0.20925553319919526</x:v>
      </x:c>
      <x:c r="N174" s="13" t="n">
        <x:v>0.09407505635578851</x:v>
      </x:c>
      <x:c r="O174" s="13" t="n">
        <x:v>0.23910977274699788</x:v>
      </x:c>
      <x:c r="P174" s="13" t="n">
        <x:v>0.45420229036749515</x:v>
      </x:c>
      <x:c r="Q174" s="13" t="n">
        <x:v>0.42165984259913886</x:v>
      </x:c>
      <x:c r="R174" s="13" t="n">
        <x:v>0.043174420014378996</x:v>
      </x:c>
      <x:c r="S174" s="13" t="n">
        <x:v>0.5775884882152894</x:v>
      </x:c>
      <x:c r="T174" s="13" t="n">
        <x:v>0.9722222222222222</x:v>
      </x:c>
      <x:c r="U174" s="13" t="n">
        <x:v>0.2176757351784874</x:v>
      </x:c>
      <x:c r="V174" s="13" t="n">
        <x:v>0.2205366907924945</x:v>
      </x:c>
      <x:c r="W174" s="13" t="n">
        <x:v>0.16177632878877707</x:v>
      </x:c>
      <x:c r="X174" s="13" t="n">
        <x:v>0.08785851944224024</x:v>
      </x:c>
      <x:c r="Y174" s="13" t="n">
        <x:v>0.18486437743402734</x:v>
      </x:c>
      <x:c r="Z174" s="13" t="n">
        <x:v>0.12506949547030774</x:v>
      </x:c>
      <x:c r="AA174" s="13" t="n">
        <x:v>0.12925847237285876</x:v>
      </x:c>
      <x:c r="AB174" s="13" t="n">
        <x:v>0.06437762952393226</x:v>
      </x:c>
      <x:c r="AC174" s="13" t="n">
        <x:v>0.07336820530642224</x:v>
      </x:c>
      <x:c r="AD174" s="13" t="n">
        <x:v>0.03253445555015957</x:v>
      </x:c>
      <x:c r="AE174" s="13" t="n">
        <x:v>0.06627286420871498</x:v>
      </x:c>
      <x:c r="AF174" s="13" t="n">
        <x:v>0.18210294120971734</x:v>
      </x:c>
      <x:c r="AG174" s="13" t="n">
        <x:v>0.018521303020018344</x:v>
      </x:c>
      <x:c r="AH174" s="13" t="n">
        <x:v>0.5300497189581177</x:v>
      </x:c>
      <x:c r="AI174" s="13" t="n">
        <x:v>0.9705882352941176</x:v>
      </x:c>
      <x:c r="AJ174" s="13" t="n">
        <x:v>0.1459701884685926</x:v>
      </x:c>
      <x:c r="AK174" s="13" t="n">
        <x:v>0.0454533097577254</x:v>
      </x:c>
      <x:c r="AL174" s="13" t="n">
        <x:v>0.11865559090522705</x:v>
      </x:c>
      <x:c r="AM174" s="13" t="n">
        <x:v>0.09743627141167135</x:v>
      </x:c>
      <x:c r="AN174" s="13" t="n">
        <x:v>0.13956030264680508</x:v>
      </x:c>
      <x:c r="AO174" s="13" t="n">
        <x:v>0.02317324301529584</x:v>
      </x:c>
      <x:c r="AP174" s="13" t="n">
        <x:v>0.518517282022149</x:v>
      </x:c>
    </x:row>
    <x:row r="175" ht="15" hidden="0" customHeight="1">
      <x:c r="A175" s="2" t="str">
        <x:v>E174</x:v>
      </x:c>
      <x:c r="B175" s="2" t="str">
        <x:v>***工程技术有限公司</x:v>
      </x:c>
      <x:c r="C175" s="2" t="str">
        <x:v>无信贷记录</x:v>
      </x:c>
      <x:c r="D175" s="2" t="str"/>
      <x:c r="E175" s="2" t="str"/>
      <x:c r="F175" s="13" t="n">
        <x:v>0.17917851472448224</x:v>
      </x:c>
      <x:c r="G175" s="13" t="n">
        <x:v>0.17678763814157056</x:v>
      </x:c>
      <x:c r="H175" s="13" t="n">
        <x:v>0.14545454545454545</x:v>
      </x:c>
      <x:c r="I175" s="13" t="n">
        <x:v>0.04006410256410263</x:v>
      </x:c>
      <x:c r="J175" s="13" t="n">
        <x:v>0.2972926151522575</x:v>
      </x:c>
      <x:c r="K175" s="13" t="n">
        <x:v>0.29945259895403614</x:v>
      </x:c>
      <x:c r="L175" s="13" t="n">
        <x:v>0.26997437109656874</x:v>
      </x:c>
      <x:c r="M175" s="13" t="n">
        <x:v>0.26167844918615496</x:v>
      </x:c>
      <x:c r="N175" s="13" t="n">
        <x:v>0.053305141893706824</x:v>
      </x:c>
      <x:c r="O175" s="13" t="n">
        <x:v>0.2348216754104547</x:v>
      </x:c>
      <x:c r="P175" s="13" t="n">
        <x:v>0.37608565442215897</x:v>
      </x:c>
      <x:c r="Q175" s="13" t="n">
        <x:v>0.3253124986240299</x:v>
      </x:c>
      <x:c r="R175" s="13" t="n">
        <x:v>0.08866579770074857</x:v>
      </x:c>
      <x:c r="S175" s="13" t="n">
        <x:v>0.6175853828956197</x:v>
      </x:c>
      <x:c r="T175" s="13" t="n">
        <x:v>0.8888888888888888</x:v>
      </x:c>
      <x:c r="U175" s="13" t="n">
        <x:v>0.10829445580192563</x:v>
      </x:c>
      <x:c r="V175" s="13" t="n">
        <x:v>0.10650202873449532</x:v>
      </x:c>
      <x:c r="W175" s="13" t="n">
        <x:v>0.12472831456233957</x:v>
      </x:c>
      <x:c r="X175" s="13" t="n">
        <x:v>0.014170728942296814</x:v>
      </x:c>
      <x:c r="Y175" s="13" t="n">
        <x:v>0.15722145538386376</x:v>
      </x:c>
      <x:c r="Z175" s="13" t="n">
        <x:v>0.1046253342471123</x:v>
      </x:c>
      <x:c r="AA175" s="13" t="n">
        <x:v>0.030828888525710564</x:v>
      </x:c>
      <x:c r="AB175" s="13" t="n">
        <x:v>0.09938854042241312</x:v>
      </x:c>
      <x:c r="AC175" s="13" t="n">
        <x:v>0.024429954840988637</x:v>
      </x:c>
      <x:c r="AD175" s="13" t="n">
        <x:v>0.04545405298925341</x:v>
      </x:c>
      <x:c r="AE175" s="13" t="n">
        <x:v>0.09910595003516498</x:v>
      </x:c>
      <x:c r="AF175" s="13" t="n">
        <x:v>0.1736546959604875</x:v>
      </x:c>
      <x:c r="AG175" s="13" t="n">
        <x:v>0.1321998613072144</x:v>
      </x:c>
      <x:c r="AH175" s="13" t="n">
        <x:v>0.5789189172500363</x:v>
      </x:c>
      <x:c r="AI175" s="13" t="n">
        <x:v>0.8529411764705882</x:v>
      </x:c>
      <x:c r="AJ175" s="13" t="n">
        <x:v>0.18286442270650483</x:v>
      </x:c>
      <x:c r="AK175" s="13" t="n">
        <x:v>0.039041612832415126</x:v>
      </x:c>
      <x:c r="AL175" s="13" t="n">
        <x:v>0.1363311812563784</x:v>
      </x:c>
      <x:c r="AM175" s="13" t="n">
        <x:v>0.030780622414320117</x:v>
      </x:c>
      <x:c r="AN175" s="13" t="n">
        <x:v>0.14463836692501686</x:v>
      </x:c>
      <x:c r="AO175" s="13" t="n">
        <x:v>0.11395418824076549</x:v>
      </x:c>
      <x:c r="AP175" s="13" t="n">
        <x:v>0.5686697587476823</x:v>
      </x:c>
    </x:row>
    <x:row r="176" ht="15" hidden="0" customHeight="1">
      <x:c r="A176" s="2" t="str">
        <x:v>E175</x:v>
      </x:c>
      <x:c r="B176" s="2" t="str">
        <x:v>***食品集团有限公司</x:v>
      </x:c>
      <x:c r="C176" s="2" t="str">
        <x:v>无信贷记录</x:v>
      </x:c>
      <x:c r="D176" s="2" t="str"/>
      <x:c r="E176" s="2" t="str"/>
      <x:c r="F176" s="13" t="n">
        <x:v>0.3057322174481153</x:v>
      </x:c>
      <x:c r="G176" s="13" t="n">
        <x:v>0.2997073123090588</x:v>
      </x:c>
      <x:c r="H176" s="13" t="n">
        <x:v>0.29454545454545455</x:v>
      </x:c>
      <x:c r="I176" s="13" t="n">
        <x:v>0.4473824786324793</x:v>
      </x:c>
      <x:c r="J176" s="13" t="n">
        <x:v>0.304972304252322</x:v>
      </x:c>
      <x:c r="K176" s="13" t="n">
        <x:v>0.3261163186666458</x:v>
      </x:c>
      <x:c r="L176" s="13" t="n">
        <x:v>0.3763467615516684</x:v>
      </x:c>
      <x:c r="M176" s="13" t="n">
        <x:v>0.3106616237011513</x:v>
      </x:c>
      <x:c r="N176" s="13" t="n">
        <x:v>0.3512374814016501</x:v>
      </x:c>
      <x:c r="O176" s="13" t="n">
        <x:v>0.43885482013698</x:v>
      </x:c>
      <x:c r="P176" s="13" t="n">
        <x:v>0.6220025631719163</x:v>
      </x:c>
      <x:c r="Q176" s="13" t="n">
        <x:v>0.29858755019046984</x:v>
      </x:c>
      <x:c r="R176" s="13" t="n">
        <x:v>0.21771563580536443</x:v>
      </x:c>
      <x:c r="S176" s="13" t="n">
        <x:v>0.5918029557334592</x:v>
      </x:c>
      <x:c r="T176" s="13" t="n">
        <x:v>1</x:v>
      </x:c>
      <x:c r="U176" s="13" t="n">
        <x:v>0.35606227394244416</x:v>
      </x:c>
      <x:c r="V176" s="13" t="n">
        <x:v>0.3512752845267472</x:v>
      </x:c>
      <x:c r="W176" s="13" t="n">
        <x:v>0.3877692155700458</x:v>
      </x:c>
      <x:c r="X176" s="13" t="n">
        <x:v>0.18705362203831793</x:v>
      </x:c>
      <x:c r="Y176" s="13" t="n">
        <x:v>0.1271812472871819</x:v>
      </x:c>
      <x:c r="Z176" s="13" t="n">
        <x:v>0.08736822926510068</x:v>
      </x:c>
      <x:c r="AA176" s="13" t="n">
        <x:v>0.6778641151737563</x:v>
      </x:c>
      <x:c r="AB176" s="13" t="n">
        <x:v>0.09447457884824827</x:v>
      </x:c>
      <x:c r="AC176" s="13" t="n">
        <x:v>0.09817071431408257</x:v>
      </x:c>
      <x:c r="AD176" s="13" t="n">
        <x:v>0.03006881200788376</x:v>
      </x:c>
      <x:c r="AE176" s="13" t="n">
        <x:v>0.0912636430264331</x:v>
      </x:c>
      <x:c r="AF176" s="13" t="n">
        <x:v>0.12875040951404554</x:v>
      </x:c>
      <x:c r="AG176" s="13" t="n">
        <x:v>0.3809445373950074</x:v>
      </x:c>
      <x:c r="AH176" s="13" t="n">
        <x:v>0.6451580316780582</x:v>
      </x:c>
      <x:c r="AI176" s="13" t="n">
        <x:v>0.7647058823529411</x:v>
      </x:c>
      <x:c r="AJ176" s="13" t="n">
        <x:v>0.13487251084310176</x:v>
      </x:c>
      <x:c r="AK176" s="13" t="n">
        <x:v>0.050914371915829044</x:v>
      </x:c>
      <x:c r="AL176" s="13" t="n">
        <x:v>0.16063762350189398</x:v>
      </x:c>
      <x:c r="AM176" s="13" t="n">
        <x:v>0.16754947506332782</x:v>
      </x:c>
      <x:c r="AN176" s="13" t="n">
        <x:v>0.2577936566939099</x:v>
      </x:c>
      <x:c r="AO176" s="13" t="n">
        <x:v>0.33412164979693976</x:v>
      </x:c>
      <x:c r="AP176" s="13" t="n">
        <x:v>0.5835796262204239</x:v>
      </x:c>
    </x:row>
    <x:row r="177" ht="15" hidden="0" customHeight="1">
      <x:c r="A177" s="2" t="str">
        <x:v>E176</x:v>
      </x:c>
      <x:c r="B177" s="2" t="str">
        <x:v>***科技有限公司</x:v>
      </x:c>
      <x:c r="C177" s="2" t="str">
        <x:v>无信贷记录</x:v>
      </x:c>
      <x:c r="D177" s="2" t="str"/>
      <x:c r="E177" s="2" t="str"/>
      <x:c r="F177" s="13" t="n">
        <x:v>0.24122197205502885</x:v>
      </x:c>
      <x:c r="G177" s="13" t="n">
        <x:v>0.2411850341672441</x:v>
      </x:c>
      <x:c r="H177" s="13" t="n">
        <x:v>0.12</x:v>
      </x:c>
      <x:c r="I177" s="13" t="n">
        <x:v>0.11351495726495744</x:v>
      </x:c>
      <x:c r="J177" s="13" t="n">
        <x:v>0.01636417896796677</x:v>
      </x:c>
      <x:c r="K177" s="13" t="n">
        <x:v>0.01669372802530857</x:v>
      </x:c>
      <x:c r="L177" s="13" t="n">
        <x:v>0.5399487421931375</x:v>
      </x:c>
      <x:c r="M177" s="13" t="n">
        <x:v>0.16039251925302206</x:v>
      </x:c>
      <x:c r="N177" s="13" t="n">
        <x:v>0.11073077294106881</x:v>
      </x:c>
      <x:c r="O177" s="13" t="n">
        <x:v>0.03079292690215262</x:v>
      </x:c>
      <x:c r="P177" s="13" t="n">
        <x:v>0.11868177412445935</x:v>
      </x:c>
      <x:c r="Q177" s="13" t="n">
        <x:v>0.01601874039682576</x:v>
      </x:c>
      <x:c r="R177" s="13" t="n">
        <x:v>0.11323946054066955</x:v>
      </x:c>
      <x:c r="S177" s="13" t="n">
        <x:v>0.5600980985065687</x:v>
      </x:c>
      <x:c r="T177" s="13" t="n">
        <x:v>1</x:v>
      </x:c>
      <x:c r="U177" s="13" t="n">
        <x:v>0.18849574531285512</x:v>
      </x:c>
      <x:c r="V177" s="13" t="n">
        <x:v>0.1799433372775766</x:v>
      </x:c>
      <x:c r="W177" s="13" t="n">
        <x:v>0.28650464335111664</x:v>
      </x:c>
      <x:c r="X177" s="13" t="n">
        <x:v>0.1898877678267773</x:v>
      </x:c>
      <x:c r="Y177" s="13" t="n">
        <x:v>0.14376296787707826</x:v>
      </x:c>
      <x:c r="Z177" s="13" t="n">
        <x:v>0.09961448478092551</x:v>
      </x:c>
      <x:c r="AA177" s="13" t="n">
        <x:v>0.06202920944329716</x:v>
      </x:c>
      <x:c r="AB177" s="13" t="n">
        <x:v>0.13158502004012393</x:v>
      </x:c>
      <x:c r="AC177" s="13" t="n">
        <x:v>0.19421750972087667</x:v>
      </x:c>
      <x:c r="AD177" s="13" t="n">
        <x:v>0.10436798914153879</x:v>
      </x:c>
      <x:c r="AE177" s="13" t="n">
        <x:v>0.2312934357772229</x:v>
      </x:c>
      <x:c r="AF177" s="13" t="n">
        <x:v>0.1378749097564021</x:v>
      </x:c>
      <x:c r="AG177" s="13" t="n">
        <x:v>0.03214261562862948</x:v>
      </x:c>
      <x:c r="AH177" s="13" t="n">
        <x:v>0.5689240376731599</x:v>
      </x:c>
      <x:c r="AI177" s="13" t="n">
        <x:v>1</x:v>
      </x:c>
      <x:c r="AJ177" s="13" t="n">
        <x:v>0.3398846360096796</x:v>
      </x:c>
      <x:c r="AK177" s="13" t="n">
        <x:v>0.0022717755479872963</x:v>
      </x:c>
      <x:c r="AL177" s="13" t="n">
        <x:v>0.15219420617137466</x:v>
      </x:c>
      <x:c r="AM177" s="13" t="n">
        <x:v>0.15985197589924066</x:v>
      </x:c>
      <x:c r="AN177" s="13" t="n">
        <x:v>0.05725204217963042</x:v>
      </x:c>
      <x:c r="AO177" s="13" t="n">
        <x:v>0.08118618674212276</x:v>
      </x:c>
      <x:c r="AP177" s="13" t="n">
        <x:v>0.5257024622447742</x:v>
      </x:c>
    </x:row>
    <x:row r="178" ht="15" hidden="0" customHeight="1">
      <x:c r="A178" s="2" t="str">
        <x:v>E177</x:v>
      </x:c>
      <x:c r="B178" s="2" t="str">
        <x:v>***电力工程有限公司</x:v>
      </x:c>
      <x:c r="C178" s="2" t="str">
        <x:v>无信贷记录</x:v>
      </x:c>
      <x:c r="D178" s="2" t="str"/>
      <x:c r="E178" s="2" t="str"/>
      <x:c r="F178" s="13" t="n">
        <x:v>0.23546613324243598</x:v>
      </x:c>
      <x:c r="G178" s="13" t="n">
        <x:v>0.23340241047693758</x:v>
      </x:c>
      <x:c r="H178" s="13" t="n">
        <x:v>0.16545454545454547</x:v>
      </x:c>
      <x:c r="I178" s="13" t="n">
        <x:v>0.03338675213675219</x:v>
      </x:c>
      <x:c r="J178" s="13" t="n">
        <x:v>0.27174585377168475</x:v>
      </x:c>
      <x:c r="K178" s="13" t="n">
        <x:v>0.2945235196289504</x:v>
      </x:c>
      <x:c r="L178" s="13" t="n">
        <x:v>0.4024733135932718</x:v>
      </x:c>
      <x:c r="M178" s="13" t="n">
        <x:v>0.22654965324944598</x:v>
      </x:c>
      <x:c r="N178" s="13" t="n">
        <x:v>0.03365311555360615</x:v>
      </x:c>
      <x:c r="O178" s="13" t="n">
        <x:v>0.10479301109393144</x:v>
      </x:c>
      <x:c r="P178" s="13" t="n">
        <x:v>0.25791754295868796</x:v>
      </x:c>
      <x:c r="Q178" s="13" t="n">
        <x:v>0.27324723021456954</x:v>
      </x:c>
      <x:c r="R178" s="13" t="n">
        <x:v>0.1979260246114461</x:v>
      </x:c>
      <x:c r="S178" s="13" t="n">
        <x:v>0.6469809692946464</x:v>
      </x:c>
      <x:c r="T178" s="13" t="n">
        <x:v>0.9722222222222222</x:v>
      </x:c>
      <x:c r="U178" s="13" t="n">
        <x:v>0.08391955408781962</x:v>
      </x:c>
      <x:c r="V178" s="13" t="n">
        <x:v>0.07729347781456591</x:v>
      </x:c>
      <x:c r="W178" s="13" t="n">
        <x:v>0.1667160640189687</x:v>
      </x:c>
      <x:c r="X178" s="13" t="n">
        <x:v>0.05101462419226853</x:v>
      </x:c>
      <x:c r="Y178" s="13" t="n">
        <x:v>0.15685384974612301</x:v>
      </x:c>
      <x:c r="Z178" s="13" t="n">
        <x:v>0.10698643669151926</x:v>
      </x:c>
      <x:c r="AA178" s="13" t="n">
        <x:v>0.07391504598333015</x:v>
      </x:c>
      <x:c r="AB178" s="13" t="n">
        <x:v>0.17105643302363163</x:v>
      </x:c>
      <x:c r="AC178" s="13" t="n">
        <x:v>0.12091511061896748</x:v>
      </x:c>
      <x:c r="AD178" s="13" t="n">
        <x:v>0.06965028469684592</x:v>
      </x:c>
      <x:c r="AE178" s="13" t="n">
        <x:v>0.09526395109256577</x:v>
      </x:c>
      <x:c r="AF178" s="13" t="n">
        <x:v>0.16814888119047264</x:v>
      </x:c>
      <x:c r="AG178" s="13" t="n">
        <x:v>0.4335786131757651</x:v>
      </x:c>
      <x:c r="AH178" s="13" t="n">
        <x:v>0.47769281374112077</x:v>
      </x:c>
      <x:c r="AI178" s="13" t="n">
        <x:v>0.6176470588235294</x:v>
      </x:c>
      <x:c r="AJ178" s="13" t="n">
        <x:v>0.19837389546839632</x:v>
      </x:c>
      <x:c r="AK178" s="13" t="n">
        <x:v>0.03755149077185142</x:v>
      </x:c>
      <x:c r="AL178" s="13" t="n">
        <x:v>0.1510678198602892</x:v>
      </x:c>
      <x:c r="AM178" s="13" t="n">
        <x:v>0.05727267154984834</x:v>
      </x:c>
      <x:c r="AN178" s="13" t="n">
        <x:v>0.0810442172077192</x:v>
      </x:c>
      <x:c r="AO178" s="13" t="n">
        <x:v>0.34635251354457425</x:v>
      </x:c>
      <x:c r="AP178" s="13" t="n">
        <x:v>0.5392474122343753</x:v>
      </x:c>
    </x:row>
    <x:row r="179" ht="15" hidden="0" customHeight="1">
      <x:c r="A179" s="2" t="str">
        <x:v>E178</x:v>
      </x:c>
      <x:c r="B179" s="2" t="str">
        <x:v>***贸易有限公司</x:v>
      </x:c>
      <x:c r="C179" s="2" t="str">
        <x:v>无信贷记录</x:v>
      </x:c>
      <x:c r="D179" s="2" t="str"/>
      <x:c r="E179" s="2" t="str"/>
      <x:c r="F179" s="13" t="n">
        <x:v>0.025265889852680433</x:v>
      </x:c>
      <x:c r="G179" s="13" t="n">
        <x:v>0.025255376877367224</x:v>
      </x:c>
      <x:c r="H179" s="13" t="n">
        <x:v>0.012727272727272728</x:v>
      </x:c>
      <x:c r="I179" s="13" t="n">
        <x:v>0.03338675213675219</x:v>
      </x:c>
      <x:c r="J179" s="13" t="n">
        <x:v>0.31443664018333695</x:v>
      </x:c>
      <x:c r="K179" s="13" t="n">
        <x:v>0.3125991232033583</x:v>
      </x:c>
      <x:c r="L179" s="13" t="n">
        <x:v>0.01741770136106895</x:v>
      </x:c>
      <x:c r="M179" s="13" t="n">
        <x:v>0.16155758077879043</x:v>
      </x:c>
      <x:c r="N179" s="13" t="n">
        <x:v>0.3093459060348001</x:v>
      </x:c>
      <x:c r="O179" s="13" t="n">
        <x:v>0.22272689903228604</x:v>
      </x:c>
      <x:c r="P179" s="13" t="n">
        <x:v>0.34449862290971717</x:v>
      </x:c>
      <x:c r="Q179" s="13" t="n">
        <x:v>0.3161743446527144</x:v>
      </x:c>
      <x:c r="R179" s="13" t="n">
        <x:v>0.0817061862650837</x:v>
      </x:c>
      <x:c r="S179" s="13" t="n">
        <x:v>0.6776188756901736</x:v>
      </x:c>
      <x:c r="T179" s="13" t="n">
        <x:v>0.9444444444444444</x:v>
      </x:c>
      <x:c r="U179" s="13" t="n">
        <x:v>0.09667487899914391</x:v>
      </x:c>
      <x:c r="V179" s="13" t="n">
        <x:v>0.09446399976110588</x:v>
      </x:c>
      <x:c r="W179" s="13" t="n">
        <x:v>0.1197885793321479</x:v>
      </x:c>
      <x:c r="X179" s="13" t="n">
        <x:v>0.062351207346105976</x:v>
      </x:c>
      <x:c r="Y179" s="13" t="n">
        <x:v>0.1348200991790638</x:v>
      </x:c>
      <x:c r="Z179" s="13" t="n">
        <x:v>0.09235759670717</x:v>
      </x:c>
      <x:c r="AA179" s="13" t="n">
        <x:v>0.06722926292956159</x:v>
      </x:c>
      <x:c r="AB179" s="13" t="n">
        <x:v>0.10682795555020243</x:v>
      </x:c>
      <x:c r="AC179" s="13" t="n">
        <x:v>0.1210996937122687</x:v>
      </x:c>
      <x:c r="AD179" s="13" t="n">
        <x:v>0.01892140328724938</x:v>
      </x:c>
      <x:c r="AE179" s="13" t="n">
        <x:v>0.025405928383761617</x:v>
      </x:c>
      <x:c r="AF179" s="13" t="n">
        <x:v>0.13279352959531115</x:v>
      </x:c>
      <x:c r="AG179" s="13" t="n">
        <x:v>0.11870087997629132</x:v>
      </x:c>
      <x:c r="AH179" s="13" t="n">
        <x:v>0.6777781260003288</x:v>
      </x:c>
      <x:c r="AI179" s="13" t="n">
        <x:v>0.9705882352941176</x:v>
      </x:c>
      <x:c r="AJ179" s="13" t="n">
        <x:v>0.13990877174021218</x:v>
      </x:c>
      <x:c r="AK179" s="13" t="n">
        <x:v>0.046168003941789056</x:v>
      </x:c>
      <x:c r="AL179" s="13" t="n">
        <x:v>0.19800997845560736</x:v>
      </x:c>
      <x:c r="AM179" s="13" t="n">
        <x:v>0.19374282433983944</x:v>
      </x:c>
      <x:c r="AN179" s="13" t="n">
        <x:v>0.12168512673402324</x:v>
      </x:c>
      <x:c r="AO179" s="13" t="n">
        <x:v>0.10203794037994611</x:v>
      </x:c>
      <x:c r="AP179" s="13" t="n">
        <x:v>0.6562748699832529</x:v>
      </x:c>
    </x:row>
    <x:row r="180" ht="15" hidden="0" customHeight="1">
      <x:c r="A180" s="2" t="str">
        <x:v>E179</x:v>
      </x:c>
      <x:c r="B180" s="2" t="str">
        <x:v>***园林有限公司</x:v>
      </x:c>
      <x:c r="C180" s="2" t="str">
        <x:v>无信贷记录</x:v>
      </x:c>
      <x:c r="D180" s="2" t="str"/>
      <x:c r="E180" s="2" t="str"/>
      <x:c r="F180" s="13" t="n">
        <x:v>0.1586966986900608</x:v>
      </x:c>
      <x:c r="G180" s="13" t="n">
        <x:v>0.15244786405129823</x:v>
      </x:c>
      <x:c r="H180" s="13" t="n">
        <x:v>0.22727272727272727</x:v>
      </x:c>
      <x:c r="I180" s="13" t="n">
        <x:v>0.07345085470085481</x:v>
      </x:c>
      <x:c r="J180" s="13" t="n">
        <x:v>0.1292789960422617</x:v>
      </x:c>
      <x:c r="K180" s="13" t="n">
        <x:v>0.13011157053167025</x:v>
      </x:c>
      <x:c r="L180" s="13" t="n">
        <x:v>0.2183433277762572</x:v>
      </x:c>
      <x:c r="M180" s="13" t="n">
        <x:v>0.46159308793940124</x:v>
      </x:c>
      <x:c r="N180" s="13" t="n">
        <x:v>0.11331340538054727</x:v>
      </x:c>
      <x:c r="O180" s="13" t="n">
        <x:v>0.030521145729761466</x:v>
      </x:c>
      <x:c r="P180" s="13" t="n">
        <x:v>0.10254153397912306</x:v>
      </x:c>
      <x:c r="Q180" s="13" t="n">
        <x:v>0.12999170321578343</x:v>
      </x:c>
      <x:c r="R180" s="13" t="n">
        <x:v>0.21405606760915916</x:v>
      </x:c>
      <x:c r="S180" s="13" t="n">
        <x:v>0.7229550247251358</x:v>
      </x:c>
      <x:c r="T180" s="13" t="n">
        <x:v>0.9166666666666666</x:v>
      </x:c>
      <x:c r="U180" s="13" t="n">
        <x:v>0.06950428963324079</x:v>
      </x:c>
      <x:c r="V180" s="13" t="n">
        <x:v>0.06637526548986386</x:v>
      </x:c>
      <x:c r="W180" s="13" t="n">
        <x:v>0.10743924125666873</x:v>
      </x:c>
      <x:c r="X180" s="13" t="n">
        <x:v>0.05101462419226853</x:v>
      </x:c>
      <x:c r="Y180" s="13" t="n">
        <x:v>0.09721305575019756</x:v>
      </x:c>
      <x:c r="Z180" s="13" t="n">
        <x:v>0.06732257542890052</x:v>
      </x:c>
      <x:c r="AA180" s="13" t="n">
        <x:v>0.015600160458793297</x:v>
      </x:c>
      <x:c r="AB180" s="13" t="n">
        <x:v>0.1328313998883301</x:v>
      </x:c>
      <x:c r="AC180" s="13" t="n">
        <x:v>0.14061854786467665</x:v>
      </x:c>
      <x:c r="AD180" s="13" t="n">
        <x:v>0.0619738087660051</x:v>
      </x:c>
      <x:c r="AE180" s="13" t="n">
        <x:v>0.07023415559042544</x:v>
      </x:c>
      <x:c r="AF180" s="13" t="n">
        <x:v>0.09573872036043334</x:v>
      </x:c>
      <x:c r="AG180" s="13" t="n">
        <x:v>0.28450427903511394</x:v>
      </x:c>
      <x:c r="AH180" s="13" t="n">
        <x:v>0.6338437455207799</x:v>
      </x:c>
      <x:c r="AI180" s="13" t="n">
        <x:v>0.7352941176470589</x:v>
      </x:c>
      <x:c r="AJ180" s="13" t="n">
        <x:v>0.20210208456131898</x:v>
      </x:c>
      <x:c r="AK180" s="13" t="n">
        <x:v>0.026348809250142123</x:v>
      </x:c>
      <x:c r="AL180" s="13" t="n">
        <x:v>0.20062949720333134</x:v>
      </x:c>
      <x:c r="AM180" s="13" t="n">
        <x:v>0.10351114186243185</x:v>
      </x:c>
      <x:c r="AN180" s="13" t="n">
        <x:v>0.03199441606386416</x:v>
      </x:c>
      <x:c r="AO180" s="13" t="n">
        <x:v>0.2825903711662691</x:v>
      </x:c>
      <x:c r="AP180" s="13" t="n">
        <x:v>0.6651168358174303</x:v>
      </x:c>
    </x:row>
    <x:row r="181" ht="15" hidden="0" customHeight="1">
      <x:c r="A181" s="2" t="str">
        <x:v>E180</x:v>
      </x:c>
      <x:c r="B181" s="2" t="str">
        <x:v>***电气有限公司</x:v>
      </x:c>
      <x:c r="C181" s="2" t="str">
        <x:v>无信贷记录</x:v>
      </x:c>
      <x:c r="D181" s="2" t="str"/>
      <x:c r="E181" s="2" t="str"/>
      <x:c r="F181" s="13" t="n">
        <x:v>0.27448623532261107</x:v>
      </x:c>
      <x:c r="G181" s="13" t="n">
        <x:v>0.2703317228897646</x:v>
      </x:c>
      <x:c r="H181" s="13" t="n">
        <x:v>0.23454545454545456</x:v>
      </x:c>
      <x:c r="I181" s="13" t="n">
        <x:v>0.20032051282051314</x:v>
      </x:c>
      <x:c r="J181" s="13" t="n">
        <x:v>0.24591965132098542</x:v>
      </x:c>
      <x:c r="K181" s="13" t="n">
        <x:v>0.2465353069131844</x:v>
      </x:c>
      <x:c r="L181" s="13" t="n">
        <x:v>0.37821294384035437</x:v>
      </x:c>
      <x:c r="M181" s="13" t="n">
        <x:v>0.27552358243089464</x:v>
      </x:c>
      <x:c r="N181" s="13" t="n">
        <x:v>0.17435066861989582</x:v>
      </x:c>
      <x:c r="O181" s="13" t="n">
        <x:v>0.7578372942692959</x:v>
      </x:c>
      <x:c r="P181" s="13" t="n">
        <x:v>0.866122277929851</x:v>
      </x:c>
      <x:c r="Q181" s="13" t="n">
        <x:v>0.24077061299397073</x:v>
      </x:c>
      <x:c r="R181" s="13" t="n">
        <x:v>0.06964375605106171</x:v>
      </x:c>
      <x:c r="S181" s="13" t="n">
        <x:v>0.6072490706403909</x:v>
      </x:c>
      <x:c r="T181" s="13" t="n">
        <x:v>1</x:v>
      </x:c>
      <x:c r="U181" s="13" t="n">
        <x:v>0.18351592668309152</x:v>
      </x:c>
      <x:c r="V181" s="13" t="n">
        <x:v>0.18815532603461746</x:v>
      </x:c>
      <x:c r="W181" s="13" t="n">
        <x:v>0.10743924125666873</x:v>
      </x:c>
      <x:c r="X181" s="13" t="n">
        <x:v>0.019839020519215537</x:v>
      </x:c>
      <x:c r="Y181" s="13" t="n">
        <x:v>0.12766320080808966</x:v>
      </x:c>
      <x:c r="Z181" s="13" t="n">
        <x:v>0.08489264529554981</x:v>
      </x:c>
      <x:c r="AA181" s="13" t="n">
        <x:v>0.17717325092486674</x:v>
      </x:c>
      <x:c r="AB181" s="13" t="n">
        <x:v>0.050677382421851054</x:v>
      </x:c>
      <x:c r="AC181" s="13" t="n">
        <x:v>0.019408711527650488</x:v>
      </x:c>
      <x:c r="AD181" s="13" t="n">
        <x:v>0.017765428673073534</x:v>
      </x:c>
      <x:c r="AE181" s="13" t="n">
        <x:v>0.03130591056702945</x:v>
      </x:c>
      <x:c r="AF181" s="13" t="n">
        <x:v>0.12242901361446268</x:v>
      </x:c>
      <x:c r="AG181" s="13" t="n">
        <x:v>0.1291784647160148</x:v>
      </x:c>
      <x:c r="AH181" s="13" t="n">
        <x:v>0.5915383670115008</x:v>
      </x:c>
      <x:c r="AI181" s="13" t="n">
        <x:v>1</x:v>
      </x:c>
      <x:c r="AJ181" s="13" t="n">
        <x:v>0.17263722933423975</x:v>
      </x:c>
      <x:c r="AK181" s="13" t="n">
        <x:v>0.03960814864042042</x:v>
      </x:c>
      <x:c r="AL181" s="13" t="n">
        <x:v>0.10163010926521819</x:v>
      </x:c>
      <x:c r="AM181" s="13" t="n">
        <x:v>0.06446753302453256</x:v>
      </x:c>
      <x:c r="AN181" s="13" t="n">
        <x:v>0.4416540974437745</x:v>
      </x:c>
      <x:c r="AO181" s="13" t="n">
        <x:v>0.09854702100217386</x:v>
      </x:c>
      <x:c r="AP181" s="13" t="n">
        <x:v>0.5679117704919026</x:v>
      </x:c>
    </x:row>
    <x:row r="182" ht="15" hidden="0" customHeight="1">
      <x:c r="A182" s="2" t="str">
        <x:v>E181</x:v>
      </x:c>
      <x:c r="B182" s="2" t="str">
        <x:v>***食品有限公司</x:v>
      </x:c>
      <x:c r="C182" s="2" t="str">
        <x:v>无信贷记录</x:v>
      </x:c>
      <x:c r="D182" s="2" t="str"/>
      <x:c r="E182" s="2" t="str"/>
      <x:c r="F182" s="13" t="n">
        <x:v>0.22769201328776506</x:v>
      </x:c>
      <x:c r="G182" s="13" t="n">
        <x:v>0.22676429027049966</x:v>
      </x:c>
      <x:c r="H182" s="13" t="n">
        <x:v>0.13454545454545455</x:v>
      </x:c>
      <x:c r="I182" s="13" t="n">
        <x:v>0.21367521367521403</x:v>
      </x:c>
      <x:c r="J182" s="13" t="n">
        <x:v>0.3348112744854754</x:v>
      </x:c>
      <x:c r="K182" s="13" t="n">
        <x:v>0.33397244285794736</x:v>
      </x:c>
      <x:c r="L182" s="13" t="n">
        <x:v>0.23202866455995422</x:v>
      </x:c>
      <x:c r="M182" s="13" t="n">
        <x:v>0.1905131576862752</x:v>
      </x:c>
      <x:c r="N182" s="13" t="n">
        <x:v>0.22168056319481033</x:v>
      </x:c>
      <x:c r="O182" s="13" t="n">
        <x:v>0.06156295571095619</x:v>
      </x:c>
      <x:c r="P182" s="13" t="n">
        <x:v>0.15035973933541616</x:v>
      </x:c>
      <x:c r="Q182" s="13" t="n">
        <x:v>0.3366617690325221</x:v>
      </x:c>
      <x:c r="R182" s="13" t="n">
        <x:v>0.009064442548394398</x:v>
      </x:c>
      <x:c r="S182" s="13" t="n">
        <x:v>0.6156925668892715</x:v>
      </x:c>
      <x:c r="T182" s="13" t="n">
        <x:v>0.9722222222222222</x:v>
      </x:c>
      <x:c r="U182" s="13" t="n">
        <x:v>0.13642606279813402</x:v>
      </x:c>
      <x:c r="V182" s="13" t="n">
        <x:v>0.13701703241122667</x:v>
      </x:c>
      <x:c r="W182" s="13" t="n">
        <x:v>0.11855364552459999</x:v>
      </x:c>
      <x:c r="X182" s="13" t="n">
        <x:v>0.028341457884593628</x:v>
      </x:c>
      <x:c r="Y182" s="13" t="n">
        <x:v>0.1309660390772279</x:v>
      </x:c>
      <x:c r="Z182" s="13" t="n">
        <x:v>0.08661621487245737</x:v>
      </x:c>
      <x:c r="AA182" s="13" t="n">
        <x:v>0.06834356010518969</x:v>
      </x:c>
      <x:c r="AB182" s="13" t="n">
        <x:v>0.07510561823401266</x:v>
      </x:c>
      <x:c r="AC182" s="13" t="n">
        <x:v>0.03802791614570163</x:v>
      </x:c>
      <x:c r="AD182" s="13" t="n">
        <x:v>0.5455680968754218</x:v>
      </x:c>
      <x:c r="AE182" s="13" t="n">
        <x:v>0.7214655272848937</x:v>
      </x:c>
      <x:c r="AF182" s="13" t="n">
        <x:v>0.12899606377954154</x:v>
      </x:c>
      <x:c r="AG182" s="13" t="n">
        <x:v>0.04373091274936765</x:v>
      </x:c>
      <x:c r="AH182" s="13" t="n">
        <x:v>0.5942858980627987</x:v>
      </x:c>
      <x:c r="AI182" s="13" t="n">
        <x:v>0.9705882352941176</x:v>
      </x:c>
      <x:c r="AJ182" s="13" t="n">
        <x:v>0.12157930787555189</x:v>
      </x:c>
      <x:c r="AK182" s="13" t="n">
        <x:v>0.052593739551584605</x:v>
      </x:c>
      <x:c r="AL182" s="13" t="n">
        <x:v>0.10010344676652577</x:v>
      </x:c>
      <x:c r="AM182" s="13" t="n">
        <x:v>0.09158522961725432</x:v>
      </x:c>
      <x:c r="AN182" s="13" t="n">
        <x:v>0.3368538453542692</x:v>
      </x:c>
      <x:c r="AO182" s="13" t="n">
        <x:v>0.01106289248470173</x:v>
      </x:c>
      <x:c r="AP182" s="13" t="n">
        <x:v>0.5748410324419897</x:v>
      </x:c>
    </x:row>
    <x:row r="183" ht="15" hidden="0" customHeight="1">
      <x:c r="A183" s="2" t="str">
        <x:v>E182</x:v>
      </x:c>
      <x:c r="B183" s="2" t="str">
        <x:v>***新材料科技有限公司</x:v>
      </x:c>
      <x:c r="C183" s="2" t="str">
        <x:v>无信贷记录</x:v>
      </x:c>
      <x:c r="D183" s="2" t="str"/>
      <x:c r="E183" s="2" t="str"/>
      <x:c r="F183" s="13" t="n">
        <x:v>0.07445214879665595</x:v>
      </x:c>
      <x:c r="G183" s="13" t="n">
        <x:v>0.0740112252901698</x:v>
      </x:c>
      <x:c r="H183" s="13" t="n">
        <x:v>0.04727272727272727</x:v>
      </x:c>
      <x:c r="I183" s="13" t="n">
        <x:v>0</x:v>
      </x:c>
      <x:c r="J183" s="13" t="n">
        <x:v>0.28918322457438184</x:v>
      </x:c>
      <x:c r="K183" s="13" t="n">
        <x:v>0.28704881978972013</x:v>
      </x:c>
      <x:c r="L183" s="13" t="n">
        <x:v>0.09393117519719327</x:v>
      </x:c>
      <x:c r="M183" s="13" t="n">
        <x:v>0.20443301089099733</x:v>
      </x:c>
      <x:c r="N183" s="13" t="n">
        <x:v>0</x:v>
      </x:c>
      <x:c r="O183" s="13" t="n">
        <x:v>0.21804407771355114</x:v>
      </x:c>
      <x:c r="P183" s="13" t="n">
        <x:v>0.33928574891920105</x:v>
      </x:c>
      <x:c r="Q183" s="13" t="n">
        <x:v>0.29078113096612457</x:v>
      </x:c>
      <x:c r="R183" s="13" t="n">
        <x:v>0.0394669375192364</x:v>
      </x:c>
      <x:c r="S183" s="13" t="n">
        <x:v>0.6293433760153446</x:v>
      </x:c>
      <x:c r="T183" s="13" t="n">
        <x:v>0.9722222222222222</x:v>
      </x:c>
      <x:c r="U183" s="13" t="n">
        <x:v>0.09335499991263485</x:v>
      </x:c>
      <x:c r="V183" s="13" t="n">
        <x:v>0.09726354138282435</x:v>
      </x:c>
      <x:c r="W183" s="13" t="n">
        <x:v>0.03581308041888958</x:v>
      </x:c>
      <x:c r="X183" s="13" t="n">
        <x:v>0</x:v>
      </x:c>
      <x:c r="Y183" s="13" t="n">
        <x:v>0.13379950939895388</x:v>
      </x:c>
      <x:c r="Z183" s="13" t="n">
        <x:v>0.08838523331124823</x:v>
      </x:c>
      <x:c r="AA183" s="13" t="n">
        <x:v>0.014857295675041236</x:v>
      </x:c>
      <x:c r="AB183" s="13" t="n">
        <x:v>0.03306409304579645</x:v>
      </x:c>
      <x:c r="AC183" s="13" t="n">
        <x:v>0</x:v>
      </x:c>
      <x:c r="AD183" s="13" t="n">
        <x:v>0.08315387788057692</x:v>
      </x:c>
      <x:c r="AE183" s="13" t="n">
        <x:v>0.10684525671397825</x:v>
      </x:c>
      <x:c r="AF183" s="13" t="n">
        <x:v>0.13178792649118592</x:v>
      </x:c>
      <x:c r="AG183" s="13" t="n">
        <x:v>0.06932130044021237</x:v>
      </x:c>
      <x:c r="AH183" s="13" t="n">
        <x:v>0.6188790249075968</x:v>
      </x:c>
      <x:c r="AI183" s="13" t="n">
        <x:v>0.9705882352941176</x:v>
      </x:c>
      <x:c r="AJ183" s="13" t="n">
        <x:v>0.1542956848944718</x:v>
      </x:c>
      <x:c r="AK183" s="13" t="n">
        <x:v>0.044297801514521125</x:v>
      </x:c>
      <x:c r="AL183" s="13" t="n">
        <x:v>0.07094631795381365</x:v>
      </x:c>
      <x:c r="AM183" s="13" t="n">
        <x:v>0</x:v>
      </x:c>
      <x:c r="AN183" s="13" t="n">
        <x:v>0.15690075256978656</x:v>
      </x:c>
      <x:c r="AO183" s="13" t="n">
        <x:v>0.04620660303295243</x:v>
      </x:c>
      <x:c r="AP183" s="13" t="n">
        <x:v>0.5957829041792926</x:v>
      </x:c>
    </x:row>
    <x:row r="184" ht="15" hidden="0" customHeight="1">
      <x:c r="A184" s="2" t="str">
        <x:v>E183</x:v>
      </x:c>
      <x:c r="B184" s="2" t="str">
        <x:v>***建设工程有限公司</x:v>
      </x:c>
      <x:c r="C184" s="2" t="str">
        <x:v>无信贷记录</x:v>
      </x:c>
      <x:c r="D184" s="2" t="str"/>
      <x:c r="E184" s="2" t="str"/>
      <x:c r="F184" s="13" t="n">
        <x:v>0.10906193282562351</x:v>
      </x:c>
      <x:c r="G184" s="13" t="n">
        <x:v>0.10727812655461727</x:v>
      </x:c>
      <x:c r="H184" s="13" t="n">
        <x:v>0.09636363636363636</x:v>
      </x:c>
      <x:c r="I184" s="13" t="n">
        <x:v>0.08680555555555569</x:v>
      </x:c>
      <x:c r="J184" s="13" t="n">
        <x:v>0.09395188190417428</x:v>
      </x:c>
      <x:c r="K184" s="13" t="n">
        <x:v>0.10329160440672491</x:v>
      </x:c>
      <x:c r="L184" s="13" t="n">
        <x:v>0.25815521660155766</x:v>
      </x:c>
      <x:c r="M184" s="13" t="n">
        <x:v>0.2846648680584535</x:v>
      </x:c>
      <x:c r="N184" s="13" t="n">
        <x:v>0.19022136750350138</x:v>
      </x:c>
      <x:c r="O184" s="13" t="n">
        <x:v>0.023197411925498637</x:v>
      </x:c>
      <x:c r="P184" s="13" t="n">
        <x:v>0.06476527208225959</x:v>
      </x:c>
      <x:c r="Q184" s="13" t="n">
        <x:v>0.10280495803795026</x:v>
      </x:c>
      <x:c r="R184" s="13" t="n">
        <x:v>0.24857671389279093</x:v>
      </x:c>
      <x:c r="S184" s="13" t="n">
        <x:v>0.8370265843840498</x:v>
      </x:c>
      <x:c r="T184" s="13" t="n">
        <x:v>0.8888888888888888</x:v>
      </x:c>
      <x:c r="U184" s="13" t="n">
        <x:v>0.08898673795670188</x:v>
      </x:c>
      <x:c r="V184" s="13" t="n">
        <x:v>0.0858787387878359</x:v>
      </x:c>
      <x:c r="W184" s="13" t="n">
        <x:v>0.12472831456233957</x:v>
      </x:c>
      <x:c r="X184" s="13" t="n">
        <x:v>0.005668291576918725</x:v>
      </x:c>
      <x:c r="Y184" s="13" t="n">
        <x:v>0.10414241106096916</x:v>
      </x:c>
      <x:c r="Z184" s="13" t="n">
        <x:v>0.06918869078264651</x:v>
      </x:c>
      <x:c r="AA184" s="13" t="n">
        <x:v>0.014857295675041236</x:v>
      </x:c>
      <x:c r="AB184" s="13" t="n">
        <x:v>0.12075514298404084</x:v>
      </x:c>
      <x:c r="AC184" s="13" t="n">
        <x:v>0.012101656162871609</x:v>
      </x:c>
      <x:c r="AD184" s="13" t="n">
        <x:v>0.7439358069974089</x:v>
      </x:c>
      <x:c r="AE184" s="13" t="n">
        <x:v>0.8558005724195532</x:v>
      </x:c>
      <x:c r="AF184" s="13" t="n">
        <x:v>0.10256632273888146</x:v>
      </x:c>
      <x:c r="AG184" s="13" t="n">
        <x:v>0.23217418170123807</x:v>
      </x:c>
      <x:c r="AH184" s="13" t="n">
        <x:v>0.6781567174215075</x:v>
      </x:c>
      <x:c r="AI184" s="13" t="n">
        <x:v>0.9411764705882353</x:v>
      </x:c>
      <x:c r="AJ184" s="13" t="n">
        <x:v>0.23423792724204406</x:v>
      </x:c>
      <x:c r="AK184" s="13" t="n">
        <x:v>0.020350491183263278</x:v>
      </x:c>
      <x:c r="AL184" s="13" t="n">
        <x:v>0.17098751914023258</x:v>
      </x:c>
      <x:c r="AM184" s="13" t="n">
        <x:v>0.062322221867109895</x:v>
      </x:c>
      <x:c r="AN184" s="13" t="n">
        <x:v>0.4312857063865935</x:v>
      </x:c>
      <x:c r="AO184" s="13" t="n">
        <x:v>0.28125964683099414</x:v>
      </x:c>
      <x:c r="AP184" s="13" t="n">
        <x:v>0.7622079361724156</x:v>
      </x:c>
    </x:row>
    <x:row r="185" ht="15" hidden="0" customHeight="1">
      <x:c r="A185" s="2" t="str">
        <x:v>E184</x:v>
      </x:c>
      <x:c r="B185" s="2" t="str">
        <x:v>***建筑装饰工程有限公司</x:v>
      </x:c>
      <x:c r="C185" s="2" t="str">
        <x:v>无信贷记录</x:v>
      </x:c>
      <x:c r="D185" s="2" t="str"/>
      <x:c r="E185" s="2" t="str"/>
      <x:c r="F185" s="13" t="n">
        <x:v>0.1511468321956208</x:v>
      </x:c>
      <x:c r="G185" s="13" t="n">
        <x:v>0.1499299563867873</x:v>
      </x:c>
      <x:c r="H185" s="13" t="n">
        <x:v>0.10363636363636364</x:v>
      </x:c>
      <x:c r="I185" s="13" t="n">
        <x:v>0.05341880341880351</x:v>
      </x:c>
      <x:c r="J185" s="13" t="n">
        <x:v>0.14216124767305569</x:v>
      </x:c>
      <x:c r="K185" s="13" t="n">
        <x:v>0.14449994022734688</x:v>
      </x:c>
      <x:c r="L185" s="13" t="n">
        <x:v>0.28614795093184703</x:v>
      </x:c>
      <x:c r="M185" s="13" t="n">
        <x:v>0.22098997144924892</x:v>
      </x:c>
      <x:c r="N185" s="13" t="n">
        <x:v>0.08379232269209023</x:v>
      </x:c>
      <x:c r="O185" s="13" t="n">
        <x:v>0.0282442925786709</x:v>
      </x:c>
      <x:c r="P185" s="13" t="n">
        <x:v>0.06487364534138006</x:v>
      </x:c>
      <x:c r="Q185" s="13" t="n">
        <x:v>0.1652812297969725</x:v>
      </x:c>
      <x:c r="R185" s="13" t="n">
        <x:v>0.19535854689583346</x:v>
      </x:c>
      <x:c r="S185" s="13" t="n">
        <x:v>0.6736838283193854</x:v>
      </x:c>
      <x:c r="T185" s="13" t="n">
        <x:v>0.8333333333333334</x:v>
      </x:c>
      <x:c r="U185" s="13" t="n">
        <x:v>0.05657423424367918</x:v>
      </x:c>
      <x:c r="V185" s="13" t="n">
        <x:v>0.05900313921933855</x:v>
      </x:c>
      <x:c r="W185" s="13" t="n">
        <x:v>0.022228808535862496</x:v>
      </x:c>
      <x:c r="X185" s="13" t="n">
        <x:v>0.05951706155764661</x:v>
      </x:c>
      <x:c r="Y185" s="13" t="n">
        <x:v>0.08578951723482131</x:v>
      </x:c>
      <x:c r="Z185" s="13" t="n">
        <x:v>0.060789258133346784</x:v>
      </x:c>
      <x:c r="AA185" s="13" t="n">
        <x:v>0.013742998499413142</x:v>
      </x:c>
      <x:c r="AB185" s="13" t="n">
        <x:v>0.03367320954498684</x:v>
      </x:c>
      <x:c r="AC185" s="13" t="n">
        <x:v>0.18433719915698094</x:v>
      </x:c>
      <x:c r="AD185" s="13" t="n">
        <x:v>0.17475186045820407</x:v>
      </x:c>
      <x:c r="AE185" s="13" t="n">
        <x:v>0.33783041874839054</x:v>
      </x:c>
      <x:c r="AF185" s="13" t="n">
        <x:v>0.08931860050003054</x:v>
      </x:c>
      <x:c r="AG185" s="13" t="n">
        <x:v>0.41000009206722265</x:v>
      </x:c>
      <x:c r="AH185" s="13" t="n">
        <x:v>0.7128163539246353</x:v>
      </x:c>
      <x:c r="AI185" s="13" t="n">
        <x:v>0.7647058823529411</x:v>
      </x:c>
      <x:c r="AJ185" s="13" t="n">
        <x:v>0.17759810256597772</x:v>
      </x:c>
      <x:c r="AK185" s="13" t="n">
        <x:v>0.03240760406954594</x:v>
      </x:c>
      <x:c r="AL185" s="13" t="n">
        <x:v>0.07513521867247822</x:v>
      </x:c>
      <x:c r="AM185" s="13" t="n">
        <x:v>0.10795981718422477</x:v>
      </x:c>
      <x:c r="AN185" s="13" t="n">
        <x:v>0.09738778443795791</x:v>
      </x:c>
      <x:c r="AO185" s="13" t="n">
        <x:v>0.3325334584646623</x:v>
      </x:c>
      <x:c r="AP185" s="13" t="n">
        <x:v>0.6705985744689122</x:v>
      </x:c>
    </x:row>
    <x:row r="186" ht="15" hidden="0" customHeight="1">
      <x:c r="A186" s="2" t="str">
        <x:v>E185</x:v>
      </x:c>
      <x:c r="B186" s="2" t="str">
        <x:v>***生态魔芋有限公司</x:v>
      </x:c>
      <x:c r="C186" s="2" t="str">
        <x:v>无信贷记录</x:v>
      </x:c>
      <x:c r="D186" s="2" t="str"/>
      <x:c r="E186" s="2" t="str"/>
      <x:c r="F186" s="13" t="n">
        <x:v>0.004933576125079611</x:v>
      </x:c>
      <x:c r="G186" s="13" t="n">
        <x:v>0.0049595150967639565</x:v>
      </x:c>
      <x:c r="H186" s="13" t="n">
        <x:v>0.0018181818181818182</x:v>
      </x:c>
      <x:c r="I186" s="13" t="n">
        <x:v>0.013354700854700877</x:v>
      </x:c>
      <x:c r="J186" s="13" t="n">
        <x:v>0.002697037786507811</x:v>
      </x:c>
      <x:c r="K186" s="13" t="n">
        <x:v>0.0043433495610816775</x:v>
      </x:c>
      <x:c r="L186" s="13" t="n">
        <x:v>0.011819154495011074</x:v>
      </x:c>
      <x:c r="M186" s="13" t="n">
        <x:v>0.11539827198485031</x:v>
      </x:c>
      <x:c r="N186" s="13" t="n">
        <x:v>0.6149981296094832</x:v>
      </x:c>
      <x:c r="O186" s="13" t="n">
        <x:v>0.23067656020409305</x:v>
      </x:c>
      <x:c r="P186" s="13" t="n">
        <x:v>0.3401967798530318</x:v>
      </x:c>
      <x:c r="Q186" s="13" t="n">
        <x:v>0.003037968431624036</x:v>
      </x:c>
      <x:c r="R186" s="13" t="n">
        <x:v>0.3990731596193363</x:v>
      </x:c>
      <x:c r="S186" s="13" t="n">
        <x:v>0.7156343613398208</x:v>
      </x:c>
      <x:c r="T186" s="13" t="n">
        <x:v>0.5555555555555556</x:v>
      </x:c>
      <x:c r="U186" s="13" t="n">
        <x:v>0.4778494172738556</x:v>
      </x:c>
      <x:c r="V186" s="13" t="n">
        <x:v>0.5072097528564662</x:v>
      </x:c>
      <x:c r="W186" s="13" t="n">
        <x:v>0.04569255087927291</x:v>
      </x:c>
      <x:c r="X186" s="13" t="n">
        <x:v>0.0226731663076749</x:v>
      </x:c>
      <x:c r="Y186" s="13" t="n">
        <x:v>0.1512621083595052</x:v>
      </x:c>
      <x:c r="Z186" s="13" t="n">
        <x:v>0.10129631796754142</x:v>
      </x:c>
      <x:c r="AA186" s="13" t="n">
        <x:v>0.11588690626532164</x:v>
      </x:c>
      <x:c r="AB186" s="13" t="n">
        <x:v>0.008299994431557716</x:v>
      </x:c>
      <x:c r="AC186" s="13" t="n">
        <x:v>0.008245670902596092</x:v>
      </x:c>
      <x:c r="AD186" s="13" t="n">
        <x:v>0.10212021175329648</x:v>
      </x:c>
      <x:c r="AE186" s="13" t="n">
        <x:v>0.2652530703503377</x:v>
      </x:c>
      <x:c r="AF186" s="13" t="n">
        <x:v>0.1489940989054664</x:v>
      </x:c>
      <x:c r="AG186" s="13" t="n">
        <x:v>0.2321351920882022</x:v>
      </x:c>
      <x:c r="AH186" s="13" t="n">
        <x:v>0.6372475300704966</x:v>
      </x:c>
      <x:c r="AI186" s="13" t="n">
        <x:v>0.7352941176470589</x:v>
      </x:c>
      <x:c r="AJ186" s="13" t="n">
        <x:v>0.3592416078864448</x:v>
      </x:c>
      <x:c r="AK186" s="13" t="n">
        <x:v>0.0005701064932285861</x:v>
      </x:c>
      <x:c r="AL186" s="13" t="n">
        <x:v>0.015402606509091478</x:v>
      </x:c>
      <x:c r="AM186" s="13" t="n">
        <x:v>0.017610260550578037</x:v>
      </x:c>
      <x:c r="AN186" s="13" t="n">
        <x:v>0.17569740427815164</x:v>
      </x:c>
      <x:c r="AO186" s="13" t="n">
        <x:v>0.39102539459430763</x:v>
      </x:c>
      <x:c r="AP186" s="13" t="n">
        <x:v>0.6619054228525697</x:v>
      </x:c>
    </x:row>
    <x:row r="187" ht="15" hidden="0" customHeight="1">
      <x:c r="A187" s="2" t="str">
        <x:v>E186</x:v>
      </x:c>
      <x:c r="B187" s="2" t="str">
        <x:v>***建筑劳务有限公司</x:v>
      </x:c>
      <x:c r="C187" s="2" t="str">
        <x:v>无信贷记录</x:v>
      </x:c>
      <x:c r="D187" s="2" t="str"/>
      <x:c r="E187" s="2" t="str"/>
      <x:c r="F187" s="13" t="n">
        <x:v>0.07377938841596327</x:v>
      </x:c>
      <x:c r="G187" s="13" t="n">
        <x:v>0.07164591809017469</x:v>
      </x:c>
      <x:c r="H187" s="13" t="n">
        <x:v>0.08727272727272728</x:v>
      </x:c>
      <x:c r="I187" s="13" t="n">
        <x:v>0.07345085470085481</x:v>
      </x:c>
      <x:c r="J187" s="13" t="n">
        <x:v>0.010749901299475964</x:v>
      </x:c>
      <x:c r="K187" s="13" t="n">
        <x:v>0.011523866833182966</x:v>
      </x:c>
      <x:c r="L187" s="13" t="n">
        <x:v>0.13685336783697033</x:v>
      </x:c>
      <x:c r="M187" s="13" t="n">
        <x:v>0.38084930208144735</x:v>
      </x:c>
      <x:c r="N187" s="13" t="n">
        <x:v>0.2408361432105149</x:v>
      </x:c>
      <x:c r="O187" s="13" t="n">
        <x:v>0.0495195496698803</x:v>
      </x:c>
      <x:c r="P187" s="13" t="n">
        <x:v>0.08788344893523947</x:v>
      </x:c>
      <x:c r="Q187" s="13" t="n">
        <x:v>0.012116919253369496</x:v>
      </x:c>
      <x:c r="R187" s="13" t="n">
        <x:v>0.26200434557782964</x:v>
      </x:c>
      <x:c r="S187" s="13" t="n">
        <x:v>0.689204464829204</x:v>
      </x:c>
      <x:c r="T187" s="13" t="n">
        <x:v>0.8611111111111112</x:v>
      </x:c>
      <x:c r="U187" s="13" t="n">
        <x:v>0.09510230469500805</x:v>
      </x:c>
      <x:c r="V187" s="13" t="n">
        <x:v>0.09950317468019913</x:v>
      </x:c>
      <x:c r="W187" s="13" t="n">
        <x:v>0.03087334518869791</x:v>
      </x:c>
      <x:c r="X187" s="13" t="n">
        <x:v>0</x:v>
      </x:c>
      <x:c r="Y187" s="13" t="n">
        <x:v>0.1284768477046238</x:v>
      </x:c>
      <x:c r="Z187" s="13" t="n">
        <x:v>0.08486906889083261</x:v>
      </x:c>
      <x:c r="AA187" s="13" t="n">
        <x:v>0.0011142971756280926</x:v>
      </x:c>
      <x:c r="AB187" s="13" t="n">
        <x:v>0.02798433853351593</x:v>
      </x:c>
      <x:c r="AC187" s="13" t="n">
        <x:v>0</x:v>
      </x:c>
      <x:c r="AD187" s="13" t="n">
        <x:v>0.7726428710571196</x:v>
      </x:c>
      <x:c r="AE187" s="13" t="n">
        <x:v>0.8674019505083351</x:v>
      </x:c>
      <x:c r="AF187" s="13" t="n">
        <x:v>0.13006244533649178</x:v>
      </x:c>
      <x:c r="AG187" s="13" t="n">
        <x:v>0.3024081898989553</x:v>
      </x:c>
      <x:c r="AH187" s="13" t="n">
        <x:v>0.6724764868582793</x:v>
      </x:c>
      <x:c r="AI187" s="13" t="n">
        <x:v>0.7941176470588235</x:v>
      </x:c>
      <x:c r="AJ187" s="13" t="n">
        <x:v>0.32144150208078287</x:v>
      </x:c>
      <x:c r="AK187" s="13" t="n">
        <x:v>0.0018376892306918974</x:v>
      </x:c>
      <x:c r="AL187" s="13" t="n">
        <x:v>0.09493987939204104</x:v>
      </x:c>
      <x:c r="AM187" s="13" t="n">
        <x:v>0.05298729787013299</x:v>
      </x:c>
      <x:c r="AN187" s="13" t="n">
        <x:v>0.4640515032518602</x:v>
      </x:c>
      <x:c r="AO187" s="13" t="n">
        <x:v>0.3266391674542024</x:v>
      </x:c>
      <x:c r="AP187" s="13" t="n">
        <x:v>0.6613983636102247</x:v>
      </x:c>
    </x:row>
    <x:row r="188" ht="15" hidden="0" customHeight="1">
      <x:c r="A188" s="2" t="str">
        <x:v>E187</x:v>
      </x:c>
      <x:c r="B188" s="2" t="str">
        <x:v>个体经营E187 </x:v>
      </x:c>
      <x:c r="C188" s="2" t="str">
        <x:v>无信贷记录</x:v>
      </x:c>
      <x:c r="D188" s="2" t="str"/>
      <x:c r="E188" s="2" t="str"/>
      <x:c r="F188" s="13" t="n">
        <x:v>0.28988497292513227</x:v>
      </x:c>
      <x:c r="G188" s="13" t="n">
        <x:v>0.2817004574961927</x:v>
      </x:c>
      <x:c r="H188" s="13" t="n">
        <x:v>0.3381818181818182</x:v>
      </x:c>
      <x:c r="I188" s="13" t="n">
        <x:v>0.2604166666666671</x:v>
      </x:c>
      <x:c r="J188" s="13" t="n">
        <x:v>0.26965303694998066</x:v>
      </x:c>
      <x:c r="K188" s="13" t="n">
        <x:v>0.2705942461035784</x:v>
      </x:c>
      <x:c r="L188" s="13" t="n">
        <x:v>1</x:v>
      </x:c>
      <x:c r="M188" s="13" t="n">
        <x:v>0.37617457321247083</x:v>
      </x:c>
      <x:c r="N188" s="13" t="n">
        <x:v>0.21751355071326198</x:v>
      </x:c>
      <x:c r="O188" s="13" t="n">
        <x:v>0</x:v>
      </x:c>
      <x:c r="P188" s="13" t="n">
        <x:v>0</x:v>
      </x:c>
      <x:c r="Q188" s="13" t="n">
        <x:v>0.40129372950771736</x:v>
      </x:c>
      <x:c r="R188" s="13" t="n">
        <x:v>0.06373871681199413</x:v>
      </x:c>
      <x:c r="S188" s="13" t="n">
        <x:v>0.4770557036111885</x:v>
      </x:c>
      <x:c r="T188" s="13" t="n">
        <x:v>0.6388888888888888</x:v>
      </x:c>
      <x:c r="U188" s="13" t="n">
        <x:v>0.014551554227603937</x:v>
      </x:c>
      <x:c r="V188" s="13" t="n">
        <x:v>0.0008659915416515811</x:v>
      </x:c>
      <x:c r="W188" s="13" t="n">
        <x:v>0.19758940920766663</x:v>
      </x:c>
      <x:c r="X188" s="13" t="n">
        <x:v>0</x:v>
      </x:c>
      <x:c r="Y188" s="13" t="n">
        <x:v>0.005416174706798514</x:v>
      </x:c>
      <x:c r="Z188" s="13" t="n">
        <x:v>0.003574862195658444</x:v>
      </x:c>
      <x:c r="AA188" s="13" t="n">
        <x:v>0.0204287815531817</x:v>
      </x:c>
      <x:c r="AB188" s="13" t="n">
        <x:v>1</x:v>
      </x:c>
      <x:c r="AC188" s="13" t="n">
        <x:v>0</x:v>
      </x:c>
      <x:c r="AD188" s="13" t="n">
        <x:v>0.24525922620971172</x:v>
      </x:c>
      <x:c r="AE188" s="13" t="n">
        <x:v>0.34581277465066546</x:v>
      </x:c>
      <x:c r="AF188" s="13" t="n">
        <x:v>0.008992864969510185</x:v>
      </x:c>
      <x:c r="AG188" s="13" t="n">
        <x:v>0.4880715641388154</x:v>
      </x:c>
      <x:c r="AH188" s="13" t="n">
        <x:v>0.7281512882992573</x:v>
      </x:c>
      <x:c r="AI188" s="13" t="n">
        <x:v>0.17647058823529413</x:v>
      </x:c>
      <x:c r="AJ188" s="13" t="n">
        <x:v>0</x:v>
      </x:c>
      <x:c r="AK188" s="13" t="n">
        <x:v>1</x:v>
      </x:c>
      <x:c r="AL188" s="13" t="n">
        <x:v>0.23725041280559545</x:v>
      </x:c>
      <x:c r="AM188" s="13" t="n">
        <x:v>0.10198334473186636</x:v>
      </x:c>
      <x:c r="AN188" s="13" t="n">
        <x:v>0.11700079736756062</x:v>
      </x:c>
      <x:c r="AO188" s="13" t="n">
        <x:v>0.2760733189130359</x:v>
      </x:c>
      <x:c r="AP188" s="13" t="n">
        <x:v>0.547568157366795</x:v>
      </x:c>
    </x:row>
    <x:row r="189" ht="15" hidden="0" customHeight="1">
      <x:c r="A189" s="2" t="str">
        <x:v>E188</x:v>
      </x:c>
      <x:c r="B189" s="2" t="str">
        <x:v>***硬质合金有限公司</x:v>
      </x:c>
      <x:c r="C189" s="2" t="str">
        <x:v>无信贷记录</x:v>
      </x:c>
      <x:c r="D189" s="2" t="str"/>
      <x:c r="E189" s="2" t="str"/>
      <x:c r="F189" s="13" t="n">
        <x:v>0.19128820157695037</x:v>
      </x:c>
      <x:c r="G189" s="13" t="n">
        <x:v>0.18937717646412522</x:v>
      </x:c>
      <x:c r="H189" s="13" t="n">
        <x:v>0.14</x:v>
      </x:c>
      <x:c r="I189" s="13" t="n">
        <x:v>0.020032051282051315</x:v>
      </x:c>
      <x:c r="J189" s="13" t="n">
        <x:v>0.3089162161101355</x:v>
      </x:c>
      <x:c r="K189" s="13" t="n">
        <x:v>0.30721686152233796</x:v>
      </x:c>
      <x:c r="L189" s="13" t="n">
        <x:v>0.22954042150837295</x:v>
      </x:c>
      <x:c r="M189" s="13" t="n">
        <x:v>0.2359333666976479</x:v>
      </x:c>
      <x:c r="N189" s="13" t="n">
        <x:v>0.024882170702799137</x:v>
      </x:c>
      <x:c r="O189" s="13" t="n">
        <x:v>0.058663750266162384</x:v>
      </x:c>
      <x:c r="P189" s="13" t="n">
        <x:v>0.15575610160103195</x:v>
      </x:c>
      <x:c r="Q189" s="13" t="n">
        <x:v>0.31062336056794404</x:v>
      </x:c>
      <x:c r="R189" s="13" t="n">
        <x:v>0</x:v>
      </x:c>
      <x:c r="S189" s="13" t="n">
        <x:v>0.5893366675453191</x:v>
      </x:c>
      <x:c r="T189" s="13" t="n">
        <x:v>0.9722222222222222</x:v>
      </x:c>
      <x:c r="U189" s="13" t="n">
        <x:v>0.18770945816078718</x:v>
      </x:c>
      <x:c r="V189" s="13" t="n">
        <x:v>0.19282122873748161</x:v>
      </x:c>
      <x:c r="W189" s="13" t="n">
        <x:v>0.1049693736415729</x:v>
      </x:c>
      <x:c r="X189" s="13" t="n">
        <x:v>0.019839020519215537</x:v>
      </x:c>
      <x:c r="Y189" s="13" t="n">
        <x:v>0.13720888126536918</x:v>
      </x:c>
      <x:c r="Z189" s="13" t="n">
        <x:v>0.09142885770706645</x:v>
      </x:c>
      <x:c r="AA189" s="13" t="n">
        <x:v>0.09062950361775153</x:v>
      </x:c>
      <x:c r="AB189" s="13" t="n">
        <x:v>0.04841109018226213</x:v>
      </x:c>
      <x:c r="AC189" s="13" t="n">
        <x:v>0.018940580521194857</x:v>
      </x:c>
      <x:c r="AD189" s="13" t="n">
        <x:v>0.034971979444727276</x:v>
      </x:c>
      <x:c r="AE189" s="13" t="n">
        <x:v>0.07781411382199364</x:v>
      </x:c>
      <x:c r="AF189" s="13" t="n">
        <x:v>0.13514723401983383</x:v>
      </x:c>
      <x:c r="AG189" s="13" t="n">
        <x:v>0.014477266447849422</x:v>
      </x:c>
      <x:c r="AH189" s="13" t="n">
        <x:v>0.5786000908527854</x:v>
      </x:c>
      <x:c r="AI189" s="13" t="n">
        <x:v>0.9705882352941176</x:v>
      </x:c>
      <x:c r="AJ189" s="13" t="n">
        <x:v>0.14680730262111358</x:v>
      </x:c>
      <x:c r="AK189" s="13" t="n">
        <x:v>0.04583355563391043</x:v>
      </x:c>
      <x:c r="AL189" s="13" t="n">
        <x:v>0.09310433095855075</x:v>
      </x:c>
      <x:c r="AM189" s="13" t="n">
        <x:v>0.02128920899125179</x:v>
      </x:c>
      <x:c r="AN189" s="13" t="n">
        <x:v>0.03287482337720038</x:v>
      </x:c>
      <x:c r="AO189" s="13" t="n">
        <x:v>0</x:v>
      </x:c>
      <x:c r="AP189" s="13" t="n">
        <x:v>0.5497756444833137</x:v>
      </x:c>
    </x:row>
    <x:row r="190" ht="15" hidden="0" customHeight="1">
      <x:c r="A190" s="2" t="str">
        <x:v>E189</x:v>
      </x:c>
      <x:c r="B190" s="2" t="str">
        <x:v>***石油工程技术服务有限公司</x:v>
      </x:c>
      <x:c r="C190" s="2" t="str">
        <x:v>无信贷记录</x:v>
      </x:c>
      <x:c r="D190" s="2" t="str"/>
      <x:c r="E190" s="2" t="str"/>
      <x:c r="F190" s="13" t="n">
        <x:v>0.25415392159501027</x:v>
      </x:c>
      <x:c r="G190" s="13" t="n">
        <x:v>0.2544612745801199</x:v>
      </x:c>
      <x:c r="H190" s="13" t="n">
        <x:v>0.11818181818181818</x:v>
      </x:c>
      <x:c r="I190" s="13" t="n">
        <x:v>0.07345085470085481</x:v>
      </x:c>
      <x:c r="J190" s="13" t="n">
        <x:v>0.11167972877582126</x:v>
      </x:c>
      <x:c r="K190" s="13" t="n">
        <x:v>0.11091991742804609</x:v>
      </x:c>
      <x:c r="L190" s="13" t="n">
        <x:v>0.5144442509144294</x:v>
      </x:c>
      <x:c r="M190" s="13" t="n">
        <x:v>0.14992955972164562</x:v>
      </x:c>
      <x:c r="N190" s="13" t="n">
        <x:v>0.06791333855591686</x:v>
      </x:c>
      <x:c r="O190" s="13" t="n">
        <x:v>0.05197375323759068</x:v>
      </x:c>
      <x:c r="P190" s="13" t="n">
        <x:v>0.09216003401612832</x:v>
      </x:c>
      <x:c r="Q190" s="13" t="n">
        <x:v>0.11229500977263382</x:v>
      </x:c>
      <x:c r="R190" s="13" t="n">
        <x:v>0.1768294293096477</x:v>
      </x:c>
      <x:c r="S190" s="13" t="n">
        <x:v>0.6478868127311559</x:v>
      </x:c>
      <x:c r="T190" s="13" t="n">
        <x:v>0.9722222222222222</x:v>
      </x:c>
      <x:c r="U190" s="13" t="n">
        <x:v>0.05517639041778063</x:v>
      </x:c>
      <x:c r="V190" s="13" t="n">
        <x:v>0.05592364343544823</x:v>
      </x:c>
      <x:c r="W190" s="13" t="n">
        <x:v>0.043222683264177074</x:v>
      </x:c>
      <x:c r="X190" s="13" t="n">
        <x:v>0.03684389524997171</x:v>
      </x:c>
      <x:c r="Y190" s="13" t="n">
        <x:v>0.08160543298299215</x:v>
      </x:c>
      <x:c r="Z190" s="13" t="n">
        <x:v>0.05630133695239745</x:v>
      </x:c>
      <x:c r="AA190" s="13" t="n">
        <x:v>0.008542945013148711</x:v>
      </x:c>
      <x:c r="AB190" s="13" t="n">
        <x:v>0.0671100237031524</x:v>
      </x:c>
      <x:c r="AC190" s="13" t="n">
        <x:v>0.12032760595607736</x:v>
      </x:c>
      <x:c r="AD190" s="13" t="n">
        <x:v>0.1345325476956417</x:v>
      </x:c>
      <x:c r="AE190" s="13" t="n">
        <x:v>0.2800273499789028</x:v>
      </x:c>
      <x:c r="AF190" s="13" t="n">
        <x:v>0.08259644089899927</x:v>
      </x:c>
      <x:c r="AG190" s="13" t="n">
        <x:v>0.3336581970138659</x:v>
      </x:c>
      <x:c r="AH190" s="13" t="n">
        <x:v>0.6989554607828865</x:v>
      </x:c>
      <x:c r="AI190" s="13" t="n">
        <x:v>0.7647058823529411</x:v>
      </x:c>
      <x:c r="AJ190" s="13" t="n">
        <x:v>0.1907208622552583</x:v>
      </x:c>
      <x:c r="AK190" s="13" t="n">
        <x:v>0.026854597793406033</x:v>
      </x:c>
      <x:c r="AL190" s="13" t="n">
        <x:v>0.06597197262885826</x:v>
      </x:c>
      <x:c r="AM190" s="13" t="n">
        <x:v>0.05905042376249622</x:v>
      </x:c>
      <x:c r="AN190" s="13" t="n">
        <x:v>0.08779976806088242</x:v>
      </x:c>
      <x:c r="AO190" s="13" t="n">
        <x:v>0.2803378860005113</x:v>
      </x:c>
      <x:c r="AP190" s="13" t="n">
        <x:v>0.6467859387176954</x:v>
      </x:c>
    </x:row>
    <x:row r="191" ht="15" hidden="0" customHeight="1">
      <x:c r="A191" s="2" t="str">
        <x:v>E190</x:v>
      </x:c>
      <x:c r="B191" s="2" t="str">
        <x:v>***劳务有限公司</x:v>
      </x:c>
      <x:c r="C191" s="2" t="str">
        <x:v>无信贷记录</x:v>
      </x:c>
      <x:c r="D191" s="2" t="str"/>
      <x:c r="E191" s="2" t="str"/>
      <x:c r="F191" s="13" t="n">
        <x:v>0.00941864532969744</x:v>
      </x:c>
      <x:c r="G191" s="13" t="n">
        <x:v>0.009156027870948843</x:v>
      </x:c>
      <x:c r="H191" s="13" t="n">
        <x:v>0.01090909090909091</x:v>
      </x:c>
      <x:c r="I191" s="13" t="n">
        <x:v>0.006677350427350438</x:v>
      </x:c>
      <x:c r="J191" s="13" t="n">
        <x:v>0.005750369975826468</x:v>
      </x:c>
      <x:c r="K191" s="13" t="n">
        <x:v>0.006387295588646364</x:v>
      </x:c>
      <x:c r="L191" s="13" t="n">
        <x:v>0.03296922043345194</x:v>
      </x:c>
      <x:c r="M191" s="13" t="n">
        <x:v>0.3678319919517104</x:v>
      </x:c>
      <x:c r="N191" s="13" t="n">
        <x:v>0.1688724372288335</x:v>
      </x:c>
      <x:c r="O191" s="13" t="n">
        <x:v>0.24992333485407237</x:v>
      </x:c>
      <x:c r="P191" s="13" t="n">
        <x:v>0.400521274161893</x:v>
      </x:c>
      <x:c r="Q191" s="13" t="n">
        <x:v>0.005779246307439313</x:v>
      </x:c>
      <x:c r="R191" s="13" t="n">
        <x:v>0.4799078954024567</x:v>
      </x:c>
      <x:c r="S191" s="13" t="n">
        <x:v>0.5971864764642448</x:v>
      </x:c>
      <x:c r="T191" s="13" t="n">
        <x:v>0.75</x:v>
      </x:c>
      <x:c r="U191" s="13" t="n">
        <x:v>0.034208733029302336</x:v>
      </x:c>
      <x:c r="V191" s="13" t="n">
        <x:v>0.03147431327244023</x:v>
      </x:c>
      <x:c r="W191" s="13" t="n">
        <x:v>0.07039122703023123</x:v>
      </x:c>
      <x:c r="X191" s="13" t="n">
        <x:v>0.039678041038431075</x:v>
      </x:c>
      <x:c r="Y191" s="13" t="n">
        <x:v>0.1841768755066263</x:v>
      </x:c>
      <x:c r="Z191" s="13" t="n">
        <x:v>0.13373811993520276</x:v>
      </x:c>
      <x:c r="AA191" s="13" t="n">
        <x:v>0.009657242188776803</x:v>
      </x:c>
      <x:c r="AB191" s="13" t="n">
        <x:v>0.17470601610559883</x:v>
      </x:c>
      <x:c r="AC191" s="13" t="n">
        <x:v>0.22827804314207523</x:v>
      </x:c>
      <x:c r="AD191" s="13" t="n">
        <x:v>0.12292195225294017</x:v>
      </x:c>
      <x:c r="AE191" s="13" t="n">
        <x:v>0.24558838859432747</x:v>
      </x:c>
      <x:c r="AF191" s="13" t="n">
        <x:v>0.18142553478672524</x:v>
      </x:c>
      <x:c r="AG191" s="13" t="n">
        <x:v>0.21340153160735167</x:v>
      </x:c>
      <x:c r="AH191" s="13" t="n">
        <x:v>0.4693262861092759</x:v>
      </x:c>
      <x:c r="AI191" s="13" t="n">
        <x:v>0.8529411764705882</x:v>
      </x:c>
      <x:c r="AJ191" s="13" t="n">
        <x:v>0.4046265642746814</x:v>
      </x:c>
      <x:c r="AK191" s="13" t="n">
        <x:v>0.0006367668556962253</x:v>
      </x:c>
      <x:c r="AL191" s="13" t="n">
        <x:v>0.3327897041338186</x:v>
      </x:c>
      <x:c r="AM191" s="13" t="n">
        <x:v>0.3122798027032223</x:v>
      </x:c>
      <x:c r="AN191" s="13" t="n">
        <x:v>0.19954397504470867</x:v>
      </x:c>
      <x:c r="AO191" s="13" t="n">
        <x:v>0.4405019960043769</x:v>
      </x:c>
      <x:c r="AP191" s="13" t="n">
        <x:v>0.5021704586886869</x:v>
      </x:c>
    </x:row>
    <x:row r="192" ht="15" hidden="0" customHeight="1">
      <x:c r="A192" s="2" t="str">
        <x:v>E191</x:v>
      </x:c>
      <x:c r="B192" s="2" t="str">
        <x:v>***商贸有限责任公司</x:v>
      </x:c>
      <x:c r="C192" s="2" t="str">
        <x:v>无信贷记录</x:v>
      </x:c>
      <x:c r="D192" s="2" t="str"/>
      <x:c r="E192" s="2" t="str"/>
      <x:c r="F192" s="13" t="n">
        <x:v>0.09029939331963893</x:v>
      </x:c>
      <x:c r="G192" s="13" t="n">
        <x:v>0.08965277290304074</x:v>
      </x:c>
      <x:c r="H192" s="13" t="n">
        <x:v>0.06</x:v>
      </x:c>
      <x:c r="I192" s="13" t="n">
        <x:v>0.026709401709401753</x:v>
      </x:c>
      <x:c r="J192" s="13" t="n">
        <x:v>1</x:v>
      </x:c>
      <x:c r="K192" s="13" t="n">
        <x:v>1</x:v>
      </x:c>
      <x:c r="L192" s="13" t="n">
        <x:v>0.08708850680534475</x:v>
      </x:c>
      <x:c r="M192" s="13" t="n">
        <x:v>0.2140113407719042</x:v>
      </x:c>
      <x:c r="N192" s="13" t="n">
        <x:v>0.07001677941178483</x:v>
      </x:c>
      <x:c r="O192" s="13" t="n">
        <x:v>0.339920729903084</x:v>
      </x:c>
      <x:c r="P192" s="13" t="n">
        <x:v>0.5075519161917175</x:v>
      </x:c>
      <x:c r="Q192" s="13" t="n">
        <x:v>1</x:v>
      </x:c>
      <x:c r="R192" s="13" t="n">
        <x:v>0.3322280196238808</x:v>
      </x:c>
      <x:c r="S192" s="13" t="n">
        <x:v>0.36397380741330704</x:v>
      </x:c>
      <x:c r="T192" s="13" t="n">
        <x:v>0.9722222222222222</x:v>
      </x:c>
      <x:c r="U192" s="13" t="n">
        <x:v>0.25000087365239143</x:v>
      </x:c>
      <x:c r="V192" s="13" t="n">
        <x:v>0.25422450830717347</x:v>
      </x:c>
      <x:c r="W192" s="13" t="n">
        <x:v>0.1728907330567083</x:v>
      </x:c>
      <x:c r="X192" s="13" t="n">
        <x:v>0.0028341457884593626</x:v>
      </x:c>
      <x:c r="Y192" s="13" t="n">
        <x:v>0.4461824761161056</x:v>
      </x:c>
      <x:c r="Z192" s="13" t="n">
        <x:v>0.2947500173898558</x:v>
      </x:c>
      <x:c r="AA192" s="13" t="n">
        <x:v>0.03751467157947912</x:v>
      </x:c>
      <x:c r="AB192" s="13" t="n">
        <x:v>0.05993385606927299</x:v>
      </x:c>
      <x:c r="AC192" s="13" t="n">
        <x:v>0.0020538695098831898</x:v>
      </x:c>
      <x:c r="AD192" s="13" t="n">
        <x:v>0.3633212625307725</x:v>
      </x:c>
      <x:c r="AE192" s="13" t="n">
        <x:v>0.4162038226407015</x:v>
      </x:c>
      <x:c r="AF192" s="13" t="n">
        <x:v>0.5809239646135647</x:v>
      </x:c>
      <x:c r="AG192" s="13" t="n">
        <x:v>0.23472833929915196</x:v>
      </x:c>
      <x:c r="AH192" s="13" t="n">
        <x:v>0.41539467211110126</x:v>
      </x:c>
      <x:c r="AI192" s="13" t="n">
        <x:v>0.6764705882352942</x:v>
      </x:c>
      <x:c r="AJ192" s="13" t="n">
        <x:v>0.13145188976584068</x:v>
      </x:c>
      <x:c r="AK192" s="13" t="n">
        <x:v>0.04783960111064879</x:v>
      </x:c>
      <x:c r="AL192" s="13" t="n">
        <x:v>0.11590200636898708</x:v>
      </x:c>
      <x:c r="AM192" s="13" t="n">
        <x:v>0.012412349715088845</x:v>
      </x:c>
      <x:c r="AN192" s="13" t="n">
        <x:v>0.39577467024083274</x:v>
      </x:c>
      <x:c r="AO192" s="13" t="n">
        <x:v>0.3435764237584463</x:v>
      </x:c>
      <x:c r="AP192" s="13" t="n">
        <x:v>0.321393132522549</x:v>
      </x:c>
    </x:row>
    <x:row r="193" ht="15" hidden="0" customHeight="1">
      <x:c r="A193" s="2" t="str">
        <x:v>E192</x:v>
      </x:c>
      <x:c r="B193" s="2" t="str">
        <x:v>***建设工程有限公司</x:v>
      </x:c>
      <x:c r="C193" s="2" t="str">
        <x:v>无信贷记录</x:v>
      </x:c>
      <x:c r="D193" s="2" t="str"/>
      <x:c r="E193" s="2" t="str"/>
      <x:c r="F193" s="13" t="n">
        <x:v>0.008147875721722387</x:v>
      </x:c>
      <x:c r="G193" s="13" t="n">
        <x:v>0.007324822296759074</x:v>
      </x:c>
      <x:c r="H193" s="13" t="n">
        <x:v>0.023636363636363636</x:v>
      </x:c>
      <x:c r="I193" s="13" t="n">
        <x:v>0.020032051282051315</x:v>
      </x:c>
      <x:c r="J193" s="13" t="n">
        <x:v>0.06466179283348414</x:v>
      </x:c>
      <x:c r="K193" s="13" t="n">
        <x:v>0.07009551367650807</x:v>
      </x:c>
      <x:c r="L193" s="13" t="n">
        <x:v>0.01741770136106895</x:v>
      </x:c>
      <x:c r="M193" s="13" t="n">
        <x:v>0.9190276795910601</x:v>
      </x:c>
      <x:c r="N193" s="13" t="n">
        <x:v>0.6306868574056435</x:v>
      </x:c>
      <x:c r="O193" s="13" t="n">
        <x:v>0.117223231260205</x:v>
      </x:c>
      <x:c r="P193" s="13" t="n">
        <x:v>0.17370295522976248</x:v>
      </x:c>
      <x:c r="Q193" s="13" t="n">
        <x:v>0.08018851572921261</x:v>
      </x:c>
      <x:c r="R193" s="13" t="n">
        <x:v>0.31687080697057757</x:v>
      </x:c>
      <x:c r="S193" s="13" t="n">
        <x:v>0.8685521091155892</x:v>
      </x:c>
      <x:c r="T193" s="13" t="n">
        <x:v>0.5277777777777778</x:v>
      </x:c>
      <x:c r="U193" s="13" t="n">
        <x:v>0.006688682706924576</x:v>
      </x:c>
      <x:c r="V193" s="13" t="n">
        <x:v>0.005718530352630269</x:v>
      </x:c>
      <x:c r="W193" s="13" t="n">
        <x:v>0.022228808535862496</x:v>
      </x:c>
      <x:c r="X193" s="13" t="n">
        <x:v>0.005668291576918725</x:v>
      </x:c>
      <x:c r="Y193" s="13" t="n">
        <x:v>0.06702808665003113</x:v>
      </x:c>
      <x:c r="Z193" s="13" t="n">
        <x:v>0.04667204450549409</x:v>
      </x:c>
      <x:c r="AA193" s="13" t="n">
        <x:v>0.0018571619593801545</x:v>
      </x:c>
      <x:c r="AB193" s="13" t="n">
        <x:v>0.25724765896577156</x:v>
      </x:c>
      <x:c r="AC193" s="13" t="n">
        <x:v>0.16497404798502915</x:v>
      </x:c>
      <x:c r="AD193" s="13" t="n">
        <x:v>0.40899196445074776</x:v>
      </x:c>
      <x:c r="AE193" s="13" t="n">
        <x:v>0.5905970717026483</x:v>
      </x:c>
      <x:c r="AF193" s="13" t="n">
        <x:v>0.06599699727382623</x:v>
      </x:c>
      <x:c r="AG193" s="13" t="n">
        <x:v>0.4332782961611063</x:v>
      </x:c>
      <x:c r="AH193" s="13" t="n">
        <x:v>0.7343832459240306</x:v>
      </x:c>
      <x:c r="AI193" s="13" t="n">
        <x:v>0.38235294117647056</x:v>
      </x:c>
      <x:c r="AJ193" s="13" t="n">
        <x:v>0.19928871550208782</x:v>
      </x:c>
      <x:c r="AK193" s="13" t="n">
        <x:v>0.02046364664532772</x:v>
      </x:c>
      <x:c r="AL193" s="13" t="n">
        <x:v>0.44099956082362585</x:v>
      </x:c>
      <x:c r="AM193" s="13" t="n">
        <x:v>0.2922136306419711</x:v>
      </x:c>
      <x:c r="AN193" s="13" t="n">
        <x:v>0.2893623176794969</x:v>
      </x:c>
      <x:c r="AO193" s="13" t="n">
        <x:v>0.43296926781089484</x:v>
      </x:c>
      <x:c r="AP193" s="13" t="n">
        <x:v>0.8102964011838161</x:v>
      </x:c>
    </x:row>
    <x:row r="194" ht="15" hidden="0" customHeight="1">
      <x:c r="A194" s="2" t="str">
        <x:v>E193</x:v>
      </x:c>
      <x:c r="B194" s="2" t="str">
        <x:v>个体经营E193 </x:v>
      </x:c>
      <x:c r="C194" s="2" t="str">
        <x:v>无信贷记录</x:v>
      </x:c>
      <x:c r="D194" s="2" t="str"/>
      <x:c r="E194" s="2" t="str"/>
      <x:c r="F194" s="13" t="n">
        <x:v>0.12064836160421957</x:v>
      </x:c>
      <x:c r="G194" s="13" t="n">
        <x:v>0.11727345698040309</x:v>
      </x:c>
      <x:c r="H194" s="13" t="n">
        <x:v>0.14</x:v>
      </x:c>
      <x:c r="I194" s="13" t="n">
        <x:v>0.04006410256410263</x:v>
      </x:c>
      <x:c r="J194" s="13" t="n">
        <x:v>0.06688570224360091</x:v>
      </x:c>
      <x:c r="K194" s="13" t="n">
        <x:v>0.06728295511902169</x:v>
      </x:c>
      <x:c r="L194" s="13" t="n">
        <x:v>0.17915349971385205</x:v>
      </x:c>
      <x:c r="M194" s="13" t="n">
        <x:v>0.3739018268023987</x:v>
      </x:c>
      <x:c r="N194" s="13" t="n">
        <x:v>0.08032139314587791</x:v>
      </x:c>
      <x:c r="O194" s="13" t="n">
        <x:v>0.10966496027349168</x:v>
      </x:c>
      <x:c r="P194" s="13" t="n">
        <x:v>0.2834860145680721</x:v>
      </x:c>
      <x:c r="Q194" s="13" t="n">
        <x:v>0.06912128695894752</x:v>
      </x:c>
      <x:c r="R194" s="13" t="n">
        <x:v>0.07818951562981505</x:v>
      </x:c>
      <x:c r="S194" s="13" t="n">
        <x:v>0.6027722964928452</x:v>
      </x:c>
      <x:c r="T194" s="13" t="n">
        <x:v>0.9444444444444444</x:v>
      </x:c>
      <x:c r="U194" s="13" t="n">
        <x:v>1</x:v>
      </x:c>
      <x:c r="V194" s="13" t="n">
        <x:v>1</x:v>
      </x:c>
      <x:c r="W194" s="13" t="n">
        <x:v>1</x:v>
      </x:c>
      <x:c r="X194" s="13" t="n">
        <x:v>1</x:v>
      </x:c>
      <x:c r="Y194" s="13" t="n">
        <x:v>0.21187080892530702</x:v>
      </x:c>
      <x:c r="Z194" s="13" t="n">
        <x:v>0.14222054542158707</x:v>
      </x:c>
      <x:c r="AA194" s="13" t="n">
        <x:v>0.9415811134057382</x:v>
      </x:c>
      <x:c r="AB194" s="13" t="n">
        <x:v>0.08497871249753249</x:v>
      </x:c>
      <x:c r="AC194" s="13" t="n">
        <x:v>0.06844253651485167</x:v>
      </x:c>
      <x:c r="AD194" s="13" t="n">
        <x:v>0.0034759796101519764</x:v>
      </x:c>
      <x:c r="AE194" s="13" t="n">
        <x:v>0.0021204093837476987</x:v>
      </x:c>
      <x:c r="AF194" s="13" t="n">
        <x:v>0.21451430489459877</x:v>
      </x:c>
      <x:c r="AG194" s="13" t="n">
        <x:v>0.05688256937696281</x:v>
      </x:c>
      <x:c r="AH194" s="13" t="n">
        <x:v>0.4219977337001413</x:v>
      </x:c>
      <x:c r="AI194" s="13" t="n">
        <x:v>0.9411764705882353</x:v>
      </x:c>
      <x:c r="AJ194" s="13" t="n">
        <x:v>0.4060459191164202</x:v>
      </x:c>
      <x:c r="AK194" s="13" t="n">
        <x:v>0.006441761995678824</x:v>
      </x:c>
      <x:c r="AL194" s="13" t="n">
        <x:v>0.188645387793305</x:v>
      </x:c>
      <x:c r="AM194" s="13" t="n">
        <x:v>0.11445650039277307</x:v>
      </x:c>
      <x:c r="AN194" s="13" t="n">
        <x:v>0.044792476990121816</x:v>
      </x:c>
      <x:c r="AO194" s="13" t="n">
        <x:v>0.06815218808788108</x:v>
      </x:c>
      <x:c r="AP194" s="13" t="n">
        <x:v>0.4830018773336959</x:v>
      </x:c>
    </x:row>
    <x:row r="195" ht="15" hidden="0" customHeight="1">
      <x:c r="A195" s="2" t="str">
        <x:v>E194</x:v>
      </x:c>
      <x:c r="B195" s="2" t="str">
        <x:v>***文化传播有限公司</x:v>
      </x:c>
      <x:c r="C195" s="2" t="str">
        <x:v>无信贷记录</x:v>
      </x:c>
      <x:c r="D195" s="2" t="str"/>
      <x:c r="E195" s="2" t="str"/>
      <x:c r="F195" s="13" t="n">
        <x:v>0.3623188405797102</x:v>
      </x:c>
      <x:c r="G195" s="13" t="n">
        <x:v>0.3628076043863479</x:v>
      </x:c>
      <x:c r="H195" s="13" t="n">
        <x:v>0.16727272727272727</x:v>
      </x:c>
      <x:c r="I195" s="13" t="n">
        <x:v>0.07345085470085481</x:v>
      </x:c>
      <x:c r="J195" s="13" t="n">
        <x:v>0.04066010872393645</x:v>
      </x:c>
      <x:c r="K195" s="13" t="n">
        <x:v>0.04095783321700899</x:v>
      </x:c>
      <x:c r="L195" s="13" t="n">
        <x:v>0.5704297195750081</x:v>
      </x:c>
      <x:c r="M195" s="13" t="n">
        <x:v>0.14888257156882317</x:v>
      </x:c>
      <x:c r="N195" s="13" t="n">
        <x:v>0.0476407001810163</x:v>
      </x:c>
      <x:c r="O195" s="13" t="n">
        <x:v>0.14712826251472935</x:v>
      </x:c>
      <x:c r="P195" s="13" t="n">
        <x:v>0.2419161105660866</x:v>
      </x:c>
      <x:c r="Q195" s="13" t="n">
        <x:v>0.045838253513857</x:v>
      </x:c>
      <x:c r="R195" s="13" t="n">
        <x:v>0.07783849189124481</x:v>
      </x:c>
      <x:c r="S195" s="13" t="n">
        <x:v>0.54948702484457</x:v>
      </x:c>
      <x:c r="T195" s="13" t="n">
        <x:v>0.8611111111111112</x:v>
      </x:c>
      <x:c r="U195" s="13" t="n">
        <x:v>1</x:v>
      </x:c>
      <x:c r="V195" s="13" t="n">
        <x:v>1</x:v>
      </x:c>
      <x:c r="W195" s="13" t="n">
        <x:v>0.8496344595929666</x:v>
      </x:c>
      <x:c r="X195" s="13" t="n">
        <x:v>1</x:v>
      </x:c>
      <x:c r="Y195" s="13" t="n">
        <x:v>0.13294810655928369</x:v>
      </x:c>
      <x:c r="Z195" s="13" t="n">
        <x:v>0.0965506694880044</x:v>
      </x:c>
      <x:c r="AA195" s="13" t="n">
        <x:v>1</x:v>
      </x:c>
      <x:c r="AB195" s="13" t="n">
        <x:v>0.07202126208105865</x:v>
      </x:c>
      <x:c r="AC195" s="13" t="n">
        <x:v>0.19842259964832873</x:v>
      </x:c>
      <x:c r="AD195" s="13" t="n">
        <x:v>0.053369999691473234</x:v>
      </x:c>
      <x:c r="AE195" s="13" t="n">
        <x:v>0.1794804893048879</x:v>
      </x:c>
      <x:c r="AF195" s="13" t="n">
        <x:v>0.14683876545949365</x:v>
      </x:c>
      <x:c r="AG195" s="13" t="n">
        <x:v>0.12028533571920258</x:v>
      </x:c>
      <x:c r="AH195" s="13" t="n">
        <x:v>0.5547990275783381</x:v>
      </x:c>
      <x:c r="AI195" s="13" t="n">
        <x:v>0.8529411764705882</x:v>
      </x:c>
      <x:c r="AJ195" s="13" t="n">
        <x:v>0.3090900989225518</x:v>
      </x:c>
      <x:c r="AK195" s="13" t="n">
        <x:v>0.005773470742562023</x:v>
      </x:c>
      <x:c r="AL195" s="13" t="n">
        <x:v>0.12897928953740567</x:v>
      </x:c>
      <x:c r="AM195" s="13" t="n">
        <x:v>0.24667931688804576</x:v>
      </x:c>
      <x:c r="AN195" s="13" t="n">
        <x:v>0.09677575854413106</x:v>
      </x:c>
      <x:c r="AO195" s="13" t="n">
        <x:v>0.10001926777550896</x:v>
      </x:c>
      <x:c r="AP195" s="13" t="n">
        <x:v>0.511836437347307</x:v>
      </x:c>
    </x:row>
    <x:row r="196" ht="15" hidden="0" customHeight="1">
      <x:c r="A196" s="2" t="str">
        <x:v>E195</x:v>
      </x:c>
      <x:c r="B196" s="2" t="str">
        <x:v>***医药有限公司</x:v>
      </x:c>
      <x:c r="C196" s="2" t="str">
        <x:v>无信贷记录</x:v>
      </x:c>
      <x:c r="D196" s="2" t="str"/>
      <x:c r="E196" s="2" t="str"/>
      <x:c r="F196" s="13" t="n">
        <x:v>0.17446919205963352</x:v>
      </x:c>
      <x:c r="G196" s="13" t="n">
        <x:v>0.1728200260641594</x:v>
      </x:c>
      <x:c r="H196" s="13" t="n">
        <x:v>0.12545454545454546</x:v>
      </x:c>
      <x:c r="I196" s="13" t="n">
        <x:v>0.3071581196581201</x:v>
      </x:c>
      <x:c r="J196" s="13" t="n">
        <x:v>0.29756110759730614</x:v>
      </x:c>
      <x:c r="K196" s="13" t="n">
        <x:v>0.3044512691671034</x:v>
      </x:c>
      <x:c r="L196" s="13" t="n">
        <x:v>0.31849511060240365</x:v>
      </x:c>
      <x:c r="M196" s="13" t="n">
        <x:v>0.23178454287368053</x:v>
      </x:c>
      <x:c r="N196" s="13" t="n">
        <x:v>0.4180468097610117</x:v>
      </x:c>
      <x:c r="O196" s="13" t="n">
        <x:v>0.10023195314605664</x:v>
      </x:c>
      <x:c r="P196" s="13" t="n">
        <x:v>0.16962211361087384</x:v>
      </x:c>
      <x:c r="Q196" s="13" t="n">
        <x:v>0.29920539234670906</x:v>
      </x:c>
      <x:c r="R196" s="13" t="n">
        <x:v>0.07006519766476181</x:v>
      </x:c>
      <x:c r="S196" s="13" t="n">
        <x:v>0.5157846610794947</x:v>
      </x:c>
      <x:c r="T196" s="13" t="n">
        <x:v>0.9722222222222222</x:v>
      </x:c>
      <x:c r="U196" s="13" t="n">
        <x:v>0.4235082385420494</x:v>
      </x:c>
      <x:c r="V196" s="13" t="n">
        <x:v>0.4310622207457237</x:v>
      </x:c>
      <x:c r="W196" s="13" t="n">
        <x:v>0.28526970954356873</x:v>
      </x:c>
      <x:c r="X196" s="13" t="n">
        <x:v>0.2295658088652084</x:v>
      </x:c>
      <x:c r="Y196" s="13" t="n">
        <x:v>0.19034907341281643</x:v>
      </x:c>
      <x:c r="Z196" s="13" t="n">
        <x:v>0.1270693468232075</x:v>
      </x:c>
      <x:c r="AA196" s="13" t="n">
        <x:v>0.14857295675041235</x:v>
      </x:c>
      <x:c r="AB196" s="13" t="n">
        <x:v>0.05845494467336968</x:v>
      </x:c>
      <x:c r="AC196" s="13" t="n">
        <x:v>0.0982141219521769</x:v>
      </x:c>
      <x:c r="AD196" s="13" t="n">
        <x:v>0.049842610535426636</x:v>
      </x:c>
      <x:c r="AE196" s="13" t="n">
        <x:v>0.1346210432703539</x:v>
      </x:c>
      <x:c r="AF196" s="13" t="n">
        <x:v>0.18750709810893626</x:v>
      </x:c>
      <x:c r="AG196" s="13" t="n">
        <x:v>0.056210588123662815</x:v>
      </x:c>
      <x:c r="AH196" s="13" t="n">
        <x:v>0.4225625927224764</x:v>
      </x:c>
      <x:c r="AI196" s="13" t="n">
        <x:v>0.9705882352941176</x:v>
      </x:c>
      <x:c r="AJ196" s="13" t="n">
        <x:v>0.23030353495063802</x:v>
      </x:c>
      <x:c r="AK196" s="13" t="n">
        <x:v>0.03268354643482305</x:v>
      </x:c>
      <x:c r="AL196" s="13" t="n">
        <x:v>0.11396685369623723</x:v>
      </x:c>
      <x:c r="AM196" s="13" t="n">
        <x:v>0.17874503876959336</x:v>
      </x:c>
      <x:c r="AN196" s="13" t="n">
        <x:v>0.06658616857399012</x:v>
      </x:c>
      <x:c r="AO196" s="13" t="n">
        <x:v>0.06188512674282294</x:v>
      </x:c>
      <x:c r="AP196" s="13" t="n">
        <x:v>0.42556781642190367</x:v>
      </x:c>
    </x:row>
    <x:row r="197" ht="15" hidden="0" customHeight="1">
      <x:c r="A197" s="2" t="str">
        <x:v>E196</x:v>
      </x:c>
      <x:c r="B197" s="2" t="str">
        <x:v>***地质制图印刷厂</x:v>
      </x:c>
      <x:c r="C197" s="2" t="str">
        <x:v>无信贷记录</x:v>
      </x:c>
      <x:c r="D197" s="2" t="str"/>
      <x:c r="E197" s="2" t="str"/>
      <x:c r="F197" s="13" t="n">
        <x:v>0.10345559631985124</x:v>
      </x:c>
      <x:c r="G197" s="13" t="n">
        <x:v>0.10178450983204797</x:v>
      </x:c>
      <x:c r="H197" s="13" t="n">
        <x:v>0.09090909090909091</x:v>
      </x:c>
      <x:c r="I197" s="13" t="n">
        <x:v>0.06009615384615394</x:v>
      </x:c>
      <x:c r="J197" s="13" t="n">
        <x:v>0.16709082651745283</x:v>
      </x:c>
      <x:c r="K197" s="13" t="n">
        <x:v>0.16617470356787753</x:v>
      </x:c>
      <x:c r="L197" s="13" t="n">
        <x:v>0.0951752967229839</x:v>
      </x:c>
      <x:c r="M197" s="13" t="n">
        <x:v>0.2830837840898204</x:v>
      </x:c>
      <x:c r="N197" s="13" t="n">
        <x:v>0.13878887430932574</x:v>
      </x:c>
      <x:c r="O197" s="13" t="n">
        <x:v>0.17675795636416566</x:v>
      </x:c>
      <x:c r="P197" s="13" t="n">
        <x:v>0.3172630363757914</x:v>
      </x:c>
      <x:c r="Q197" s="13" t="n">
        <x:v>0.16359133337313686</x:v>
      </x:c>
      <x:c r="R197" s="13" t="n">
        <x:v>0.0866761786530506</x:v>
      </x:c>
      <x:c r="S197" s="13" t="n">
        <x:v>0.543039683006694</x:v>
      </x:c>
      <x:c r="T197" s="13" t="n">
        <x:v>1</x:v>
      </x:c>
      <x:c r="U197" s="13" t="n">
        <x:v>0.2579511104121895</x:v>
      </x:c>
      <x:c r="V197" s="13" t="n">
        <x:v>0.2564641416045482</x:v>
      </x:c>
      <x:c r="W197" s="13" t="n">
        <x:v>0.2556312981624187</x:v>
      </x:c>
      <x:c r="X197" s="13" t="n">
        <x:v>0.24373653780750518</x:v>
      </x:c>
      <x:c r="Y197" s="13" t="n">
        <x:v>0.12449371239603843</x:v>
      </x:c>
      <x:c r="Z197" s="13" t="n">
        <x:v>0.08748367108213258</x:v>
      </x:c>
      <x:c r="AA197" s="13" t="n">
        <x:v>0.25925980952946953</x:v>
      </x:c>
      <x:c r="AB197" s="13" t="n">
        <x:v>0.08589396850680218</x:v>
      </x:c>
      <x:c r="AC197" s="13" t="n">
        <x:v>0.17509405310643386</x:v>
      </x:c>
      <x:c r="AD197" s="13" t="n">
        <x:v>0.03171646706542741</x:v>
      </x:c>
      <x:c r="AE197" s="13" t="n">
        <x:v>0.10050713099588789</x:v>
      </x:c>
      <x:c r="AF197" s="13" t="n">
        <x:v>0.11938824981795275</x:v>
      </x:c>
      <x:c r="AG197" s="13" t="n">
        <x:v>0.08888196045560874</x:v>
      </x:c>
      <x:c r="AH197" s="13" t="n">
        <x:v>0.5425220237806002</x:v>
      </x:c>
      <x:c r="AI197" s="13" t="n">
        <x:v>1</x:v>
      </x:c>
      <x:c r="AJ197" s="13" t="n">
        <x:v>0.2175695592223778</x:v>
      </x:c>
      <x:c r="AK197" s="13" t="n">
        <x:v>0.025902201617309755</x:v>
      </x:c>
      <x:c r="AL197" s="13" t="n">
        <x:v>0.1631700493404463</x:v>
      </x:c>
      <x:c r="AM197" s="13" t="n">
        <x:v>0.2252852092507399</x:v>
      </x:c>
      <x:c r="AN197" s="13" t="n">
        <x:v>0.10171313690496527</x:v>
      </x:c>
      <x:c r="AO197" s="13" t="n">
        <x:v>0.09055567559149524</x:v>
      </x:c>
      <x:c r="AP197" s="13" t="n">
        <x:v>0.5016257592450895</x:v>
      </x:c>
    </x:row>
    <x:row r="198" ht="15" hidden="0" customHeight="1">
      <x:c r="A198" s="2" t="str">
        <x:v>E197</x:v>
      </x:c>
      <x:c r="B198" s="2" t="str">
        <x:v>***医疗设备有限公司</x:v>
      </x:c>
      <x:c r="C198" s="2" t="str">
        <x:v>无信贷记录</x:v>
      </x:c>
      <x:c r="D198" s="2" t="str"/>
      <x:c r="E198" s="2" t="str"/>
      <x:c r="F198" s="13" t="n">
        <x:v>0.2795693137545113</x:v>
      </x:c>
      <x:c r="G198" s="13" t="n">
        <x:v>0.2782669470445869</x:v>
      </x:c>
      <x:c r="H198" s="13" t="n">
        <x:v>0.1690909090909091</x:v>
      </x:c>
      <x:c r="I198" s="13" t="n">
        <x:v>0.013354700854700877</x:v>
      </x:c>
      <x:c r="J198" s="13" t="n">
        <x:v>0.339948665937898</x:v>
      </x:c>
      <x:c r="K198" s="13" t="n">
        <x:v>0.3374553210175479</x:v>
      </x:c>
      <x:c r="L198" s="13" t="n">
        <x:v>0.500136853367837</x:v>
      </x:c>
      <x:c r="M198" s="13" t="n">
        <x:v>0.19502369642763054</x:v>
      </x:c>
      <x:c r="N198" s="13" t="n">
        <x:v>0.011292100488855953</x:v>
      </x:c>
      <x:c r="O198" s="13" t="n">
        <x:v>0.12116112068416555</x:v>
      </x:c>
      <x:c r="P198" s="13" t="n">
        <x:v>0.30790945609384474</x:v>
      </x:c>
      <x:c r="Q198" s="13" t="n">
        <x:v>0.37198928983953145</x:v>
      </x:c>
      <x:c r="R198" s="13" t="n">
        <x:v>0.11633986718646228</x:v>
      </x:c>
      <x:c r="S198" s="13" t="n">
        <x:v>0.6174743735772851</x:v>
      </x:c>
      <x:c r="T198" s="13" t="n">
        <x:v>0.8888888888888888</x:v>
      </x:c>
      <x:c r="U198" s="13" t="n">
        <x:v>0.33360940748894863</x:v>
      </x:c>
      <x:c r="V198" s="13" t="n">
        <x:v>0.3323317195531189</x:v>
      </x:c>
      <x:c r="W198" s="13" t="n">
        <x:v>0.32108278996245826</x:v>
      </x:c>
      <x:c r="X198" s="13" t="n">
        <x:v>0.1303707062691307</x:v>
      </x:c>
      <x:c r="Y198" s="13" t="n">
        <x:v>0.2447086841498537</x:v>
      </x:c>
      <x:c r="Z198" s="13" t="n">
        <x:v>0.16683830057308374</x:v>
      </x:c>
      <x:c r="AA198" s="13" t="n">
        <x:v>0.46837624615567497</x:v>
      </x:c>
      <x:c r="AB198" s="13" t="n">
        <x:v>0.08347929952505881</x:v>
      </x:c>
      <x:c r="AC198" s="13" t="n">
        <x:v>0.07231485735666637</x:v>
      </x:c>
      <x:c r="AD198" s="13" t="n">
        <x:v>0.017300190901857124</x:v>
      </x:c>
      <x:c r="AE198" s="13" t="n">
        <x:v>0.08163641271068105</x:v>
      </x:c>
      <x:c r="AF198" s="13" t="n">
        <x:v>0.2623516920579592</x:v>
      </x:c>
      <x:c r="AG198" s="13" t="n">
        <x:v>0.11687614379415803</x:v>
      </x:c>
      <x:c r="AH198" s="13" t="n">
        <x:v>0.6309032705266732</x:v>
      </x:c>
      <x:c r="AI198" s="13" t="n">
        <x:v>0.8823529411764706</x:v>
      </x:c>
      <x:c r="AJ198" s="13" t="n">
        <x:v>0.28181359461637034</x:v>
      </x:c>
      <x:c r="AK198" s="13" t="n">
        <x:v>0.02759238139302312</x:v>
      </x:c>
      <x:c r="AL198" s="13" t="n">
        <x:v>0.12789109109474975</x:v>
      </x:c>
      <x:c r="AM198" s="13" t="n">
        <x:v>0.06452426794943122</x:v>
      </x:c>
      <x:c r="AN198" s="13" t="n">
        <x:v>0.05986438975894194</x:v>
      </x:c>
      <x:c r="AO198" s="13" t="n">
        <x:v>0.12637832319335146</x:v>
      </x:c>
      <x:c r="AP198" s="13" t="n">
        <x:v>0.5937204728950412</x:v>
      </x:c>
    </x:row>
    <x:row r="199" ht="15" hidden="0" customHeight="1">
      <x:c r="A199" s="2" t="str">
        <x:v>E198</x:v>
      </x:c>
      <x:c r="B199" s="2" t="str">
        <x:v>***商贸有限公司</x:v>
      </x:c>
      <x:c r="C199" s="2" t="str">
        <x:v>无信贷记录</x:v>
      </x:c>
      <x:c r="D199" s="2" t="str"/>
      <x:c r="E199" s="2" t="str"/>
      <x:c r="F199" s="13" t="n">
        <x:v>0.08559007065479021</x:v>
      </x:c>
      <x:c r="G199" s="13" t="n">
        <x:v>0.08446435710950308</x:v>
      </x:c>
      <x:c r="H199" s="13" t="n">
        <x:v>0.06909090909090909</x:v>
      </x:c>
      <x:c r="I199" s="13" t="n">
        <x:v>0</x:v>
      </x:c>
      <x:c r="J199" s="13" t="n">
        <x:v>0.22730442930154773</x:v>
      </x:c>
      <x:c r="K199" s="13" t="n">
        <x:v>0.225626739794523</x:v>
      </x:c>
      <x:c r="L199" s="13" t="n">
        <x:v>0.13187688173380777</x:v>
      </x:c>
      <x:c r="M199" s="13" t="n">
        <x:v>0.25997309050466716</x:v>
      </x:c>
      <x:c r="N199" s="13" t="n">
        <x:v>0</x:v>
      </x:c>
      <x:c r="O199" s="13" t="n">
        <x:v>0.06776136282941689</x:v>
      </x:c>
      <x:c r="P199" s="13" t="n">
        <x:v>0.09461542669827967</x:v>
      </x:c>
      <x:c r="Q199" s="13" t="n">
        <x:v>0.22855978652055875</x:v>
      </x:c>
      <x:c r="R199" s="13" t="n">
        <x:v>0.1255949255540507</x:v>
      </x:c>
      <x:c r="S199" s="13" t="n">
        <x:v>0.6763283526753102</x:v>
      </x:c>
      <x:c r="T199" s="13" t="n">
        <x:v>0.9722222222222222</x:v>
      </x:c>
      <x:c r="U199" s="13" t="n">
        <x:v>0.06985375058971544</x:v>
      </x:c>
      <x:c r="V199" s="13" t="n">
        <x:v>0.06730844603043669</x:v>
      </x:c>
      <x:c r="W199" s="13" t="n">
        <x:v>0.10002963841138124</x:v>
      </x:c>
      <x:c r="X199" s="13" t="n">
        <x:v>0.15587801836526494</x:v>
      </x:c>
      <x:c r="Y199" s="13" t="n">
        <x:v>0.09847195522365808</x:v>
      </x:c>
      <x:c r="Z199" s="13" t="n">
        <x:v>0.07732206068008102</x:v>
      </x:c>
      <x:c r="AA199" s="13" t="n">
        <x:v>0.014857295675041236</x:v>
      </x:c>
      <x:c r="AB199" s="13" t="n">
        <x:v>0.12305913970303288</x:v>
      </x:c>
      <x:c r="AC199" s="13" t="n">
        <x:v>0.4237657551263798</x:v>
      </x:c>
      <x:c r="AD199" s="13" t="n">
        <x:v>0.13049437580454085</x:v>
      </x:c>
      <x:c r="AE199" s="13" t="n">
        <x:v>0.2954745767747653</x:v>
      </x:c>
      <x:c r="AF199" s="13" t="n">
        <x:v>0.09697913373999621</x:v>
      </x:c>
      <x:c r="AG199" s="13" t="n">
        <x:v>0.25085090771020957</x:v>
      </x:c>
      <x:c r="AH199" s="13" t="n">
        <x:v>0.6918348294360203</x:v>
      </x:c>
      <x:c r="AI199" s="13" t="n">
        <x:v>0.8529411764705882</x:v>
      </x:c>
      <x:c r="AJ199" s="13" t="n">
        <x:v>0.14237279290992086</x:v>
      </x:c>
      <x:c r="AK199" s="13" t="n">
        <x:v>0.039795180704853245</x:v>
      </x:c>
      <x:c r="AL199" s="13" t="n">
        <x:v>0.16806426378628977</x:v>
      </x:c>
      <x:c r="AM199" s="13" t="n">
        <x:v>0.2904638484225581</x:v>
      </x:c>
      <x:c r="AN199" s="13" t="n">
        <x:v>0.09486979760321686</x:v>
      </x:c>
      <x:c r="AO199" s="13" t="n">
        <x:v>0.20100838816020208</x:v>
      </x:c>
      <x:c r="AP199" s="13" t="n">
        <x:v>0.6622124360333584</x:v>
      </x:c>
    </x:row>
    <x:row r="200" ht="15" hidden="0" customHeight="1">
      <x:c r="A200" s="2" t="str">
        <x:v>E199</x:v>
      </x:c>
      <x:c r="B200" s="2" t="str">
        <x:v>***建筑劳务有限公司</x:v>
      </x:c>
      <x:c r="C200" s="2" t="str">
        <x:v>无信贷记录</x:v>
      </x:c>
      <x:c r="D200" s="2" t="str"/>
      <x:c r="E200" s="2" t="str"/>
      <x:c r="F200" s="13" t="n">
        <x:v>0.003438553056873668</x:v>
      </x:c>
      <x:c r="G200" s="13" t="n">
        <x:v>0.003433510451605816</x:v>
      </x:c>
      <x:c r="H200" s="13" t="n">
        <x:v>0.0018181818181818182</x:v>
      </x:c>
      <x:c r="I200" s="13" t="n">
        <x:v>0</x:v>
      </x:c>
      <x:c r="J200" s="13" t="n">
        <x:v>0.0005791976626432364</x:v>
      </x:c>
      <x:c r="K200" s="13" t="n">
        <x:v>0.0005749227180497868</x:v>
      </x:c>
      <x:c r="L200" s="13" t="n">
        <x:v>0.014929458309487671</x:v>
      </x:c>
      <x:c r="M200" s="13" t="n">
        <x:v>0.16348088531187127</x:v>
      </x:c>
      <x:c r="N200" s="13" t="n">
        <x:v>0</x:v>
      </x:c>
      <x:c r="O200" s="13" t="n">
        <x:v>0.28192131805633414</x:v>
      </x:c>
      <x:c r="P200" s="13" t="n">
        <x:v>0.41764924511528995</x:v>
      </x:c>
      <x:c r="Q200" s="13" t="n">
        <x:v>0.0010246519248388634</x:v>
      </x:c>
      <x:c r="R200" s="13" t="n">
        <x:v>0.43303068825506413</x:v>
      </x:c>
      <x:c r="S200" s="13" t="n">
        <x:v>0.5284636386913861</x:v>
      </x:c>
      <x:c r="T200" s="13" t="n">
        <x:v>0.4444444444444444</x:v>
      </x:c>
      <x:c r="U200" s="13" t="n">
        <x:v>0.07081476822002068</x:v>
      </x:c>
      <x:c r="V200" s="13" t="n">
        <x:v>0.07477389035501929</x:v>
      </x:c>
      <x:c r="W200" s="13" t="n">
        <x:v>0.014819205690574998</x:v>
      </x:c>
      <x:c r="X200" s="13" t="n">
        <x:v>0.25507312096134266</x:v>
      </x:c>
      <x:c r="Y200" s="13" t="n">
        <x:v>0.09283904668562205</x:v>
      </x:c>
      <x:c r="Z200" s="13" t="n">
        <x:v>0.07910232823407716</x:v>
      </x:c>
      <x:c r="AA200" s="13" t="n">
        <x:v>0.0003714323918760309</x:v>
      </x:c>
      <x:c r="AB200" s="13" t="n">
        <x:v>0.017986421683785656</x:v>
      </x:c>
      <x:c r="AC200" s="13" t="n">
        <x:v>0.6247779540027094</x:v>
      </x:c>
      <x:c r="AD200" s="13" t="n">
        <x:v>0.37084213726420273</x:v>
      </x:c>
      <x:c r="AE200" s="13" t="n">
        <x:v>0.43480328969311693</x:v>
      </x:c>
      <x:c r="AF200" s="13" t="n">
        <x:v>0.13538266829830642</x:v>
      </x:c>
      <x:c r="AG200" s="13" t="n">
        <x:v>0.49518977388302254</x:v>
      </x:c>
      <x:c r="AH200" s="13" t="n">
        <x:v>0.7592888721331986</x:v>
      </x:c>
      <x:c r="AI200" s="13" t="n">
        <x:v>0.3235294117647059</x:v>
      </x:c>
      <x:c r="AJ200" s="13" t="n">
        <x:v>0.276611423409199</x:v>
      </x:c>
      <x:c r="AK200" s="13" t="n">
        <x:v>0.00008424426820076704</x:v>
      </x:c>
      <x:c r="AL200" s="13" t="n">
        <x:v>0.038381664953600944</x:v>
      </x:c>
      <x:c r="AM200" s="13" t="n">
        <x:v>1</x:v>
      </x:c>
      <x:c r="AN200" s="13" t="n">
        <x:v>0.365471686067047</x:v>
      </x:c>
      <x:c r="AO200" s="13" t="n">
        <x:v>0.5490742066968723</x:v>
      </x:c>
      <x:c r="AP200" s="13" t="n">
        <x:v>0.596720849790905</x:v>
      </x:c>
    </x:row>
    <x:row r="201" ht="15" hidden="0" customHeight="1">
      <x:c r="A201" s="2" t="str">
        <x:v>E200</x:v>
      </x:c>
      <x:c r="B201" s="2" t="str">
        <x:v>个体经营E200 </x:v>
      </x:c>
      <x:c r="C201" s="2" t="str">
        <x:v>无信贷记录</x:v>
      </x:c>
      <x:c r="D201" s="2" t="str"/>
      <x:c r="E201" s="2" t="str"/>
      <x:c r="F201" s="13" t="n">
        <x:v>0.09239242561512725</x:v>
      </x:c>
      <x:c r="G201" s="13" t="n">
        <x:v>0.09148397847723051</x:v>
      </x:c>
      <x:c r="H201" s="13" t="n">
        <x:v>0.06727272727272728</x:v>
      </x:c>
      <x:c r="I201" s="13" t="n">
        <x:v>0.04006410256410263</x:v>
      </x:c>
      <x:c r="J201" s="13" t="n">
        <x:v>0.1870077856438887</x:v>
      </x:c>
      <x:c r="K201" s="13" t="n">
        <x:v>0.18581731871704263</x:v>
      </x:c>
      <x:c r="L201" s="13" t="n">
        <x:v>0.0821120207021822</x:v>
      </x:c>
      <x:c r="M201" s="13" t="n">
        <x:v>0.23452508264449387</x:v>
      </x:c>
      <x:c r="N201" s="13" t="n">
        <x:v>0.10292641469734064</x:v>
      </x:c>
      <x:c r="O201" s="13" t="n">
        <x:v>0.16753737044514425</x:v>
      </x:c>
      <x:c r="P201" s="13" t="n">
        <x:v>0.32994567229868615</x:v>
      </x:c>
      <x:c r="Q201" s="13" t="n">
        <x:v>0.1932635392402454</x:v>
      </x:c>
      <x:c r="R201" s="13" t="n">
        <x:v>0.13255831350726757</x:v>
      </x:c>
      <x:c r="S201" s="13" t="n">
        <x:v>0.6781193530771281</x:v>
      </x:c>
      <x:c r="T201" s="13" t="n">
        <x:v>0.9444444444444444</x:v>
      </x:c>
      <x:c r="U201" s="13" t="n">
        <x:v>0.05273016372245816</x:v>
      </x:c>
      <x:c r="V201" s="13" t="n">
        <x:v>0.052004285165042366</x:v>
      </x:c>
      <x:c r="W201" s="13" t="n">
        <x:v>0.060511756569847905</x:v>
      </x:c>
      <x:c r="X201" s="13" t="n">
        <x:v>0.034009749461512355</x:v>
      </x:c>
      <x:c r="Y201" s="13" t="n">
        <x:v>0.08127214875959057</x:v>
      </x:c>
      <x:c r="Z201" s="13" t="n">
        <x:v>0.055801045143024065</x:v>
      </x:c>
      <x:c r="AA201" s="13" t="n">
        <x:v>0.01782875481004948</x:v>
      </x:c>
      <x:c r="AB201" s="13" t="n">
        <x:v>0.09824557140490858</x:v>
      </x:c>
      <x:c r="AC201" s="13" t="n">
        <x:v>0.11934292832959556</x:v>
      </x:c>
      <x:c r="AD201" s="13" t="n">
        <x:v>0.055362987146868096</x:v>
      </x:c>
      <x:c r="AE201" s="13" t="n">
        <x:v>0.15624427485773595</x:v>
      </x:c>
      <x:c r="AF201" s="13" t="n">
        <x:v>0.08461322175197922</x:v>
      </x:c>
      <x:c r="AG201" s="13" t="n">
        <x:v>0.20183242610763652</x:v>
      </x:c>
      <x:c r="AH201" s="13" t="n">
        <x:v>0.6604297069923667</x:v>
      </x:c>
      <x:c r="AI201" s="13" t="n">
        <x:v>0.8823529411764706</x:v>
      </x:c>
      <x:c r="AJ201" s="13" t="n">
        <x:v>0.142952415154759</x:v>
      </x:c>
      <x:c r="AK201" s="13" t="n">
        <x:v>0.04540092949969853</x:v>
      </x:c>
      <x:c r="AL201" s="13" t="n">
        <x:v>0.12741019049962676</x:v>
      </x:c>
      <x:c r="AM201" s="13" t="n">
        <x:v>0.09893873409158183</x:v>
      </x:c>
      <x:c r="AN201" s="13" t="n">
        <x:v>0.11018519841152355</x:v>
      </x:c>
      <x:c r="AO201" s="13" t="n">
        <x:v>0.18125278417693605</x:v>
      </x:c>
      <x:c r="AP201" s="13" t="n">
        <x:v>0.6482222861947741</x:v>
      </x:c>
    </x:row>
    <x:row r="202" ht="15" hidden="0" customHeight="1">
      <x:c r="A202" s="2" t="str">
        <x:v>E201</x:v>
      </x:c>
      <x:c r="B202" s="2" t="str">
        <x:v>***物流有限责任公司</x:v>
      </x:c>
      <x:c r="C202" s="2" t="str">
        <x:v>无信贷记录</x:v>
      </x:c>
      <x:c r="D202" s="2" t="str"/>
      <x:c r="E202" s="2" t="str"/>
      <x:c r="F202" s="13" t="n">
        <x:v>0.035731051330122034</x:v>
      </x:c>
      <x:c r="G202" s="13" t="n">
        <x:v>0.035174407070895135</x:v>
      </x:c>
      <x:c r="H202" s="13" t="n">
        <x:v>0.03090909090909091</x:v>
      </x:c>
      <x:c r="I202" s="13" t="n">
        <x:v>0.006677350427350438</x:v>
      </x:c>
      <x:c r="J202" s="13" t="n">
        <x:v>0.14978353827103982</x:v>
      </x:c>
      <x:c r="K202" s="13" t="n">
        <x:v>0.14879472730923024</x:v>
      </x:c>
      <x:c r="L202" s="13" t="n">
        <x:v>0.06469431934111325</x:v>
      </x:c>
      <x:c r="M202" s="13" t="n">
        <x:v>0.27791750503018114</x:v>
      </x:c>
      <x:c r="N202" s="13" t="n">
        <x:v>0.04449770484215483</x:v>
      </x:c>
      <x:c r="O202" s="13" t="n">
        <x:v>0.13726440342312884</x:v>
      </x:c>
      <x:c r="P202" s="13" t="n">
        <x:v>0.25856263503118143</x:v>
      </x:c>
      <x:c r="Q202" s="13" t="n">
        <x:v>0.15060975466766038</x:v>
      </x:c>
      <x:c r="R202" s="13" t="n">
        <x:v>0.26741685139991384</x:v>
      </x:c>
      <x:c r="S202" s="13" t="n">
        <x:v>0.777188889243463</x:v>
      </x:c>
      <x:c r="T202" s="13" t="n">
        <x:v>0.9444444444444444</x:v>
      </x:c>
      <x:c r="U202" s="13" t="n">
        <x:v>0.10462511575894194</x:v>
      </x:c>
      <x:c r="V202" s="13" t="n">
        <x:v>0.10052967327482924</x:v>
      </x:c>
      <x:c r="W202" s="13" t="n">
        <x:v>0.15189685832839372</x:v>
      </x:c>
      <x:c r="X202" s="13" t="n">
        <x:v>0.0453463326153498</x:v>
      </x:c>
      <x:c r="Y202" s="13" t="n">
        <x:v>0.07855650465053869</x:v>
      </x:c>
      <x:c r="Z202" s="13" t="n">
        <x:v>0.05241111599490793</x:v>
      </x:c>
      <x:c r="AA202" s="13" t="n">
        <x:v>0.0638863714026773</x:v>
      </x:c>
      <x:c r="AB202" s="13" t="n">
        <x:v>0.1252492744426002</x:v>
      </x:c>
      <x:c r="AC202" s="13" t="n">
        <x:v>0.08279140415484858</x:v>
      </x:c>
      <x:c r="AD202" s="13" t="n">
        <x:v>0.07414895439143536</x:v>
      </x:c>
      <x:c r="AE202" s="13" t="n">
        <x:v>0.19531244297354317</x:v>
      </x:c>
      <x:c r="AF202" s="13" t="n">
        <x:v>0.07735612819292538</x:v>
      </x:c>
      <x:c r="AG202" s="13" t="n">
        <x:v>0.33297112718004973</x:v>
      </x:c>
      <x:c r="AH202" s="13" t="n">
        <x:v>0.8064993061328551</x:v>
      </x:c>
      <x:c r="AI202" s="13" t="n">
        <x:v>0.9705882352941176</x:v>
      </x:c>
      <x:c r="AJ202" s="13" t="n">
        <x:v>0.16241842210354276</x:v>
      </x:c>
      <x:c r="AK202" s="13" t="n">
        <x:v>0.03870147309972551</x:v>
      </x:c>
      <x:c r="AL202" s="13" t="n">
        <x:v>0.230695325398435</x:v>
      </x:c>
      <x:c r="AM202" s="13" t="n">
        <x:v>0.10660980810234551</x:v>
      </x:c>
      <x:c r="AN202" s="13" t="n">
        <x:v>0.10316492894895708</x:v>
      </x:c>
      <x:c r="AO202" s="13" t="n">
        <x:v>0.3460723086909584</x:v>
      </x:c>
      <x:c r="AP202" s="13" t="n">
        <x:v>0.7845407392833673</x:v>
      </x:c>
    </x:row>
    <x:row r="203" ht="15" hidden="0" customHeight="1">
      <x:c r="A203" s="2" t="str">
        <x:v>E202</x:v>
      </x:c>
      <x:c r="B203" s="2" t="str">
        <x:v>个体经营E202 </x:v>
      </x:c>
      <x:c r="C203" s="2" t="str">
        <x:v>无信贷记录</x:v>
      </x:c>
      <x:c r="D203" s="2" t="str"/>
      <x:c r="E203" s="2" t="str"/>
      <x:c r="F203" s="13" t="n">
        <x:v>0.03004996367093945</x:v>
      </x:c>
      <x:c r="G203" s="13" t="n">
        <x:v>0.027620684077362342</x:v>
      </x:c>
      <x:c r="H203" s="13" t="n">
        <x:v>0.07272727272727272</x:v>
      </x:c>
      <x:c r="I203" s="13" t="n">
        <x:v>0.013354700854700877</x:v>
      </x:c>
      <x:c r="J203" s="13" t="n">
        <x:v>0.03890914744832623</x:v>
      </x:c>
      <x:c r="K203" s="13" t="n">
        <x:v>0.039230395010870986</x:v>
      </x:c>
      <x:c r="L203" s="13" t="n">
        <x:v>0.06718256239269452</x:v>
      </x:c>
      <x:c r="M203" s="13" t="n">
        <x:v>0.7769388608881012</x:v>
      </x:c>
      <x:c r="N203" s="13" t="n">
        <x:v>0.11320020517537191</x:v>
      </x:c>
      <x:c r="O203" s="13" t="n">
        <x:v>0.08280899291544487</x:v>
      </x:c>
      <x:c r="P203" s="13" t="n">
        <x:v>0.1304698497649957</x:v>
      </x:c>
      <x:c r="Q203" s="13" t="n">
        <x:v>0.04257391984275941</x:v>
      </x:c>
      <x:c r="R203" s="13" t="n">
        <x:v>0.16536629110491213</x:v>
      </x:c>
      <x:c r="S203" s="13" t="n">
        <x:v>0.4792290826665357</x:v>
      </x:c>
      <x:c r="T203" s="13" t="n">
        <x:v>0.8888888888888888</x:v>
      </x:c>
      <x:c r="U203" s="13" t="n">
        <x:v>0.09580122660795733</x:v>
      </x:c>
      <x:c r="V203" s="13" t="n">
        <x:v>0.10164948992351663</x:v>
      </x:c>
      <x:c r="W203" s="13" t="n">
        <x:v>0.012349338075479164</x:v>
      </x:c>
      <x:c r="X203" s="13" t="n">
        <x:v>0</x:v>
      </x:c>
      <x:c r="Y203" s="13" t="n">
        <x:v>0.159582681187643</x:v>
      </x:c>
      <x:c r="Z203" s="13" t="n">
        <x:v>0.10541766492068626</x:v>
      </x:c>
      <x:c r="AA203" s="13" t="n">
        <x:v>0.0011142971756280926</x:v>
      </x:c>
      <x:c r="AB203" s="13" t="n">
        <x:v>0.01111276806864394</x:v>
      </x:c>
      <x:c r="AC203" s="13" t="n">
        <x:v>0</x:v>
      </x:c>
      <x:c r="AD203" s="13" t="n">
        <x:v>0.9230886616470644</x:v>
      </x:c>
      <x:c r="AE203" s="13" t="n">
        <x:v>0.9588889855577803</x:v>
      </x:c>
      <x:c r="AF203" s="13" t="n">
        <x:v>0.16618299341350387</x:v>
      </x:c>
      <x:c r="AG203" s="13" t="n">
        <x:v>0.25612062664590274</x:v>
      </x:c>
      <x:c r="AH203" s="13" t="n">
        <x:v>0.44709479216595843</x:v>
      </x:c>
      <x:c r="AI203" s="13" t="n">
        <x:v>0.8235294117647058</x:v>
      </x:c>
      <x:c r="AJ203" s="13" t="n">
        <x:v>0.34846583867601644</x:v>
      </x:c>
      <x:c r="AK203" s="13" t="n">
        <x:v>0.005063259630619651</x:v>
      </x:c>
      <x:c r="AL203" s="13" t="n">
        <x:v>0.08966379783564843</x:v>
      </x:c>
      <x:c r="AM203" s="13" t="n">
        <x:v>0.01328971580453896</x:v>
      </x:c>
      <x:c r="AN203" s="13" t="n">
        <x:v>0.573054201582097</x:v>
      </x:c>
      <x:c r="AO203" s="13" t="n">
        <x:v>0.2326910763161817</x:v>
      </x:c>
      <x:c r="AP203" s="13" t="n">
        <x:v>0.41317363377992355</x:v>
      </x:c>
    </x:row>
    <x:row r="204" ht="15" hidden="0" customHeight="1">
      <x:c r="A204" s="2" t="str">
        <x:v>E203</x:v>
      </x:c>
      <x:c r="B204" s="2" t="str">
        <x:v>***建设工程有限公司</x:v>
      </x:c>
      <x:c r="C204" s="2" t="str">
        <x:v>无信贷记录</x:v>
      </x:c>
      <x:c r="D204" s="2" t="str"/>
      <x:c r="E204" s="2" t="str"/>
      <x:c r="F204" s="13" t="n">
        <x:v>0.09007513985940804</x:v>
      </x:c>
      <x:c r="G204" s="13" t="n">
        <x:v>0.08698226477401401</x:v>
      </x:c>
      <x:c r="H204" s="13" t="n">
        <x:v>0.11818181818181818</x:v>
      </x:c>
      <x:c r="I204" s="13" t="n">
        <x:v>0.020032051282051315</x:v>
      </x:c>
      <x:c r="J204" s="13" t="n">
        <x:v>0.08584549298505259</x:v>
      </x:c>
      <x:c r="K204" s="13" t="n">
        <x:v>0.08624969350402951</x:v>
      </x:c>
      <x:c r="L204" s="13" t="n">
        <x:v>0.21150065938440868</x:v>
      </x:c>
      <x:c r="M204" s="13" t="n">
        <x:v>0.422585221352973</x:v>
      </x:c>
      <x:c r="N204" s="13" t="n">
        <x:v>0.05412198951466993</x:v>
      </x:c>
      <x:c r="O204" s="13" t="n">
        <x:v>0.07458285597961839</x:v>
      </x:c>
      <x:c r="P204" s="13" t="n">
        <x:v>0.17909937502726841</x:v>
      </x:c>
      <x:c r="Q204" s="13" t="n">
        <x:v>0.08871561182244946</x:v>
      </x:c>
      <x:c r="R204" s="13" t="n">
        <x:v>0.1721138951281632</x:v>
      </x:c>
      <x:c r="S204" s="13" t="n">
        <x:v>0.7239922051477232</x:v>
      </x:c>
      <x:c r="T204" s="13" t="n">
        <x:v>0.8888888888888888</x:v>
      </x:c>
      <x:c r="U204" s="13" t="n">
        <x:v>0.05482692946130599</x:v>
      </x:c>
      <x:c r="V204" s="13" t="n">
        <x:v>0.05331073792184432</x:v>
      </x:c>
      <x:c r="W204" s="13" t="n">
        <x:v>0.07286109464532707</x:v>
      </x:c>
      <x:c r="X204" s="13" t="n">
        <x:v>0.005668291576918725</x:v>
      </x:c>
      <x:c r="Y204" s="13" t="n">
        <x:v>0.0773549092874959</x:v>
      </x:c>
      <x:c r="Z204" s="13" t="n">
        <x:v>0.05111891421305087</x:v>
      </x:c>
      <x:c r="AA204" s="13" t="n">
        <x:v>0.010771539364404895</x:v>
      </x:c>
      <x:c r="AB204" s="13" t="n">
        <x:v>0.11383870762186682</x:v>
      </x:c>
      <x:c r="AC204" s="13" t="n">
        <x:v>0.019408711527650488</x:v>
      </x:c>
      <x:c r="AD204" s="13" t="n">
        <x:v>0.3724602194252244</x:v>
      </x:c>
      <x:c r="AE204" s="13" t="n">
        <x:v>0.5181748381070272</x:v>
      </x:c>
      <x:c r="AF204" s="13" t="n">
        <x:v>0.07617217745137658</x:v>
      </x:c>
      <x:c r="AG204" s="13" t="n">
        <x:v>0.39125863120732607</x:v>
      </x:c>
      <x:c r="AH204" s="13" t="n">
        <x:v>0.6305157904288318</x:v>
      </x:c>
      <x:c r="AI204" s="13" t="n">
        <x:v>0.8529411764705882</x:v>
      </x:c>
      <x:c r="AJ204" s="13" t="n">
        <x:v>0.2008306682071073</x:v>
      </x:c>
      <x:c r="AK204" s="13" t="n">
        <x:v>0.022993900086471827</x:v>
      </x:c>
      <x:c r="AL204" s="13" t="n">
        <x:v>0.18618042438936458</x:v>
      </x:c>
      <x:c r="AM204" s="13" t="n">
        <x:v>0.028202013189864653</x:v>
      </x:c>
      <x:c r="AN204" s="13" t="n">
        <x:v>0.2421864392259082</x:v>
      </x:c>
      <x:c r="AO204" s="13" t="n">
        <x:v>0.306081339286433</x:v>
      </x:c>
      <x:c r="AP204" s="13" t="n">
        <x:v>0.6641964737872842</x:v>
      </x:c>
    </x:row>
    <x:row r="205" ht="15" hidden="0" customHeight="1">
      <x:c r="A205" s="2" t="str">
        <x:v>E204</x:v>
      </x:c>
      <x:c r="B205" s="2" t="str">
        <x:v>***科技发展有限公司</x:v>
      </x:c>
      <x:c r="C205" s="2" t="str">
        <x:v>无信贷记录</x:v>
      </x:c>
      <x:c r="D205" s="2" t="str"/>
      <x:c r="E205" s="2" t="str"/>
      <x:c r="F205" s="13" t="n">
        <x:v>0.38982726503469955</x:v>
      </x:c>
      <x:c r="G205" s="13" t="n">
        <x:v>0.3835612675604986</x:v>
      </x:c>
      <x:c r="H205" s="13" t="n">
        <x:v>0.3418181818181818</x:v>
      </x:c>
      <x:c r="I205" s="13" t="n">
        <x:v>0.3071581196581201</x:v>
      </x:c>
      <x:c r="J205" s="13" t="n">
        <x:v>0.2250286619365901</x:v>
      </x:c>
      <x:c r="K205" s="13" t="n">
        <x:v>0.23041627880720048</x:v>
      </x:c>
      <x:c r="L205" s="13" t="n">
        <x:v>0.7539376446291274</x:v>
      </x:c>
      <x:c r="M205" s="13" t="n">
        <x:v>0.28277774756648005</x:v>
      </x:c>
      <x:c r="N205" s="13" t="n">
        <x:v>0.18844941692746342</x:v>
      </x:c>
      <x:c r="O205" s="13" t="n">
        <x:v>0.01081461930742854</x:v>
      </x:c>
      <x:c r="P205" s="13" t="n">
        <x:v>0.026849229950005854</x:v>
      </x:c>
      <x:c r="Q205" s="13" t="n">
        <x:v>0.22627142094284095</x:v>
      </x:c>
      <x:c r="R205" s="13" t="n">
        <x:v>0.07679747436914372</x:v>
      </x:c>
      <x:c r="S205" s="13" t="n">
        <x:v>0.517618244487293</x:v>
      </x:c>
      <x:c r="T205" s="13" t="n">
        <x:v>0.9722222222222222</x:v>
      </x:c>
      <x:c r="U205" s="13" t="n">
        <x:v>0.1459488738620679</x:v>
      </x:c>
      <x:c r="V205" s="13" t="n">
        <x:v>0.12432577705943627</x:v>
      </x:c>
      <x:c r="W205" s="13" t="n">
        <x:v>0.4211124283738395</x:v>
      </x:c>
      <x:c r="X205" s="13" t="n">
        <x:v>0.09352681101915897</x:v>
      </x:c>
      <x:c r="Y205" s="13" t="n">
        <x:v>0.15485191544288135</x:v>
      </x:c>
      <x:c r="Z205" s="13" t="n">
        <x:v>0.10636266737901547</x:v>
      </x:c>
      <x:c r="AA205" s="13" t="n">
        <x:v>0.15451587502042885</x:v>
      </x:c>
      <x:c r="AB205" s="13" t="n">
        <x:v>0.24947238250099923</x:v>
      </x:c>
      <x:c r="AC205" s="13" t="n">
        <x:v>0.13823814924511033</x:v>
      </x:c>
      <x:c r="AD205" s="13" t="n">
        <x:v>0.019400608036640777</x:v>
      </x:c>
      <x:c r="AE205" s="13" t="n">
        <x:v>0.04016940567775474</x:v>
      </x:c>
      <x:c r="AF205" s="13" t="n">
        <x:v>0.1525311920810073</x:v>
      </x:c>
      <x:c r="AG205" s="13" t="n">
        <x:v>0.1219503081315784</x:v>
      </x:c>
      <x:c r="AH205" s="13" t="n">
        <x:v>0.5165509139108211</x:v>
      </x:c>
      <x:c r="AI205" s="13" t="n">
        <x:v>0.9705882352941176</x:v>
      </x:c>
      <x:c r="AJ205" s="13" t="n">
        <x:v>0.22482505941618813</x:v>
      </x:c>
      <x:c r="AK205" s="13" t="n">
        <x:v>0.02954685929995098</x:v>
      </x:c>
      <x:c r="AL205" s="13" t="n">
        <x:v>0.21291604621501864</x:v>
      </x:c>
      <x:c r="AM205" s="13" t="n">
        <x:v>0.1203545713642842</x:v>
      </x:c>
      <x:c r="AN205" s="13" t="n">
        <x:v>0</x:v>
      </x:c>
      <x:c r="AO205" s="13" t="n">
        <x:v>0.10010341878882764</x:v>
      </x:c>
      <x:c r="AP205" s="13" t="n">
        <x:v>0.47220933692138206</x:v>
      </x:c>
    </x:row>
    <x:row r="206" ht="15" hidden="0" customHeight="1">
      <x:c r="A206" s="2" t="str">
        <x:v>E205</x:v>
      </x:c>
      <x:c r="B206" s="2" t="str">
        <x:v>个体经营E205 </x:v>
      </x:c>
      <x:c r="C206" s="2" t="str">
        <x:v>无信贷记录</x:v>
      </x:c>
      <x:c r="D206" s="2" t="str"/>
      <x:c r="E206" s="2" t="str"/>
      <x:c r="F206" s="13" t="n">
        <x:v>0.011137921858134272</x:v>
      </x:c>
      <x:c r="G206" s="13" t="n">
        <x:v>0.010300531354817448</x:v>
      </x:c>
      <x:c r="H206" s="13" t="n">
        <x:v>0.025454545454545455</x:v>
      </x:c>
      <x:c r="I206" s="13" t="n">
        <x:v>0.006677350427350438</x:v>
      </x:c>
      <x:c r="J206" s="13" t="n">
        <x:v>0.09403770585525982</x:v>
      </x:c>
      <x:c r="K206" s="13" t="n">
        <x:v>0.10016122538699208</x:v>
      </x:c>
      <x:c r="L206" s="13" t="n">
        <x:v>0.008708850680534475</x:v>
      </x:c>
      <x:c r="M206" s="13" t="n">
        <x:v>0.7275440723813079</x:v>
      </x:c>
      <x:c r="N206" s="13" t="n">
        <x:v>0.15038275432056705</x:v>
      </x:c>
      <x:c r="O206" s="13" t="n">
        <x:v>0.3916643900205039</x:v>
      </x:c>
      <x:c r="P206" s="13" t="n">
        <x:v>0.5874646011074872</x:v>
      </x:c>
      <x:c r="Q206" s="13" t="n">
        <x:v>0.12494967642727532</x:v>
      </x:c>
      <x:c r="R206" s="13" t="n">
        <x:v>0.08353508335933882</x:v>
      </x:c>
      <x:c r="S206" s="13" t="n">
        <x:v>0.6344371648149972</x:v>
      </x:c>
      <x:c r="T206" s="13" t="n">
        <x:v>0.6944444444444444</x:v>
      </x:c>
      <x:c r="U206" s="13" t="n">
        <x:v>0.08723943317432868</x:v>
      </x:c>
      <x:c r="V206" s="13" t="n">
        <x:v>0.08961146095012719</x:v>
      </x:c>
      <x:c r="W206" s="13" t="n">
        <x:v>0.050632286109464575</x:v>
      </x:c>
      <x:c r="X206" s="13" t="n">
        <x:v>0.025507312096134264</x:v>
      </x:c>
      <x:c r="Y206" s="13" t="n">
        <x:v>0.12845844124097433</x:v>
      </x:c>
      <x:c r="Z206" s="13" t="n">
        <x:v>0.08638761328085146</x:v>
      </x:c>
      <x:c r="AA206" s="13" t="n">
        <x:v>0.02562883503944613</x:v>
      </x:c>
      <x:c r="AB206" s="13" t="n">
        <x:v>0.04999202190880239</x:v>
      </x:c>
      <x:c r="AC206" s="13" t="n">
        <x:v>0.05220481766641047</x:v>
      </x:c>
      <x:c r="AD206" s="13" t="n">
        <x:v>0.07718809146350057</x:v>
      </x:c>
      <x:c r="AE206" s="13" t="n">
        <x:v>0.17794836395029426</x:v>
      </x:c>
      <x:c r="AF206" s="13" t="n">
        <x:v>0.13004380537671134</x:v>
      </x:c>
      <x:c r="AG206" s="13" t="n">
        <x:v>0.038786019863448096</x:v>
      </x:c>
      <x:c r="AH206" s="13" t="n">
        <x:v>0.48291027283724713</x:v>
      </x:c>
      <x:c r="AI206" s="13" t="n">
        <x:v>0.9411764705882353</x:v>
      </x:c>
      <x:c r="AJ206" s="13" t="n">
        <x:v>0.2691285911646221</x:v>
      </x:c>
      <x:c r="AK206" s="13" t="n">
        <x:v>0.015804576007600164</x:v>
      </x:c>
      <x:c r="AL206" s="13" t="n">
        <x:v>0.13021903156188494</x:v>
      </x:c>
      <x:c r="AM206" s="13" t="n">
        <x:v>0.08787583820030291</x:v>
      </x:c>
      <x:c r="AN206" s="13" t="n">
        <x:v>0.257407557782123</x:v>
      </x:c>
      <x:c r="AO206" s="13" t="n">
        <x:v>0.06288306530339331</x:v>
      </x:c>
      <x:c r="AP206" s="13" t="n">
        <x:v>0.5334475597283134</x:v>
      </x:c>
    </x:row>
    <x:row r="207" ht="15" hidden="0" customHeight="1">
      <x:c r="A207" s="2" t="str">
        <x:v>E206</x:v>
      </x:c>
      <x:c r="B207" s="2" t="str">
        <x:v>***建设工程有限公司</x:v>
      </x:c>
      <x:c r="C207" s="2" t="str">
        <x:v>无信贷记录</x:v>
      </x:c>
      <x:c r="D207" s="2" t="str"/>
      <x:c r="E207" s="2" t="str"/>
      <x:c r="F207" s="13" t="n">
        <x:v>0.2748599910896626</x:v>
      </x:c>
      <x:c r="G207" s="13" t="n">
        <x:v>0.27124732567685944</x:v>
      </x:c>
      <x:c r="H207" s="13" t="n">
        <x:v>0.22181818181818183</x:v>
      </x:c>
      <x:c r="I207" s="13" t="n">
        <x:v>0.04006410256410263</x:v>
      </x:c>
      <x:c r="J207" s="13" t="n">
        <x:v>0.26457583485717545</x:v>
      </x:c>
      <x:c r="K207" s="13" t="n">
        <x:v>0.2645110227774478</x:v>
      </x:c>
      <x:c r="L207" s="13" t="n">
        <x:v>0.5536340789768345</x:v>
      </x:c>
      <x:c r="M207" s="13" t="n">
        <x:v>0.2602185551471373</x:v>
      </x:c>
      <x:c r="N207" s="13" t="n">
        <x:v>0.03475249481346812</x:v>
      </x:c>
      <x:c r="O207" s="13" t="n">
        <x:v>0.025616039811492155</x:v>
      </x:c>
      <x:c r="P207" s="13" t="n">
        <x:v>0.051176833345753875</x:v>
      </x:c>
      <x:c r="Q207" s="13" t="n">
        <x:v>0.26603751944703036</x:v>
      </x:c>
      <x:c r="R207" s="13" t="n">
        <x:v>0.16910892723103013</x:v>
      </x:c>
      <x:c r="S207" s="13" t="n">
        <x:v>0.6472294358749585</x:v>
      </x:c>
      <x:c r="T207" s="13" t="n">
        <x:v>0.9722222222222222</x:v>
      </x:c>
      <x:c r="U207" s="13" t="n">
        <x:v>0.083307997413989</x:v>
      </x:c>
      <x:c r="V207" s="13" t="n">
        <x:v>0.08457228603103395</x:v>
      </x:c>
      <x:c r="W207" s="13" t="n">
        <x:v>0.06174669037739582</x:v>
      </x:c>
      <x:c r="X207" s="13" t="n">
        <x:v>0.0028341457884593626</x:v>
      </x:c>
      <x:c r="Y207" s="13" t="n">
        <x:v>0.15381815730064508</x:v>
      </x:c>
      <x:c r="Z207" s="13" t="n">
        <x:v>0.10167844841831225</x:v>
      </x:c>
      <x:c r="AA207" s="13" t="n">
        <x:v>0.1155154738734456</x:v>
      </x:c>
      <x:c r="AB207" s="13" t="n">
        <x:v>0.06381475329138213</x:v>
      </x:c>
      <x:c r="AC207" s="13" t="n">
        <x:v>0.006143611863626496</x:v>
      </x:c>
      <x:c r="AD207" s="13" t="n">
        <x:v>0.08600866594778517</x:v>
      </x:c>
      <x:c r="AE207" s="13" t="n">
        <x:v>0.25850237226462763</x:v>
      </x:c>
      <x:c r="AF207" s="13" t="n">
        <x:v>0.15151261398331609</x:v>
      </x:c>
      <x:c r="AG207" s="13" t="n">
        <x:v>0.2685556215622129</x:v>
      </x:c>
      <x:c r="AH207" s="13" t="n">
        <x:v>0.5938823575893325</x:v>
      </x:c>
      <x:c r="AI207" s="13" t="n">
        <x:v>0.7352941176470589</x:v>
      </x:c>
      <x:c r="AJ207" s="13" t="n">
        <x:v>0.19851250291605804</x:v>
      </x:c>
      <x:c r="AK207" s="13" t="n">
        <x:v>0.03548352588165123</x:v>
      </x:c>
      <x:c r="AL207" s="13" t="n">
        <x:v>0.1008061058877667</x:v>
      </x:c>
      <x:c r="AM207" s="13" t="n">
        <x:v>0.015192493906307402</x:v>
      </x:c>
      <x:c r="AN207" s="13" t="n">
        <x:v>0.04328230672928988</x:v>
      </x:c>
      <x:c r="AO207" s="13" t="n">
        <x:v>0.2417215050698082</x:v>
      </x:c>
      <x:c r="AP207" s="13" t="n">
        <x:v>0.5955673632020329</x:v>
      </x:c>
    </x:row>
    <x:row r="208" ht="15" hidden="0" customHeight="1">
      <x:c r="A208" s="2" t="str">
        <x:v>E207</x:v>
      </x:c>
      <x:c r="B208" s="2" t="str">
        <x:v>个体经营E207 </x:v>
      </x:c>
      <x:c r="C208" s="2" t="str">
        <x:v>无信贷记录</x:v>
      </x:c>
      <x:c r="D208" s="2" t="str"/>
      <x:c r="E208" s="2" t="str"/>
      <x:c r="F208" s="13" t="n">
        <x:v>0.25295790314044553</x:v>
      </x:c>
      <x:c r="G208" s="13" t="n">
        <x:v>0.2514855655220615</x:v>
      </x:c>
      <x:c r="H208" s="13" t="n">
        <x:v>0.16</x:v>
      </x:c>
      <x:c r="I208" s="13" t="n">
        <x:v>0.08680555555555569</x:v>
      </x:c>
      <x:c r="J208" s="13" t="n">
        <x:v>0.2628457674726831</x:v>
      </x:c>
      <x:c r="K208" s="13" t="n">
        <x:v>0.2634181861307481</x:v>
      </x:c>
      <x:c r="L208" s="13" t="n">
        <x:v>0.16609022369305035</x:v>
      </x:c>
      <x:c r="M208" s="13" t="n">
        <x:v>0.20394071457688845</x:v>
      </x:c>
      <x:c r="N208" s="13" t="n">
        <x:v>0.0812103351864554</x:v>
      </x:c>
      <x:c r="O208" s="13" t="n">
        <x:v>0.06783451806198806</x:v>
      </x:c>
      <x:c r="P208" s="13" t="n">
        <x:v>0.17353658693837387</x:v>
      </x:c>
      <x:c r="Q208" s="13" t="n">
        <x:v>0.3154532473224736</x:v>
      </x:c>
      <x:c r="R208" s="13" t="n">
        <x:v>0.1972970320491655</x:v>
      </x:c>
      <x:c r="S208" s="13" t="n">
        <x:v>0.47615950376868577</x:v>
      </x:c>
      <x:c r="T208" s="13" t="n">
        <x:v>0.8055555555555556</x:v>
      </x:c>
      <x:c r="U208" s="13" t="n">
        <x:v>0.1265537907777255</x:v>
      </x:c>
      <x:c r="V208" s="13" t="n">
        <x:v>0.1293649519785295</x:v>
      </x:c>
      <x:c r="W208" s="13" t="n">
        <x:v>0.08027069749061456</x:v>
      </x:c>
      <x:c r="X208" s="13" t="n">
        <x:v>0.028341457884593628</x:v>
      </x:c>
      <x:c r="Y208" s="13" t="n">
        <x:v>0.19314370379109885</x:v>
      </x:c>
      <x:c r="Z208" s="13" t="n">
        <x:v>0.1293753663497759</x:v>
      </x:c>
      <x:c r="AA208" s="13" t="n">
        <x:v>0.005571485878140463</x:v>
      </x:c>
      <x:c r="AB208" s="13" t="n">
        <x:v>0.05479402581994601</x:v>
      </x:c>
      <x:c r="AC208" s="13" t="n">
        <x:v>0.04026645823037323</x:v>
      </x:c>
      <x:c r="AD208" s="13" t="n">
        <x:v>0.5860975597898069</x:v>
      </x:c>
      <x:c r="AE208" s="13" t="n">
        <x:v>0.7435912317839056</x:v>
      </x:c>
      <x:c r="AF208" s="13" t="n">
        <x:v>0.20114080643828816</x:v>
      </x:c>
      <x:c r="AG208" s="13" t="n">
        <x:v>0.31557765351700173</x:v>
      </x:c>
      <x:c r="AH208" s="13" t="n">
        <x:v>0.47222565007214673</x:v>
      </x:c>
      <x:c r="AI208" s="13" t="n">
        <x:v>0.8235294117647058</x:v>
      </x:c>
      <x:c r="AJ208" s="13" t="n">
        <x:v>0.25611330879605776</x:v>
      </x:c>
      <x:c r="AK208" s="13" t="n">
        <x:v>0.02777250248564497</x:v>
      </x:c>
      <x:c r="AL208" s="13" t="n">
        <x:v>0.08534556891420068</x:v>
      </x:c>
      <x:c r="AM208" s="13" t="n">
        <x:v>0.047566473749351766</x:v>
      </x:c>
      <x:c r="AN208" s="13" t="n">
        <x:v>0.3646029106052867</x:v>
      </x:c>
      <x:c r="AO208" s="13" t="n">
        <x:v>0.2861082309200147</x:v>
      </x:c>
      <x:c r="AP208" s="13" t="n">
        <x:v>0.42328319196572145</x:v>
      </x:c>
    </x:row>
    <x:row r="209" ht="15" hidden="0" customHeight="1">
      <x:c r="A209" s="2" t="str">
        <x:v>E208</x:v>
      </x:c>
      <x:c r="B209" s="2" t="str">
        <x:v>个体经营E208 </x:v>
      </x:c>
      <x:c r="C209" s="2" t="str">
        <x:v>无信贷记录</x:v>
      </x:c>
      <x:c r="D209" s="2" t="str"/>
      <x:c r="E209" s="2" t="str"/>
      <x:c r="F209" s="13" t="n">
        <x:v>0.07280762342162941</x:v>
      </x:c>
      <x:c r="G209" s="13" t="n">
        <x:v>0.07332452319984864</x:v>
      </x:c>
      <x:c r="H209" s="13" t="n">
        <x:v>0.023636363636363636</x:v>
      </x:c>
      <x:c r="I209" s="13" t="n">
        <x:v>0.006677350427350438</x:v>
      </x:c>
      <x:c r="J209" s="13" t="n">
        <x:v>0.30053561977440724</x:v>
      </x:c>
      <x:c r="K209" s="13" t="n">
        <x:v>0.29840710175435003</x:v>
      </x:c>
      <x:c r="L209" s="13" t="n">
        <x:v>0.026748612804498743</x:v>
      </x:c>
      <x:c r="M209" s="13" t="n">
        <x:v>0.10452056601906524</x:v>
      </x:c>
      <x:c r="N209" s="13" t="n">
        <x:v>0.0213940159313787</x:v>
      </x:c>
      <x:c r="O209" s="13" t="n">
        <x:v>0.3237542061629807</x:v>
      </x:c>
      <x:c r="P209" s="13" t="n">
        <x:v>0.5065316909547529</x:v>
      </x:c>
      <x:c r="Q209" s="13" t="n">
        <x:v>0.31059085014456506</x:v>
      </x:c>
      <x:c r="R209" s="13" t="n">
        <x:v>0.07059319210560297</x:v>
      </x:c>
      <x:c r="S209" s="13" t="n">
        <x:v>0.5424545144382503</x:v>
      </x:c>
      <x:c r="T209" s="13" t="n">
        <x:v>0.9444444444444444</x:v>
      </x:c>
      <x:c r="U209" s="13" t="n">
        <x:v>0.08898673795670188</x:v>
      </x:c>
      <x:c r="V209" s="13" t="n">
        <x:v>0.08307919716611742</x:v>
      </x:c>
      <x:c r="W209" s="13" t="n">
        <x:v>0.16177632878877707</x:v>
      </x:c>
      <x:c r="X209" s="13" t="n">
        <x:v>0.056682915769187256</x:v>
      </x:c>
      <x:c r="Y209" s="13" t="n">
        <x:v>0.13073398890899354</x:v>
      </x:c>
      <x:c r="Z209" s="13" t="n">
        <x:v>0.0903132243337742</x:v>
      </x:c>
      <x:c r="AA209" s="13" t="n">
        <x:v>0.03305748287696675</x:v>
      </x:c>
      <x:c r="AB209" s="13" t="n">
        <x:v>0.15662300723672623</x:v>
      </x:c>
      <x:c r="AC209" s="13" t="n">
        <x:v>0.12506393827181697</x:v>
      </x:c>
      <x:c r="AD209" s="13" t="n">
        <x:v>0.032993887541904694</x:v>
      </x:c>
      <x:c r="AE209" s="13" t="n">
        <x:v>0.0706293023306283</x:v>
      </x:c>
      <x:c r="AF209" s="13" t="n">
        <x:v>0.1323482196204333</x:v>
      </x:c>
      <x:c r="AG209" s="13" t="n">
        <x:v>0.1217319232851222</x:v>
      </x:c>
      <x:c r="AH209" s="13" t="n">
        <x:v>0.5035249382704131</x:v>
      </x:c>
      <x:c r="AI209" s="13" t="n">
        <x:v>0.9117647058823529</x:v>
      </x:c>
      <x:c r="AJ209" s="13" t="n">
        <x:v>0.14276341622483726</x:v>
      </x:c>
      <x:c r="AK209" s="13" t="n">
        <x:v>0.045068524058208485</x:v>
      </x:c>
      <x:c r="AL209" s="13" t="n">
        <x:v>0.1992194316435732</x:v>
      </x:c>
      <x:c r="AM209" s="13" t="n">
        <x:v>0.10953298025999045</x:v>
      </x:c>
      <x:c r="AN209" s="13" t="n">
        <x:v>0.19055358953242071</x:v>
      </x:c>
      <x:c r="AO209" s="13" t="n">
        <x:v>0.09546681796371391</x:v>
      </x:c>
      <x:c r="AP209" s="13" t="n">
        <x:v>0.482390031215882</x:v>
      </x:c>
    </x:row>
    <x:row r="210" ht="15" hidden="0" customHeight="1">
      <x:c r="A210" s="2" t="str">
        <x:v>E209</x:v>
      </x:c>
      <x:c r="B210" s="2" t="str">
        <x:v>***工程检测有限公司</x:v>
      </x:c>
      <x:c r="C210" s="2" t="str">
        <x:v>无信贷记录</x:v>
      </x:c>
      <x:c r="D210" s="2" t="str"/>
      <x:c r="E210" s="2" t="str"/>
      <x:c r="F210" s="13" t="n">
        <x:v>0.6247701402032635</x:v>
      </x:c>
      <x:c r="G210" s="13" t="n">
        <x:v>0.6200156873277525</x:v>
      </x:c>
      <x:c r="H210" s="13" t="n">
        <x:v>0.4218181818181818</x:v>
      </x:c>
      <x:c r="I210" s="13" t="n">
        <x:v>0.12019230769230788</x:v>
      </x:c>
      <x:c r="J210" s="13" t="n">
        <x:v>0.15840664836842763</x:v>
      </x:c>
      <x:c r="K210" s="13" t="n">
        <x:v>0.1582758049765932</x:v>
      </x:c>
      <x:c r="L210" s="13" t="n">
        <x:v>0.9971634029211974</x:v>
      </x:c>
      <x:c r="M210" s="13" t="n">
        <x:v>0.2177659256977271</x:v>
      </x:c>
      <x:c r="N210" s="13" t="n">
        <x:v>0.04562547639696338</x:v>
      </x:c>
      <x:c r="O210" s="13" t="n">
        <x:v>0.01180910115495557</x:v>
      </x:c>
      <x:c r="P210" s="13" t="n">
        <x:v>0.06886951914482108</x:v>
      </x:c>
      <x:c r="Q210" s="13" t="n">
        <x:v>0.15928060065287875</x:v>
      </x:c>
      <x:c r="R210" s="13" t="n">
        <x:v>0.14247839915718974</x:v>
      </x:c>
      <x:c r="S210" s="13" t="n">
        <x:v>0.6725744559649652</x:v>
      </x:c>
      <x:c r="T210" s="13" t="n">
        <x:v>0.9722222222222222</x:v>
      </x:c>
      <x:c r="U210" s="13" t="n">
        <x:v>0.1280389998427427</x:v>
      </x:c>
      <x:c r="V210" s="13" t="n">
        <x:v>0.1135008827887915</x:v>
      </x:c>
      <x:c r="W210" s="13" t="n">
        <x:v>0.31120331950207497</x:v>
      </x:c>
      <x:c r="X210" s="13" t="n">
        <x:v>0.17288289309602112</x:v>
      </x:c>
      <x:c r="Y210" s="13" t="n">
        <x:v>0.10405082640690907</x:v>
      </x:c>
      <x:c r="Z210" s="13" t="n">
        <x:v>0.07667806298352944</x:v>
      </x:c>
      <x:c r="AA210" s="13" t="n">
        <x:v>0.21245932815308965</x:v>
      </x:c>
      <x:c r="AB210" s="13" t="n">
        <x:v>0.20998385179307727</x:v>
      </x:c>
      <x:c r="AC210" s="13" t="n">
        <x:v>0.2797679276540887</x:v>
      </x:c>
      <x:c r="AD210" s="13" t="n">
        <x:v>0.0088652874526779</x:v>
      </x:c>
      <x:c r="AE210" s="13" t="n">
        <x:v>0.013890847645112022</x:v>
      </x:c>
      <x:c r="AF210" s="13" t="n">
        <x:v>0.10247608294400215</x:v>
      </x:c>
      <x:c r="AG210" s="13" t="n">
        <x:v>0.14640940930851162</x:v>
      </x:c>
      <x:c r="AH210" s="13" t="n">
        <x:v>0.6594274587362492</x:v>
      </x:c>
      <x:c r="AI210" s="13" t="n">
        <x:v>0.9117647058823529</x:v>
      </x:c>
      <x:c r="AJ210" s="13" t="n">
        <x:v>0.19364286595999414</x:v>
      </x:c>
      <x:c r="AK210" s="13" t="n">
        <x:v>0.02814597757877232</x:v>
      </x:c>
      <x:c r="AL210" s="13" t="n">
        <x:v>0.13518813916410674</x:v>
      </x:c>
      <x:c r="AM210" s="13" t="n">
        <x:v>0.0819610641052039</x:v>
      </x:c>
      <x:c r="AN210" s="13" t="n">
        <x:v>0</x:v>
      </x:c>
      <x:c r="AO210" s="13" t="n">
        <x:v>0.1604091871414764</x:v>
      </x:c>
      <x:c r="AP210" s="13" t="n">
        <x:v>0.6440594429201228</x:v>
      </x:c>
    </x:row>
    <x:row r="211" ht="15" hidden="0" customHeight="1">
      <x:c r="A211" s="2" t="str">
        <x:v>E210</x:v>
      </x:c>
      <x:c r="B211" s="2" t="str">
        <x:v>***建筑工程有限公司</x:v>
      </x:c>
      <x:c r="C211" s="2" t="str">
        <x:v>无信贷记录</x:v>
      </x:c>
      <x:c r="D211" s="2" t="str"/>
      <x:c r="E211" s="2" t="str"/>
      <x:c r="F211" s="13" t="n">
        <x:v>0.04096363206884283</x:v>
      </x:c>
      <x:c r="G211" s="13" t="n">
        <x:v>0.040744324025722346</x:v>
      </x:c>
      <x:c r="H211" s="13" t="n">
        <x:v>0.025454545454545455</x:v>
      </x:c>
      <x:c r="I211" s="13" t="n">
        <x:v>0.020032051282051315</x:v>
      </x:c>
      <x:c r="J211" s="13" t="n">
        <x:v>0.021150690084088063</x:v>
      </x:c>
      <x:c r="K211" s="13" t="n">
        <x:v>0.021846983969681613</x:v>
      </x:c>
      <x:c r="L211" s="13" t="n">
        <x:v>0.0951752967229839</x:v>
      </x:c>
      <x:c r="M211" s="13" t="n">
        <x:v>0.19974391805377728</x:v>
      </x:c>
      <x:c r="N211" s="13" t="n">
        <x:v>0.11531214930177809</x:v>
      </x:c>
      <x:c r="O211" s="13" t="n">
        <x:v>0.09927194395312001</x:v>
      </x:c>
      <x:c r="P211" s="13" t="n">
        <x:v>0.205749595412479</x:v>
      </x:c>
      <x:c r="Q211" s="13" t="n">
        <x:v>0.025381536398034102</x:v>
      </x:c>
      <x:c r="R211" s="13" t="n">
        <x:v>0.21267103751009883</x:v>
      </x:c>
      <x:c r="S211" s="13" t="n">
        <x:v>0.6783700009569098</x:v>
      </x:c>
      <x:c r="T211" s="13" t="n">
        <x:v>0.7222222222222222</x:v>
      </x:c>
      <x:c r="U211" s="13" t="n">
        <x:v>0.051332319896559606</x:v>
      </x:c>
      <x:c r="V211" s="13" t="n">
        <x:v>0.05135105878664139</x:v>
      </x:c>
      <x:c r="W211" s="13" t="n">
        <x:v>0.04939735230191666</x:v>
      </x:c>
      <x:c r="X211" s="13" t="n">
        <x:v>0</x:v>
      </x:c>
      <x:c r="Y211" s="13" t="n">
        <x:v>0.08256258438564008</x:v>
      </x:c>
      <x:c r="Z211" s="13" t="n">
        <x:v>0.054537984868757765</x:v>
      </x:c>
      <x:c r="AA211" s="13" t="n">
        <x:v>0.0007428647837520618</x:v>
      </x:c>
      <x:c r="AB211" s="13" t="n">
        <x:v>0.08234989268958255</x:v>
      </x:c>
      <x:c r="AC211" s="13" t="n">
        <x:v>0</x:v>
      </x:c>
      <x:c r="AD211" s="13" t="n">
        <x:v>0.7957712785464416</x:v>
      </x:c>
      <x:c r="AE211" s="13" t="n">
        <x:v>0.8836919579583401</x:v>
      </x:c>
      <x:c r="AF211" s="13" t="n">
        <x:v>0.08130338133566911</x:v>
      </x:c>
      <x:c r="AG211" s="13" t="n">
        <x:v>0.4400742890171134</x:v>
      </x:c>
      <x:c r="AH211" s="13" t="n">
        <x:v>0.711385590356209</x:v>
      </x:c>
      <x:c r="AI211" s="13" t="n">
        <x:v>0.4117647058823529</x:v>
      </x:c>
      <x:c r="AJ211" s="13" t="n">
        <x:v>0.24892874811532859</x:v>
      </x:c>
      <x:c r="AK211" s="13" t="n">
        <x:v>0.0054483766493260396</x:v>
      </x:c>
      <x:c r="AL211" s="13" t="n">
        <x:v>0.12915761157277836</x:v>
      </x:c>
      <x:c r="AM211" s="13" t="n">
        <x:v>0.026628067348527285</x:v>
      </x:c>
      <x:c r="AN211" s="13" t="n">
        <x:v>0.5075551463030803</x:v>
      </x:c>
      <x:c r="AO211" s="13" t="n">
        <x:v>0.3603998863885335</x:v>
      </x:c>
      <x:c r="AP211" s="13" t="n">
        <x:v>0.673015855674346</x:v>
      </x:c>
    </x:row>
    <x:row r="212" ht="15" hidden="0" customHeight="1">
      <x:c r="A212" s="2" t="str">
        <x:v>E211</x:v>
      </x:c>
      <x:c r="B212" s="2" t="str">
        <x:v>个体经营E211 </x:v>
      </x:c>
      <x:c r="C212" s="2" t="str">
        <x:v>无信贷记录</x:v>
      </x:c>
      <x:c r="D212" s="2" t="str"/>
      <x:c r="E212" s="2" t="str"/>
      <x:c r="F212" s="13" t="n">
        <x:v>0.031096479818683607</x:v>
      </x:c>
      <x:c r="G212" s="13" t="n">
        <x:v>0.030596393135420716</x:v>
      </x:c>
      <x:c r="H212" s="13" t="n">
        <x:v>0.02727272727272727</x:v>
      </x:c>
      <x:c r="I212" s="13" t="n">
        <x:v>0.020032051282051315</x:v>
      </x:c>
      <x:c r="J212" s="13" t="n">
        <x:v>0.07726270382195348</x:v>
      </x:c>
      <x:c r="K212" s="13" t="n">
        <x:v>0.07693445614757569</x:v>
      </x:c>
      <x:c r="L212" s="13" t="n">
        <x:v>0.0665605016297992</x:v>
      </x:c>
      <x:c r="M212" s="13" t="n">
        <x:v>0.2815938694367161</x:v>
      </x:c>
      <x:c r="N212" s="13" t="n">
        <x:v>0.15336801991502</x:v>
      </x:c>
      <x:c r="O212" s="13" t="n">
        <x:v>0.46592271816750486</x:v>
      </x:c>
      <x:c r="P212" s="13" t="n">
        <x:v>0.6172200700636614</x:v>
      </x:c>
      <x:c r="Q212" s="13" t="n">
        <x:v>0.08710471237138119</x:v>
      </x:c>
      <x:c r="R212" s="13" t="n">
        <x:v>0.36529691796455405</x:v>
      </x:c>
      <x:c r="S212" s="13" t="n">
        <x:v>0.7763703536124574</x:v>
      </x:c>
      <x:c r="T212" s="13" t="n">
        <x:v>0.7222222222222222</x:v>
      </x:c>
      <x:c r="U212" s="13" t="n">
        <x:v>0.14210480334084688</x:v>
      </x:c>
      <x:c r="V212" s="13" t="n">
        <x:v>0.13655044214094028</x:v>
      </x:c>
      <x:c r="W212" s="13" t="n">
        <x:v>0.20499901205295415</x:v>
      </x:c>
      <x:c r="X212" s="13" t="n">
        <x:v>0.04251218682689044</x:v>
      </x:c>
      <x:c r="Y212" s="13" t="n">
        <x:v>0.07766186618959589</x:v>
      </x:c>
      <x:c r="Z212" s="13" t="n">
        <x:v>0.05244932470173029</x:v>
      </x:c>
      <x:c r="AA212" s="13" t="n">
        <x:v>0.03045745613383453</x:v>
      </x:c>
      <x:c r="AB212" s="13" t="n">
        <x:v>0.12471025466569392</x:v>
      </x:c>
      <x:c r="AC212" s="13" t="n">
        <x:v>0.05723589419888766</x:v>
      </x:c>
      <x:c r="AD212" s="13" t="n">
        <x:v>0.0440889625828051</x:v>
      </x:c>
      <x:c r="AE212" s="13" t="n">
        <x:v>0.10161798941652771</x:v>
      </x:c>
      <x:c r="AF212" s="13" t="n">
        <x:v>0.07860284778843105</x:v>
      </x:c>
      <x:c r="AG212" s="13" t="n">
        <x:v>0.08942648630168415</x:v>
      </x:c>
      <x:c r="AH212" s="13" t="n">
        <x:v>0.6800818596082682</x:v>
      </x:c>
      <x:c r="AI212" s="13" t="n">
        <x:v>0.9411764705882353</x:v>
      </x:c>
      <x:c r="AJ212" s="13" t="n">
        <x:v>0.20665990327471945</x:v>
      </x:c>
      <x:c r="AK212" s="13" t="n">
        <x:v>0.019988945992133283</x:v>
      </x:c>
      <x:c r="AL212" s="13" t="n">
        <x:v>0.24521044951078805</x:v>
      </x:c>
      <x:c r="AM212" s="13" t="n">
        <x:v>0.09323377772111155</x:v>
      </x:c>
      <x:c r="AN212" s="13" t="n">
        <x:v>0.2823125778108741</x:v>
      </x:c>
      <x:c r="AO212" s="13" t="n">
        <x:v>0.2940823257199958</x:v>
      </x:c>
      <x:c r="AP212" s="13" t="n">
        <x:v>0.7228993998765476</x:v>
      </x:c>
    </x:row>
    <x:row r="213" ht="15" hidden="0" customHeight="1">
      <x:c r="A213" s="2" t="str">
        <x:v>E212</x:v>
      </x:c>
      <x:c r="B213" s="2" t="str">
        <x:v>***建电管理咨询有限公司</x:v>
      </x:c>
      <x:c r="C213" s="2" t="str">
        <x:v>无信贷记录</x:v>
      </x:c>
      <x:c r="D213" s="2" t="str"/>
      <x:c r="E213" s="2" t="str"/>
      <x:c r="F213" s="13" t="n">
        <x:v>0.01016615686380041</x:v>
      </x:c>
      <x:c r="G213" s="13" t="n">
        <x:v>0.00999533042578582</x:v>
      </x:c>
      <x:c r="H213" s="13" t="n">
        <x:v>0.00909090909090909</x:v>
      </x:c>
      <x:c r="I213" s="13" t="n">
        <x:v>0</x:v>
      </x:c>
      <x:c r="J213" s="13" t="n">
        <x:v>0.0005368707973608188</x:v>
      </x:c>
      <x:c r="K213" s="13" t="n">
        <x:v>0.0005329082590762466</x:v>
      </x:c>
      <x:c r="L213" s="13" t="n">
        <x:v>0.029858916618975342</x:v>
      </x:c>
      <x:c r="M213" s="13" t="n">
        <x:v>0.2843145831510805</x:v>
      </x:c>
      <x:c r="N213" s="13" t="n">
        <x:v>0</x:v>
      </x:c>
      <x:c r="O213" s="13" t="n">
        <x:v>0.15456808349207762</x:v>
      </x:c>
      <x:c r="P213" s="13" t="n">
        <x:v>0.23201686711998024</x:v>
      </x:c>
      <x:c r="Q213" s="13" t="n">
        <x:v>0.0005846894120904278</x:v>
      </x:c>
      <x:c r="R213" s="13" t="n">
        <x:v>0.3223497308351081</x:v>
      </x:c>
      <x:c r="S213" s="13" t="n">
        <x:v>0.6300565589826375</x:v>
      </x:c>
      <x:c r="T213" s="13" t="n">
        <x:v>0.75</x:v>
      </x:c>
      <x:c r="U213" s="13" t="n">
        <x:v>0.14603623910118657</x:v>
      </x:c>
      <x:c r="V213" s="13" t="n">
        <x:v>0.1390700296004869</x:v>
      </x:c>
      <x:c r="W213" s="13" t="n">
        <x:v>0.22722782058881663</x:v>
      </x:c>
      <x:c r="X213" s="13" t="n">
        <x:v>0.056682915769187256</x:v>
      </x:c>
      <x:c r="Y213" s="13" t="n">
        <x:v>0.1217440414286864</x:v>
      </x:c>
      <x:c r="Z213" s="13" t="n">
        <x:v>0.08244879880452252</x:v>
      </x:c>
      <x:c r="AA213" s="13" t="n">
        <x:v>0.04605761659262783</x:v>
      </x:c>
      <x:c r="AB213" s="13" t="n">
        <x:v>0.1345325849518927</x:v>
      </x:c>
      <x:c r="AC213" s="13" t="n">
        <x:v>0.07493811130916488</x:v>
      </x:c>
      <x:c r="AD213" s="13" t="n">
        <x:v>0.05904034356621994</x:v>
      </x:c>
      <x:c r="AE213" s="13" t="n">
        <x:v>0.1052854026822546</x:v>
      </x:c>
      <x:c r="AF213" s="13" t="n">
        <x:v>0.11675025313115385</x:v>
      </x:c>
      <x:c r="AG213" s="13" t="n">
        <x:v>0.22124356691282562</x:v>
      </x:c>
      <x:c r="AH213" s="13" t="n">
        <x:v>0.6184389748774272</x:v>
      </x:c>
      <x:c r="AI213" s="13" t="n">
        <x:v>1</x:v>
      </x:c>
      <x:c r="AJ213" s="13" t="n">
        <x:v>0.31817733427438794</x:v>
      </x:c>
      <x:c r="AK213" s="13" t="n">
        <x:v>0.00007325692598255232</x:v>
      </x:c>
      <x:c r="AL213" s="13" t="n">
        <x:v>0.28983865923448204</x:v>
      </x:c>
      <x:c r="AM213" s="13" t="n">
        <x:v>0.11903671824924467</x:v>
      </x:c>
      <x:c r="AN213" s="13" t="n">
        <x:v>0.10459040652524755</x:v>
      </x:c>
      <x:c r="AO213" s="13" t="n">
        <x:v>0.329538231861649</x:v>
      </x:c>
      <x:c r="AP213" s="13" t="n">
        <x:v>0.5960433464796552</x:v>
      </x:c>
    </x:row>
    <x:row r="214" ht="15" hidden="0" customHeight="1">
      <x:c r="A214" s="2" t="str">
        <x:v>E213</x:v>
      </x:c>
      <x:c r="B214" s="2" t="str">
        <x:v>***科技有限公司</x:v>
      </x:c>
      <x:c r="C214" s="2" t="str">
        <x:v>无信贷记录</x:v>
      </x:c>
      <x:c r="D214" s="2" t="str"/>
      <x:c r="E214" s="2" t="str"/>
      <x:c r="F214" s="13" t="n">
        <x:v>0.16370502596855072</x:v>
      </x:c>
      <x:c r="G214" s="13" t="n">
        <x:v>0.16030678797386264</x:v>
      </x:c>
      <x:c r="H214" s="13" t="n">
        <x:v>0.1618181818181818</x:v>
      </x:c>
      <x:c r="I214" s="13" t="n">
        <x:v>0.12019230769230788</x:v>
      </x:c>
      <x:c r="J214" s="13" t="n">
        <x:v>0.1752118929161623</x:v>
      </x:c>
      <x:c r="K214" s="13" t="n">
        <x:v>0.18301262754634368</x:v>
      </x:c>
      <x:c r="L214" s="13" t="n">
        <x:v>0.3688820323969245</x:v>
      </x:c>
      <x:c r="M214" s="13" t="n">
        <x:v>0.31860873268809947</x:v>
      </x:c>
      <x:c r="N214" s="13" t="n">
        <x:v>0.17634040520899588</x:v>
      </x:c>
      <x:c r="O214" s="13" t="n">
        <x:v>0.05588801854243571</x:v>
      </x:c>
      <x:c r="P214" s="13" t="n">
        <x:v>0.14051715690189134</x:v>
      </x:c>
      <x:c r="Q214" s="13" t="n">
        <x:v>0.17617887581945463</x:v>
      </x:c>
      <x:c r="R214" s="13" t="n">
        <x:v>0.12159793558914471</x:v>
      </x:c>
      <x:c r="S214" s="13" t="n">
        <x:v>0.6229041989757976</x:v>
      </x:c>
      <x:c r="T214" s="13" t="n">
        <x:v>0.9722222222222222</x:v>
      </x:c>
      <x:c r="U214" s="13" t="n">
        <x:v>0.1101291258234175</x:v>
      </x:c>
      <x:c r="V214" s="13" t="n">
        <x:v>0.10650202873449532</x:v>
      </x:c>
      <x:c r="W214" s="13" t="n">
        <x:v>0.1506619245208458</x:v>
      </x:c>
      <x:c r="X214" s="13" t="n">
        <x:v>0.06518535313456535</x:v>
      </x:c>
      <x:c r="Y214" s="13" t="n">
        <x:v>0.09754628008771339</x:v>
      </x:c>
      <x:c r="Z214" s="13" t="n">
        <x:v>0.06598076941262253</x:v>
      </x:c>
      <x:c r="AA214" s="13" t="n">
        <x:v>0.09694385427964407</x:v>
      </x:c>
      <x:c r="AB214" s="13" t="n">
        <x:v>0.11806834811324914</x:v>
      </x:c>
      <x:c r="AC214" s="13" t="n">
        <x:v>0.11237779226854773</x:v>
      </x:c>
      <x:c r="AD214" s="13" t="n">
        <x:v>0.03316281741894488</x:v>
      </x:c>
      <x:c r="AE214" s="13" t="n">
        <x:v>0.10401086213777305</x:v>
      </x:c>
      <x:c r="AF214" s="13" t="n">
        <x:v>0.09606705152218563</x:v>
      </x:c>
      <x:c r="AG214" s="13" t="n">
        <x:v>0.11025074171724114</x:v>
      </x:c>
      <x:c r="AH214" s="13" t="n">
        <x:v>0.5703980595560109</x:v>
      </x:c>
      <x:c r="AI214" s="13" t="n">
        <x:v>0.9705882352941176</x:v>
      </x:c>
      <x:c r="AJ214" s="13" t="n">
        <x:v>0.17374518427686927</x:v>
      </x:c>
      <x:c r="AK214" s="13" t="n">
        <x:v>0.03782118302306361</x:v>
      </x:c>
      <x:c r="AL214" s="13" t="n">
        <x:v>0.168372436383317</x:v>
      </x:c>
      <x:c r="AM214" s="13" t="n">
        <x:v>0.1223504134204402</x:v>
      </x:c>
      <x:c r="AN214" s="13" t="n">
        <x:v>0.030140613168459052</x:v>
      </x:c>
      <x:c r="AO214" s="13" t="n">
        <x:v>0.12685725208075913</x:v>
      </x:c>
      <x:c r="AP214" s="13" t="n">
        <x:v>0.5680800456970521</x:v>
      </x:c>
    </x:row>
    <x:row r="215" ht="15" hidden="0" customHeight="1">
      <x:c r="A215" s="2" t="str">
        <x:v>E214</x:v>
      </x:c>
      <x:c r="B215" s="2" t="str">
        <x:v>***建筑工程有限公司</x:v>
      </x:c>
      <x:c r="C215" s="2" t="str">
        <x:v>无信贷记录</x:v>
      </x:c>
      <x:c r="D215" s="2" t="str"/>
      <x:c r="E215" s="2" t="str"/>
      <x:c r="F215" s="13" t="n">
        <x:v>0.055091600063388986</x:v>
      </x:c>
      <x:c r="G215" s="13" t="n">
        <x:v>0.05264716025795584</x:v>
      </x:c>
      <x:c r="H215" s="13" t="n">
        <x:v>0.08545454545454545</x:v>
      </x:c>
      <x:c r="I215" s="13" t="n">
        <x:v>0.013354700854700877</x:v>
      </x:c>
      <x:c r="J215" s="13" t="n">
        <x:v>0.13006968262638682</x:v>
      </x:c>
      <x:c r="K215" s="13" t="n">
        <x:v>0.12911346821542388</x:v>
      </x:c>
      <x:c r="L215" s="13" t="n">
        <x:v>0.09766353977456518</x:v>
      </x:c>
      <x:c r="M215" s="13" t="n">
        <x:v>0.49907019927412943</x:v>
      </x:c>
      <x:c r="N215" s="13" t="n">
        <x:v>0.059544616595137816</x:v>
      </x:c>
      <x:c r="O215" s="13" t="n">
        <x:v>0.0539959320233917</x:v>
      </x:c>
      <x:c r="P215" s="13" t="n">
        <x:v>0.15179742838464275</x:v>
      </x:c>
      <x:c r="Q215" s="13" t="n">
        <x:v>0.13078676688957377</x:v>
      </x:c>
      <x:c r="R215" s="13" t="n">
        <x:v>0.18717642098747056</x:v>
      </x:c>
      <x:c r="S215" s="13" t="n">
        <x:v>0.6559842803295808</x:v>
      </x:c>
      <x:c r="T215" s="13" t="n">
        <x:v>0.9444444444444444</x:v>
      </x:c>
      <x:c r="U215" s="13" t="n">
        <x:v>0.07500829969771634</x:v>
      </x:c>
      <x:c r="V215" s="13" t="n">
        <x:v>0.06590867521957745</x:v>
      </x:c>
      <x:c r="W215" s="13" t="n">
        <x:v>0.19141474016992704</x:v>
      </x:c>
      <x:c r="X215" s="13" t="n">
        <x:v>0.039678041038431075</x:v>
      </x:c>
      <x:c r="Y215" s="13" t="n">
        <x:v>0.1038481720762854</x:v>
      </x:c>
      <x:c r="Z215" s="13" t="n">
        <x:v>0.07024202484320505</x:v>
      </x:c>
      <x:c r="AA215" s="13" t="n">
        <x:v>0.0913723684015036</x:v>
      </x:c>
      <x:c r="AB215" s="13" t="n">
        <x:v>0.21947716935571782</x:v>
      </x:c>
      <x:c r="AC215" s="13" t="n">
        <x:v>0.1101369520909872</x:v>
      </x:c>
      <x:c r="AD215" s="13" t="n">
        <x:v>0.03274574112503304</x:v>
      </x:c>
      <x:c r="AE215" s="13" t="n">
        <x:v>0.052220067763314226</x:v>
      </x:c>
      <x:c r="AF215" s="13" t="n">
        <x:v>0.1022764044562187</x:v>
      </x:c>
      <x:c r="AG215" s="13" t="n">
        <x:v>0.22268439039257576</x:v>
      </x:c>
      <x:c r="AH215" s="13" t="n">
        <x:v>0.561673194179802</x:v>
      </x:c>
      <x:c r="AI215" s="13" t="n">
        <x:v>0.9705882352941176</x:v>
      </x:c>
      <x:c r="AJ215" s="13" t="n">
        <x:v>0.2111410259491465</x:v>
      </x:c>
      <x:c r="AK215" s="13" t="n">
        <x:v>0.025060241589048148</x:v>
      </x:c>
      <x:c r="AL215" s="13" t="n">
        <x:v>0.3514735572972681</x:v>
      </x:c>
      <x:c r="AM215" s="13" t="n">
        <x:v>0.11047963031816019</x:v>
      </x:c>
      <x:c r="AN215" s="13" t="n">
        <x:v>0.028759937866863768</x:v>
      </x:c>
      <x:c r="AO215" s="13" t="n">
        <x:v>0.2316607853289475</x:v>
      </x:c>
      <x:c r="AP215" s="13" t="n">
        <x:v>0.5858083866167703</x:v>
      </x:c>
    </x:row>
    <x:row r="216" ht="15" hidden="0" customHeight="1">
      <x:c r="A216" s="2" t="str">
        <x:v>E215</x:v>
      </x:c>
      <x:c r="B216" s="2" t="str">
        <x:v>***建筑工程有限公司</x:v>
      </x:c>
      <x:c r="C216" s="2" t="str">
        <x:v>无信贷记录</x:v>
      </x:c>
      <x:c r="D216" s="2" t="str"/>
      <x:c r="E216" s="2" t="str"/>
      <x:c r="F216" s="13" t="n">
        <x:v>0.013006700693391701</x:v>
      </x:c>
      <x:c r="G216" s="13" t="n">
        <x:v>0.012971039483844194</x:v>
      </x:c>
      <x:c r="H216" s="13" t="n">
        <x:v>0.007272727272727273</x:v>
      </x:c>
      <x:c r="I216" s="13" t="n">
        <x:v>0</x:v>
      </x:c>
      <x:c r="J216" s="13" t="n">
        <x:v>0.0008158082715937088</x:v>
      </x:c>
      <x:c r="K216" s="13" t="n">
        <x:v>0.0008097869504025541</x:v>
      </x:c>
      <x:c r="L216" s="13" t="n">
        <x:v>0.04230013187688174</x:v>
      </x:c>
      <x:c r="M216" s="13" t="n">
        <x:v>0.17834278397658684</x:v>
      </x:c>
      <x:c r="N216" s="13" t="n">
        <x:v>0</x:v>
      </x:c>
      <x:c r="O216" s="13" t="n">
        <x:v>0.13700690708711297</x:v>
      </x:c>
      <x:c r="P216" s="13" t="n">
        <x:v>0.22649587693948078</x:v>
      </x:c>
      <x:c r="Q216" s="13" t="n">
        <x:v>0.0008173678136322715</x:v>
      </x:c>
      <x:c r="R216" s="13" t="n">
        <x:v>0.3087510171014667</x:v>
      </x:c>
      <x:c r="S216" s="13" t="n">
        <x:v>0.6779839155296887</x:v>
      </x:c>
      <x:c r="T216" s="13" t="n">
        <x:v>0.6388888888888888</x:v>
      </x:c>
      <x:c r="U216" s="13" t="n">
        <x:v>0.07195051632856327</x:v>
      </x:c>
      <x:c r="V216" s="13" t="n">
        <x:v>0.0699213515440406</x:v>
      </x:c>
      <x:c r="W216" s="13" t="n">
        <x:v>0.09508990318118957</x:v>
      </x:c>
      <x:c r="X216" s="13" t="n">
        <x:v>0</x:v>
      </x:c>
      <x:c r="Y216" s="13" t="n">
        <x:v>0.10417704870746679</x:v>
      </x:c>
      <x:c r="Z216" s="13" t="n">
        <x:v>0.06881655727844302</x:v>
      </x:c>
      <x:c r="AA216" s="13" t="n">
        <x:v>0.002228594351256185</x:v>
      </x:c>
      <x:c r="AB216" s="13" t="n">
        <x:v>0.113611711195901</x:v>
      </x:c>
      <x:c r="AC216" s="13" t="n">
        <x:v>0</x:v>
      </x:c>
      <x:c r="AD216" s="13" t="n">
        <x:v>0.280819168616567</x:v>
      </x:c>
      <x:c r="AE216" s="13" t="n">
        <x:v>0.3892267897650145</x:v>
      </x:c>
      <x:c r="AF216" s="13" t="n">
        <x:v>0.13562459434119123</x:v>
      </x:c>
      <x:c r="AG216" s="13" t="n">
        <x:v>0.3522901843120058</x:v>
      </x:c>
      <x:c r="AH216" s="13" t="n">
        <x:v>0.47045025991292005</x:v>
      </x:c>
      <x:c r="AI216" s="13" t="n">
        <x:v>0.4411764705882353</x:v>
      </x:c>
      <x:c r="AJ216" s="13" t="n">
        <x:v>0.2927567151910847</x:v>
      </x:c>
      <x:c r="AK216" s="13" t="n">
        <x:v>0.00014565687752986694</x:v>
      </x:c>
      <x:c r="AL216" s="13" t="n">
        <x:v>0.22303211452972704</x:v>
      </x:c>
      <x:c r="AM216" s="13" t="n">
        <x:v>0</x:v>
      </x:c>
      <x:c r="AN216" s="13" t="n">
        <x:v>0.22534678220082005</x:v>
      </x:c>
      <x:c r="AO216" s="13" t="n">
        <x:v>0.3860131697187816</x:v>
      </x:c>
      <x:c r="AP216" s="13" t="n">
        <x:v>0.5563142047995726</x:v>
      </x:c>
    </x:row>
    <x:row r="217" ht="15" hidden="0" customHeight="1">
      <x:c r="A217" s="2" t="str">
        <x:v>E216</x:v>
      </x:c>
      <x:c r="B217" s="2" t="str">
        <x:v>***建设工程有限公司</x:v>
      </x:c>
      <x:c r="C217" s="2" t="str">
        <x:v>无信贷记录</x:v>
      </x:c>
      <x:c r="D217" s="2" t="str"/>
      <x:c r="E217" s="2" t="str"/>
      <x:c r="F217" s="13" t="n">
        <x:v>0.25736822119165303</x:v>
      </x:c>
      <x:c r="G217" s="13" t="n">
        <x:v>0.25469017527689364</x:v>
      </x:c>
      <x:c r="H217" s="13" t="n">
        <x:v>0.19090909090909092</x:v>
      </x:c>
      <x:c r="I217" s="13" t="n">
        <x:v>0.10683760683760701</x:v>
      </x:c>
      <x:c r="J217" s="13" t="n">
        <x:v>0.12343089191504626</x:v>
      </x:c>
      <x:c r="K217" s="13" t="n">
        <x:v>0.12464481371643465</x:v>
      </x:c>
      <x:c r="L217" s="13" t="n">
        <x:v>0.35519669561322753</x:v>
      </x:c>
      <x:c r="M217" s="13" t="n">
        <x:v>0.23917087430241837</x:v>
      </x:c>
      <x:c r="N217" s="13" t="n">
        <x:v>0.09869431061996496</x:v>
      </x:c>
      <x:c r="O217" s="13" t="n">
        <x:v>0.08119191453386235</x:v>
      </x:c>
      <x:c r="P217" s="13" t="n">
        <x:v>0.2392631493546758</x:v>
      </x:c>
      <x:c r="Q217" s="13" t="n">
        <x:v>0.12084501171599286</x:v>
      </x:c>
      <x:c r="R217" s="13" t="n">
        <x:v>0.1183753230324557</x:v>
      </x:c>
      <x:c r="S217" s="13" t="n">
        <x:v>0.6216957913158033</x:v>
      </x:c>
      <x:c r="T217" s="13" t="n">
        <x:v>0.9722222222222222</x:v>
      </x:c>
      <x:c r="U217" s="13" t="n">
        <x:v>0.06679596722056234</x:v>
      </x:c>
      <x:c r="V217" s="13" t="n">
        <x:v>0.06329576970597355</x:v>
      </x:c>
      <x:c r="W217" s="13" t="n">
        <x:v>0.10990910887176457</x:v>
      </x:c>
      <x:c r="X217" s="13" t="n">
        <x:v>0.014170728942296814</x:v>
      </x:c>
      <x:c r="Y217" s="13" t="n">
        <x:v>0.09560252954171274</x:v>
      </x:c>
      <x:c r="Z217" s="13" t="n">
        <x:v>0.06372439225919506</x:v>
      </x:c>
      <x:c r="AA217" s="13" t="n">
        <x:v>0.010400106972528864</x:v>
      </x:c>
      <x:c r="AB217" s="13" t="n">
        <x:v>0.14132741757996092</x:v>
      </x:c>
      <x:c r="AC217" s="13" t="n">
        <x:v>0.04094246446343789</x:v>
      </x:c>
      <x:c r="AD217" s="13" t="n">
        <x:v>0.14591552989066198</x:v>
      </x:c>
      <x:c r="AE217" s="13" t="n">
        <x:v>0.25077576394502943</x:v>
      </x:c>
      <x:c r="AF217" s="13" t="n">
        <x:v>0.1024718291333931</x:v>
      </x:c>
      <x:c r="AG217" s="13" t="n">
        <x:v>0.24292788360378362</x:v>
      </x:c>
      <x:c r="AH217" s="13" t="n">
        <x:v>0.6503103178420222</x:v>
      </x:c>
      <x:c r="AI217" s="13" t="n">
        <x:v>0.8235294117647058</x:v>
      </x:c>
      <x:c r="AJ217" s="13" t="n">
        <x:v>0.20345892465844928</x:v>
      </x:c>
      <x:c r="AK217" s="13" t="n">
        <x:v>0.0266657249639705</x:v>
      </x:c>
      <x:c r="AL217" s="13" t="n">
        <x:v>0.12605597048390516</x:v>
      </x:c>
      <x:c r="AM217" s="13" t="n">
        <x:v>0.050616482803374475</x:v>
      </x:c>
      <x:c r="AN217" s="13" t="n">
        <x:v>0.11204614484043274</x:v>
      </x:c>
      <x:c r="AO217" s="13" t="n">
        <x:v>0.1917275503567653</x:v>
      </x:c>
      <x:c r="AP217" s="13" t="n">
        <x:v>0.6059004804803028</x:v>
      </x:c>
    </x:row>
    <x:row r="218" ht="15" hidden="0" customHeight="1">
      <x:c r="A218" s="2" t="str">
        <x:v>E217</x:v>
      </x:c>
      <x:c r="B218" s="2" t="str">
        <x:v>个体经营E217 </x:v>
      </x:c>
      <x:c r="C218" s="2" t="str">
        <x:v>无信贷记录</x:v>
      </x:c>
      <x:c r="D218" s="2" t="str"/>
      <x:c r="E218" s="2" t="str"/>
      <x:c r="F218" s="13" t="n">
        <x:v>0.015847244522982994</x:v>
      </x:c>
      <x:c r="G218" s="13" t="n">
        <x:v>0.015260046451581404</x:v>
      </x:c>
      <x:c r="H218" s="13" t="n">
        <x:v>0.02181818181818182</x:v>
      </x:c>
      <x:c r="I218" s="13" t="n">
        <x:v>0</x:v>
      </x:c>
      <x:c r="J218" s="13" t="n">
        <x:v>0.20932516659445635</x:v>
      </x:c>
      <x:c r="K218" s="13" t="n">
        <x:v>0.20778017850675906</x:v>
      </x:c>
      <x:c r="L218" s="13" t="n">
        <x:v>0.13249894249670308</x:v>
      </x:c>
      <x:c r="M218" s="13" t="n">
        <x:v>0.4400233174749433</x:v>
      </x:c>
      <x:c r="N218" s="13" t="n">
        <x:v>0</x:v>
      </x:c>
      <x:c r="O218" s="13" t="n">
        <x:v>0</x:v>
      </x:c>
      <x:c r="P218" s="13" t="n">
        <x:v>0</x:v>
      </x:c>
      <x:c r="Q218" s="13" t="n">
        <x:v>0.311514215328883</x:v>
      </x:c>
      <x:c r="R218" s="13" t="n">
        <x:v>0.02532767220988637</x:v>
      </x:c>
      <x:c r="S218" s="13" t="n">
        <x:v>0.5025829056751321</x:v>
      </x:c>
      <x:c r="T218" s="13" t="n">
        <x:v>0.6388888888888888</x:v>
      </x:c>
      <x:c r="U218" s="13" t="n">
        <x:v>0.06461183624259587</x:v>
      </x:c>
      <x:c r="V218" s="13" t="n">
        <x:v>0.0025457165146826654</x:v>
      </x:c>
      <x:c r="W218" s="13" t="n">
        <x:v>0.8829776723967603</x:v>
      </x:c>
      <x:c r="X218" s="13" t="n">
        <x:v>0</x:v>
      </x:c>
      <x:c r="Y218" s="13" t="n">
        <x:v>0.004151203856938091</x:v>
      </x:c>
      <x:c r="Z218" s="13" t="n">
        <x:v>0.002739219100047057</x:v>
      </x:c>
      <x:c r="AA218" s="13" t="n">
        <x:v>0.015228728066917266</x:v>
      </x:c>
      <x:c r="AB218" s="13" t="n">
        <x:v>1</x:v>
      </x:c>
      <x:c r="AC218" s="13" t="n">
        <x:v>0</x:v>
      </x:c>
      <x:c r="AD218" s="13" t="n">
        <x:v>0.14708542655719153</x:v>
      </x:c>
      <x:c r="AE218" s="13" t="n">
        <x:v>0.2788761668517228</x:v>
      </x:c>
      <x:c r="AF218" s="13" t="n">
        <x:v>0.008966648115490031</x:v>
      </x:c>
      <x:c r="AG218" s="13" t="n">
        <x:v>0.5173962712665203</x:v>
      </x:c>
      <x:c r="AH218" s="13" t="n">
        <x:v>0</x:v>
      </x:c>
      <x:c r="AI218" s="13" t="n">
        <x:v>0.20588235294117646</x:v>
      </x:c>
      <x:c r="AJ218" s="13" t="n">
        <x:v>0.018111566354957746</x:v>
      </x:c>
      <x:c r="AK218" s="13" t="n">
        <x:v>1</x:v>
      </x:c>
      <x:c r="AL218" s="13" t="n">
        <x:v>1</x:v>
      </x:c>
      <x:c r="AM218" s="13" t="n">
        <x:v>0</x:v>
      </x:c>
      <x:c r="AN218" s="13" t="n">
        <x:v>0.06402670265016319</x:v>
      </x:c>
      <x:c r="AO218" s="13" t="n">
        <x:v>0.26291031014040345</x:v>
      </x:c>
      <x:c r="AP218" s="13" t="n">
        <x:v>0.19572963588125625</x:v>
      </x:c>
    </x:row>
    <x:row r="219" ht="15" hidden="0" customHeight="1">
      <x:c r="A219" s="2" t="str">
        <x:v>E218</x:v>
      </x:c>
      <x:c r="B219" s="2" t="str">
        <x:v>***建设工程有限公司</x:v>
      </x:c>
      <x:c r="C219" s="2" t="str">
        <x:v>无信贷记录</x:v>
      </x:c>
      <x:c r="D219" s="2" t="str"/>
      <x:c r="E219" s="2" t="str"/>
      <x:c r="F219" s="13" t="n">
        <x:v>0.08237577105814745</x:v>
      </x:c>
      <x:c r="G219" s="13" t="n">
        <x:v>0.07813143783209679</x:v>
      </x:c>
      <x:c r="H219" s="13" t="n">
        <x:v>0.14181818181818182</x:v>
      </x:c>
      <x:c r="I219" s="13" t="n">
        <x:v>0.026709401709401753</x:v>
      </x:c>
      <x:c r="J219" s="13" t="n">
        <x:v>0.14901947594903006</x:v>
      </x:c>
      <x:c r="K219" s="13" t="n">
        <x:v>0.1487183304450064</x:v>
      </x:c>
      <x:c r="L219" s="13" t="n">
        <x:v>0.16733434521884097</x:v>
      </x:c>
      <x:c r="M219" s="13" t="n">
        <x:v>0.5544134371446069</x:v>
      </x:c>
      <x:c r="N219" s="13" t="n">
        <x:v>0.08032139314587791</x:v>
      </x:c>
      <x:c r="O219" s="13" t="n">
        <x:v>0.13217458807673105</x:v>
      </x:c>
      <x:c r="P219" s="13" t="n">
        <x:v>0.21788342932308483</x:v>
      </x:c>
      <x:c r="Q219" s="13" t="n">
        <x:v>0.1498414626428071</x:v>
      </x:c>
      <x:c r="R219" s="13" t="n">
        <x:v>0.32687998216327296</x:v>
      </x:c>
      <x:c r="S219" s="13" t="n">
        <x:v>0.8337688746888237</x:v>
      </x:c>
      <x:c r="T219" s="13" t="n">
        <x:v>0.9444444444444444</x:v>
      </x:c>
      <x:c r="U219" s="13" t="n">
        <x:v>0.01944400761824887</x:v>
      </x:c>
      <x:c r="V219" s="13" t="n">
        <x:v>0.012157476082582759</x:v>
      </x:c>
      <x:c r="W219" s="13" t="n">
        <x:v>0.11731871171705206</x:v>
      </x:c>
      <x:c r="X219" s="13" t="n">
        <x:v>0</x:v>
      </x:c>
      <x:c r="Y219" s="13" t="n">
        <x:v>0.06366734705601311</x:v>
      </x:c>
      <x:c r="Z219" s="13" t="n">
        <x:v>0.04205574101611597</x:v>
      </x:c>
      <x:c r="AA219" s="13" t="n">
        <x:v>0.02562883503944613</x:v>
      </x:c>
      <x:c r="AB219" s="13" t="n">
        <x:v>0.5032838538674219</x:v>
      </x:c>
      <x:c r="AC219" s="13" t="n">
        <x:v>0</x:v>
      </x:c>
      <x:c r="AD219" s="13" t="n">
        <x:v>0.5368149240262005</x:v>
      </x:c>
      <x:c r="AE219" s="13" t="n">
        <x:v>0.7107518842635356</x:v>
      </x:c>
      <x:c r="AF219" s="13" t="n">
        <x:v>0.06627571834620717</x:v>
      </x:c>
      <x:c r="AG219" s="13" t="n">
        <x:v>0.6693228985252085</x:v>
      </x:c>
      <x:c r="AH219" s="13" t="n">
        <x:v>0.924713311744886</x:v>
      </x:c>
      <x:c r="AI219" s="13" t="n">
        <x:v>0.38235294117647056</x:v>
      </x:c>
      <x:c r="AJ219" s="13" t="n">
        <x:v>0.14150089211487168</x:v>
      </x:c>
      <x:c r="AK219" s="13" t="n">
        <x:v>0.04819488018929258</x:v>
      </x:c>
      <x:c r="AL219" s="13" t="n">
        <x:v>0.362193248721969</x:v>
      </x:c>
      <x:c r="AM219" s="13" t="n">
        <x:v>0.03336712824527409</x:v>
      </x:c>
      <x:c r="AN219" s="13" t="n">
        <x:v>0.3739849824159769</x:v>
      </x:c>
      <x:c r="AO219" s="13" t="n">
        <x:v>0.5598633554226113</x:v>
      </x:c>
      <x:c r="AP219" s="13" t="n">
        <x:v>0.8792091071792868</x:v>
      </x:c>
    </x:row>
    <x:row r="220" ht="15" hidden="0" customHeight="1">
      <x:c r="A220" s="2" t="str">
        <x:v>E219</x:v>
      </x:c>
      <x:c r="B220" s="2" t="str">
        <x:v>***品牌营销策划有限公司</x:v>
      </x:c>
      <x:c r="C220" s="2" t="str">
        <x:v>无信贷记录</x:v>
      </x:c>
      <x:c r="D220" s="2" t="str"/>
      <x:c r="E220" s="2" t="str"/>
      <x:c r="F220" s="13" t="n">
        <x:v>0.33286688613605314</x:v>
      </x:c>
      <x:c r="G220" s="13" t="n">
        <x:v>0.3278620980122265</x:v>
      </x:c>
      <x:c r="H220" s="13" t="n">
        <x:v>0.28363636363636363</x:v>
      </x:c>
      <x:c r="I220" s="13" t="n">
        <x:v>0.27377136752136794</x:v>
      </x:c>
      <x:c r="J220" s="13" t="n">
        <x:v>0.13750813498898087</x:v>
      </x:c>
      <x:c r="K220" s="13" t="n">
        <x:v>0.1384581064435643</x:v>
      </x:c>
      <x:c r="L220" s="13" t="n">
        <x:v>0.4721441190375476</x:v>
      </x:c>
      <x:c r="M220" s="13" t="n">
        <x:v>0.27477999308985235</x:v>
      </x:c>
      <x:c r="N220" s="13" t="n">
        <x:v>0.1964875391994941</x:v>
      </x:c>
      <x:c r="O220" s="13" t="n">
        <x:v>0.02238730168377503</x:v>
      </x:c>
      <x:c r="P220" s="13" t="n">
        <x:v>0.09954339263107577</x:v>
      </x:c>
      <x:c r="Q220" s="13" t="n">
        <x:v>0.13826639710141286</x:v>
      </x:c>
      <x:c r="R220" s="13" t="n">
        <x:v>0.11980913506087955</x:v>
      </x:c>
      <x:c r="S220" s="13" t="n">
        <x:v>0.6974973945264421</x:v>
      </x:c>
      <x:c r="T220" s="13" t="n">
        <x:v>0.9444444444444444</x:v>
      </x:c>
      <x:c r="U220" s="13" t="n">
        <x:v>0.05360381611364475</x:v>
      </x:c>
      <x:c r="V220" s="13" t="n">
        <x:v>0.045192067218860744</x:v>
      </x:c>
      <x:c r="W220" s="13" t="n">
        <x:v>0.16301126259632498</x:v>
      </x:c>
      <x:c r="X220" s="13" t="n">
        <x:v>0.09352681101915897</x:v>
      </x:c>
      <x:c r="Y220" s="13" t="n">
        <x:v>0.059897525332188714</x:v>
      </x:c>
      <x:c r="Z220" s="13" t="n">
        <x:v>0.04514497675345501</x:v>
      </x:c>
      <x:c r="AA220" s="13" t="n">
        <x:v>0.010400106972528864</x:v>
      </x:c>
      <x:c r="AB220" s="13" t="n">
        <x:v>0.2604133604939753</x:v>
      </x:c>
      <x:c r="AC220" s="13" t="n">
        <x:v>0.3769875393873782</x:v>
      </x:c>
      <x:c r="AD220" s="13" t="n">
        <x:v>0.08175630865022554</x:v>
      </x:c>
      <x:c r="AE220" s="13" t="n">
        <x:v>0.12871194723425974</x:v>
      </x:c>
      <x:c r="AF220" s="13" t="n">
        <x:v>0.06820746668914195</x:v>
      </x:c>
      <x:c r="AG220" s="13" t="n">
        <x:v>0.30295830312107325</x:v>
      </x:c>
      <x:c r="AH220" s="13" t="n">
        <x:v>0.7055382433152587</x:v>
      </x:c>
      <x:c r="AI220" s="13" t="n">
        <x:v>0.7352941176470589</x:v>
      </x:c>
      <x:c r="AJ220" s="13" t="n">
        <x:v>0.14330988040876314</x:v>
      </x:c>
      <x:c r="AK220" s="13" t="n">
        <x:v>0.04180198762740005</x:v>
      </x:c>
      <x:c r="AL220" s="13" t="n">
        <x:v>0.1564050745997099</x:v>
      </x:c>
      <x:c r="AM220" s="13" t="n">
        <x:v>0.14987692020066692</x:v>
      </x:c>
      <x:c r="AN220" s="13" t="n">
        <x:v>0.03883041983414936</x:v>
      </x:c>
      <x:c r="AO220" s="13" t="n">
        <x:v>0.2231880413493499</x:v>
      </x:c>
      <x:c r="AP220" s="13" t="n">
        <x:v>0.6828787918610664</x:v>
      </x:c>
    </x:row>
    <x:row r="221" ht="15" hidden="0" customHeight="1">
      <x:c r="A221" s="2" t="str">
        <x:v>E220</x:v>
      </x:c>
      <x:c r="B221" s="2" t="str">
        <x:v>***文化传播有限公司</x:v>
      </x:c>
      <x:c r="C221" s="2" t="str">
        <x:v>无信贷记录</x:v>
      </x:c>
      <x:c r="D221" s="2" t="str"/>
      <x:c r="E221" s="2" t="str"/>
      <x:c r="F221" s="13" t="n">
        <x:v>0.4437228466435238</x:v>
      </x:c>
      <x:c r="G221" s="13" t="n">
        <x:v>0.4353691252636175</x:v>
      </x:c>
      <x:c r="H221" s="13" t="n">
        <x:v>0.41818181818181815</x:v>
      </x:c>
      <x:c r="I221" s="13" t="n">
        <x:v>0.3338675213675219</x:v>
      </x:c>
      <x:c r="J221" s="13" t="n">
        <x:v>0.19988485834050443</x:v>
      </x:c>
      <x:c r="K221" s="13" t="n">
        <x:v>0.2016513556629183</x:v>
      </x:c>
      <x:c r="L221" s="13" t="n">
        <x:v>0.9791236407972331</x:v>
      </x:c>
      <x:c r="M221" s="13" t="n">
        <x:v>0.3039456001756583</x:v>
      </x:c>
      <x:c r="N221" s="13" t="n">
        <x:v>0.1804698435697064</x:v>
      </x:c>
      <x:c r="O221" s="13" t="n">
        <x:v>0.0003142477317430986</x:v>
      </x:c>
      <x:c r="P221" s="13" t="n">
        <x:v>0.018344364721347466</x:v>
      </x:c>
      <x:c r="Q221" s="13" t="n">
        <x:v>0.20098842606025408</x:v>
      </x:c>
      <x:c r="R221" s="13" t="n">
        <x:v>0.04557855464908531</x:v>
      </x:c>
      <x:c r="S221" s="13" t="n">
        <x:v>0.5707270559917741</x:v>
      </x:c>
      <x:c r="T221" s="13" t="n">
        <x:v>0.9722222222222222</x:v>
      </x:c>
      <x:c r="U221" s="13" t="n">
        <x:v>0.1124879872796213</x:v>
      </x:c>
      <x:c r="V221" s="13" t="n">
        <x:v>0.11443406332936433</x:v>
      </x:c>
      <x:c r="W221" s="13" t="n">
        <x:v>0.07903576368306665</x:v>
      </x:c>
      <x:c r="X221" s="13" t="n">
        <x:v>0.031175603673052988</x:v>
      </x:c>
      <x:c r="Y221" s="13" t="n">
        <x:v>0.12712574233952126</x:v>
      </x:c>
      <x:c r="Z221" s="13" t="n">
        <x:v>0.08459259282660185</x:v>
      </x:c>
      <x:c r="AA221" s="13" t="n">
        <x:v>0.05385769682202448</x:v>
      </x:c>
      <x:c r="AB221" s="13" t="n">
        <x:v>0.06064812451587453</x:v>
      </x:c>
      <x:c r="AC221" s="13" t="n">
        <x:v>0.050040789899757424</x:v>
      </x:c>
      <x:c r="AD221" s="13" t="n">
        <x:v>0.371205894392766</x:v>
      </x:c>
      <x:c r="AE221" s="13" t="n">
        <x:v>0.5294786489391846</x:v>
      </x:c>
      <x:c r="AF221" s="13" t="n">
        <x:v>0.12521215922213577</x:v>
      </x:c>
      <x:c r="AG221" s="13" t="n">
        <x:v>0.13369362271153526</x:v>
      </x:c>
      <x:c r="AH221" s="13" t="n">
        <x:v>0.5708265601688617</x:v>
      </x:c>
      <x:c r="AI221" s="13" t="n">
        <x:v>0.9705882352941176</x:v>
      </x:c>
      <x:c r="AJ221" s="13" t="n">
        <x:v>0.20076459334231106</x:v>
      </x:c>
      <x:c r="AK221" s="13" t="n">
        <x:v>0.03250928023191391</x:v>
      </x:c>
      <x:c r="AL221" s="13" t="n">
        <x:v>0.110937205770697</x:v>
      </x:c>
      <x:c r="AM221" s="13" t="n">
        <x:v>0.0852601995067166</x:v>
      </x:c>
      <x:c r="AN221" s="13" t="n">
        <x:v>0.19694011118178747</x:v>
      </x:c>
      <x:c r="AO221" s="13" t="n">
        <x:v>0.08327933574761526</x:v>
      </x:c>
      <x:c r="AP221" s="13" t="n">
        <x:v>0.5336731478758862</x:v>
      </x:c>
    </x:row>
    <x:row r="222" ht="15" hidden="0" customHeight="1">
      <x:c r="A222" s="2" t="str">
        <x:v>E221</x:v>
      </x:c>
      <x:c r="B222" s="2" t="str">
        <x:v>***测绘服务有限公司</x:v>
      </x:c>
      <x:c r="C222" s="2" t="str">
        <x:v>无信贷记录</x:v>
      </x:c>
      <x:c r="D222" s="2" t="str"/>
      <x:c r="E222" s="2" t="str"/>
      <x:c r="F222" s="13" t="n">
        <x:v>0.3357821811190547</x:v>
      </x:c>
      <x:c r="G222" s="13" t="n">
        <x:v>0.3377811282057544</x:v>
      </x:c>
      <x:c r="H222" s="13" t="n">
        <x:v>0.11818181818181818</x:v>
      </x:c>
      <x:c r="I222" s="13" t="n">
        <x:v>0.07345085470085481</x:v>
      </x:c>
      <x:c r="J222" s="13" t="n">
        <x:v>0.11653330106323681</x:v>
      </x:c>
      <x:c r="K222" s="13" t="n">
        <x:v>0.115833876026295</x:v>
      </x:c>
      <x:c r="L222" s="13" t="n">
        <x:v>0.5946900893279256</x:v>
      </x:c>
      <x:c r="M222" s="13" t="n">
        <x:v>0.11349807792012424</x:v>
      </x:c>
      <x:c r="N222" s="13" t="n">
        <x:v>0.0511688441546838</x:v>
      </x:c>
      <x:c r="O222" s="13" t="n">
        <x:v>0.08104934298136894</x:v>
      </x:c>
      <x:c r="P222" s="13" t="n">
        <x:v>0.1631758709243932</x:v>
      </x:c>
      <x:c r="Q222" s="13" t="n">
        <x:v>0.14950105991669085</x:v>
      </x:c>
      <x:c r="R222" s="13" t="n">
        <x:v>0.2064820979860467</x:v>
      </x:c>
      <x:c r="S222" s="13" t="n">
        <x:v>0.519401403839709</x:v>
      </x:c>
      <x:c r="T222" s="13" t="n">
        <x:v>0.75</x:v>
      </x:c>
      <x:c r="U222" s="13" t="n">
        <x:v>0.05980674809106958</x:v>
      </x:c>
      <x:c r="V222" s="13" t="n">
        <x:v>0.06021627392208322</x:v>
      </x:c>
      <x:c r="W222" s="13" t="n">
        <x:v>0.05186721991701249</x:v>
      </x:c>
      <x:c r="X222" s="13" t="n">
        <x:v>0.039678041038431075</x:v>
      </x:c>
      <x:c r="Y222" s="13" t="n">
        <x:v>0.07275083753059909</x:v>
      </x:c>
      <x:c r="Z222" s="13" t="n">
        <x:v>0.05015094017756662</x:v>
      </x:c>
      <x:c r="AA222" s="13" t="n">
        <x:v>0.11514404148156958</x:v>
      </x:c>
      <x:c r="AB222" s="13" t="n">
        <x:v>0.0743818879430329</x:v>
      </x:c>
      <x:c r="AC222" s="13" t="n">
        <x:v>0.12044117613630963</x:v>
      </x:c>
      <x:c r="AD222" s="13" t="n">
        <x:v>0.03339174977533509</x:v>
      </x:c>
      <x:c r="AE222" s="13" t="n">
        <x:v>0.08400807190239189</x:v>
      </x:c>
      <x:c r="AF222" s="13" t="n">
        <x:v>0.09470690437019186</x:v>
      </x:c>
      <x:c r="AG222" s="13" t="n">
        <x:v>0.1761284523300358</x:v>
      </x:c>
      <x:c r="AH222" s="13" t="n">
        <x:v>0.48031254363903</x:v>
      </x:c>
      <x:c r="AI222" s="13" t="n">
        <x:v>0.7058823529411765</x:v>
      </x:c>
      <x:c r="AJ222" s="13" t="n">
        <x:v>0.17494895402937913</x:v>
      </x:c>
      <x:c r="AK222" s="13" t="n">
        <x:v>0.03148164826228094</x:v>
      </x:c>
      <x:c r="AL222" s="13" t="n">
        <x:v>0.05435127798911078</x:v>
      </x:c>
      <x:c r="AM222" s="13" t="n">
        <x:v>0.04773416914639559</x:v>
      </x:c>
      <x:c r="AN222" s="13" t="n">
        <x:v>0.045353502217946054</x:v>
      </x:c>
      <x:c r="AO222" s="13" t="n">
        <x:v>0.22215639842833818</x:v>
      </x:c>
      <x:c r="AP222" s="13" t="n">
        <x:v>0.45587804703477836</x:v>
      </x:c>
    </x:row>
    <x:row r="223" ht="15" hidden="0" customHeight="1">
      <x:c r="A223" s="2" t="str">
        <x:v>E222</x:v>
      </x:c>
      <x:c r="B223" s="2" t="str">
        <x:v>***数码科技有限公司</x:v>
      </x:c>
      <x:c r="C223" s="2" t="str">
        <x:v>无信贷记录</x:v>
      </x:c>
      <x:c r="D223" s="2" t="str"/>
      <x:c r="E223" s="2" t="str"/>
      <x:c r="F223" s="13" t="n">
        <x:v>0.34579883567603453</x:v>
      </x:c>
      <x:c r="G223" s="13" t="n">
        <x:v>0.32984590405093206</x:v>
      </x:c>
      <x:c r="H223" s="13" t="n">
        <x:v>0.5509090909090909</x:v>
      </x:c>
      <x:c r="I223" s="13" t="n">
        <x:v>0.6410256410256421</x:v>
      </x:c>
      <x:c r="J223" s="13" t="n">
        <x:v>0.1963681646126619</x:v>
      </x:c>
      <x:c r="K223" s="13" t="n">
        <x:v>0.2173901399205809</x:v>
      </x:c>
      <x:c r="L223" s="13" t="n">
        <x:v>0.5803826917813332</x:v>
      </x:c>
      <x:c r="M223" s="13" t="n">
        <x:v>0.5137566974883008</x:v>
      </x:c>
      <x:c r="N223" s="13" t="n">
        <x:v>0.45730265545065846</x:v>
      </x:c>
      <x:c r="O223" s="13" t="n">
        <x:v>0.015018722897730976</x:v>
      </x:c>
      <x:c r="P223" s="13" t="n">
        <x:v>0.03034309241610334</x:v>
      </x:c>
      <x:c r="Q223" s="13" t="n">
        <x:v>0.19745226458870535</x:v>
      </x:c>
      <x:c r="R223" s="13" t="n">
        <x:v>0.1565395827333056</x:v>
      </x:c>
      <x:c r="S223" s="13" t="n">
        <x:v>0.6306059644215016</x:v>
      </x:c>
      <x:c r="T223" s="13" t="n">
        <x:v>0.9722222222222222</x:v>
      </x:c>
      <x:c r="U223" s="13" t="n">
        <x:v>0.1193898411699954</x:v>
      </x:c>
      <x:c r="V223" s="13" t="n">
        <x:v>0.09483727197733502</x:v>
      </x:c>
      <x:c r="W223" s="13" t="n">
        <x:v>0.43593163406441454</x:v>
      </x:c>
      <x:c r="X223" s="13" t="n">
        <x:v>0.07368779049994342</x:v>
      </x:c>
      <x:c r="Y223" s="13" t="n">
        <x:v>0.10332589645868587</x:v>
      </x:c>
      <x:c r="Z223" s="13" t="n">
        <x:v>0.0707250614395021</x:v>
      </x:c>
      <x:c r="AA223" s="13" t="n">
        <x:v>0.02488597025569407</x:v>
      </x:c>
      <x:c r="AB223" s="13" t="n">
        <x:v>0.3153070264406853</x:v>
      </x:c>
      <x:c r="AC223" s="13" t="n">
        <x:v>0.14255821937318258</x:v>
      </x:c>
      <x:c r="AD223" s="13" t="n">
        <x:v>0.0677921898672258</x:v>
      </x:c>
      <x:c r="AE223" s="13" t="n">
        <x:v>0.15791592574057828</x:v>
      </x:c>
      <x:c r="AF223" s="13" t="n">
        <x:v>0.10176179810555505</x:v>
      </x:c>
      <x:c r="AG223" s="13" t="n">
        <x:v>0.27581316578450016</x:v>
      </x:c>
      <x:c r="AH223" s="13" t="n">
        <x:v>0.656493925685221</x:v>
      </x:c>
      <x:c r="AI223" s="13" t="n">
        <x:v>0.9705882352941176</x:v>
      </x:c>
      <x:c r="AJ223" s="13" t="n">
        <x:v>0.1687695704770158</x:v>
      </x:c>
      <x:c r="AK223" s="13" t="n">
        <x:v>0.0419163658076434</x:v>
      </x:c>
      <x:c r="AL223" s="13" t="n">
        <x:v>0.30498736186685566</x:v>
      </x:c>
      <x:c r="AM223" s="13" t="n">
        <x:v>0.22131303095591617</x:v>
      </x:c>
      <x:c r="AN223" s="13" t="n">
        <x:v>0.026149053663279864</x:v>
      </x:c>
      <x:c r="AO223" s="13" t="n">
        <x:v>0.23622935685822477</x:v>
      </x:c>
      <x:c r="AP223" s="13" t="n">
        <x:v>0.6148000099843494</x:v>
      </x:c>
    </x:row>
    <x:row r="224" ht="15" hidden="0" customHeight="1">
      <x:c r="A224" s="2" t="str">
        <x:v>E223</x:v>
      </x:c>
      <x:c r="B224" s="2" t="str">
        <x:v>***科技有限公司</x:v>
      </x:c>
      <x:c r="C224" s="2" t="str">
        <x:v>无信贷记录</x:v>
      </x:c>
      <x:c r="D224" s="2" t="str"/>
      <x:c r="E224" s="2" t="str"/>
      <x:c r="F224" s="13" t="n">
        <x:v>0.1959975242417991</x:v>
      </x:c>
      <x:c r="G224" s="13" t="n">
        <x:v>0.19097948134154127</x:v>
      </x:c>
      <x:c r="H224" s="13" t="n">
        <x:v>0.21636363636363637</x:v>
      </x:c>
      <x:c r="I224" s="13" t="n">
        <x:v>0.13354700854700877</x:v>
      </x:c>
      <x:c r="J224" s="13" t="n">
        <x:v>0.1491274195866204</x:v>
      </x:c>
      <x:c r="K224" s="13" t="n">
        <x:v>0.1487407692896284</x:v>
      </x:c>
      <x:c r="L224" s="13" t="n">
        <x:v>0.48956182039861657</x:v>
      </x:c>
      <x:c r="M224" s="13" t="n">
        <x:v>0.3558699759532808</x:v>
      </x:c>
      <x:c r="N224" s="13" t="n">
        <x:v>0.16449051769994158</x:v>
      </x:c>
      <x:c r="O224" s="13" t="n">
        <x:v>0.17273351128431405</x:v>
      </x:c>
      <x:c r="P224" s="13" t="n">
        <x:v>0.33799592630821595</x:v>
      </x:c>
      <x:c r="Q224" s="13" t="n">
        <x:v>0.29201252877470313</x:v>
      </x:c>
      <x:c r="R224" s="13" t="n">
        <x:v>0.06352245956249616</x:v>
      </x:c>
      <x:c r="S224" s="13" t="n">
        <x:v>0.7554190843580886</x:v>
      </x:c>
      <x:c r="T224" s="13" t="n">
        <x:v>0.4722222222222222</x:v>
      </x:c>
      <x:c r="U224" s="13" t="n">
        <x:v>0.04539148363649076</x:v>
      </x:c>
      <x:c r="V224" s="13" t="n">
        <x:v>0.04388561446205879</x:v>
      </x:c>
      <x:c r="W224" s="13" t="n">
        <x:v>0.06421655799249165</x:v>
      </x:c>
      <x:c r="X224" s="13" t="n">
        <x:v>0.05951706155764661</x:v>
      </x:c>
      <x:c r="Y224" s="13" t="n">
        <x:v>0.05305121858976036</x:v>
      </x:c>
      <x:c r="Z224" s="13" t="n">
        <x:v>0.03804694231447492</x:v>
      </x:c>
      <x:c r="AA224" s="13" t="n">
        <x:v>0.019314484377553606</x:v>
      </x:c>
      <x:c r="AB224" s="13" t="n">
        <x:v>0.12081616581547264</x:v>
      </x:c>
      <x:c r="AC224" s="13" t="n">
        <x:v>0.24694228566312537</x:v>
      </x:c>
      <x:c r="AD224" s="13" t="n">
        <x:v>0.2520476791982303</x:v>
      </x:c>
      <x:c r="AE224" s="13" t="n">
        <x:v>0.4518924843985171</x:v>
      </x:c>
      <x:c r="AF224" s="13" t="n">
        <x:v>0.11383324698982022</x:v>
      </x:c>
      <x:c r="AG224" s="13" t="n">
        <x:v>0.09474510109255765</x:v>
      </x:c>
      <x:c r="AH224" s="13" t="n">
        <x:v>0.7662397315816544</x:v>
      </x:c>
      <x:c r="AI224" s="13" t="n">
        <x:v>0.38235294117647056</x:v>
      </x:c>
      <x:c r="AJ224" s="13" t="n">
        <x:v>0.12617669965920986</x:v>
      </x:c>
      <x:c r="AK224" s="13" t="n">
        <x:v>0.05327370280662791</x:v>
      </x:c>
      <x:c r="AL224" s="13" t="n">
        <x:v>0.14938903968801048</x:v>
      </x:c>
      <x:c r="AM224" s="13" t="n">
        <x:v>0.13338738901068112</x:v>
      </x:c>
      <x:c r="AN224" s="13" t="n">
        <x:v>0.22972420519104203</x:v>
      </x:c>
      <x:c r="AO224" s="13" t="n">
        <x:v>0.07663586495661429</x:v>
      </x:c>
      <x:c r="AP224" s="13" t="n">
        <x:v>0.7506410854969252</x:v>
      </x:c>
    </x:row>
    <x:row r="225" ht="15" hidden="0" customHeight="1">
      <x:c r="A225" s="2" t="str">
        <x:v>E224</x:v>
      </x:c>
      <x:c r="B225" s="2" t="str">
        <x:v>***纸业有限公司</x:v>
      </x:c>
      <x:c r="C225" s="2" t="str">
        <x:v>无信贷记录</x:v>
      </x:c>
      <x:c r="D225" s="2" t="str"/>
      <x:c r="E225" s="2" t="str"/>
      <x:c r="F225" s="13" t="n">
        <x:v>0.05658662313159493</x:v>
      </x:c>
      <x:c r="G225" s="13" t="n">
        <x:v>0.055012467457950964</x:v>
      </x:c>
      <x:c r="H225" s="13" t="n">
        <x:v>0.06545454545454546</x:v>
      </x:c>
      <x:c r="I225" s="13" t="n">
        <x:v>0.03338675213675219</x:v>
      </x:c>
      <x:c r="J225" s="13" t="n">
        <x:v>0.39108738605407606</x:v>
      </x:c>
      <x:c r="K225" s="13" t="n">
        <x:v>0.39121628572813083</x:v>
      </x:c>
      <x:c r="L225" s="13" t="n">
        <x:v>0.06407225857821792</x:v>
      </x:c>
      <x:c r="M225" s="13" t="n">
        <x:v>0.3721936361250508</x:v>
      </x:c>
      <x:c r="N225" s="13" t="n">
        <x:v>0.14247881979196186</x:v>
      </x:c>
      <x:c r="O225" s="13" t="n">
        <x:v>0.09567603850434835</x:v>
      </x:c>
      <x:c r="P225" s="13" t="n">
        <x:v>0.16872707818613136</x:v>
      </x:c>
      <x:c r="Q225" s="13" t="n">
        <x:v>0.3932494143887051</x:v>
      </x:c>
      <x:c r="R225" s="13" t="n">
        <x:v>0.06972053796418208</x:v>
      </x:c>
      <x:c r="S225" s="13" t="n">
        <x:v>0.5077311082136396</x:v>
      </x:c>
      <x:c r="T225" s="13" t="n">
        <x:v>0.9722222222222222</x:v>
      </x:c>
      <x:c r="U225" s="13" t="n">
        <x:v>0.09763589662944917</x:v>
      </x:c>
      <x:c r="V225" s="13" t="n">
        <x:v>0.10295594268031859</x:v>
      </x:c>
      <x:c r="W225" s="13" t="n">
        <x:v>0.02099387472831458</x:v>
      </x:c>
      <x:c r="X225" s="13" t="n">
        <x:v>0.039678041038431075</x:v>
      </x:c>
      <x:c r="Y225" s="13" t="n">
        <x:v>0.16655310263911643</x:v>
      </x:c>
      <x:c r="Z225" s="13" t="n">
        <x:v>0.11258337563939719</x:v>
      </x:c>
      <x:c r="AA225" s="13" t="n">
        <x:v>0.014857295675041236</x:v>
      </x:c>
      <x:c r="AB225" s="13" t="n">
        <x:v>0.018539686355514052</x:v>
      </x:c>
      <x:c r="AC225" s="13" t="n">
        <x:v>0.07074562778457105</x:v>
      </x:c>
      <x:c r="AD225" s="13" t="n">
        <x:v>0.12114516008382324</x:v>
      </x:c>
      <x:c r="AE225" s="13" t="n">
        <x:v>0.20750188758406113</x:v>
      </x:c>
      <x:c r="AF225" s="13" t="n">
        <x:v>0.16406055519614327</x:v>
      </x:c>
      <x:c r="AG225" s="13" t="n">
        <x:v>0.08120083022746973</x:v>
      </x:c>
      <x:c r="AH225" s="13" t="n">
        <x:v>0.4515469376017396</x:v>
      </x:c>
      <x:c r="AI225" s="13" t="n">
        <x:v>0.9705882352941176</x:v>
      </x:c>
      <x:c r="AJ225" s="13" t="n">
        <x:v>0.13739239607669348</x:v>
      </x:c>
      <x:c r="AK225" s="13" t="n">
        <x:v>0.04740541150283922</x:v>
      </x:c>
      <x:c r="AL225" s="13" t="n">
        <x:v>0.07549480737687132</x:v>
      </x:c>
      <x:c r="AM225" s="13" t="n">
        <x:v>0.10056102466391455</x:v>
      </x:c>
      <x:c r="AN225" s="13" t="n">
        <x:v>0.10606289330707437</x:v>
      </x:c>
      <x:c r="AO225" s="13" t="n">
        <x:v>0.0742950610786606</x:v>
      </x:c>
      <x:c r="AP225" s="13" t="n">
        <x:v>0.43423345092997867</x:v>
      </x:c>
    </x:row>
    <x:row r="226" ht="15" hidden="0" customHeight="1">
      <x:c r="A226" s="2" t="str">
        <x:v>E225</x:v>
      </x:c>
      <x:c r="B226" s="2" t="str">
        <x:v>***物业服务有限责任公司***分公司</x:v>
      </x:c>
      <x:c r="C226" s="2" t="str">
        <x:v>无信贷记录</x:v>
      </x:c>
      <x:c r="D226" s="2" t="str"/>
      <x:c r="E226" s="2" t="str"/>
      <x:c r="F226" s="13" t="n">
        <x:v>0.3236724942665866</x:v>
      </x:c>
      <x:c r="G226" s="13" t="n">
        <x:v>0.31824826874773016</x:v>
      </x:c>
      <x:c r="H226" s="13" t="n">
        <x:v>0.28909090909090907</x:v>
      </x:c>
      <x:c r="I226" s="13" t="n">
        <x:v>0.32051282051282104</x:v>
      </x:c>
      <x:c r="J226" s="13" t="n">
        <x:v>0.16451509754210694</x:v>
      </x:c>
      <x:c r="K226" s="13" t="n">
        <x:v>0.16564994286693885</x:v>
      </x:c>
      <x:c r="L226" s="13" t="n">
        <x:v>0.42548956182039865</x:v>
      </x:c>
      <x:c r="M226" s="13" t="n">
        <x:v>0.2880161857572026</x:v>
      </x:c>
      <x:c r="N226" s="13" t="n">
        <x:v>0.23697986877834867</x:v>
      </x:c>
      <x:c r="O226" s="13" t="n">
        <x:v>0.19635812961735868</x:v>
      </x:c>
      <x:c r="P226" s="13" t="n">
        <x:v>0.41247610400597734</x:v>
      </x:c>
      <x:c r="Q226" s="13" t="n">
        <x:v>0.16106950322647215</x:v>
      </x:c>
      <x:c r="R226" s="13" t="n">
        <x:v>0.014909453645271376</x:v>
      </x:c>
      <x:c r="S226" s="13" t="n">
        <x:v>0.5777415115691285</x:v>
      </x:c>
      <x:c r="T226" s="13" t="n">
        <x:v>1</x:v>
      </x:c>
      <x:c r="U226" s="13" t="n">
        <x:v>0.7742796736034674</x:v>
      </x:c>
      <x:c r="V226" s="13" t="n">
        <x:v>0.7753125221630388</x:v>
      </x:c>
      <x:c r="W226" s="13" t="n">
        <x:v>0.6878581308041894</x:v>
      </x:c>
      <x:c r="X226" s="13" t="n">
        <x:v>0.2834145788459363</x:v>
      </x:c>
      <x:c r="Y226" s="13" t="n">
        <x:v>0.11180057331067941</x:v>
      </x:c>
      <x:c r="Z226" s="13" t="n">
        <x:v>0.07599674544341543</x:v>
      </x:c>
      <x:c r="AA226" s="13" t="n">
        <x:v>0.17605895374923863</x:v>
      </x:c>
      <x:c r="AB226" s="13" t="n">
        <x:v>0.07716334385193362</x:v>
      </x:c>
      <x:c r="AC226" s="13" t="n">
        <x:v>0.06745781877920615</x:v>
      </x:c>
      <x:c r="AD226" s="13" t="n">
        <x:v>0.016589801315711743</x:v>
      </x:c>
      <x:c r="AE226" s="13" t="n">
        <x:v>0.031296105501080605</x:v>
      </x:c>
      <x:c r="AF226" s="13" t="n">
        <x:v>0.10721062593137537</x:v>
      </x:c>
      <x:c r="AG226" s="13" t="n">
        <x:v>0.12997925790408085</x:v>
      </x:c>
      <x:c r="AH226" s="13" t="n">
        <x:v>0.5398526632980423</x:v>
      </x:c>
      <x:c r="AI226" s="13" t="n">
        <x:v>1</x:v>
      </x:c>
      <x:c r="AJ226" s="13" t="n">
        <x:v>0.2009452542102042</x:v>
      </x:c>
      <x:c r="AK226" s="13" t="n">
        <x:v>0.02972200471869199</x:v>
      </x:c>
      <x:c r="AL226" s="13" t="n">
        <x:v>0.14936621823134696</x:v>
      </x:c>
      <x:c r="AM226" s="13" t="n">
        <x:v>0.11497604864849369</x:v>
      </x:c>
      <x:c r="AN226" s="13" t="n">
        <x:v>0.10450405053728587</x:v>
      </x:c>
      <x:c r="AO226" s="13" t="n">
        <x:v>0.059024672975400594</x:v>
      </x:c>
      <x:c r="AP226" s="13" t="n">
        <x:v>0.5233566199459778</x:v>
      </x:c>
    </x:row>
    <x:row r="227" ht="15" hidden="0" customHeight="1">
      <x:c r="A227" s="2" t="str">
        <x:v>E226</x:v>
      </x:c>
      <x:c r="B227" s="2" t="str">
        <x:v>***建设工程有限公司</x:v>
      </x:c>
      <x:c r="C227" s="2" t="str">
        <x:v>无信贷记录</x:v>
      </x:c>
      <x:c r="D227" s="2" t="str"/>
      <x:c r="E227" s="2" t="str"/>
      <x:c r="F227" s="13" t="n">
        <x:v>0.0781149553137605</x:v>
      </x:c>
      <x:c r="G227" s="13" t="n">
        <x:v>0.07782623690306516</x:v>
      </x:c>
      <x:c r="H227" s="13" t="n">
        <x:v>0.045454545454545456</x:v>
      </x:c>
      <x:c r="I227" s="13" t="n">
        <x:v>0.1936431623931627</x:v>
      </x:c>
      <x:c r="J227" s="13" t="n">
        <x:v>0.1770347077713127</x:v>
      </x:c>
      <x:c r="K227" s="13" t="n">
        <x:v>0.19125024857827877</x:v>
      </x:c>
      <x:c r="L227" s="13" t="n">
        <x:v>0.136231307074075</x:v>
      </x:c>
      <x:c r="M227" s="13" t="n">
        <x:v>0.1873706421912565</x:v>
      </x:c>
      <x:c r="N227" s="13" t="n">
        <x:v>0.5846092787824001</x:v>
      </x:c>
      <x:c r="O227" s="13" t="n">
        <x:v>0.0811578509050514</x:v>
      </x:c>
      <x:c r="P227" s="13" t="n">
        <x:v>0.12097837170428571</x:v>
      </x:c>
      <x:c r="Q227" s="13" t="n">
        <x:v>0.19958955900817132</x:v>
      </x:c>
      <x:c r="R227" s="13" t="n">
        <x:v>0.19771892923794449</x:v>
      </x:c>
      <x:c r="S227" s="13" t="n">
        <x:v>0.6424170082944415</x:v>
      </x:c>
      <x:c r="T227" s="13" t="n">
        <x:v>0.8333333333333334</x:v>
      </x:c>
      <x:c r="U227" s="13" t="n">
        <x:v>0.047575614614457244</x:v>
      </x:c>
      <x:c r="V227" s="13" t="n">
        <x:v>0.04752501857029281</x:v>
      </x:c>
      <x:c r="W227" s="13" t="n">
        <x:v>0.04692748468682083</x:v>
      </x:c>
      <x:c r="X227" s="13" t="n">
        <x:v>0.017004874730756177</x:v>
      </x:c>
      <x:c r="Y227" s="13" t="n">
        <x:v>0.07362903526788986</x:v>
      </x:c>
      <x:c r="Z227" s="13" t="n">
        <x:v>0.0495884453404207</x:v>
      </x:c>
      <x:c r="AA227" s="13" t="n">
        <x:v>0.011885836540032989</x:v>
      </x:c>
      <x:c r="AB227" s="13" t="n">
        <x:v>0.08430458779584252</x:v>
      </x:c>
      <x:c r="AC227" s="13" t="n">
        <x:v>0.06522229804059292</x:v>
      </x:c>
      <x:c r="AD227" s="13" t="n">
        <x:v>0.43625545766399954</x:v>
      </x:c>
      <x:c r="AE227" s="13" t="n">
        <x:v>0.6376290351562347</x:v>
      </x:c>
      <x:c r="AF227" s="13" t="n">
        <x:v>0.07250101539124727</x:v>
      </x:c>
      <x:c r="AG227" s="13" t="n">
        <x:v>0.31745672682786885</x:v>
      </x:c>
      <x:c r="AH227" s="13" t="n">
        <x:v>0.6756648218969171</x:v>
      </x:c>
      <x:c r="AI227" s="13" t="n">
        <x:v>0.7352941176470589</x:v>
      </x:c>
      <x:c r="AJ227" s="13" t="n">
        <x:v>0.13822940818372162</x:v>
      </x:c>
      <x:c r="AK227" s="13" t="n">
        <x:v>0.05257720297318189</x:v>
      </x:c>
      <x:c r="AL227" s="13" t="n">
        <x:v>0.10730250023035987</x:v>
      </x:c>
      <x:c r="AM227" s="13" t="n">
        <x:v>0.22077518778021482</x:v>
      </x:c>
      <x:c r="AN227" s="13" t="n">
        <x:v>0.28388924875305904</x:v>
      </x:c>
      <x:c r="AO227" s="13" t="n">
        <x:v>0.28736803680490075</x:v>
      </x:c>
      <x:c r="AP227" s="13" t="n">
        <x:v>0.6319007954521056</x:v>
      </x:c>
    </x:row>
    <x:row r="228" ht="15" hidden="0" customHeight="1">
      <x:c r="A228" s="2" t="str">
        <x:v>E227</x:v>
      </x:c>
      <x:c r="B228" s="2" t="str">
        <x:v>***安全技术有限公司</x:v>
      </x:c>
      <x:c r="C228" s="2" t="str">
        <x:v>无信贷记录</x:v>
      </x:c>
      <x:c r="D228" s="2" t="str"/>
      <x:c r="E228" s="2" t="str"/>
      <x:c r="F228" s="13" t="n">
        <x:v>0.21976839102627357</x:v>
      </x:c>
      <x:c r="G228" s="13" t="n">
        <x:v>0.21180944474794988</x:v>
      </x:c>
      <x:c r="H228" s="13" t="n">
        <x:v>0.29818181818181816</x:v>
      </x:c>
      <x:c r="I228" s="13" t="n">
        <x:v>0.12019230769230788</x:v>
      </x:c>
      <x:c r="J228" s="13" t="n">
        <x:v>0.18922858368280004</x:v>
      </x:c>
      <x:c r="K228" s="13" t="n">
        <x:v>0.19069138662852342</x:v>
      </x:c>
      <x:c r="L228" s="13" t="n">
        <x:v>0.3452437234069024</x:v>
      </x:c>
      <x:c r="M228" s="13" t="n">
        <x:v>0.4374308392845176</x:v>
      </x:c>
      <x:c r="N228" s="13" t="n">
        <x:v>0.13349311452646448</x:v>
      </x:c>
      <x:c r="O228" s="13" t="n">
        <x:v>0.013252121018638</x:v>
      </x:c>
      <x:c r="P228" s="13" t="n">
        <x:v>0.024525042356477882</x:v>
      </x:c>
      <x:c r="Q228" s="13" t="n">
        <x:v>0.20114619138493284</x:v>
      </x:c>
      <x:c r="R228" s="13" t="n">
        <x:v>0.071336436491342</x:v>
      </x:c>
      <x:c r="S228" s="13" t="n">
        <x:v>0.6216381920108915</x:v>
      </x:c>
      <x:c r="T228" s="13" t="n">
        <x:v>0.9166666666666666</x:v>
      </x:c>
      <x:c r="U228" s="13" t="n">
        <x:v>0.06400027956876524</x:v>
      </x:c>
      <x:c r="V228" s="13" t="n">
        <x:v>0.06348240581408811</x:v>
      </x:c>
      <x:c r="W228" s="13" t="n">
        <x:v>0.06792135941513541</x:v>
      </x:c>
      <x:c r="X228" s="13" t="n">
        <x:v>0.017004874730756177</x:v>
      </x:c>
      <x:c r="Y228" s="13" t="n">
        <x:v>0.09012581586116244</x:v>
      </x:c>
      <x:c r="Z228" s="13" t="n">
        <x:v>0.0603469251205334</x:v>
      </x:c>
      <x:c r="AA228" s="13" t="n">
        <x:v>0.031200320917586594</x:v>
      </x:c>
      <x:c r="AB228" s="13" t="n">
        <x:v>0.09110373067595834</x:v>
      </x:c>
      <x:c r="AC228" s="13" t="n">
        <x:v>0.04898792691258507</x:v>
      </x:c>
      <x:c r="AD228" s="13" t="n">
        <x:v>0.050417698316246026</x:v>
      </x:c>
      <x:c r="AE228" s="13" t="n">
        <x:v>0.08763133028080838</x:v>
      </x:c>
      <x:c r="AF228" s="13" t="n">
        <x:v>0.08875555183279435</x:v>
      </x:c>
      <x:c r="AG228" s="13" t="n">
        <x:v>0.18062890989490335</x:v>
      </x:c>
      <x:c r="AH228" s="13" t="n">
        <x:v>0.6061658798158494</x:v>
      </x:c>
      <x:c r="AI228" s="13" t="n">
        <x:v>0.8529411764705882</x:v>
      </x:c>
      <x:c r="AJ228" s="13" t="n">
        <x:v>0.15428183755740918</x:v>
      </x:c>
      <x:c r="AK228" s="13" t="n">
        <x:v>0.04308516641699781</x:v>
      </x:c>
      <x:c r="AL228" s="13" t="n">
        <x:v>0.1641275610513724</x:v>
      </x:c>
      <x:c r="AM228" s="13" t="n">
        <x:v>0.06719648510693292</x:v>
      </x:c>
      <x:c r="AN228" s="13" t="n">
        <x:v>0.014805817491661816</x:v>
      </x:c>
      <x:c r="AO228" s="13" t="n">
        <x:v>0.12584929124091598</x:v>
      </x:c>
      <x:c r="AP228" s="13" t="n">
        <x:v>0.5845269915781974</x:v>
      </x:c>
    </x:row>
    <x:row r="229" ht="15" hidden="0" customHeight="1">
      <x:c r="A229" s="2" t="str">
        <x:v>E228</x:v>
      </x:c>
      <x:c r="B229" s="2" t="str">
        <x:v>***文化发展有限公司</x:v>
      </x:c>
      <x:c r="C229" s="2" t="str">
        <x:v>无信贷记录</x:v>
      </x:c>
      <x:c r="D229" s="2" t="str"/>
      <x:c r="E229" s="2" t="str"/>
      <x:c r="F229" s="13" t="n">
        <x:v>0.20489291149762445</x:v>
      </x:c>
      <x:c r="G229" s="13" t="n">
        <x:v>0.2031875185028064</x:v>
      </x:c>
      <x:c r="H229" s="13" t="n">
        <x:v>0.14181818181818182</x:v>
      </x:c>
      <x:c r="I229" s="13" t="n">
        <x:v>0.06677350427350438</x:v>
      </x:c>
      <x:c r="J229" s="13" t="n">
        <x:v>0.11215387834037926</x:v>
      </x:c>
      <x:c r="K229" s="13" t="n">
        <x:v>0.1122075761212735</x:v>
      </x:c>
      <x:c r="L229" s="13" t="n">
        <x:v>0.3769688223145637</x:v>
      </x:c>
      <x:c r="M229" s="13" t="n">
        <x:v>0.22313978658681957</x:v>
      </x:c>
      <x:c r="N229" s="13" t="n">
        <x:v>0.07730745719293691</x:v>
      </x:c>
      <x:c r="O229" s="13" t="n">
        <x:v>0.024902955440774966</x:v>
      </x:c>
      <x:c r="P229" s="13" t="n">
        <x:v>0.08190529389323564</x:v>
      </x:c>
      <x:c r="Q229" s="13" t="n">
        <x:v>0.1127717841384727</x:v>
      </x:c>
      <x:c r="R229" s="13" t="n">
        <x:v>0.10416613318397418</x:v>
      </x:c>
      <x:c r="S229" s="13" t="n">
        <x:v>0.599201915201678</x:v>
      </x:c>
      <x:c r="T229" s="13" t="n">
        <x:v>0.9722222222222222</x:v>
      </x:c>
      <x:c r="U229" s="13" t="n">
        <x:v>0.1019167933462635</x:v>
      </x:c>
      <x:c r="V229" s="13" t="n">
        <x:v>0.09203773035561653</x:v>
      </x:c>
      <x:c r="W229" s="13" t="n">
        <x:v>0.22599288678126872</x:v>
      </x:c>
      <x:c r="X229" s="13" t="n">
        <x:v>0.2947511619997737</x:v>
      </x:c>
      <x:c r="Y229" s="13" t="n">
        <x:v>0.09535046398865488</x:v>
      </x:c>
      <x:c r="Z229" s="13" t="n">
        <x:v>0.08177406979247845</x:v>
      </x:c>
      <x:c r="AA229" s="13" t="n">
        <x:v>0.06202920944329716</x:v>
      </x:c>
      <x:c r="AB229" s="13" t="n">
        <x:v>0.1912586761528398</x:v>
      </x:c>
      <x:c r="AC229" s="13" t="n">
        <x:v>0.5874604568731754</x:v>
      </x:c>
      <x:c r="AD229" s="13" t="n">
        <x:v>0.026774329091338103</x:v>
      </x:c>
      <x:c r="AE229" s="13" t="n">
        <x:v>0.059483085461981416</x:v>
      </x:c>
      <x:c r="AF229" s="13" t="n">
        <x:v>0.09390347950889004</x:v>
      </x:c>
      <x:c r="AG229" s="13" t="n">
        <x:v>0.080138633634902</x:v>
      </x:c>
      <x:c r="AH229" s="13" t="n">
        <x:v>0.5725857169044031</x:v>
      </x:c>
      <x:c r="AI229" s="13" t="n">
        <x:v>0.9705882352941176</x:v>
      </x:c>
      <x:c r="AJ229" s="13" t="n">
        <x:v>0.2101761706471564</x:v>
      </x:c>
      <x:c r="AK229" s="13" t="n">
        <x:v>0.0187062385292529</x:v>
      </x:c>
      <x:c r="AL229" s="13" t="n">
        <x:v>0.1843523232289098</x:v>
      </x:c>
      <x:c r="AM229" s="13" t="n">
        <x:v>0.30234285108084535</x:v>
      </x:c>
      <x:c r="AN229" s="13" t="n">
        <x:v>0.007791894527684597</x:v>
      </x:c>
      <x:c r="AO229" s="13" t="n">
        <x:v>0.09888457976104274</x:v>
      </x:c>
      <x:c r="AP229" s="13" t="n">
        <x:v>0.553413405075692</x:v>
      </x:c>
    </x:row>
    <x:row r="230" ht="15" hidden="0" customHeight="1">
      <x:c r="A230" s="2" t="str">
        <x:v>E229</x:v>
      </x:c>
      <x:c r="B230" s="2" t="str">
        <x:v>***家贸易有限公司</x:v>
      </x:c>
      <x:c r="C230" s="2" t="str">
        <x:v>无信贷记录</x:v>
      </x:c>
      <x:c r="D230" s="2" t="str"/>
      <x:c r="E230" s="2" t="str"/>
      <x:c r="F230" s="13" t="n">
        <x:v>0.12102211737127107</x:v>
      </x:c>
      <x:c r="G230" s="13" t="n">
        <x:v>0.1196387641803982</x:v>
      </x:c>
      <x:c r="H230" s="13" t="n">
        <x:v>0.09272727272727273</x:v>
      </x:c>
      <x:c r="I230" s="13" t="n">
        <x:v>0.05341880341880351</x:v>
      </x:c>
      <x:c r="J230" s="13" t="n">
        <x:v>0.2214736964265462</x:v>
      </x:c>
      <x:c r="K230" s="13" t="n">
        <x:v>0.22146447736188216</x:v>
      </x:c>
      <x:c r="L230" s="13" t="n">
        <x:v>0.14120779317723756</x:v>
      </x:c>
      <x:c r="M230" s="13" t="n">
        <x:v>0.24688538386394876</x:v>
      </x:c>
      <x:c r="N230" s="13" t="n">
        <x:v>0.10498057244289266</x:v>
      </x:c>
      <x:c r="O230" s="13" t="n">
        <x:v>0.08408293211213352</x:v>
      </x:c>
      <x:c r="P230" s="13" t="n">
        <x:v>0.20744393908100778</x:v>
      </x:c>
      <x:c r="Q230" s="13" t="n">
        <x:v>0.22269677582382616</x:v>
      </x:c>
      <x:c r="R230" s="13" t="n">
        <x:v>0.027222710313827427</x:v>
      </x:c>
      <x:c r="S230" s="13" t="n">
        <x:v>0.564906773477613</x:v>
      </x:c>
      <x:c r="T230" s="13" t="n">
        <x:v>0.9722222222222222</x:v>
      </x:c>
      <x:c r="U230" s="13" t="n">
        <x:v>0.07448410826300439</x:v>
      </x:c>
      <x:c r="V230" s="13" t="n">
        <x:v>0.0715077584630144</x:v>
      </x:c>
      <x:c r="W230" s="13" t="n">
        <x:v>0.10990910887176457</x:v>
      </x:c>
      <x:c r="X230" s="13" t="n">
        <x:v>0.0028341457884593626</x:v>
      </x:c>
      <x:c r="Y230" s="13" t="n">
        <x:v>0.09485539423295065</x:v>
      </x:c>
      <x:c r="Z230" s="13" t="n">
        <x:v>0.06276021232519878</x:v>
      </x:c>
      <x:c r="AA230" s="13" t="n">
        <x:v>0.011514404148156958</x:v>
      </x:c>
      <x:c r="AB230" s="13" t="n">
        <x:v>0.1268995605648373</x:v>
      </x:c>
      <x:c r="AC230" s="13" t="n">
        <x:v>0.00725629706531823</x:v>
      </x:c>
      <x:c r="AD230" s="13" t="n">
        <x:v>0.6959828166294876</x:v>
      </x:c>
      <x:c r="AE230" s="13" t="n">
        <x:v>0.8252656311738298</x:v>
      </x:c>
      <x:c r="AF230" s="13" t="n">
        <x:v>0.09341567952029811</x:v>
      </x:c>
      <x:c r="AG230" s="13" t="n">
        <x:v>0.0013897819407225527</x:v>
      </x:c>
      <x:c r="AH230" s="13" t="n">
        <x:v>0.5448192300985341</x:v>
      </x:c>
      <x:c r="AI230" s="13" t="n">
        <x:v>0.9705882352941176</x:v>
      </x:c>
      <x:c r="AJ230" s="13" t="n">
        <x:v>0.14083585710506166</x:v>
      </x:c>
      <x:c r="AK230" s="13" t="n">
        <x:v>0.048117753493915796</x:v>
      </x:c>
      <x:c r="AL230" s="13" t="n">
        <x:v>0.15546674410598044</x:v>
      </x:c>
      <x:c r="AM230" s="13" t="n">
        <x:v>0.03726565635331667</x:v>
      </x:c>
      <x:c r="AN230" s="13" t="n">
        <x:v>0.4393847834505366</x:v>
      </x:c>
      <x:c r="AO230" s="13" t="n">
        <x:v>0.002856924309334016</x:v>
      </x:c>
      <x:c r="AP230" s="13" t="n">
        <x:v>0.5172425060898638</x:v>
      </x:c>
    </x:row>
    <x:row r="231" ht="15" hidden="0" customHeight="1">
      <x:c r="A231" s="2" t="str">
        <x:v>E230</x:v>
      </x:c>
      <x:c r="B231" s="2" t="str">
        <x:v>***建筑劳务有限公司</x:v>
      </x:c>
      <x:c r="C231" s="2" t="str">
        <x:v>无信贷记录</x:v>
      </x:c>
      <x:c r="D231" s="2" t="str"/>
      <x:c r="E231" s="2" t="str"/>
      <x:c r="F231" s="13" t="n">
        <x:v>0.006129594579644365</x:v>
      </x:c>
      <x:c r="G231" s="13" t="n">
        <x:v>0.006180318812890468</x:v>
      </x:c>
      <x:c r="H231" s="13" t="n">
        <x:v>0.0018181818181818182</x:v>
      </x:c>
      <x:c r="I231" s="13" t="n">
        <x:v>0</x:v>
      </x:c>
      <x:c r="J231" s="13" t="n">
        <x:v>0.00042764835609060176</x:v>
      </x:c>
      <x:c r="K231" s="13" t="n">
        <x:v>0.00042449196726916893</x:v>
      </x:c>
      <x:c r="L231" s="13" t="n">
        <x:v>0.009952972206325114</x:v>
      </x:c>
      <x:c r="M231" s="13" t="n">
        <x:v>0.09341764874964073</x:v>
      </x:c>
      <x:c r="N231" s="13" t="n">
        <x:v>0</x:v>
      </x:c>
      <x:c r="O231" s="13" t="n">
        <x:v>0.6471023444574461</x:v>
      </x:c>
      <x:c r="P231" s="13" t="n">
        <x:v>0.7943789506374574</x:v>
      </x:c>
      <x:c r="Q231" s="13" t="n">
        <x:v>0.00042705911909497485</x:v>
      </x:c>
      <x:c r="R231" s="13" t="n">
        <x:v>0.3862658347955117</x:v>
      </x:c>
      <x:c r="S231" s="13" t="n">
        <x:v>0.7615741000461045</x:v>
      </x:c>
      <x:c r="T231" s="13" t="n">
        <x:v>0.6666666666666666</x:v>
      </x:c>
      <x:c r="U231" s="13" t="n">
        <x:v>0.05823417378693371</x:v>
      </x:c>
      <x:c r="V231" s="13" t="n">
        <x:v>0.054617190678646274</x:v>
      </x:c>
      <x:c r="W231" s="13" t="n">
        <x:v>0.10373443983402499</x:v>
      </x:c>
      <x:c r="X231" s="13" t="n">
        <x:v>0.056682915769187256</x:v>
      </x:c>
      <x:c r="Y231" s="13" t="n">
        <x:v>0.07515122761236422</x:v>
      </x:c>
      <x:c r="Z231" s="13" t="n">
        <x:v>0.053592175196815715</x:v>
      </x:c>
      <x:c r="AA231" s="13" t="n">
        <x:v>0.0252574026475701</x:v>
      </x:c>
      <x:c r="AB231" s="13" t="n">
        <x:v>0.15272494151616814</x:v>
      </x:c>
      <x:c r="AC231" s="13" t="n">
        <x:v>0.18949721728010105</x:v>
      </x:c>
      <x:c r="AD231" s="13" t="n">
        <x:v>0.06192968354647326</x:v>
      </x:c>
      <x:c r="AE231" s="13" t="n">
        <x:v>0.1392328680941709</x:v>
      </x:c>
      <x:c r="AF231" s="13" t="n">
        <x:v>0.07606036037780846</x:v>
      </x:c>
      <x:c r="AG231" s="13" t="n">
        <x:v>0.31920053593927555</x:v>
      </x:c>
      <x:c r="AH231" s="13" t="n">
        <x:v>0.5687544589534091</x:v>
      </x:c>
      <x:c r="AI231" s="13" t="n">
        <x:v>0.7941176470588235</x:v>
      </x:c>
      <x:c r="AJ231" s="13" t="n">
        <x:v>0.2512874161003334</x:v>
      </x:c>
      <x:c r="AK231" s="13" t="n">
        <x:v>0.00009326189676026368</x:v>
      </x:c>
      <x:c r="AL231" s="13" t="n">
        <x:v>0.31228739086064206</x:v>
      </x:c>
      <x:c r="AM231" s="13" t="n">
        <x:v>0.28745163073521307</x:v>
      </x:c>
      <x:c r="AN231" s="13" t="n">
        <x:v>0.4014411364033821</x:v>
      </x:c>
      <x:c r="AO231" s="13" t="n">
        <x:v>0.4257944353200517</x:v>
      </x:c>
      <x:c r="AP231" s="13" t="n">
        <x:v>0.6592784404128605</x:v>
      </x:c>
    </x:row>
    <x:row r="232" ht="15" hidden="0" customHeight="1">
      <x:c r="A232" s="2" t="str">
        <x:v>E231</x:v>
      </x:c>
      <x:c r="B232" s="2" t="str">
        <x:v>***建筑科技有限公司</x:v>
      </x:c>
      <x:c r="C232" s="2" t="str">
        <x:v>无信贷记录</x:v>
      </x:c>
      <x:c r="D232" s="2" t="str"/>
      <x:c r="E232" s="2" t="str"/>
      <x:c r="F232" s="13" t="n">
        <x:v>0.051802549313335916</x:v>
      </x:c>
      <x:c r="G232" s="13" t="n">
        <x:v>0.05180785770311887</x:v>
      </x:c>
      <x:c r="H232" s="13" t="n">
        <x:v>0.025454545454545455</x:v>
      </x:c>
      <x:c r="I232" s="13" t="n">
        <x:v>0</x:v>
      </x:c>
      <x:c r="J232" s="13" t="n">
        <x:v>0.12835377102269183</x:v>
      </x:c>
      <x:c r="K232" s="13" t="n">
        <x:v>0.12740641695883348</x:v>
      </x:c>
      <x:c r="L232" s="13" t="n">
        <x:v>0.0821120207021822</x:v>
      </x:c>
      <x:c r="M232" s="13" t="n">
        <x:v>0.1580707265173777</x:v>
      </x:c>
      <x:c r="N232" s="13" t="n">
        <x:v>0</x:v>
      </x:c>
      <x:c r="O232" s="13" t="n">
        <x:v>0.15034216193711034</x:v>
      </x:c>
      <x:c r="P232" s="13" t="n">
        <x:v>0.25442749517824625</x:v>
      </x:c>
      <x:c r="Q232" s="13" t="n">
        <x:v>0.129061356327508</x:v>
      </x:c>
      <x:c r="R232" s="13" t="n">
        <x:v>0.30732853629212065</x:v>
      </x:c>
      <x:c r="S232" s="13" t="n">
        <x:v>0.8136548887286195</x:v>
      </x:c>
      <x:c r="T232" s="13" t="n">
        <x:v>0.9444444444444444</x:v>
      </x:c>
      <x:c r="U232" s="13" t="n">
        <x:v>0.03482028970313295</x:v>
      </x:c>
      <x:c r="V232" s="13" t="n">
        <x:v>0.033900582677929565</x:v>
      </x:c>
      <x:c r="W232" s="13" t="n">
        <x:v>0.04692748468682083</x:v>
      </x:c>
      <x:c r="X232" s="13" t="n">
        <x:v>0</x:v>
      </x:c>
      <x:c r="Y232" s="13" t="n">
        <x:v>0.05386395425213314</x:v>
      </x:c>
      <x:c r="Z232" s="13" t="n">
        <x:v>0.03557959375072044</x:v>
      </x:c>
      <x:c r="AA232" s="13" t="n">
        <x:v>0.002228594351256185</x:v>
      </x:c>
      <x:c r="AB232" s="13" t="n">
        <x:v>0.11447240597768811</x:v>
      </x:c>
      <x:c r="AC232" s="13" t="n">
        <x:v>0</x:v>
      </x:c>
      <x:c r="AD232" s="13" t="n">
        <x:v>0.3015774420496851</x:v>
      </x:c>
      <x:c r="AE232" s="13" t="n">
        <x:v>0.3843371547369074</x:v>
      </x:c>
      <x:c r="AF232" s="13" t="n">
        <x:v>0.05302617132550497</x:v>
      </x:c>
      <x:c r="AG232" s="13" t="n">
        <x:v>0.33935340090703</x:v>
      </x:c>
      <x:c r="AH232" s="13" t="n">
        <x:v>0.8321736437534651</x:v>
      </x:c>
      <x:c r="AI232" s="13" t="n">
        <x:v>0.5882352941176471</x:v>
      </x:c>
      <x:c r="AJ232" s="13" t="n">
        <x:v>0.14038597259958066</x:v>
      </x:c>
      <x:c r="AK232" s="13" t="n">
        <x:v>0.04878990342940815</x:v>
      </x:c>
      <x:c r="AL232" s="13" t="n">
        <x:v>0.12934088879435607</x:v>
      </x:c>
      <x:c r="AM232" s="13" t="n">
        <x:v>0</x:v>
      </x:c>
      <x:c r="AN232" s="13" t="n">
        <x:v>0.2456252737681301</x:v>
      </x:c>
      <x:c r="AO232" s="13" t="n">
        <x:v>0.3784210365359623</x:v>
      </x:c>
      <x:c r="AP232" s="13" t="n">
        <x:v>0.8211406233729486</x:v>
      </x:c>
    </x:row>
    <x:row r="233" ht="15" hidden="0" customHeight="1">
      <x:c r="A233" s="2" t="str">
        <x:v>E232</x:v>
      </x:c>
      <x:c r="B233" s="2" t="str">
        <x:v>***投资发展有限责任公司</x:v>
      </x:c>
      <x:c r="C233" s="2" t="str">
        <x:v>无信贷记录</x:v>
      </x:c>
      <x:c r="D233" s="2" t="str"/>
      <x:c r="E233" s="2" t="str"/>
      <x:c r="F233" s="13" t="n">
        <x:v>0.061744452716905436</x:v>
      </x:c>
      <x:c r="G233" s="13" t="n">
        <x:v>0.059514181161167475</x:v>
      </x:c>
      <x:c r="H233" s="13" t="n">
        <x:v>0.08363636363636363</x:v>
      </x:c>
      <x:c r="I233" s="13" t="n">
        <x:v>0.2604166666666671</x:v>
      </x:c>
      <x:c r="J233" s="13" t="n">
        <x:v>0.12827588555112807</x:v>
      </x:c>
      <x:c r="K233" s="13" t="n">
        <x:v>0.1431344834394928</x:v>
      </x:c>
      <x:c r="L233" s="13" t="n">
        <x:v>0.09455323596008859</x:v>
      </x:c>
      <x:c r="M233" s="13" t="n">
        <x:v>0.43594902749832337</x:v>
      </x:c>
      <x:c r="N233" s="13" t="n">
        <x:v>1</x:v>
      </x:c>
      <x:c r="O233" s="13" t="n">
        <x:v>0.6259257823546684</x:v>
      </x:c>
      <x:c r="P233" s="13" t="n">
        <x:v>0.7797649478461796</x:v>
      </x:c>
      <x:c r="Q233" s="13" t="n">
        <x:v>0.12558862066274912</x:v>
      </x:c>
      <x:c r="R233" s="13" t="n">
        <x:v>0.41910921554621217</x:v>
      </x:c>
      <x:c r="S233" s="13" t="n">
        <x:v>0.49039911649099277</x:v>
      </x:c>
      <x:c r="T233" s="13" t="n">
        <x:v>1</x:v>
      </x:c>
      <x:c r="U233" s="13" t="n">
        <x:v>0.009484370358721681</x:v>
      </x:c>
      <x:c r="V233" s="13" t="n">
        <x:v>0.00991784278520798</x:v>
      </x:c>
      <x:c r="W233" s="13" t="n">
        <x:v>0.006174669037739582</x:v>
      </x:c>
      <x:c r="X233" s="13" t="n">
        <x:v>0.025507312096134264</x:v>
      </x:c>
      <x:c r="Y233" s="13" t="n">
        <x:v>0.07591845113771102</x:v>
      </x:c>
      <x:c r="Z233" s="13" t="n">
        <x:v>0.06746686041827428</x:v>
      </x:c>
      <x:c r="AA233" s="13" t="n">
        <x:v>0.0011142971756280926</x:v>
      </x:c>
      <x:c r="AB233" s="13" t="n">
        <x:v>0.05207932832169575</x:v>
      </x:c>
      <x:c r="AC233" s="13" t="n">
        <x:v>0.44674388215414973</x:v>
      </x:c>
      <x:c r="AD233" s="13" t="n">
        <x:v>0.5061449165748898</x:v>
      </x:c>
      <x:c r="AE233" s="13" t="n">
        <x:v>0.5893379812890958</x:v>
      </x:c>
      <x:c r="AF233" s="13" t="n">
        <x:v>0.10644448645502785</x:v>
      </x:c>
      <x:c r="AG233" s="13" t="n">
        <x:v>0.7373208635030349</x:v>
      </x:c>
      <x:c r="AH233" s="13" t="n">
        <x:v>0.3273277353432016</x:v>
      </x:c>
      <x:c r="AI233" s="13" t="n">
        <x:v>0.14705882352941177</x:v>
      </x:c>
      <x:c r="AJ233" s="13" t="n">
        <x:v>0.17212936288049244</x:v>
      </x:c>
      <x:c r="AK233" s="13" t="n">
        <x:v>0.02892559345096964</x:v>
      </x:c>
      <x:c r="AL233" s="13" t="n">
        <x:v>0.1484760944021738</x:v>
      </x:c>
      <x:c r="AM233" s="13" t="n">
        <x:v>0.520303510381056</x:v>
      </x:c>
      <x:c r="AN233" s="13" t="n">
        <x:v>0.651699847726655</x:v>
      </x:c>
      <x:c r="AO233" s="13" t="n">
        <x:v>0.6615948816949276</x:v>
      </x:c>
      <x:c r="AP233" s="13" t="n">
        <x:v>0.3626996115639236</x:v>
      </x:c>
    </x:row>
    <x:row r="234" ht="15" hidden="0" customHeight="1">
      <x:c r="A234" s="2" t="str">
        <x:v>E233</x:v>
      </x:c>
      <x:c r="B234" s="2" t="str">
        <x:v>***劳务有限公司</x:v>
      </x:c>
      <x:c r="C234" s="2" t="str">
        <x:v>无信贷记录</x:v>
      </x:c>
      <x:c r="D234" s="2" t="str"/>
      <x:c r="E234" s="2" t="str"/>
      <x:c r="F234" s="13" t="n">
        <x:v>0.054194586222465424</x:v>
      </x:c>
      <x:c r="G234" s="13" t="n">
        <x:v>0.05463096629666143</x:v>
      </x:c>
      <x:c r="H234" s="13" t="n">
        <x:v>0.016363636363636365</x:v>
      </x:c>
      <x:c r="I234" s="13" t="n">
        <x:v>0</x:v>
      </x:c>
      <x:c r="J234" s="13" t="n">
        <x:v>0.001483496691819024</x:v>
      </x:c>
      <x:c r="K234" s="13" t="n">
        <x:v>0.0014725472930711937</x:v>
      </x:c>
      <x:c r="L234" s="13" t="n">
        <x:v>0.1200577272387967</x:v>
      </x:c>
      <x:c r="M234" s="13" t="n">
        <x:v>0.09714407490334029</x:v>
      </x:c>
      <x:c r="N234" s="13" t="n">
        <x:v>0</x:v>
      </x:c>
      <x:c r="O234" s="13" t="n">
        <x:v>0.016754454972457082</x:v>
      </x:c>
      <x:c r="P234" s="13" t="n">
        <x:v>0.0421571806732954</x:v>
      </x:c>
      <x:c r="Q234" s="13" t="n">
        <x:v>0.0021206753645986284</x:v>
      </x:c>
      <x:c r="R234" s="13" t="n">
        <x:v>0.16180788247804448</x:v>
      </x:c>
      <x:c r="S234" s="13" t="n">
        <x:v>0.8450159208925769</x:v>
      </x:c>
      <x:c r="T234" s="13" t="n">
        <x:v>0.6666666666666666</x:v>
      </x:c>
      <x:c r="U234" s="13" t="n">
        <x:v>0.01996819905296083</x:v>
      </x:c>
      <x:c r="V234" s="13" t="n">
        <x:v>0.02018282873150905</x:v>
      </x:c>
      <x:c r="W234" s="13" t="n">
        <x:v>0.01852400711321875</x:v>
      </x:c>
      <x:c r="X234" s="13" t="n">
        <x:v>0</x:v>
      </x:c>
      <x:c r="Y234" s="13" t="n">
        <x:v>0.031932284245025325</x:v>
      </x:c>
      <x:c r="Z234" s="13" t="n">
        <x:v>0.02109147442473818</x:v>
      </x:c>
      <x:c r="AA234" s="13" t="n">
        <x:v>0.0003714323918760309</x:v>
      </x:c>
      <x:c r="AB234" s="13" t="n">
        <x:v>0.07746253036084158</x:v>
      </x:c>
      <x:c r="AC234" s="13" t="n">
        <x:v>0</x:v>
      </x:c>
      <x:c r="AD234" s="13" t="n">
        <x:v>0.8732221243247502</x:v>
      </x:c>
      <x:c r="AE234" s="13" t="n">
        <x:v>0.9299075558179696</x:v>
      </x:c>
      <x:c r="AF234" s="13" t="n">
        <x:v>0.04851040394901726</x:v>
      </x:c>
      <x:c r="AG234" s="13" t="n">
        <x:v>0.7143293604364098</x:v>
      </x:c>
      <x:c r="AH234" s="13" t="n">
        <x:v>0.9443859621874702</x:v>
      </x:c>
      <x:c r="AI234" s="13" t="n">
        <x:v>0.14705882352941177</x:v>
      </x:c>
      <x:c r="AJ234" s="13" t="n">
        <x:v>0.18851467504972444</x:v>
      </x:c>
      <x:c r="AK234" s="13" t="n">
        <x:v>0.0009363165835640975</x:v>
      </x:c>
      <x:c r="AL234" s="13" t="n">
        <x:v>0.06635755231727075</x:v>
      </x:c>
      <x:c r="AM234" s="13" t="n">
        <x:v>0</x:v>
      </x:c>
      <x:c r="AN234" s="13" t="n">
        <x:v>0.5039545135355937</x:v>
      </x:c>
      <x:c r="AO234" s="13" t="n">
        <x:v>0.4622476947559975</x:v>
      </x:c>
      <x:c r="AP234" s="13" t="n">
        <x:v>0.8961782409721636</x:v>
      </x:c>
    </x:row>
    <x:row r="235" ht="15" hidden="0" customHeight="1">
      <x:c r="A235" s="2" t="str">
        <x:v>E234</x:v>
      </x:c>
      <x:c r="B235" s="2" t="str">
        <x:v>***机电设备商贸有限公司</x:v>
      </x:c>
      <x:c r="C235" s="2" t="str">
        <x:v>无信贷记录</x:v>
      </x:c>
      <x:c r="D235" s="2" t="str"/>
      <x:c r="E235" s="2" t="str"/>
      <x:c r="F235" s="13" t="n">
        <x:v>0.0705650888193205</x:v>
      </x:c>
      <x:c r="G235" s="13" t="n">
        <x:v>0.06996731298050074</x:v>
      </x:c>
      <x:c r="H235" s="13" t="n">
        <x:v>0.04909090909090909</x:v>
      </x:c>
      <x:c r="I235" s="13" t="n">
        <x:v>0.006677350427350438</x:v>
      </x:c>
      <x:c r="J235" s="13" t="n">
        <x:v>0.0171200402671212</x:v>
      </x:c>
      <x:c r="K235" s="13" t="n">
        <x:v>0.016994787630569337</x:v>
      </x:c>
      <x:c r="L235" s="13" t="n">
        <x:v>0.1269003956306452</x:v>
      </x:c>
      <x:c r="M235" s="13" t="n">
        <x:v>0.22396535662176023</x:v>
      </x:c>
      <x:c r="N235" s="13" t="n">
        <x:v>0.022418321373142206</x:v>
      </x:c>
      <x:c r="O235" s="13" t="n">
        <x:v>0.12961703439297068</x:v>
      </x:c>
      <x:c r="P235" s="13" t="n">
        <x:v>0.28369568633474634</x:v>
      </x:c>
      <x:c r="Q235" s="13" t="n">
        <x:v>0.021961302578559102</x:v>
      </x:c>
      <x:c r="R235" s="13" t="n">
        <x:v>0.13654689116819105</x:v>
      </x:c>
      <x:c r="S235" s="13" t="n">
        <x:v>0.607556314779824</x:v>
      </x:c>
      <x:c r="T235" s="13" t="n">
        <x:v>0.75</x:v>
      </x:c>
      <x:c r="U235" s="13" t="n">
        <x:v>0.05194387657039022</x:v>
      </x:c>
      <x:c r="V235" s="13" t="n">
        <x:v>0.05349737402995888</x:v>
      </x:c>
      <x:c r="W235" s="13" t="n">
        <x:v>0.029638411381149997</x:v>
      </x:c>
      <x:c r="X235" s="13" t="n">
        <x:v>0.01133658315383745</x:v>
      </x:c>
      <x:c r="Y235" s="13" t="n">
        <x:v>0.06826139283033808</x:v>
      </x:c>
      <x:c r="Z235" s="13" t="n">
        <x:v>0.04587960299064791</x:v>
      </x:c>
      <x:c r="AA235" s="13" t="n">
        <x:v>0.05014337290326417</x:v>
      </x:c>
      <x:c r="AB235" s="13" t="n">
        <x:v>0.04883730390961668</x:v>
      </x:c>
      <x:c r="AC235" s="13" t="n">
        <x:v>0.038683569872351664</x:v>
      </x:c>
      <x:c r="AD235" s="13" t="n">
        <x:v>0.01496040685177061</x:v>
      </x:c>
      <x:c r="AE235" s="13" t="n">
        <x:v>0.02016596646552099</x:v>
      </x:c>
      <x:c r="AF235" s="13" t="n">
        <x:v>0.08579247410781503</x:v>
      </x:c>
      <x:c r="AG235" s="13" t="n">
        <x:v>0.12529479178799713</x:v>
      </x:c>
      <x:c r="AH235" s="13" t="n">
        <x:v>0.5743724941246131</x:v>
      </x:c>
      <x:c r="AI235" s="13" t="n">
        <x:v>0.7352941176470589</x:v>
      </x:c>
      <x:c r="AJ235" s="13" t="n">
        <x:v>0.23090688343854265</x:v>
      </x:c>
      <x:c r="AK235" s="13" t="n">
        <x:v>0.005035964805232533</x:v>
      </x:c>
      <x:c r="AL235" s="13" t="n">
        <x:v>0.08907179879219729</x:v>
      </x:c>
      <x:c r="AM235" s="13" t="n">
        <x:v>0.032359881712186254</x:v>
      </x:c>
      <x:c r="AN235" s="13" t="n">
        <x:v>0.06354640233680418</x:v>
      </x:c>
      <x:c r="AO235" s="13" t="n">
        <x:v>0.14538445101712416</x:v>
      </x:c>
      <x:c r="AP235" s="13" t="n">
        <x:v>0.5598192226198633</x:v>
      </x:c>
    </x:row>
    <x:row r="236" ht="15" hidden="0" customHeight="1">
      <x:c r="A236" s="2" t="str">
        <x:v>E235</x:v>
      </x:c>
      <x:c r="B236" s="2" t="str">
        <x:v>个体经营E235 </x:v>
      </x:c>
      <x:c r="C236" s="2" t="str">
        <x:v>无信贷记录</x:v>
      </x:c>
      <x:c r="D236" s="2" t="str"/>
      <x:c r="E236" s="2" t="str"/>
      <x:c r="F236" s="13" t="n">
        <x:v>0.04559820358028125</x:v>
      </x:c>
      <x:c r="G236" s="13" t="n">
        <x:v>0.045093437264423046</x:v>
      </x:c>
      <x:c r="H236" s="13" t="n">
        <x:v>0.034545454545454546</x:v>
      </x:c>
      <x:c r="I236" s="13" t="n">
        <x:v>0</x:v>
      </x:c>
      <x:c r="J236" s="13" t="n">
        <x:v>0.055388579414968664</x:v>
      </x:c>
      <x:c r="K236" s="13" t="n">
        <x:v>0.05497976715038132</x:v>
      </x:c>
      <x:c r="L236" s="13" t="n">
        <x:v>0.07526935231033367</x:v>
      </x:c>
      <x:c r="M236" s="13" t="n">
        <x:v>0.24361857419023955</x:v>
      </x:c>
      <x:c r="N236" s="13" t="n">
        <x:v>0</x:v>
      </x:c>
      <x:c r="O236" s="13" t="n">
        <x:v>0.5807874192553413</x:v>
      </x:c>
      <x:c r="P236" s="13" t="n">
        <x:v>0.7509799466676083</x:v>
      </x:c>
      <x:c r="Q236" s="13" t="n">
        <x:v>0.06868823967265958</x:v>
      </x:c>
      <x:c r="R236" s="13" t="n">
        <x:v>0.11553793026898511</x:v>
      </x:c>
      <x:c r="S236" s="13" t="n">
        <x:v>0.5917678536001945</x:v>
      </x:c>
      <x:c r="T236" s="13" t="n">
        <x:v>0.75</x:v>
      </x:c>
      <x:c r="U236" s="13" t="n">
        <x:v>0.08776362460904064</x:v>
      </x:c>
      <x:c r="V236" s="13" t="n">
        <x:v>0.0874651457068097</x:v>
      </x:c>
      <x:c r="W236" s="13" t="n">
        <x:v>0.08644536652835415</x:v>
      </x:c>
      <x:c r="X236" s="13" t="n">
        <x:v>0.01133658315383745</x:v>
      </x:c>
      <x:c r="Y236" s="13" t="n">
        <x:v>0.06887497869727517</x:v>
      </x:c>
      <x:c r="Z236" s="13" t="n">
        <x:v>0.046154367157646155</x:v>
      </x:c>
      <x:c r="AA236" s="13" t="n">
        <x:v>0.07057215445644587</x:v>
      </x:c>
      <x:c r="AB236" s="13" t="n">
        <x:v>0.08484718973120453</x:v>
      </x:c>
      <x:c r="AC236" s="13" t="n">
        <x:v>0.02376744759106352</x:v>
      </x:c>
      <x:c r="AD236" s="13" t="n">
        <x:v>0.09708285669882497</x:v>
      </x:c>
      <x:c r="AE236" s="13" t="n">
        <x:v>0.17323331141981993</x:v>
      </x:c>
      <x:c r="AF236" s="13" t="n">
        <x:v>0.07170008861549819</x:v>
      </x:c>
      <x:c r="AG236" s="13" t="n">
        <x:v>0.12433803503059666</x:v>
      </x:c>
      <x:c r="AH236" s="13" t="n">
        <x:v>0.6355748413626793</x:v>
      </x:c>
      <x:c r="AI236" s="13" t="n">
        <x:v>0.9117647058823529</x:v>
      </x:c>
      <x:c r="AJ236" s="13" t="n">
        <x:v>0.20776442469802223</x:v>
      </x:c>
      <x:c r="AK236" s="13" t="n">
        <x:v>0.01622750172836891</x:v>
      </x:c>
      <x:c r="AL236" s="13" t="n">
        <x:v>0.15080708835209466</x:v>
      </x:c>
      <x:c r="AM236" s="13" t="n">
        <x:v>0.02524786606978124</x:v>
      </x:c>
      <x:c r="AN236" s="13" t="n">
        <x:v>0.3825118962326085</x:v>
      </x:c>
      <x:c r="AO236" s="13" t="n">
        <x:v>0.12957390224196635</x:v>
      </x:c>
      <x:c r="AP236" s="13" t="n">
        <x:v>0.5789247249759419</x:v>
      </x:c>
    </x:row>
    <x:row r="237" ht="15" hidden="0" customHeight="1">
      <x:c r="A237" s="2" t="str">
        <x:v>E236</x:v>
      </x:c>
      <x:c r="B237" s="2" t="str">
        <x:v>个体经营E236 </x:v>
      </x:c>
      <x:c r="C237" s="2" t="str">
        <x:v>无信贷记录</x:v>
      </x:c>
      <x:c r="D237" s="2" t="str"/>
      <x:c r="E237" s="2" t="str"/>
      <x:c r="F237" s="13" t="n">
        <x:v>0.01509973298888002</x:v>
      </x:c>
      <x:c r="G237" s="13" t="n">
        <x:v>0.014878545290291869</x:v>
      </x:c>
      <x:c r="H237" s="13" t="n">
        <x:v>0.012727272727272728</x:v>
      </x:c>
      <x:c r="I237" s="13" t="n">
        <x:v>0.006677350427350438</x:v>
      </x:c>
      <x:c r="J237" s="13" t="n">
        <x:v>0.018176166648285655</x:v>
      </x:c>
      <x:c r="K237" s="13" t="n">
        <x:v>0.01808185685083971</x:v>
      </x:c>
      <x:c r="L237" s="13" t="n">
        <x:v>0.04230013187688174</x:v>
      </x:c>
      <x:c r="M237" s="13" t="n">
        <x:v>0.26926263463131744</x:v>
      </x:c>
      <x:c r="N237" s="13" t="n">
        <x:v>0.10458090021278012</x:v>
      </x:c>
      <x:c r="O237" s="13" t="n">
        <x:v>0.20292788998380137</x:v>
      </x:c>
      <x:c r="P237" s="13" t="n">
        <x:v>0.3683289969780963</x:v>
      </x:c>
      <x:c r="Q237" s="13" t="n">
        <x:v>0.022538862942822233</x:v>
      </x:c>
      <x:c r="R237" s="13" t="n">
        <x:v>0.6225524511947259</x:v>
      </x:c>
      <x:c r="S237" s="13" t="n">
        <x:v>0.571674106579814</x:v>
      </x:c>
      <x:c r="T237" s="13" t="n">
        <x:v>0.75</x:v>
      </x:c>
      <x:c r="U237" s="13" t="n">
        <x:v>0.057447886634865775</x:v>
      </x:c>
      <x:c r="V237" s="13" t="n">
        <x:v>0.04771165467840737</x:v>
      </x:c>
      <x:c r="W237" s="13" t="n">
        <x:v>0.18400513732463955</x:v>
      </x:c>
      <x:c r="X237" s="13" t="n">
        <x:v>0.03684389524997171</x:v>
      </x:c>
      <x:c r="Y237" s="13" t="n">
        <x:v>0.07067890311482762</x:v>
      </x:c>
      <x:c r="Z237" s="13" t="n">
        <x:v>0.04915643868724637</x:v>
      </x:c>
      <x:c r="AA237" s="13" t="n">
        <x:v>0.010400106972528864</x:v>
      </x:c>
      <x:c r="AB237" s="13" t="n">
        <x:v>0.2745603449931199</x:v>
      </x:c>
      <x:c r="AC237" s="13" t="n">
        <x:v>0.14076936140807506</x:v>
      </x:c>
      <x:c r="AD237" s="13" t="n">
        <x:v>0.22333976366772892</x:v>
      </x:c>
      <x:c r="AE237" s="13" t="n">
        <x:v>0.35123386570978576</x:v>
      </x:c>
      <x:c r="AF237" s="13" t="n">
        <x:v>0.07574733887217139</x:v>
      </x:c>
      <x:c r="AG237" s="13" t="n">
        <x:v>0.3155464214773117</x:v>
      </x:c>
      <x:c r="AH237" s="13" t="n">
        <x:v>0.49802247414230444</x:v>
      </x:c>
      <x:c r="AI237" s="13" t="n">
        <x:v>0.5882352941176471</x:v>
      </x:c>
      <x:c r="AJ237" s="13" t="n">
        <x:v>0.2337180694976245</x:v>
      </x:c>
      <x:c r="AK237" s="13" t="n">
        <x:v>0.005001255649227191</x:v>
      </x:c>
      <x:c r="AL237" s="13" t="n">
        <x:v>0.5024853056409757</x:v>
      </x:c>
      <x:c r="AM237" s="13" t="n">
        <x:v>0.18995929443690654</x:v>
      </x:c>
      <x:c r="AN237" s="13" t="n">
        <x:v>0.23082419453428513</x:v>
      </x:c>
      <x:c r="AO237" s="13" t="n">
        <x:v>0.596311558269174</x:v>
      </x:c>
      <x:c r="AP237" s="13" t="n">
        <x:v>0.49911475370978337</x:v>
      </x:c>
    </x:row>
    <x:row r="238" ht="15" hidden="0" customHeight="1">
      <x:c r="A238" s="2" t="str">
        <x:v>E237</x:v>
      </x:c>
      <x:c r="B238" s="2" t="str">
        <x:v>个体经营E237 </x:v>
      </x:c>
      <x:c r="C238" s="2" t="str">
        <x:v>无信贷记录</x:v>
      </x:c>
      <x:c r="D238" s="2" t="str"/>
      <x:c r="E238" s="2" t="str"/>
      <x:c r="F238" s="13" t="n">
        <x:v>0.14464348184892495</x:v>
      </x:c>
      <x:c r="G238" s="13" t="n">
        <x:v>0.14481784082550753</x:v>
      </x:c>
      <x:c r="H238" s="13" t="n">
        <x:v>0.06727272727272728</x:v>
      </x:c>
      <x:c r="I238" s="13" t="n">
        <x:v>0.6944444444444455</x:v>
      </x:c>
      <x:c r="J238" s="13" t="n">
        <x:v>0.06393050996379249</x:v>
      </x:c>
      <x:c r="K238" s="13" t="n">
        <x:v>0.09423634622560943</x:v>
      </x:c>
      <x:c r="L238" s="13" t="n">
        <x:v>0.20154768717808355</x:v>
      </x:c>
      <x:c r="M238" s="13" t="n">
        <x:v>0.14989264445734815</x:v>
      </x:c>
      <x:c r="N238" s="13" t="n">
        <x:v>1</x:v>
      </x:c>
      <x:c r="O238" s="13" t="n">
        <x:v>0.2522642682021342</x:v>
      </x:c>
      <x:c r="P238" s="13" t="n">
        <x:v>0.452312297856544</x:v>
      </x:c>
      <x:c r="Q238" s="13" t="n">
        <x:v>0.08494492814075197</x:v>
      </x:c>
      <x:c r="R238" s="13" t="n">
        <x:v>0.2166768129954476</x:v>
      </x:c>
      <x:c r="S238" s="13" t="n">
        <x:v>0.7931439771014251</x:v>
      </x:c>
      <x:c r="T238" s="13" t="n">
        <x:v>0.6944444444444444</x:v>
      </x:c>
      <x:c r="U238" s="13" t="n">
        <x:v>0.024948017682724425</x:v>
      </x:c>
      <x:c r="V238" s="13" t="n">
        <x:v>0.019996192623394485</x:v>
      </x:c>
      <x:c r="W238" s="13" t="n">
        <x:v>0.09138510175854582</x:v>
      </x:c>
      <x:c r="X238" s="13" t="n">
        <x:v>0</x:v>
      </x:c>
      <x:c r="Y238" s="13" t="n">
        <x:v>0.0322718344365828</x:v>
      </x:c>
      <x:c r="Z238" s="13" t="n">
        <x:v>0.021315782181094655</x:v>
      </x:c>
      <x:c r="AA238" s="13" t="n">
        <x:v>0.012257268931909019</x:v>
      </x:c>
      <x:c r="AB238" s="13" t="n">
        <x:v>0.3083096236644388</x:v>
      </x:c>
      <x:c r="AC238" s="13" t="n">
        <x:v>0</x:v>
      </x:c>
      <x:c r="AD238" s="13" t="n">
        <x:v>0.31002900479172224</x:v>
      </x:c>
      <x:c r="AE238" s="13" t="n">
        <x:v>0.4150049228472961</x:v>
      </x:c>
      <x:c r="AF238" s="13" t="n">
        <x:v>0.06927163786244564</x:v>
      </x:c>
      <x:c r="AG238" s="13" t="n">
        <x:v>0.25484738053936107</x:v>
      </x:c>
      <x:c r="AH238" s="13" t="n">
        <x:v>0.7135953399921969</x:v>
      </x:c>
      <x:c r="AI238" s="13" t="n">
        <x:v>0.2647058823529412</x:v>
      </x:c>
      <x:c r="AJ238" s="13" t="n">
        <x:v>0.14979962550975037</x:v>
      </x:c>
      <x:c r="AK238" s="13" t="n">
        <x:v>0.060164935313938385</x:v>
      </x:c>
      <x:c r="AL238" s="13" t="n">
        <x:v>0.13665623891231918</x:v>
      </x:c>
      <x:c r="AM238" s="13" t="n">
        <x:v>0.4756978896183865</x:v>
      </x:c>
      <x:c r="AN238" s="13" t="n">
        <x:v>0.31170268298614096</x:v>
      </x:c>
      <x:c r="AO238" s="13" t="n">
        <x:v>0.26947644482811345</x:v>
      </x:c>
      <x:c r="AP238" s="13" t="n">
        <x:v>0.7502241890219452</x:v>
      </x:c>
    </x:row>
    <x:row r="239" ht="15" hidden="0" customHeight="1">
      <x:c r="A239" s="2" t="str">
        <x:v>E238</x:v>
      </x:c>
      <x:c r="B239" s="2" t="str">
        <x:v>个体经营E238 </x:v>
      </x:c>
      <x:c r="C239" s="2" t="str">
        <x:v>无信贷记录</x:v>
      </x:c>
      <x:c r="D239" s="2" t="str"/>
      <x:c r="E239" s="2" t="str"/>
      <x:c r="F239" s="13" t="n">
        <x:v>0.2913052448399279</x:v>
      </x:c>
      <x:c r="G239" s="13" t="n">
        <x:v>0.29039868397359414</x:v>
      </x:c>
      <x:c r="H239" s="13" t="n">
        <x:v>0.16545454545454547</x:v>
      </x:c>
      <x:c r="I239" s="13" t="n">
        <x:v>0.15357905982906006</x:v>
      </x:c>
      <x:c r="J239" s="13" t="n">
        <x:v>0.05840184650602073</x:v>
      </x:c>
      <x:c r="K239" s="13" t="n">
        <x:v>0.0592327946381844</x:v>
      </x:c>
      <x:c r="L239" s="13" t="n">
        <x:v>0.4733882405633382</x:v>
      </x:c>
      <x:c r="M239" s="13" t="n">
        <x:v>0.183145551947231</x:v>
      </x:c>
      <x:c r="N239" s="13" t="n">
        <x:v>0.1244369902479272</x:v>
      </x:c>
      <x:c r="O239" s="13" t="n">
        <x:v>0.10745338042708152</x:v>
      </x:c>
      <x:c r="P239" s="13" t="n">
        <x:v>0.2700672928736211</x:v>
      </x:c>
      <x:c r="Q239" s="13" t="n">
        <x:v>0.07008872197240533</x:v>
      </x:c>
      <x:c r="R239" s="13" t="n">
        <x:v>0.09971963409681851</x:v>
      </x:c>
      <x:c r="S239" s="13" t="n">
        <x:v>0.6397893497434367</x:v>
      </x:c>
      <x:c r="T239" s="13" t="n">
        <x:v>0.8055555555555556</x:v>
      </x:c>
      <x:c r="U239" s="13" t="n">
        <x:v>1</x:v>
      </x:c>
      <x:c r="V239" s="13" t="n">
        <x:v>1</x:v>
      </x:c>
      <x:c r="W239" s="13" t="n">
        <x:v>1</x:v>
      </x:c>
      <x:c r="X239" s="13" t="n">
        <x:v>1</x:v>
      </x:c>
      <x:c r="Y239" s="13" t="n">
        <x:v>0.08932224137894276</x:v>
      </x:c>
      <x:c r="Z239" s="13" t="n">
        <x:v>0.0678667304892922</x:v>
      </x:c>
      <x:c r="AA239" s="13" t="n">
        <x:v>0.8383229084642017</x:v>
      </x:c>
      <x:c r="AB239" s="13" t="n">
        <x:v>0.08421646299806292</x:v>
      </x:c>
      <x:c r="AC239" s="13" t="n">
        <x:v>0.277565611295352</x:v>
      </x:c>
      <x:c r="AD239" s="13" t="n">
        <x:v>0</x:v>
      </x:c>
      <x:c r="AE239" s="13" t="n">
        <x:v>0</x:v>
      </x:c>
      <x:c r="AF239" s="13" t="n">
        <x:v>0.09041114126042075</x:v>
      </x:c>
      <x:c r="AG239" s="13" t="n">
        <x:v>0.04891093527931392</x:v>
      </x:c>
      <x:c r="AH239" s="13" t="n">
        <x:v>0.49896848236879476</x:v>
      </x:c>
      <x:c r="AI239" s="13" t="n">
        <x:v>0.9411764705882353</x:v>
      </x:c>
      <x:c r="AJ239" s="13" t="n">
        <x:v>0.23525749504064292</x:v>
      </x:c>
      <x:c r="AK239" s="13" t="n">
        <x:v>0.011890960055860664</x:v>
      </x:c>
      <x:c r="AL239" s="13" t="n">
        <x:v>0.15862015470471294</x:v>
      </x:c>
      <x:c r="AM239" s="13" t="n">
        <x:v>0.3735306473474373</x:v>
      </x:c>
      <x:c r="AN239" s="13" t="n">
        <x:v>0.040762516493122895</x:v>
      </x:c>
      <x:c r="AO239" s="13" t="n">
        <x:v>0.07981932718774738</x:v>
      </x:c>
      <x:c r="AP239" s="13" t="n">
        <x:v>0.5447591974344217</x:v>
      </x:c>
    </x:row>
    <x:row r="240" ht="15" hidden="0" customHeight="1">
      <x:c r="A240" s="2" t="str">
        <x:v>E239</x:v>
      </x:c>
      <x:c r="B240" s="2" t="str">
        <x:v>个体经营E239 </x:v>
      </x:c>
      <x:c r="C240" s="2" t="str">
        <x:v>无信贷记录</x:v>
      </x:c>
      <x:c r="D240" s="2" t="str"/>
      <x:c r="E240" s="2" t="str"/>
      <x:c r="F240" s="13" t="n">
        <x:v>0.028181184835682018</x:v>
      </x:c>
      <x:c r="G240" s="13" t="n">
        <x:v>0.02784958477413606</x:v>
      </x:c>
      <x:c r="H240" s="13" t="n">
        <x:v>0.02181818181818182</x:v>
      </x:c>
      <x:c r="I240" s="13" t="n">
        <x:v>0.03338675213675219</x:v>
      </x:c>
      <x:c r="J240" s="13" t="n">
        <x:v>0.09990684524044809</x:v>
      </x:c>
      <x:c r="K240" s="13" t="n">
        <x:v>0.09959932924401711</x:v>
      </x:c>
      <x:c r="L240" s="13" t="n">
        <x:v>0.027992734330289384</x:v>
      </x:c>
      <x:c r="M240" s="13" t="n">
        <x:v>0.2484564378354561</x:v>
      </x:c>
      <x:c r="N240" s="13" t="n">
        <x:v>0.28068715724683496</x:v>
      </x:c>
      <x:c r="O240" s="13" t="n">
        <x:v>0.14894819402513845</x:v>
      </x:c>
      <x:c r="P240" s="13" t="n">
        <x:v>0.2410790701779977</x:v>
      </x:c>
      <x:c r="Q240" s="13" t="n">
        <x:v>0.11263414621911652</x:v>
      </x:c>
      <x:c r="R240" s="13" t="n">
        <x:v>0.22311589876582846</x:v>
      </x:c>
      <x:c r="S240" s="13" t="n">
        <x:v>0.7349608386020349</x:v>
      </x:c>
      <x:c r="T240" s="13" t="n">
        <x:v>0.6944444444444444</x:v>
      </x:c>
      <x:c r="U240" s="13" t="n">
        <x:v>0.02957837535601338</x:v>
      </x:c>
      <x:c r="V240" s="13" t="n">
        <x:v>0.02792822721826349</x:v>
      </x:c>
      <x:c r="W240" s="13" t="n">
        <x:v>0.05186721991701249</x:v>
      </x:c>
      <x:c r="X240" s="13" t="n">
        <x:v>0.008502437365378089</x:v>
      </x:c>
      <x:c r="Y240" s="13" t="n">
        <x:v>0.04477202083934756</x:v>
      </x:c>
      <x:c r="Z240" s="13" t="n">
        <x:v>0.030140285292723622</x:v>
      </x:c>
      <x:c r="AA240" s="13" t="n">
        <x:v>0.011885836540032989</x:v>
      </x:c>
      <x:c r="AB240" s="13" t="n">
        <x:v>0.14833629377145066</x:v>
      </x:c>
      <x:c r="AC240" s="13" t="n">
        <x:v>0.05499134932834305</x:v>
      </x:c>
      <x:c r="AD240" s="13" t="n">
        <x:v>0.08895151381876312</x:v>
      </x:c>
      <x:c r="AE240" s="13" t="n">
        <x:v>0.17630483578477898</x:v>
      </x:c>
      <x:c r="AF240" s="13" t="n">
        <x:v>0.06801432753811257</x:v>
      </x:c>
      <x:c r="AG240" s="13" t="n">
        <x:v>0.2153871211721821</x:v>
      </x:c>
      <x:c r="AH240" s="13" t="n">
        <x:v>0.715392248940667</x:v>
      </x:c>
      <x:c r="AI240" s="13" t="n">
        <x:v>0.5882352941176471</x:v>
      </x:c>
      <x:c r="AJ240" s="13" t="n">
        <x:v>0.14517838932508684</x:v>
      </x:c>
      <x:c r="AK240" s="13" t="n">
        <x:v>0.04500834733106998</x:v>
      </x:c>
      <x:c r="AL240" s="13" t="n">
        <x:v>0.20606689976141002</x:v>
      </x:c>
      <x:c r="AM240" s="13" t="n">
        <x:v>0.11532234814042722</x:v>
      </x:c>
      <x:c r="AN240" s="13" t="n">
        <x:v>0.1189283973999348</x:v>
      </x:c>
      <x:c r="AO240" s="13" t="n">
        <x:v>0.25418106197866874</x:v>
      </x:c>
      <x:c r="AP240" s="13" t="n">
        <x:v>0.7124943109728102</x:v>
      </x:c>
    </x:row>
    <x:row r="241" ht="15" hidden="0" customHeight="1">
      <x:c r="A241" s="2" t="str">
        <x:v>E240</x:v>
      </x:c>
      <x:c r="B241" s="2" t="str">
        <x:v>个体经营E240 </x:v>
      </x:c>
      <x:c r="C241" s="2" t="str">
        <x:v>无信贷记录</x:v>
      </x:c>
      <x:c r="D241" s="2" t="str"/>
      <x:c r="E241" s="2" t="str"/>
      <x:c r="F241" s="13" t="n">
        <x:v>0.08372129181953279</x:v>
      </x:c>
      <x:c r="G241" s="13" t="n">
        <x:v>0.08263315153531331</x:v>
      </x:c>
      <x:c r="H241" s="13" t="n">
        <x:v>0.06727272727272728</x:v>
      </x:c>
      <x:c r="I241" s="13" t="n">
        <x:v>0.006677350427350438</x:v>
      </x:c>
      <x:c r="J241" s="13" t="n">
        <x:v>0.107698218091314</x:v>
      </x:c>
      <x:c r="K241" s="13" t="n">
        <x:v>0.10690333492598421</x:v>
      </x:c>
      <x:c r="L241" s="13" t="n">
        <x:v>0.6973301152056534</x:v>
      </x:c>
      <x:c r="M241" s="13" t="n">
        <x:v>0.2587718826326946</x:v>
      </x:c>
      <x:c r="N241" s="13" t="n">
        <x:v>0.018988421513288188</x:v>
      </x:c>
      <x:c r="O241" s="13" t="n">
        <x:v>0</x:v>
      </x:c>
      <x:c r="P241" s="13" t="n">
        <x:v>0</x:v>
      </x:c>
      <x:c r="Q241" s="13" t="n">
        <x:v>0.1602737022738082</x:v>
      </x:c>
      <x:c r="R241" s="13" t="n">
        <x:v>0.1861831832549479</x:v>
      </x:c>
      <x:c r="S241" s="13" t="n">
        <x:v>0.5156114320266565</x:v>
      </x:c>
      <x:c r="T241" s="13" t="n">
        <x:v>0.6388888888888888</x:v>
      </x:c>
      <x:c r="U241" s="13" t="n">
        <x:v>0.010008561793433639</x:v>
      </x:c>
      <x:c r="V241" s="13" t="n">
        <x:v>0.0012392637578807109</x:v>
      </x:c>
      <x:c r="W241" s="13" t="n">
        <x:v>0.1284331159849833</x:v>
      </x:c>
      <x:c r="X241" s="13" t="n">
        <x:v>0</x:v>
      </x:c>
      <x:c r="Y241" s="13" t="n">
        <x:v>0.026106017277338023</x:v>
      </x:c>
      <x:c r="Z241" s="13" t="n">
        <x:v>0.017242627026180506</x:v>
      </x:c>
      <x:c r="AA241" s="13" t="n">
        <x:v>0.0014857295675041236</x:v>
      </x:c>
      <x:c r="AB241" s="13" t="n">
        <x:v>1</x:v>
      </x:c>
      <x:c r="AC241" s="13" t="n">
        <x:v>0</x:v>
      </x:c>
      <x:c r="AD241" s="13" t="n">
        <x:v>0.9741470543763906</x:v>
      </x:c>
      <x:c r="AE241" s="13" t="n">
        <x:v>0.9863760718891658</x:v>
      </x:c>
      <x:c r="AF241" s="13" t="n">
        <x:v>0.045346062898355174</x:v>
      </x:c>
      <x:c r="AG241" s="13" t="n">
        <x:v>0.7279191320079985</x:v>
      </x:c>
      <x:c r="AH241" s="13" t="n">
        <x:v>1</x:v>
      </x:c>
      <x:c r="AI241" s="13" t="n">
        <x:v>0.058823529411764705</x:v>
      </x:c>
      <x:c r="AJ241" s="13" t="n">
        <x:v>0.11346222248295594</x:v>
      </x:c>
      <x:c r="AK241" s="13" t="n">
        <x:v>0.08431909825101527</x:v>
      </x:c>
      <x:c r="AL241" s="13" t="n">
        <x:v>0.31601999513308243</x:v>
      </x:c>
      <x:c r="AM241" s="13" t="n">
        <x:v>0.008779631255487277</x:v>
      </x:c>
      <x:c r="AN241" s="13" t="n">
        <x:v>0.5531927736640784</x:v>
      </x:c>
      <x:c r="AO241" s="13" t="n">
        <x:v>0.48691449551647925</x:v>
      </x:c>
      <x:c r="AP241" s="13" t="n">
        <x:v>0.7258366246433675</x:v>
      </x:c>
    </x:row>
    <x:row r="242" ht="15" hidden="0" customHeight="1">
      <x:c r="A242" s="2" t="str">
        <x:v>E241</x:v>
      </x:c>
      <x:c r="B242" s="2" t="str">
        <x:v>个体经营E241 </x:v>
      </x:c>
      <x:c r="C242" s="2" t="str">
        <x:v>无信贷记录</x:v>
      </x:c>
      <x:c r="D242" s="2" t="str"/>
      <x:c r="E242" s="2" t="str"/>
      <x:c r="F242" s="13" t="n">
        <x:v>0.031769240199376284</x:v>
      </x:c>
      <x:c r="G242" s="13" t="n">
        <x:v>0.0315119959225156</x:v>
      </x:c>
      <x:c r="H242" s="13" t="n">
        <x:v>0.02181818181818182</x:v>
      </x:c>
      <x:c r="I242" s="13" t="n">
        <x:v>0.006677350427350438</x:v>
      </x:c>
      <x:c r="J242" s="13" t="n">
        <x:v>0.023139217897413085</x:v>
      </x:c>
      <x:c r="K242" s="13" t="n">
        <x:v>0.0231668073053955</x:v>
      </x:c>
      <x:c r="L242" s="13" t="n">
        <x:v>0.06904874468138048</x:v>
      </x:c>
      <x:c r="M242" s="13" t="n">
        <x:v>0.22052690852374204</x:v>
      </x:c>
      <x:c r="N242" s="13" t="n">
        <x:v>0.049644427329922136</x:v>
      </x:c>
      <x:c r="O242" s="13" t="n">
        <x:v>0.08887243222683562</x:v>
      </x:c>
      <x:c r="P242" s="13" t="n">
        <x:v>0.1659753889531087</x:v>
      </x:c>
      <x:c r="Q242" s="13" t="n">
        <x:v>0.0269001741839282</x:v>
      </x:c>
      <x:c r="R242" s="13" t="n">
        <x:v>0.14032039527696383</x:v>
      </x:c>
      <x:c r="S242" s="13" t="n">
        <x:v>0.5561905976595215</x:v>
      </x:c>
      <x:c r="T242" s="13" t="n">
        <x:v>0.75</x:v>
      </x:c>
      <x:c r="U242" s="13" t="n">
        <x:v>0.06854327200293554</x:v>
      </x:c>
      <x:c r="V242" s="13" t="n">
        <x:v>0.0666552196520357</x:v>
      </x:c>
      <x:c r="W242" s="13" t="n">
        <x:v>0.09015016795099791</x:v>
      </x:c>
      <x:c r="X242" s="13" t="n">
        <x:v>0.014170728942296814</x:v>
      </x:c>
      <x:c r="Y242" s="13" t="n">
        <x:v>0.06544273321798352</x:v>
      </x:c>
      <x:c r="Z242" s="13" t="n">
        <x:v>0.043619690737340296</x:v>
      </x:c>
      <x:c r="AA242" s="13" t="n">
        <x:v>0.013000133715661081</x:v>
      </x:c>
      <x:c r="AB242" s="13" t="n">
        <x:v>0.11300033606123104</x:v>
      </x:c>
      <x:c r="AC242" s="13" t="n">
        <x:v>0.03889818052351589</x:v>
      </x:c>
      <x:c r="AD242" s="13" t="n">
        <x:v>0.5722368289093904</x:v>
      </x:c>
      <x:c r="AE242" s="13" t="n">
        <x:v>0.7218821361281701</x:v>
      </x:c>
      <x:c r="AF242" s="13" t="n">
        <x:v>0.06622870838390416</x:v>
      </x:c>
      <x:c r="AG242" s="13" t="n">
        <x:v>0.05833105022572165</x:v>
      </x:c>
      <x:c r="AH242" s="13" t="n">
        <x:v>0.5342260922802736</x:v>
      </x:c>
      <x:c r="AI242" s="13" t="n">
        <x:v>0.9411764705882353</x:v>
      </x:c>
      <x:c r="AJ242" s="13" t="n">
        <x:v>0.22307746824318433</x:v>
      </x:c>
      <x:c r="AK242" s="13" t="n">
        <x:v>0.007226402769604218</x:v>
      </x:c>
      <x:c r="AL242" s="13" t="n">
        <x:v>0.19288193656035835</x:v>
      </x:c>
      <x:c r="AM242" s="13" t="n">
        <x:v>0.05124027748581042</x:v>
      </x:c>
      <x:c r="AN242" s="13" t="n">
        <x:v>0.3690047153052028</x:v>
      </x:c>
      <x:c r="AO242" s="13" t="n">
        <x:v>0.11420985737978089</x:v>
      </x:c>
      <x:c r="AP242" s="13" t="n">
        <x:v>0.5063405202848994</x:v>
      </x:c>
    </x:row>
    <x:row r="243" ht="15" hidden="0" customHeight="1">
      <x:c r="A243" s="2" t="str">
        <x:v>E242</x:v>
      </x:c>
      <x:c r="B243" s="2" t="str">
        <x:v>个体经营E242 </x:v>
      </x:c>
      <x:c r="C243" s="2" t="str">
        <x:v>无信贷记录</x:v>
      </x:c>
      <x:c r="D243" s="2" t="str"/>
      <x:c r="E243" s="2" t="str"/>
      <x:c r="F243" s="13" t="n">
        <x:v>0.03819783939266184</x:v>
      </x:c>
      <x:c r="G243" s="13" t="n">
        <x:v>0.038226416361211414</x:v>
      </x:c>
      <x:c r="H243" s="13" t="n">
        <x:v>0.01818181818181818</x:v>
      </x:c>
      <x:c r="I243" s="13" t="n">
        <x:v>0</x:v>
      </x:c>
      <x:c r="J243" s="13" t="n">
        <x:v>0.07191078068990184</x:v>
      </x:c>
      <x:c r="K243" s="13" t="n">
        <x:v>0.07138002129125696</x:v>
      </x:c>
      <x:c r="L243" s="13" t="n">
        <x:v>0.31849511060240365</x:v>
      </x:c>
      <x:c r="M243" s="13" t="n">
        <x:v>0.1529645710520433</x:v>
      </x:c>
      <x:c r="N243" s="13" t="n">
        <x:v>0</x:v>
      </x:c>
      <x:c r="O243" s="13" t="n">
        <x:v>0</x:v>
      </x:c>
      <x:c r="P243" s="13" t="n">
        <x:v>0</x:v>
      </x:c>
      <x:c r="Q243" s="13" t="n">
        <x:v>0.10701508855730374</x:v>
      </x:c>
      <x:c r="R243" s="13" t="n">
        <x:v>0.18103845205817598</x:v>
      </x:c>
      <x:c r="S243" s="13" t="n">
        <x:v>0.8193081507448569</x:v>
      </x:c>
      <x:c r="T243" s="13" t="n">
        <x:v>0.6388888888888888</x:v>
      </x:c>
      <x:c r="U243" s="13" t="n">
        <x:v>0.022152330030927318</x:v>
      </x:c>
      <x:c r="V243" s="13" t="n">
        <x:v>0.001052627649766146</x:v>
      </x:c>
      <x:c r="W243" s="13" t="n">
        <x:v>0.30255878284923954</x:v>
      </x:c>
      <x:c r="X243" s="13" t="n">
        <x:v>0</x:v>
      </x:c>
      <x:c r="Y243" s="13" t="n">
        <x:v>0.0025005737929112283</x:v>
      </x:c>
      <x:c r="Z243" s="13" t="n">
        <x:v>0.0016488085055540494</x:v>
      </x:c>
      <x:c r="AA243" s="13" t="n">
        <x:v>0.012257268931909019</x:v>
      </x:c>
      <x:c r="AB243" s="13" t="n">
        <x:v>1</x:v>
      </x:c>
      <x:c r="AC243" s="13" t="n">
        <x:v>0</x:v>
      </x:c>
      <x:c r="AD243" s="13" t="n">
        <x:v>0.19918806253431695</x:v>
      </x:c>
      <x:c r="AE243" s="13" t="n">
        <x:v>0.3663435742269197</x:v>
      </x:c>
      <x:c r="AF243" s="13" t="n">
        <x:v>0.00380280208059181</x:v>
      </x:c>
      <x:c r="AG243" s="13" t="n">
        <x:v>0.4523897392823555</x:v>
      </x:c>
      <x:c r="AH243" s="13" t="n">
        <x:v>0.6762832202230888</x:v>
      </x:c>
      <x:c r="AI243" s="13" t="n">
        <x:v>0.20588235294117646</x:v>
      </x:c>
      <x:c r="AJ243" s="13" t="n">
        <x:v>0.1020055184792866</x:v>
      </x:c>
      <x:c r="AK243" s="13" t="n">
        <x:v>0.5682379145108248</x:v>
      </x:c>
      <x:c r="AL243" s="13" t="n">
        <x:v>0.9252373477835467</x:v>
      </x:c>
      <x:c r="AM243" s="13" t="n">
        <x:v>0</x:v>
      </x:c>
      <x:c r="AN243" s="13" t="n">
        <x:v>0.09253234829346534</x:v>
      </x:c>
      <x:c r="AO243" s="13" t="n">
        <x:v>0.34356391251847984</x:v>
      </x:c>
      <x:c r="AP243" s="13" t="n">
        <x:v>0.7495481638969638</x:v>
      </x:c>
    </x:row>
    <x:row r="244" ht="15" hidden="0" customHeight="1">
      <x:c r="A244" s="2" t="str">
        <x:v>E243</x:v>
      </x:c>
      <x:c r="B244" s="2" t="str">
        <x:v>***科技有限公司</x:v>
      </x:c>
      <x:c r="C244" s="2" t="str">
        <x:v>无信贷记录</x:v>
      </x:c>
      <x:c r="D244" s="2" t="str"/>
      <x:c r="E244" s="2" t="str"/>
      <x:c r="F244" s="13" t="n">
        <x:v>0.05195205162015651</x:v>
      </x:c>
      <x:c r="G244" s="13" t="n">
        <x:v>0.05180785770311887</x:v>
      </x:c>
      <x:c r="H244" s="13" t="n">
        <x:v>0.02909090909090909</x:v>
      </x:c>
      <x:c r="I244" s="13" t="n">
        <x:v>0.013354700854700877</x:v>
      </x:c>
      <x:c r="J244" s="13" t="n">
        <x:v>0.016747117754827307</x:v>
      </x:c>
      <x:c r="K244" s="13" t="n">
        <x:v>0.01666493162127169</x:v>
      </x:c>
      <x:c r="L244" s="13" t="n">
        <x:v>0.08086789917639155</x:v>
      </x:c>
      <x:c r="M244" s="13" t="n">
        <x:v>0.18013388797635171</x:v>
      </x:c>
      <x:c r="N244" s="13" t="n">
        <x:v>0.06050642391165253</x:v>
      </x:c>
      <x:c r="O244" s="13" t="n">
        <x:v>0.23717292778540125</x:v>
      </x:c>
      <x:c r="P244" s="13" t="n">
        <x:v>0.3773736642731259</x:v>
      </x:c>
      <x:c r="Q244" s="13" t="n">
        <x:v>0.018878294654531447</x:v>
      </x:c>
      <x:c r="R244" s="13" t="n">
        <x:v>0.18560790176948475</x:v>
      </x:c>
      <x:c r="S244" s="13" t="n">
        <x:v>0.6191366364441028</x:v>
      </x:c>
      <x:c r="T244" s="13" t="n">
        <x:v>0.8611111111111112</x:v>
      </x:c>
      <x:c r="U244" s="13" t="n">
        <x:v>0.0612919571560868</x:v>
      </x:c>
      <x:c r="V244" s="13" t="n">
        <x:v>0.06254922527351528</x:v>
      </x:c>
      <x:c r="W244" s="13" t="n">
        <x:v>0.04198774945662916</x:v>
      </x:c>
      <x:c r="X244" s="13" t="n">
        <x:v>0</x:v>
      </x:c>
      <x:c r="Y244" s="13" t="n">
        <x:v>0.05534158447157302</x:v>
      </x:c>
      <x:c r="Z244" s="13" t="n">
        <x:v>0.03655572018942684</x:v>
      </x:c>
      <x:c r="AA244" s="13" t="n">
        <x:v>0.012257268931909019</x:v>
      </x:c>
      <x:c r="AB244" s="13" t="n">
        <x:v>0.05877419556305016</x:v>
      </x:c>
      <x:c r="AC244" s="13" t="n">
        <x:v>0</x:v>
      </x:c>
      <x:c r="AD244" s="13" t="n">
        <x:v>0.20698612663129273</x:v>
      </x:c>
      <x:c r="AE244" s="13" t="n">
        <x:v>0.3160592965768235</x:v>
      </x:c>
      <x:c r="AF244" s="13" t="n">
        <x:v>0.05930181783544244</x:v>
      </x:c>
      <x:c r="AG244" s="13" t="n">
        <x:v>0.18633497066396676</x:v>
      </x:c>
      <x:c r="AH244" s="13" t="n">
        <x:v>0.5119428698672761</x:v>
      </x:c>
      <x:c r="AI244" s="13" t="n">
        <x:v>0.8823529411764706</x:v>
      </x:c>
      <x:c r="AJ244" s="13" t="n">
        <x:v>0.21257395331406484</x:v>
      </x:c>
      <x:c r="AK244" s="13" t="n">
        <x:v>0.0061989991242458135</x:v>
      </x:c>
      <x:c r="AL244" s="13" t="n">
        <x:v>0.09644683418548804</x:v>
      </x:c>
      <x:c r="AM244" s="13" t="n">
        <x:v>0.01428791242608754</x:v>
      </x:c>
      <x:c r="AN244" s="13" t="n">
        <x:v>0.24166443182827776</x:v>
      </x:c>
      <x:c r="AO244" s="13" t="n">
        <x:v>0.2121000562909484</x:v>
      </x:c>
      <x:c r="AP244" s="13" t="n">
        <x:v>0.5373289159504171</x:v>
      </x:c>
    </x:row>
    <x:row r="245" ht="15" hidden="0" customHeight="1">
      <x:c r="A245" s="2" t="str">
        <x:v>E244</x:v>
      </x:c>
      <x:c r="B245" s="2" t="str">
        <x:v>个体经营E244 </x:v>
      </x:c>
      <x:c r="C245" s="2" t="str">
        <x:v>无信贷记录</x:v>
      </x:c>
      <x:c r="D245" s="2" t="str"/>
      <x:c r="E245" s="2" t="str"/>
      <x:c r="F245" s="13" t="n">
        <x:v>0.08588907526843141</x:v>
      </x:c>
      <x:c r="G245" s="13" t="n">
        <x:v>0.08415915618047144</x:v>
      </x:c>
      <x:c r="H245" s="13" t="n">
        <x:v>0.08363636363636363</x:v>
      </x:c>
      <x:c r="I245" s="13" t="n">
        <x:v>0.04674145299145307</x:v>
      </x:c>
      <x:c r="J245" s="13" t="n">
        <x:v>0.054612144943690356</x:v>
      </x:c>
      <x:c r="K245" s="13" t="n">
        <x:v>0.05450524323099859</x:v>
      </x:c>
      <x:c r="L245" s="13" t="n">
        <x:v>0.09455323596008859</x:v>
      </x:c>
      <x:c r="M245" s="13" t="n">
        <x:v>0.3136105949336332</x:v>
      </x:c>
      <x:c r="N245" s="13" t="n">
        <x:v>0.13051317773160526</x:v>
      </x:c>
      <x:c r="O245" s="13" t="n">
        <x:v>0.04835723220558353</x:v>
      </x:c>
      <x:c r="P245" s="13" t="n">
        <x:v>0.08821093749757533</x:v>
      </x:c>
      <x:c r="Q245" s="13" t="n">
        <x:v>0.056436966111488684</x:v>
      </x:c>
      <x:c r="R245" s="13" t="n">
        <x:v>0.10704787837822219</x:v>
      </x:c>
      <x:c r="S245" s="13" t="n">
        <x:v>0.5599919834462752</x:v>
      </x:c>
      <x:c r="T245" s="13" t="n">
        <x:v>0.9444444444444444</x:v>
      </x:c>
      <x:c r="U245" s="13" t="n">
        <x:v>0.046003040310321375</x:v>
      </x:c>
      <x:c r="V245" s="13" t="n">
        <x:v>0.04071280062411119</x:v>
      </x:c>
      <x:c r="W245" s="13" t="n">
        <x:v>0.11484884410195623</x:v>
      </x:c>
      <x:c r="X245" s="13" t="n">
        <x:v>0.03684389524997171</x:v>
      </x:c>
      <x:c r="Y245" s="13" t="n">
        <x:v>0.05863665780162832</x:v>
      </x:c>
      <x:c r="Z245" s="13" t="n">
        <x:v>0.041207783044346136</x:v>
      </x:c>
      <x:c r="AA245" s="13" t="n">
        <x:v>0.006685783053768556</x:v>
      </x:c>
      <x:c r="AB245" s="13" t="n">
        <x:v>0.2132531899262273</x:v>
      </x:c>
      <x:c r="AC245" s="13" t="n">
        <x:v>0.16460164607084174</x:v>
      </x:c>
      <x:c r="AD245" s="13" t="n">
        <x:v>0.3214797475018175</x:v>
      </x:c>
      <x:c r="AE245" s="13" t="n">
        <x:v>0.5296234429098726</x:v>
      </x:c>
      <x:c r="AF245" s="13" t="n">
        <x:v>0.06283497764175719</x:v>
      </x:c>
      <x:c r="AG245" s="13" t="n">
        <x:v>0.19935013965417003</x:v>
      </x:c>
      <x:c r="AH245" s="13" t="n">
        <x:v>0.5093315360768399</x:v>
      </x:c>
      <x:c r="AI245" s="13" t="n">
        <x:v>0.8529411764705882</x:v>
      </x:c>
      <x:c r="AJ245" s="13" t="n">
        <x:v>0.19353837444743185</x:v>
      </x:c>
      <x:c r="AK245" s="13" t="n">
        <x:v>0.01801715825688907</x:v>
      </x:c>
      <x:c r="AL245" s="13" t="n">
        <x:v>0.2290191537603413</x:v>
      </x:c>
      <x:c r="AM245" s="13" t="n">
        <x:v>0.12534228084384288</x:v>
      </x:c>
      <x:c r="AN245" s="13" t="n">
        <x:v>0.1962939782969779</x:v>
      </x:c>
      <x:c r="AO245" s="13" t="n">
        <x:v>0.161385546565564</x:v>
      </x:c>
      <x:c r="AP245" s="13" t="n">
        <x:v>0.4968306443384833</x:v>
      </x:c>
    </x:row>
    <x:row r="246" ht="15" hidden="0" customHeight="1">
      <x:c r="A246" s="2" t="str">
        <x:v>E245</x:v>
      </x:c>
      <x:c r="B246" s="2" t="str">
        <x:v>***建筑劳务有限公司</x:v>
      </x:c>
      <x:c r="C246" s="2" t="str">
        <x:v>无信贷记录</x:v>
      </x:c>
      <x:c r="D246" s="2" t="str"/>
      <x:c r="E246" s="2" t="str"/>
      <x:c r="F246" s="13" t="n">
        <x:v>0.019659553346908148</x:v>
      </x:c>
      <x:c r="G246" s="13" t="n">
        <x:v>0.01999066085157164</x:v>
      </x:c>
      <x:c r="H246" s="13" t="n">
        <x:v>0.0018181818181818182</x:v>
      </x:c>
      <x:c r="I246" s="13" t="n">
        <x:v>0</x:v>
      </x:c>
      <x:c r="J246" s="13" t="n">
        <x:v>0.000504173509607857</x:v>
      </x:c>
      <x:c r="K246" s="13" t="n">
        <x:v>0.0005004523036050175</x:v>
      </x:c>
      <x:c r="L246" s="13" t="n">
        <x:v>0.03918982806240514</x:v>
      </x:c>
      <x:c r="M246" s="13" t="n">
        <x:v>0.02961163205648989</x:v>
      </x:c>
      <x:c r="N246" s="13" t="n">
        <x:v>0</x:v>
      </x:c>
      <x:c r="O246" s="13" t="n">
        <x:v>0.12033752400311441</x:v>
      </x:c>
      <x:c r="P246" s="13" t="n">
        <x:v>0.22608082746768488</x:v>
      </x:c>
      <x:c r="Q246" s="13" t="n">
        <x:v>0.0005489100924945324</x:v>
      </x:c>
      <x:c r="R246" s="13" t="n">
        <x:v>0.16540701455615361</x:v>
      </x:c>
      <x:c r="S246" s="13" t="n">
        <x:v>0.7244390734745557</x:v>
      </x:c>
      <x:c r="T246" s="13" t="n">
        <x:v>0.7777777777777778</x:v>
      </x:c>
      <x:c r="U246" s="13" t="n">
        <x:v>0.03001520155160668</x:v>
      </x:c>
      <x:c r="V246" s="13" t="n">
        <x:v>0.02820818138043534</x:v>
      </x:c>
      <x:c r="W246" s="13" t="n">
        <x:v>0.05433708753210833</x:v>
      </x:c>
      <x:c r="X246" s="13" t="n">
        <x:v>0.05101462419226853</x:v>
      </x:c>
      <x:c r="Y246" s="13" t="n">
        <x:v>0.03866058879458817</x:v>
      </x:c>
      <x:c r="Z246" s="13" t="n">
        <x:v>0.028893839655093605</x:v>
      </x:c>
      <x:c r="AA246" s="13" t="n">
        <x:v>0.013371566107537113</x:v>
      </x:c>
      <x:c r="AB246" s="13" t="n">
        <x:v>0.15319879470042172</x:v>
      </x:c>
      <x:c r="AC246" s="13" t="n">
        <x:v>0.3267447163975335</x:v>
      </x:c>
      <x:c r="AD246" s="13" t="n">
        <x:v>0.15710125774898487</x:v>
      </x:c>
      <x:c r="AE246" s="13" t="n">
        <x:v>0.28134334386285453</x:v>
      </x:c>
      <x:c r="AF246" s="13" t="n">
        <x:v>0.04858050736704396</x:v>
      </x:c>
      <x:c r="AG246" s="13" t="n">
        <x:v>0.3330685557395609</x:v>
      </x:c>
      <x:c r="AH246" s="13" t="n">
        <x:v>0.5979545949356925</x:v>
      </x:c>
      <x:c r="AI246" s="13" t="n">
        <x:v>0.5</x:v>
      </x:c>
      <x:c r="AJ246" s="13" t="n">
        <x:v>0.19879871474356178</x:v>
      </x:c>
      <x:c r="AK246" s="13" t="n">
        <x:v>0.0002216138517273069</x:v>
      </x:c>
      <x:c r="AL246" s="13" t="n">
        <x:v>0.2019318946185257</x:v>
      </x:c>
      <x:c r="AM246" s="13" t="n">
        <x:v>0.3047589278737206</x:v>
      </x:c>
      <x:c r="AN246" s="13" t="n">
        <x:v>0.14212456595806483</x:v>
      </x:c>
      <x:c r="AO246" s="13" t="n">
        <x:v>0.2717066170492166</x:v>
      </x:c>
      <x:c r="AP246" s="13" t="n">
        <x:v>0.6487558978201486</x:v>
      </x:c>
    </x:row>
    <x:row r="247" ht="15" hidden="0" customHeight="1">
      <x:c r="A247" s="2" t="str">
        <x:v>E246</x:v>
      </x:c>
      <x:c r="B247" s="2" t="str">
        <x:v>***物业服务有限公司</x:v>
      </x:c>
      <x:c r="C247" s="2" t="str">
        <x:v>无信贷记录</x:v>
      </x:c>
      <x:c r="D247" s="2" t="str"/>
      <x:c r="E247" s="2" t="str"/>
      <x:c r="F247" s="13" t="n">
        <x:v>0.10211007555846588</x:v>
      </x:c>
      <x:c r="G247" s="13" t="n">
        <x:v>0.09888510100624749</x:v>
      </x:c>
      <x:c r="H247" s="13" t="n">
        <x:v>0.12727272727272726</x:v>
      </x:c>
      <x:c r="I247" s="13" t="n">
        <x:v>0.07345085470085481</x:v>
      </x:c>
      <x:c r="J247" s="13" t="n">
        <x:v>0.02430684498137438</x:v>
      </x:c>
      <x:c r="K247" s="13" t="n">
        <x:v>0.02439201377337777</x:v>
      </x:c>
      <x:c r="L247" s="13" t="n">
        <x:v>0.2562890343128717</x:v>
      </x:c>
      <x:c r="M247" s="13" t="n">
        <x:v>0.4015319990116136</x:v>
      </x:c>
      <x:c r="N247" s="13" t="n">
        <x:v>0.17459692662642107</x:v>
      </x:c>
      <x:c r="O247" s="13" t="n">
        <x:v>0.08561616128850029</x:v>
      </x:c>
      <x:c r="P247" s="13" t="n">
        <x:v>0.21830898899949883</x:v>
      </x:c>
      <x:c r="Q247" s="13" t="n">
        <x:v>0.028257716722444138</x:v>
      </x:c>
      <x:c r="R247" s="13" t="n">
        <x:v>0.1966251758903753</x:v>
      </x:c>
      <x:c r="S247" s="13" t="n">
        <x:v>0.6831018430113405</x:v>
      </x:c>
      <x:c r="T247" s="13" t="n">
        <x:v>0.8055555555555556</x:v>
      </x:c>
      <x:c r="U247" s="13" t="n">
        <x:v>0.07160105537208862</x:v>
      </x:c>
      <x:c r="V247" s="13" t="n">
        <x:v>0.06926812516563963</x:v>
      </x:c>
      <x:c r="W247" s="13" t="n">
        <x:v>0.09879470460383331</x:v>
      </x:c>
      <x:c r="X247" s="13" t="n">
        <x:v>0.039678041038431075</x:v>
      </x:c>
      <x:c r="Y247" s="13" t="n">
        <x:v>0.04960511493947792</x:v>
      </x:c>
      <x:c r="Z247" s="13" t="n">
        <x:v>0.034184992310271924</x:v>
      </x:c>
      <x:c r="AA247" s="13" t="n">
        <x:v>0.04680048137637989</x:v>
      </x:c>
      <x:c r="AB247" s="13" t="n">
        <x:v>0.1186076862139464</x:v>
      </x:c>
      <x:c r="AC247" s="13" t="n">
        <x:v>0.10484332021478487</x:v>
      </x:c>
      <x:c r="AD247" s="13" t="n">
        <x:v>0.15465856845497047</x:v>
      </x:c>
      <x:c r="AE247" s="13" t="n">
        <x:v>0.22933051387654793</x:v>
      </x:c>
      <x:c r="AF247" s="13" t="n">
        <x:v>0.04882987020997227</x:v>
      </x:c>
      <x:c r="AG247" s="13" t="n">
        <x:v>0.04568086406728072</x:v>
      </x:c>
      <x:c r="AH247" s="13" t="n">
        <x:v>0.6011045166841594</x:v>
      </x:c>
      <x:c r="AI247" s="13" t="n">
        <x:v>0.9705882352941176</x:v>
      </x:c>
      <x:c r="AJ247" s="13" t="n">
        <x:v>0.1995842294315035</x:v>
      </x:c>
      <x:c r="AK247" s="13" t="n">
        <x:v>0.009709582657615708</x:v>
      </x:c>
      <x:c r="AL247" s="13" t="n">
        <x:v>0.18909239439012787</x:v>
      </x:c>
      <x:c r="AM247" s="13" t="n">
        <x:v>0.1184842762251275</x:v>
      </x:c>
      <x:c r="AN247" s="13" t="n">
        <x:v>0.11987262342687002</x:v>
      </x:c>
      <x:c r="AO247" s="13" t="n">
        <x:v>0.14887433160627342</x:v>
      </x:c>
      <x:c r="AP247" s="13" t="n">
        <x:v>0.6228554106389018</x:v>
      </x:c>
    </x:row>
    <x:row r="248" ht="15" hidden="0" customHeight="1">
      <x:c r="A248" s="2" t="str">
        <x:v>E247</x:v>
      </x:c>
      <x:c r="B248" s="2" t="str">
        <x:v>***石化有限公司</x:v>
      </x:c>
      <x:c r="C248" s="2" t="str">
        <x:v>无信贷记录</x:v>
      </x:c>
      <x:c r="D248" s="2" t="str"/>
      <x:c r="E248" s="2" t="str"/>
      <x:c r="F248" s="13" t="n">
        <x:v>0.07034083535908961</x:v>
      </x:c>
      <x:c r="G248" s="13" t="n">
        <x:v>0.0696621120514691</x:v>
      </x:c>
      <x:c r="H248" s="13" t="n">
        <x:v>0.05090909090909091</x:v>
      </x:c>
      <x:c r="I248" s="13" t="n">
        <x:v>0.04674145299145307</x:v>
      </x:c>
      <x:c r="J248" s="13" t="n">
        <x:v>0.04715977480719226</x:v>
      </x:c>
      <x:c r="K248" s="13" t="n">
        <x:v>0.04681578569983428</x:v>
      </x:c>
      <x:c r="L248" s="13" t="n">
        <x:v>0.11508124113563413</x:v>
      </x:c>
      <x:c r="M248" s="13" t="n">
        <x:v>0.2329992681433245</x:v>
      </x:c>
      <x:c r="N248" s="13" t="n">
        <x:v>0.15761427474691125</x:v>
      </x:c>
      <x:c r="O248" s="13" t="n">
        <x:v>0.046806771848017174</x:v>
      </x:c>
      <x:c r="P248" s="13" t="n">
        <x:v>0.07227674090137996</x:v>
      </x:c>
      <x:c r="Q248" s="13" t="n">
        <x:v>0.04616991806932684</x:v>
      </x:c>
      <x:c r="R248" s="13" t="n">
        <x:v>0.11129110063427643</x:v>
      </x:c>
      <x:c r="S248" s="13" t="n">
        <x:v>0.6466567946188747</x:v>
      </x:c>
      <x:c r="T248" s="13" t="n">
        <x:v>1</x:v>
      </x:c>
      <x:c r="U248" s="13" t="n">
        <x:v>0.030539392986318636</x:v>
      </x:c>
      <x:c r="V248" s="13" t="n">
        <x:v>0.030447814677810117</x:v>
      </x:c>
      <x:c r="W248" s="13" t="n">
        <x:v>0.032108278996245826</x:v>
      </x:c>
      <x:c r="X248" s="13" t="n">
        <x:v>0</x:v>
      </x:c>
      <x:c r="Y248" s="13" t="n">
        <x:v>0.037177176118996375</x:v>
      </x:c>
      <x:c r="Z248" s="13" t="n">
        <x:v>0.024556263895733333</x:v>
      </x:c>
      <x:c r="AA248" s="13" t="n">
        <x:v>0.0029714591350082473</x:v>
      </x:c>
      <x:c r="AB248" s="13" t="n">
        <x:v>0.08901358177769503</x:v>
      </x:c>
      <x:c r="AC248" s="13" t="n">
        <x:v>0</x:v>
      </x:c>
      <x:c r="AD248" s="13" t="n">
        <x:v>0.6083509275107073</x:v>
      </x:c>
      <x:c r="AE248" s="13" t="n">
        <x:v>0.7442270526586832</x:v>
      </x:c>
      <x:c r="AF248" s="13" t="n">
        <x:v>0.03760458712243229</x:v>
      </x:c>
      <x:c r="AG248" s="13" t="n">
        <x:v>0.21874245341877244</x:v>
      </x:c>
      <x:c r="AH248" s="13" t="n">
        <x:v>0.6862993813605335</x:v>
      </x:c>
      <x:c r="AI248" s="13" t="n">
        <x:v>0.9411764705882353</x:v>
      </x:c>
      <x:c r="AJ248" s="13" t="n">
        <x:v>0.1673774274945798</x:v>
      </x:c>
      <x:c r="AK248" s="13" t="n">
        <x:v>0.025947663012750078</x:v>
      </x:c>
      <x:c r="AL248" s="13" t="n">
        <x:v>0.11330924067903254</x:v>
      </x:c>
      <x:c r="AM248" s="13" t="n">
        <x:v>0.05441542288557218</x:v>
      </x:c>
      <x:c r="AN248" s="13" t="n">
        <x:v>0.36517512757746523</x:v>
      </x:c>
      <x:c r="AO248" s="13" t="n">
        <x:v>0.1743060879218156</x:v>
      </x:c>
      <x:c r="AP248" s="13" t="n">
        <x:v>0.6398531914153264</x:v>
      </x:c>
    </x:row>
    <x:row r="249" ht="15" hidden="0" customHeight="1">
      <x:c r="A249" s="2" t="str">
        <x:v>E248</x:v>
      </x:c>
      <x:c r="B249" s="2" t="str">
        <x:v>***智能科技有限公司</x:v>
      </x:c>
      <x:c r="C249" s="2" t="str">
        <x:v>无信贷记录</x:v>
      </x:c>
      <x:c r="D249" s="2" t="str"/>
      <x:c r="E249" s="2" t="str"/>
      <x:c r="F249" s="13" t="n">
        <x:v>0.11279949049613838</x:v>
      </x:c>
      <x:c r="G249" s="13" t="n">
        <x:v>0.11170354002557588</x:v>
      </x:c>
      <x:c r="H249" s="13" t="n">
        <x:v>0.08181818181818182</x:v>
      </x:c>
      <x:c r="I249" s="13" t="n">
        <x:v>0.06009615384615394</x:v>
      </x:c>
      <x:c r="J249" s="13" t="n">
        <x:v>0.05143001013105975</x:v>
      </x:c>
      <x:c r="K249" s="13" t="n">
        <x:v>0.05227617357624154</x:v>
      </x:c>
      <x:c r="L249" s="13" t="n">
        <x:v>0.1642240414043644</x:v>
      </x:c>
      <x:c r="M249" s="13" t="n">
        <x:v>0.23369868449612308</x:v>
      </x:c>
      <x:c r="N249" s="13" t="n">
        <x:v>0.12648153893401035</x:v>
      </x:c>
      <x:c r="O249" s="13" t="n">
        <x:v>0.03571723104960144</x:v>
      </x:c>
      <x:c r="P249" s="13" t="n">
        <x:v>0.11689016774726563</x:v>
      </x:c>
      <x:c r="Q249" s="13" t="n">
        <x:v>0.05171176021169859</x:v>
      </x:c>
      <x:c r="R249" s="13" t="n">
        <x:v>0.17823078329173125</x:v>
      </x:c>
      <x:c r="S249" s="13" t="n">
        <x:v>0.673439012790884</x:v>
      </x:c>
      <x:c r="T249" s="13" t="n">
        <x:v>0.9722222222222222</x:v>
      </x:c>
      <x:c r="U249" s="13" t="n">
        <x:v>0.034558193985776975</x:v>
      </x:c>
      <x:c r="V249" s="13" t="n">
        <x:v>0.03231417575895577</x:v>
      </x:c>
      <x:c r="W249" s="13" t="n">
        <x:v>0.06421655799249165</x:v>
      </x:c>
      <x:c r="X249" s="13" t="n">
        <x:v>0.017004874730756177</x:v>
      </x:c>
      <x:c r="Y249" s="13" t="n">
        <x:v>0.03332054170142464</x:v>
      </x:c>
      <x:c r="Z249" s="13" t="n">
        <x:v>0.022480604173538535</x:v>
      </x:c>
      <x:c r="AA249" s="13" t="n">
        <x:v>0.0456861842007518</x:v>
      </x:c>
      <x:c r="AB249" s="13" t="n">
        <x:v>0.1578067943614445</x:v>
      </x:c>
      <x:c r="AC249" s="13" t="n">
        <x:v>0.09533910988369958</x:v>
      </x:c>
      <x:c r="AD249" s="13" t="n">
        <x:v>0.08518413927805525</x:v>
      </x:c>
      <x:c r="AE249" s="13" t="n">
        <x:v>0.2109469588108743</x:v>
      </x:c>
      <x:c r="AF249" s="13" t="n">
        <x:v>0.03278442500104931</x:v>
      </x:c>
      <x:c r="AG249" s="13" t="n">
        <x:v>0.41406632927722126</x:v>
      </x:c>
      <x:c r="AH249" s="13" t="n">
        <x:v>0.6231854130130527</x:v>
      </x:c>
      <x:c r="AI249" s="13" t="n">
        <x:v>0.9411764705882353</x:v>
      </x:c>
      <x:c r="AJ249" s="13" t="n">
        <x:v>0.15915429161357333</x:v>
      </x:c>
      <x:c r="AK249" s="13" t="n">
        <x:v>0.03164462294435467</x:v>
      </x:c>
      <x:c r="AL249" s="13" t="n">
        <x:v>0.13918737679914392</x:v>
      </x:c>
      <x:c r="AM249" s="13" t="n">
        <x:v>0.08000131284205696</x:v>
      </x:c>
      <x:c r="AN249" s="13" t="n">
        <x:v>0.04884715587655076</x:v>
      </x:c>
      <x:c r="AO249" s="13" t="n">
        <x:v>0.32209911110332834</x:v>
      </x:c>
      <x:c r="AP249" s="13" t="n">
        <x:v>0.6271169814156708</x:v>
      </x:c>
    </x:row>
    <x:row r="250" ht="15" hidden="0" customHeight="1">
      <x:c r="A250" s="2" t="str">
        <x:v>E249</x:v>
      </x:c>
      <x:c r="B250" s="2" t="str">
        <x:v>***建筑工程有限公司</x:v>
      </x:c>
      <x:c r="C250" s="2" t="str">
        <x:v>无信贷记录</x:v>
      </x:c>
      <x:c r="D250" s="2" t="str"/>
      <x:c r="E250" s="2" t="str"/>
      <x:c r="F250" s="13" t="n">
        <x:v>0.05359657699518305</x:v>
      </x:c>
      <x:c r="G250" s="13" t="n">
        <x:v>0.04715354353538654</x:v>
      </x:c>
      <x:c r="H250" s="13" t="n">
        <x:v>0.18</x:v>
      </x:c>
      <x:c r="I250" s="13" t="n">
        <x:v>0.006677350427350438</x:v>
      </x:c>
      <x:c r="J250" s="13" t="n">
        <x:v>0.09719957986484225</x:v>
      </x:c>
      <x:c r="K250" s="13" t="n">
        <x:v>0.09669209349092353</x:v>
      </x:c>
      <x:c r="L250" s="13" t="n">
        <x:v>0.06531638010400856</x:v>
      </x:c>
      <x:c r="M250" s="13" t="n">
        <x:v>1</x:v>
      </x:c>
      <x:c r="N250" s="13" t="n">
        <x:v>0.033229737648254334</x:v>
      </x:c>
      <x:c r="O250" s="13" t="n">
        <x:v>0.13969814232851605</x:v>
      </x:c>
      <x:c r="P250" s="13" t="n">
        <x:v>0.23461851610808906</x:v>
      </x:c>
      <x:c r="Q250" s="13" t="n">
        <x:v>0.0977347015274497</x:v>
      </x:c>
      <x:c r="R250" s="13" t="n">
        <x:v>0.41437344799729764</x:v>
      </x:c>
      <x:c r="S250" s="13" t="n">
        <x:v>0.649936837720722</x:v>
      </x:c>
      <x:c r="T250" s="13" t="n">
        <x:v>0.9166666666666666</x:v>
      </x:c>
      <x:c r="U250" s="13" t="n">
        <x:v>0.04041166500672717</x:v>
      </x:c>
      <x:c r="V250" s="13" t="n">
        <x:v>0.04323238808365781</x:v>
      </x:c>
      <x:c r="W250" s="13" t="n">
        <x:v>0.002469867615095833</x:v>
      </x:c>
      <x:c r="X250" s="13" t="n">
        <x:v>0</x:v>
      </x:c>
      <x:c r="Y250" s="13" t="n">
        <x:v>0.08005958927152844</x:v>
      </x:c>
      <x:c r="Z250" s="13" t="n">
        <x:v>0.052884499663397325</x:v>
      </x:c>
      <x:c r="AA250" s="13" t="n">
        <x:v>0.0003714323918760309</x:v>
      </x:c>
      <x:c r="AB250" s="13" t="n">
        <x:v>0.005207932832169575</x:v>
      </x:c>
      <x:c r="AC250" s="13" t="n">
        <x:v>0</x:v>
      </x:c>
      <x:c r="AD250" s="13" t="n">
        <x:v>0.9899559016042623</x:v>
      </x:c>
      <x:c r="AE250" s="13" t="n">
        <x:v>0.9947757022485256</x:v>
      </x:c>
      <x:c r="AF250" s="13" t="n">
        <x:v>0.09117752636964356</x:v>
      </x:c>
      <x:c r="AG250" s="13" t="n">
        <x:v>0.4996564658762385</x:v>
      </x:c>
      <x:c r="AH250" s="13" t="n">
        <x:v>0.28445930664334446</x:v>
      </x:c>
      <x:c r="AI250" s="13" t="n">
        <x:v>0.20588235294117646</x:v>
      </x:c>
      <x:c r="AJ250" s="13" t="n">
        <x:v>0.19758968683386335</x:v>
      </x:c>
      <x:c r="AK250" s="13" t="n">
        <x:v>0.02491949754092581</x:v>
      </x:c>
      <x:c r="AL250" s="13" t="n">
        <x:v>0.23582798531793778</x:v>
      </x:c>
      <x:c r="AM250" s="13" t="n">
        <x:v>0.0089004518690949</x:v>
      </x:c>
      <x:c r="AN250" s="13" t="n">
        <x:v>0.6467251086786666</x:v>
      </x:c>
      <x:c r="AO250" s="13" t="n">
        <x:v>0.5377270142139017</x:v>
      </x:c>
      <x:c r="AP250" s="13" t="n">
        <x:v>0.44781737697119867</x:v>
      </x:c>
    </x:row>
    <x:row r="251" ht="15" hidden="0" customHeight="1">
      <x:c r="A251" s="2" t="str">
        <x:v>E250</x:v>
      </x:c>
      <x:c r="B251" s="2" t="str">
        <x:v>***塑料厂</x:v>
      </x:c>
      <x:c r="C251" s="2" t="str">
        <x:v>无信贷记录</x:v>
      </x:c>
      <x:c r="D251" s="2" t="str"/>
      <x:c r="E251" s="2" t="str"/>
      <x:c r="F251" s="13" t="n">
        <x:v>0.032666254040299846</x:v>
      </x:c>
      <x:c r="G251" s="13" t="n">
        <x:v>0.03242759870961048</x:v>
      </x:c>
      <x:c r="H251" s="13" t="n">
        <x:v>0.02181818181818182</x:v>
      </x:c>
      <x:c r="I251" s="13" t="n">
        <x:v>0.06009615384615394</x:v>
      </x:c>
      <x:c r="J251" s="13" t="n">
        <x:v>0.032832161998851236</x:v>
      </x:c>
      <x:c r="K251" s="13" t="n">
        <x:v>0.03272921330112669</x:v>
      </x:c>
      <x:c r="L251" s="13" t="n">
        <x:v>0.07837965612481028</x:v>
      </x:c>
      <x:c r="M251" s="13" t="n">
        <x:v>0.21449883813129353</x:v>
      </x:c>
      <x:c r="N251" s="13" t="n">
        <x:v>0.4342434100170004</x:v>
      </x:c>
      <x:c r="O251" s="13" t="n">
        <x:v>0.16455204028587034</x:v>
      </x:c>
      <x:c r="P251" s="13" t="n">
        <x:v>0.32442181184087787</x:v>
      </x:c>
      <x:c r="Q251" s="13" t="n">
        <x:v>0.03214212001461784</x:v>
      </x:c>
      <x:c r="R251" s="13" t="n">
        <x:v>0.12209091307760117</x:v>
      </x:c>
      <x:c r="S251" s="13" t="n">
        <x:v>0.5557403616463854</x:v>
      </x:c>
      <x:c r="T251" s="13" t="n">
        <x:v>1</x:v>
      </x:c>
      <x:c r="U251" s="13" t="n">
        <x:v>0.06714542817703699</x:v>
      </x:c>
      <x:c r="V251" s="13" t="n">
        <x:v>0.06096281835454148</x:v>
      </x:c>
      <x:c r="W251" s="13" t="n">
        <x:v>0.14572218929065414</x:v>
      </x:c>
      <x:c r="X251" s="13" t="n">
        <x:v>0.062351207346105976</x:v>
      </x:c>
      <x:c r="Y251" s="13" t="n">
        <x:v>0.055878444380265076</x:v>
      </x:c>
      <x:c r="Z251" s="13" t="n">
        <x:v>0.039856431198763476</x:v>
      </x:c>
      <x:c r="AA251" s="13" t="n">
        <x:v>0.03788610397135515</x:v>
      </x:c>
      <x:c r="AB251" s="13" t="n">
        <x:v>0.18641454178696443</x:v>
      </x:c>
      <x:c r="AC251" s="13" t="n">
        <x:v>0.18697058771636638</x:v>
      </x:c>
      <x:c r="AD251" s="13" t="n">
        <x:v>0.05725908875263766</x:v>
      </x:c>
      <x:c r="AE251" s="13" t="n">
        <x:v>0.11110246026669798</x:v>
      </x:c>
      <x:c r="AF251" s="13" t="n">
        <x:v>0.05355970093388796</x:v>
      </x:c>
      <x:c r="AG251" s="13" t="n">
        <x:v>0.03511251387052669</x:v>
      </x:c>
      <x:c r="AH251" s="13" t="n">
        <x:v>0.5358677845372053</x:v>
      </x:c>
      <x:c r="AI251" s="13" t="n">
        <x:v>1</x:v>
      </x:c>
      <x:c r="AJ251" s="13" t="n">
        <x:v>0.2032475971434975</x:v>
      </x:c>
      <x:c r="AK251" s="13" t="n">
        <x:v>0.011179601542483581</x:v>
      </x:c>
      <x:c r="AL251" s="13" t="n">
        <x:v>0.2980865154164514</x:v>
      </x:c>
      <x:c r="AM251" s="13" t="n">
        <x:v>0.2766755001441736</x:v>
      </x:c>
      <x:c r="AN251" s="13" t="n">
        <x:v>0.10951868082239724</x:v>
      </x:c>
      <x:c r="AO251" s="13" t="n">
        <x:v>0.08914792933416589</x:v>
      </x:c>
      <x:c r="AP251" s="13" t="n">
        <x:v>0.5068352764363907</x:v>
      </x:c>
    </x:row>
    <x:row r="252" ht="15" hidden="0" customHeight="1">
      <x:c r="A252" s="2" t="str">
        <x:v>E251</x:v>
      </x:c>
      <x:c r="B252" s="2" t="str">
        <x:v>***医疗器械有限责任公司</x:v>
      </x:c>
      <x:c r="C252" s="2" t="str">
        <x:v>无信贷记录</x:v>
      </x:c>
      <x:c r="D252" s="2" t="str"/>
      <x:c r="E252" s="2" t="str"/>
      <x:c r="F252" s="13" t="n">
        <x:v>0.10876292821198233</x:v>
      </x:c>
      <x:c r="G252" s="13" t="n">
        <x:v>0.10323421424494819</x:v>
      </x:c>
      <x:c r="H252" s="13" t="n">
        <x:v>0.18545454545454546</x:v>
      </x:c>
      <x:c r="I252" s="13" t="n">
        <x:v>0.15357905982906006</x:v>
      </x:c>
      <x:c r="J252" s="13" t="n">
        <x:v>0.034767519380214454</x:v>
      </x:c>
      <x:c r="K252" s="13" t="n">
        <x:v>0.03808997553358312</x:v>
      </x:c>
      <x:c r="L252" s="13" t="n">
        <x:v>0.21958744930204782</x:v>
      </x:c>
      <x:c r="M252" s="13" t="n">
        <x:v>0.5493496324549909</x:v>
      </x:c>
      <x:c r="N252" s="13" t="n">
        <x:v>0.3497092685343961</x:v>
      </x:c>
      <x:c r="O252" s="13" t="n">
        <x:v>0.03618397612004195</x:v>
      </x:c>
      <x:c r="P252" s="13" t="n">
        <x:v>0.09206713953394612</x:v>
      </x:c>
      <x:c r="Q252" s="13" t="n">
        <x:v>0.04311480872962504</x:v>
      </x:c>
      <x:c r="R252" s="13" t="n">
        <x:v>0.1875998772469567</x:v>
      </x:c>
      <x:c r="S252" s="13" t="n">
        <x:v>0.7492065256528299</x:v>
      </x:c>
      <x:c r="T252" s="13" t="n">
        <x:v>0.7777777777777778</x:v>
      </x:c>
      <x:c r="U252" s="13" t="n">
        <x:v>0.026695322465097614</x:v>
      </x:c>
      <x:c r="V252" s="13" t="n">
        <x:v>0.024942049488430453</x:v>
      </x:c>
      <x:c r="W252" s="13" t="n">
        <x:v>0.050632286109464575</x:v>
      </x:c>
      <x:c r="X252" s="13" t="n">
        <x:v>0.039678041038431075</x:v>
      </x:c>
      <x:c r="Y252" s="13" t="n">
        <x:v>0.0216922944825225</x:v>
      </x:c>
      <x:c r="Z252" s="13" t="n">
        <x:v>0.01634642539068091</x:v>
      </x:c>
      <x:c r="AA252" s="13" t="n">
        <x:v>0.0505148052951402</x:v>
      </x:c>
      <x:c r="AB252" s="13" t="n">
        <x:v>0.15997447010816765</x:v>
      </x:c>
      <x:c r="AC252" s="13" t="n">
        <x:v>0.28659725124406527</x:v>
      </x:c>
      <x:c r="AD252" s="13" t="n">
        <x:v>0.11580207021177624</x:v>
      </x:c>
      <x:c r="AE252" s="13" t="n">
        <x:v>0.31098557489625944</x:v>
      </x:c>
      <x:c r="AF252" s="13" t="n">
        <x:v>0.021326930788630523</x:v>
      </x:c>
      <x:c r="AG252" s="13" t="n">
        <x:v>0.5459037400165706</x:v>
      </x:c>
      <x:c r="AH252" s="13" t="n">
        <x:v>0.8748599256553682</x:v>
      </x:c>
      <x:c r="AI252" s="13" t="n">
        <x:v>0.5588235294117647</x:v>
      </x:c>
      <x:c r="AJ252" s="13" t="n">
        <x:v>0.1529037358844052</x:v>
      </x:c>
      <x:c r="AK252" s="13" t="n">
        <x:v>0.03167511282679893</x:v>
      </x:c>
      <x:c r="AL252" s="13" t="n">
        <x:v>0.22422617312251913</x:v>
      </x:c>
      <x:c r="AM252" s="13" t="n">
        <x:v>0.2203531147210542</x:v>
      </x:c>
      <x:c r="AN252" s="13" t="n">
        <x:v>0.06725078897327909</x:v>
      </x:c>
      <x:c r="AO252" s="13" t="n">
        <x:v>0.3957294692029216</x:v>
      </x:c>
      <x:c r="AP252" s="13" t="n">
        <x:v>0.7990165189349218</x:v>
      </x:c>
    </x:row>
    <x:row r="253" ht="15" hidden="0" customHeight="1">
      <x:c r="A253" s="2" t="str">
        <x:v>E252</x:v>
      </x:c>
      <x:c r="B253" s="2" t="str">
        <x:v>***印务有限公司</x:v>
      </x:c>
      <x:c r="C253" s="2" t="str">
        <x:v>无信贷记录</x:v>
      </x:c>
      <x:c r="D253" s="2" t="str"/>
      <x:c r="E253" s="2" t="str"/>
      <x:c r="F253" s="13" t="n">
        <x:v>0.07146210266024407</x:v>
      </x:c>
      <x:c r="G253" s="13" t="n">
        <x:v>0.06889910972889005</x:v>
      </x:c>
      <x:c r="H253" s="13" t="n">
        <x:v>0.09636363636363636</x:v>
      </x:c>
      <x:c r="I253" s="13" t="n">
        <x:v>0.026709401709401753</x:v>
      </x:c>
      <x:c r="J253" s="13" t="n">
        <x:v>0.10370653580322667</x:v>
      </x:c>
      <x:c r="K253" s="13" t="n">
        <x:v>0.10322479012959788</x:v>
      </x:c>
      <x:c r="L253" s="13" t="n">
        <x:v>0.06842668391848516</x:v>
      </x:c>
      <x:c r="M253" s="13" t="n">
        <x:v>0.43412878103695257</x:v>
      </x:c>
      <x:c r="N253" s="13" t="n">
        <x:v>0.09106049653886271</x:v>
      </x:c>
      <x:c r="O253" s="13" t="n">
        <x:v>0.04436161891977055</x:v>
      </x:c>
      <x:c r="P253" s="13" t="n">
        <x:v>0.061539124572063876</x:v>
      </x:c>
      <x:c r="Q253" s="13" t="n">
        <x:v>0.10427767872907731</x:v>
      </x:c>
      <x:c r="R253" s="13" t="n">
        <x:v>0.0744302682047703</x:v>
      </x:c>
      <x:c r="S253" s="13" t="n">
        <x:v>0.5066472179692068</x:v>
      </x:c>
      <x:c r="T253" s="13" t="n">
        <x:v>0.9722222222222222</x:v>
      </x:c>
      <x:c r="U253" s="13" t="n">
        <x:v>0.04643986650591467</x:v>
      </x:c>
      <x:c r="V253" s="13" t="n">
        <x:v>0.04761833662435009</x:v>
      </x:c>
      <x:c r="W253" s="13" t="n">
        <x:v>0.029638411381149997</x:v>
      </x:c>
      <x:c r="X253" s="13" t="n">
        <x:v>0.028341457884593628</x:v>
      </x:c>
      <x:c r="Y253" s="13" t="n">
        <x:v>0.06689947508800104</x:v>
      </x:c>
      <x:c r="Z253" s="13" t="n">
        <x:v>0.04591295808614511</x:v>
      </x:c>
      <x:c r="AA253" s="13" t="n">
        <x:v>0.014485863283165205</x:v>
      </x:c>
      <x:c r="AB253" s="13" t="n">
        <x:v>0.05452445759964598</x:v>
      </x:c>
      <x:c r="AC253" s="13" t="n">
        <x:v>0.10849357120872324</x:v>
      </x:c>
      <x:c r="AD253" s="13" t="n">
        <x:v>0.13112838334609012</x:v>
      </x:c>
      <x:c r="AE253" s="13" t="n">
        <x:v>0.17700156187514385</x:v>
      </x:c>
      <x:c r="AF253" s="13" t="n">
        <x:v>0.06587027428627104</x:v>
      </x:c>
      <x:c r="AG253" s="13" t="n">
        <x:v>0.2815114055122807</x:v>
      </x:c>
      <x:c r="AH253" s="13" t="n">
        <x:v>0.47891525572255045</x:v>
      </x:c>
      <x:c r="AI253" s="13" t="n">
        <x:v>0.9705882352941176</x:v>
      </x:c>
      <x:c r="AJ253" s="13" t="n">
        <x:v>0.17459235996460148</x:v>
      </x:c>
      <x:c r="AK253" s="13" t="n">
        <x:v>0.030640211362834728</x:v>
      </x:c>
      <x:c r="AL253" s="13" t="n">
        <x:v>0.14128347726393714</x:v>
      </x:c>
      <x:c r="AM253" s="13" t="n">
        <x:v>0.09551399122530814</x:v>
      </x:c>
      <x:c r="AN253" s="13" t="n">
        <x:v>0.081223305025899</x:v>
      </x:c>
      <x:c r="AO253" s="13" t="n">
        <x:v>0.17921854037017465</x:v>
      </x:c>
      <x:c r="AP253" s="13" t="n">
        <x:v>0.4467416809759804</x:v>
      </x:c>
    </x:row>
    <x:row r="254" ht="15" hidden="0" customHeight="1">
      <x:c r="A254" s="2" t="str">
        <x:v>E253</x:v>
      </x:c>
      <x:c r="B254" s="2" t="str">
        <x:v>***钢结构工程有限公司</x:v>
      </x:c>
      <x:c r="C254" s="2" t="str">
        <x:v>无信贷记录</x:v>
      </x:c>
      <x:c r="D254" s="2" t="str"/>
      <x:c r="E254" s="2" t="str"/>
      <x:c r="F254" s="13" t="n">
        <x:v>0.09231767446171696</x:v>
      </x:c>
      <x:c r="G254" s="13" t="n">
        <x:v>0.09110247731594098</x:v>
      </x:c>
      <x:c r="H254" s="13" t="n">
        <x:v>0.07454545454545454</x:v>
      </x:c>
      <x:c r="I254" s="13" t="n">
        <x:v>0.03338675213675219</x:v>
      </x:c>
      <x:c r="J254" s="13" t="n">
        <x:v>0.06814120034325548</x:v>
      </x:c>
      <x:c r="K254" s="13" t="n">
        <x:v>0.06788827089170724</x:v>
      </x:c>
      <x:c r="L254" s="13" t="n">
        <x:v>0.19843738336360697</x:v>
      </x:c>
      <x:c r="M254" s="13" t="n">
        <x:v>0.2600892338672293</x:v>
      </x:c>
      <x:c r="N254" s="13" t="n">
        <x:v>0.0861305908943047</x:v>
      </x:c>
      <x:c r="O254" s="13" t="n">
        <x:v>0.08241327106548506</x:v>
      </x:c>
      <x:c r="P254" s="13" t="n">
        <x:v>0.239807801915412</x:v>
      </x:c>
      <x:c r="Q254" s="13" t="n">
        <x:v>0.0704188032641437</x:v>
      </x:c>
      <x:c r="R254" s="13" t="n">
        <x:v>0.1390854085206099</x:v>
      </x:c>
      <x:c r="S254" s="13" t="n">
        <x:v>0.6781842762892134</x:v>
      </x:c>
      <x:c r="T254" s="13" t="n">
        <x:v>0.8611111111111112</x:v>
      </x:c>
      <x:c r="U254" s="13" t="n">
        <x:v>0.032461428246929144</x:v>
      </x:c>
      <x:c r="V254" s="13" t="n">
        <x:v>0.02904804386695088</x:v>
      </x:c>
      <x:c r="W254" s="13" t="n">
        <x:v>0.07780082987551874</x:v>
      </x:c>
      <x:c r="X254" s="13" t="n">
        <x:v>0.008502437365378089</x:v>
      </x:c>
      <x:c r="Y254" s="13" t="n">
        <x:v>0.037753400353832824</x:v>
      </x:c>
      <x:c r="Z254" s="13" t="n">
        <x:v>0.02524143435510236</x:v>
      </x:c>
      <x:c r="AA254" s="13" t="n">
        <x:v>0.041228995498239426</x:v>
      </x:c>
      <x:c r="AB254" s="13" t="n">
        <x:v>0.20323240249001903</x:v>
      </x:c>
      <x:c r="AC254" s="13" t="n">
        <x:v>0.05291620407066973</x:v>
      </x:c>
      <x:c r="AD254" s="13" t="n">
        <x:v>0.029757922855766915</x:v>
      </x:c>
      <x:c r="AE254" s="13" t="n">
        <x:v>0.051007574340324255</x:v>
      </x:c>
      <x:c r="AF254" s="13" t="n">
        <x:v>0.03715219009911818</x:v>
      </x:c>
      <x:c r="AG254" s="13" t="n">
        <x:v>0.21578493403718907</x:v>
      </x:c>
      <x:c r="AH254" s="13" t="n">
        <x:v>0.670032992792173</x:v>
      </x:c>
      <x:c r="AI254" s="13" t="n">
        <x:v>0.9411764705882353</x:v>
      </x:c>
      <x:c r="AJ254" s="13" t="n">
        <x:v>0.1550337890960569</x:v>
      </x:c>
      <x:c r="AK254" s="13" t="n">
        <x:v>0.03661420097806966</x:v>
      </x:c>
      <x:c r="AL254" s="13" t="n">
        <x:v>0.17778714375398338</x:v>
      </x:c>
      <x:c r="AM254" s="13" t="n">
        <x:v>0.051262840355685284</x:v>
      </x:c>
      <x:c r="AN254" s="13" t="n">
        <x:v>0.04401980264515517</x:v>
      </x:c>
      <x:c r="AO254" s="13" t="n">
        <x:v>0.19308329628923626</x:v>
      </x:c>
      <x:c r="AP254" s="13" t="n">
        <x:v>0.6529066828299722</x:v>
      </x:c>
    </x:row>
    <x:row r="255" ht="15" hidden="0" customHeight="1">
      <x:c r="A255" s="2" t="str">
        <x:v>E254</x:v>
      </x:c>
      <x:c r="B255" s="2" t="str">
        <x:v>***设备安装工程有限公司</x:v>
      </x:c>
      <x:c r="C255" s="2" t="str">
        <x:v>无信贷记录</x:v>
      </x:c>
      <x:c r="D255" s="2" t="str"/>
      <x:c r="E255" s="2" t="str"/>
      <x:c r="F255" s="13" t="n">
        <x:v>0.01756652105141983</x:v>
      </x:c>
      <x:c r="G255" s="13" t="n">
        <x:v>0.017854254348350244</x:v>
      </x:c>
      <x:c r="H255" s="13" t="n">
        <x:v>0.0018181818181818182</x:v>
      </x:c>
      <x:c r="I255" s="13" t="n">
        <x:v>0</x:v>
      </x:c>
      <x:c r="J255" s="13" t="n">
        <x:v>0.012365591092098668</x:v>
      </x:c>
      <x:c r="K255" s="13" t="n">
        <x:v>0.012274323084312288</x:v>
      </x:c>
      <x:c r="L255" s="13" t="n">
        <x:v>0.023638308990022148</x:v>
      </x:c>
      <x:c r="M255" s="13" t="n">
        <x:v>0.03311005272139165</x:v>
      </x:c>
      <x:c r="N255" s="13" t="n">
        <x:v>0</x:v>
      </x:c>
      <x:c r="O255" s="13" t="n">
        <x:v>0.23538101711435158</x:v>
      </x:c>
      <x:c r="P255" s="13" t="n">
        <x:v>0.3349640751839518</x:v>
      </x:c>
      <x:c r="Q255" s="13" t="n">
        <x:v>0.012776531678437833</x:v>
      </x:c>
      <x:c r="R255" s="13" t="n">
        <x:v>0.5333696585983784</x:v>
      </x:c>
      <x:c r="S255" s="13" t="n">
        <x:v>0.8284485050119296</x:v>
      </x:c>
      <x:c r="T255" s="13" t="n">
        <x:v>0.7222222222222222</x:v>
      </x:c>
      <x:c r="U255" s="13" t="n">
        <x:v>0.04224633502821901</x:v>
      </x:c>
      <x:c r="V255" s="13" t="n">
        <x:v>0.04192593532685586</x:v>
      </x:c>
      <x:c r="W255" s="13" t="n">
        <x:v>0.04569255087927291</x:v>
      </x:c>
      <x:c r="X255" s="13" t="n">
        <x:v>0.005668291576918725</x:v>
      </x:c>
      <x:c r="Y255" s="13" t="n">
        <x:v>0.05718341713316113</x:v>
      </x:c>
      <x:c r="Z255" s="13" t="n">
        <x:v>0.03806376345519558</x:v>
      </x:c>
      <x:c r="AA255" s="13" t="n">
        <x:v>0.007800080229396648</x:v>
      </x:c>
      <x:c r="AB255" s="13" t="n">
        <x:v>0.09224273730325502</x:v>
      </x:c>
      <x:c r="AC255" s="13" t="n">
        <x:v>0.024601393120574522</x:v>
      </x:c>
      <x:c r="AD255" s="13" t="n">
        <x:v>0.26028449147824545</x:v>
      </x:c>
      <x:c r="AE255" s="13" t="n">
        <x:v>0.42146356901335047</x:v>
      </x:c>
      <x:c r="AF255" s="13" t="n">
        <x:v>0.0562968901218764</x:v>
      </x:c>
      <x:c r="AG255" s="13" t="n">
        <x:v>0.21732161607466047</x:v>
      </x:c>
      <x:c r="AH255" s="13" t="n">
        <x:v>0.5237525408952302</x:v>
      </x:c>
      <x:c r="AI255" s="13" t="n">
        <x:v>0.8529411764705882</x:v>
      </x:c>
      <x:c r="AJ255" s="13" t="n">
        <x:v>0.21797148614876105</x:v>
      </x:c>
      <x:c r="AK255" s="13" t="n">
        <x:v>0.004380929615211323</x:v>
      </x:c>
      <x:c r="AL255" s="13" t="n">
        <x:v>0.1432267193963222</x:v>
      </x:c>
      <x:c r="AM255" s="13" t="n">
        <x:v>0.028038995772582197</x:v>
      </x:c>
      <x:c r="AN255" s="13" t="n">
        <x:v>0.27214004725206226</x:v>
      </x:c>
      <x:c r="AO255" s="13" t="n">
        <x:v>0.4814878834696558</x:v>
      </x:c>
      <x:c r="AP255" s="13" t="n">
        <x:v>0.6818928049066966</x:v>
      </x:c>
    </x:row>
    <x:row r="256" ht="15" hidden="0" customHeight="1">
      <x:c r="A256" s="2" t="str">
        <x:v>E255</x:v>
      </x:c>
      <x:c r="B256" s="2" t="str">
        <x:v>个体经营E255 </x:v>
      </x:c>
      <x:c r="C256" s="2" t="str">
        <x:v>无信贷记录</x:v>
      </x:c>
      <x:c r="D256" s="2" t="str"/>
      <x:c r="E256" s="2" t="str"/>
      <x:c r="F256" s="13" t="n">
        <x:v>0.10278283593915856</x:v>
      </x:c>
      <x:c r="G256" s="13" t="n">
        <x:v>0.10140300867075842</x:v>
      </x:c>
      <x:c r="H256" s="13" t="n">
        <x:v>0.08363636363636363</x:v>
      </x:c>
      <x:c r="I256" s="13" t="n">
        <x:v>0.04674145299145307</x:v>
      </x:c>
      <x:c r="J256" s="13" t="n">
        <x:v>0.04392639613514848</x:v>
      </x:c>
      <x:c r="K256" s="13" t="n">
        <x:v>0.0455991659674126</x:v>
      </x:c>
      <x:c r="L256" s="13" t="n">
        <x:v>0.1934608972604444</x:v>
      </x:c>
      <x:c r="M256" s="13" t="n">
        <x:v>0.26213928450879576</x:v>
      </x:c>
      <x:c r="N256" s="13" t="n">
        <x:v>0.10835241276741082</x:v>
      </x:c>
      <x:c r="O256" s="13" t="n">
        <x:v>0.12659264343073415</x:v>
      </x:c>
      <x:c r="P256" s="13" t="n">
        <x:v>0.24348954048336624</x:v>
      </x:c>
      <x:c r="Q256" s="13" t="n">
        <x:v>0.04806409216574173</x:v>
      </x:c>
      <x:c r="R256" s="13" t="n">
        <x:v>0.19691267335610693</x:v>
      </x:c>
      <x:c r="S256" s="13" t="n">
        <x:v>0.5438112789724306</x:v>
      </x:c>
      <x:c r="T256" s="13" t="n">
        <x:v>0.8888888888888888</x:v>
      </x:c>
      <x:c r="U256" s="13" t="n">
        <x:v>0.055001659939543306</x:v>
      </x:c>
      <x:c r="V256" s="13" t="n">
        <x:v>0.05527041705704725</x:v>
      </x:c>
      <x:c r="W256" s="13" t="n">
        <x:v>0.04939735230191666</x:v>
      </x:c>
      <x:c r="X256" s="13" t="n">
        <x:v>0.08502437365378088</x:v>
      </x:c>
      <x:c r="Y256" s="13" t="n">
        <x:v>0.06680092299666326</x:v>
      </x:c>
      <x:c r="Z256" s="13" t="n">
        <x:v>0.047738543613729666</x:v>
      </x:c>
      <x:c r="AA256" s="13" t="n">
        <x:v>0.006685783053768556</x:v>
      </x:c>
      <x:c r="AB256" s="13" t="n">
        <x:v>0.0769372236865114</x:v>
      </x:c>
      <x:c r="AC256" s="13" t="n">
        <x:v>0.28092408838853045</x:v>
      </x:c>
      <x:c r="AD256" s="13" t="n">
        <x:v>0.4375462917309988</x:v>
      </x:c>
      <x:c r="AE256" s="13" t="n">
        <x:v>0.6069214808053383</x:v>
      </x:c>
      <x:c r="AF256" s="13" t="n">
        <x:v>0.06760412754811422</x:v>
      </x:c>
      <x:c r="AG256" s="13" t="n">
        <x:v>0.24173499824111516</x:v>
      </x:c>
      <x:c r="AH256" s="13" t="n">
        <x:v>0.501838108626597</x:v>
      </x:c>
      <x:c r="AI256" s="13" t="n">
        <x:v>0.8823529411764706</x:v>
      </x:c>
      <x:c r="AJ256" s="13" t="n">
        <x:v>0.2119795364062584</x:v>
      </x:c>
      <x:c r="AK256" s="13" t="n">
        <x:v>0.013009850818170144</x:v>
      </x:c>
      <x:c r="AL256" s="13" t="n">
        <x:v>0.11665745360396125</x:v>
      </x:c>
      <x:c r="AM256" s="13" t="n">
        <x:v>0.18598716263243384</x:v>
      </x:c>
      <x:c r="AN256" s="13" t="n">
        <x:v>0.3118791525206832</x:v>
      </x:c>
      <x:c r="AO256" s="13" t="n">
        <x:v>0.2484153057019243</x:v>
      </x:c>
      <x:c r="AP256" s="13" t="n">
        <x:v>0.4824748453171179</x:v>
      </x:c>
    </x:row>
    <x:row r="257" ht="15" hidden="0" customHeight="1">
      <x:c r="A257" s="2" t="str">
        <x:v>E256</x:v>
      </x:c>
      <x:c r="B257" s="2" t="str">
        <x:v>***物资有限公司</x:v>
      </x:c>
      <x:c r="C257" s="2" t="str">
        <x:v>无信贷记录</x:v>
      </x:c>
      <x:c r="D257" s="2" t="str"/>
      <x:c r="E257" s="2" t="str"/>
      <x:c r="F257" s="13" t="n">
        <x:v>0.020780820648062602</x:v>
      </x:c>
      <x:c r="G257" s="13" t="n">
        <x:v>0.020448462245119082</x:v>
      </x:c>
      <x:c r="H257" s="13" t="n">
        <x:v>0.01818181818181818</x:v>
      </x:c>
      <x:c r="I257" s="13" t="n">
        <x:v>0.020032051282051315</x:v>
      </x:c>
      <x:c r="J257" s="13" t="n">
        <x:v>0.040767980737022466</x:v>
      </x:c>
      <x:c r="K257" s="13" t="n">
        <x:v>0.04055130829058466</x:v>
      </x:c>
      <x:c r="L257" s="13" t="n">
        <x:v>0.03296922043345194</x:v>
      </x:c>
      <x:c r="M257" s="13" t="n">
        <x:v>0.28025294624892216</x:v>
      </x:c>
      <x:c r="N257" s="13" t="n">
        <x:v>0.22891597046575207</x:v>
      </x:c>
      <x:c r="O257" s="13" t="n">
        <x:v>0.0681054351393654</x:v>
      </x:c>
      <x:c r="P257" s="13" t="n">
        <x:v>0.15542257876676818</x:v>
      </x:c>
      <x:c r="Q257" s="13" t="n">
        <x:v>0.04099070786266574</x:v>
      </x:c>
      <x:c r="R257" s="13" t="n">
        <x:v>0.10912114690956701</x:v>
      </x:c>
      <x:c r="S257" s="13" t="n">
        <x:v>0.4802170707668294</x:v>
      </x:c>
      <x:c r="T257" s="13" t="n">
        <x:v>0.9722222222222222</x:v>
      </x:c>
      <x:c r="U257" s="13" t="n">
        <x:v>0.07946392689276799</x:v>
      </x:c>
      <x:c r="V257" s="13" t="n">
        <x:v>0.08261260689583101</x:v>
      </x:c>
      <x:c r="W257" s="13" t="n">
        <x:v>0.033343212803793744</x:v>
      </x:c>
      <x:c r="X257" s="13" t="n">
        <x:v>0.0226731663076749</x:v>
      </x:c>
      <x:c r="Y257" s="13" t="n">
        <x:v>0.0516715699461957</x:v>
      </x:c>
      <x:c r="Z257" s="13" t="n">
        <x:v>0.03437807195036243</x:v>
      </x:c>
      <x:c r="AA257" s="13" t="n">
        <x:v>0.07800080229396648</x:v>
      </x:c>
      <x:c r="AB257" s="13" t="n">
        <x:v>0.03610984549138687</x:v>
      </x:c>
      <x:c r="AC257" s="13" t="n">
        <x:v>0.0503059877263766</x:v>
      </x:c>
      <x:c r="AD257" s="13" t="n">
        <x:v>0.03940873811136259</x:v>
      </x:c>
      <x:c r="AE257" s="13" t="n">
        <x:v>0.08607276177129998</x:v>
      </x:c>
      <x:c r="AF257" s="13" t="n">
        <x:v>0.0508659807117516</x:v>
      </x:c>
      <x:c r="AG257" s="13" t="n">
        <x:v>0</x:v>
      </x:c>
      <x:c r="AH257" s="13" t="n">
        <x:v>0.5076485740530281</x:v>
      </x:c>
      <x:c r="AI257" s="13" t="n">
        <x:v>0.9705882352941176</x:v>
      </x:c>
      <x:c r="AJ257" s="13" t="n">
        <x:v>0.1922199499239045</x:v>
      </x:c>
      <x:c r="AK257" s="13" t="n">
        <x:v>0.016060988457393593</x:v>
      </x:c>
      <x:c r="AL257" s="13" t="n">
        <x:v>0.08329147744827617</x:v>
      </x:c>
      <x:c r="AM257" s="13" t="n">
        <x:v>0.09183856963033377</x:v>
      </x:c>
      <x:c r="AN257" s="13" t="n">
        <x:v>0.04115883750147144</x:v>
      </x:c>
      <x:c r="AO257" s="13" t="n">
        <x:v>0.06167443831167952</x:v>
      </x:c>
      <x:c r="AP257" s="13" t="n">
        <x:v>0.443095073486398</x:v>
      </x:c>
    </x:row>
    <x:row r="258" ht="15" hidden="0" customHeight="1">
      <x:c r="A258" s="2" t="str">
        <x:v>E257</x:v>
      </x:c>
      <x:c r="B258" s="2" t="str">
        <x:v>***门窗安装有限公司</x:v>
      </x:c>
      <x:c r="C258" s="2" t="str">
        <x:v>无信贷记录</x:v>
      </x:c>
      <x:c r="D258" s="2" t="str"/>
      <x:c r="E258" s="2" t="str"/>
      <x:c r="F258" s="13" t="n">
        <x:v>0.026162903693604</x:v>
      </x:c>
      <x:c r="G258" s="13" t="n">
        <x:v>0.02556057780639885</x:v>
      </x:c>
      <x:c r="H258" s="13" t="n">
        <x:v>0.02727272727272727</x:v>
      </x:c>
      <x:c r="I258" s="13" t="n">
        <x:v>0.013354700854700877</x:v>
      </x:c>
      <x:c r="J258" s="13" t="n">
        <x:v>0.05966229244559761</x:v>
      </x:c>
      <x:c r="K258" s="13" t="n">
        <x:v>0.05993805416887191</x:v>
      </x:c>
      <x:c r="L258" s="13" t="n">
        <x:v>0.060339894000846</x:v>
      </x:c>
      <x:c r="M258" s="13" t="n">
        <x:v>0.3343927199561003</x:v>
      </x:c>
      <x:c r="N258" s="13" t="n">
        <x:v>0.12226965781553523</x:v>
      </x:c>
      <x:c r="O258" s="13" t="n">
        <x:v>0.04415492543811247</x:v>
      </x:c>
      <x:c r="P258" s="13" t="n">
        <x:v>0.09615816832750149</x:v>
      </x:c>
      <x:c r="Q258" s="13" t="n">
        <x:v>0.07398833117498466</x:v>
      </x:c>
      <x:c r="R258" s="13" t="n">
        <x:v>0.15826968611217468</x:v>
      </x:c>
      <x:c r="S258" s="13" t="n">
        <x:v>0.5445710883967283</x:v>
      </x:c>
      <x:c r="T258" s="13" t="n">
        <x:v>0.75</x:v>
      </x:c>
      <x:c r="U258" s="13" t="n">
        <x:v>0.030714123464555956</x:v>
      </x:c>
      <x:c r="V258" s="13" t="n">
        <x:v>0.028954725812893597</x:v>
      </x:c>
      <x:c r="W258" s="13" t="n">
        <x:v>0.05433708753210833</x:v>
      </x:c>
      <x:c r="X258" s="13" t="n">
        <x:v>0.031175603673052988</x:v>
      </x:c>
      <x:c r="Y258" s="13" t="n">
        <x:v>0.03954868202421198</x:v>
      </x:c>
      <x:c r="Z258" s="13" t="n">
        <x:v>0.027867866738879383</x:v>
      </x:c>
      <x:c r="AA258" s="13" t="n">
        <x:v>0.014857295675041236</x:v>
      </x:c>
      <x:c r="AB258" s="13" t="n">
        <x:v>0.14980380756024617</x:v>
      </x:c>
      <x:c r="AC258" s="13" t="n">
        <x:v>0.19463815125047604</x:v>
      </x:c>
      <x:c r="AD258" s="13" t="n">
        <x:v>0.09932168825121634</x:v>
      </x:c>
      <x:c r="AE258" s="13" t="n">
        <x:v>0.1727269199515817</x:v>
      </x:c>
      <x:c r="AF258" s="13" t="n">
        <x:v>0.04803567729987928</x:v>
      </x:c>
      <x:c r="AG258" s="13" t="n">
        <x:v>0.19066454784324186</x:v>
      </x:c>
      <x:c r="AH258" s="13" t="n">
        <x:v>0.46503830762660964</x:v>
      </x:c>
      <x:c r="AI258" s="13" t="n">
        <x:v>0.7647058823529411</x:v>
      </x:c>
      <x:c r="AJ258" s="13" t="n">
        <x:v>0.16293667955980204</x:v>
      </x:c>
      <x:c r="AK258" s="13" t="n">
        <x:v>0.029284080498728732</x:v>
      </x:c>
      <x:c r="AL258" s="13" t="n">
        <x:v>0.2300206251738447</x:v>
      </x:c>
      <x:c r="AM258" s="13" t="n">
        <x:v>0.19284312383038948</x:v>
      </x:c>
      <x:c r="AN258" s="13" t="n">
        <x:v>0.06227182634879081</x:v>
      </x:c>
      <x:c r="AO258" s="13" t="n">
        <x:v>0.1943507182162586</x:v>
      </x:c>
      <x:c r="AP258" s="13" t="n">
        <x:v>0.4651933284835192</x:v>
      </x:c>
    </x:row>
    <x:row r="259" ht="15" hidden="0" customHeight="1">
      <x:c r="A259" s="2" t="str">
        <x:v>E258</x:v>
      </x:c>
      <x:c r="B259" s="2" t="str">
        <x:v>***国际货运有限公司</x:v>
      </x:c>
      <x:c r="C259" s="2" t="str">
        <x:v>无信贷记录</x:v>
      </x:c>
      <x:c r="D259" s="2" t="str"/>
      <x:c r="E259" s="2" t="str"/>
      <x:c r="F259" s="13" t="n">
        <x:v>0.17312367129824816</x:v>
      </x:c>
      <x:c r="G259" s="13" t="n">
        <x:v>0.17022581816739057</x:v>
      </x:c>
      <x:c r="H259" s="13" t="n">
        <x:v>0.15454545454545454</x:v>
      </x:c>
      <x:c r="I259" s="13" t="n">
        <x:v>0.15357905982906006</x:v>
      </x:c>
      <x:c r="J259" s="13" t="n">
        <x:v>0.053598261175763585</x:v>
      </x:c>
      <x:c r="K259" s="13" t="n">
        <x:v>0.05497914240359776</x:v>
      </x:c>
      <x:c r="L259" s="13" t="n">
        <x:v>0.15427106919803926</x:v>
      </x:c>
      <x:c r="M259" s="13" t="n">
        <x:v>0.2877489266921634</x:v>
      </x:c>
      <x:c r="N259" s="13" t="n">
        <x:v>0.21220602725665327</x:v>
      </x:c>
      <x:c r="O259" s="13" t="n">
        <x:v>0.06191745545609292</x:v>
      </x:c>
      <x:c r="P259" s="13" t="n">
        <x:v>0.1526979843699641</x:v>
      </x:c>
      <x:c r="Q259" s="13" t="n">
        <x:v>0.05247367486150757</x:v>
      </x:c>
      <x:c r="R259" s="13" t="n">
        <x:v>0.06898183078312663</x:v>
      </x:c>
      <x:c r="S259" s="13" t="n">
        <x:v>0.5072712300706017</x:v>
      </x:c>
      <x:c r="T259" s="13" t="n">
        <x:v>1</x:v>
      </x:c>
      <x:c r="U259" s="13" t="n">
        <x:v>0.21715154374377546</x:v>
      </x:c>
      <x:c r="V259" s="13" t="n">
        <x:v>0.22146987133306734</x:v>
      </x:c>
      <x:c r="W259" s="13" t="n">
        <x:v>0.1420173878680104</x:v>
      </x:c>
      <x:c r="X259" s="13" t="n">
        <x:v>0.14737558099988685</x:v>
      </x:c>
      <x:c r="Y259" s="13" t="n">
        <x:v>0.10682536931605924</x:v>
      </x:c>
      <x:c r="Z259" s="13" t="n">
        <x:v>0.07237895932714375</x:v>
      </x:c>
      <x:c r="AA259" s="13" t="n">
        <x:v>0.07205788402395</x:v>
      </x:c>
      <x:c r="AB259" s="13" t="n">
        <x:v>0.05665062006616523</x:v>
      </x:c>
      <x:c r="AC259" s="13" t="n">
        <x:v>0.12255214993173594</x:v>
      </x:c>
      <x:c r="AD259" s="13" t="n">
        <x:v>0.15934089944714758</x:v>
      </x:c>
      <x:c r="AE259" s="13" t="n">
        <x:v>0.34332223252647875</x:v>
      </x:c>
      <x:c r="AF259" s="13" t="n">
        <x:v>0.10243748332275418</x:v>
      </x:c>
      <x:c r="AG259" s="13" t="n">
        <x:v>0.18409799646392613</x:v>
      </x:c>
      <x:c r="AH259" s="13" t="n">
        <x:v>0.3127336279118804</x:v>
      </x:c>
      <x:c r="AI259" s="13" t="n">
        <x:v>1</x:v>
      </x:c>
      <x:c r="AJ259" s="13" t="n">
        <x:v>0.2634268197686716</x:v>
      </x:c>
      <x:c r="AK259" s="13" t="n">
        <x:v>0.010347653732314704</x:v>
      </x:c>
      <x:c r="AL259" s="13" t="n">
        <x:v>0.11353395775091976</x:v>
      </x:c>
      <x:c r="AM259" s="13" t="n">
        <x:v>0.15773074795111816</x:v>
      </x:c>
      <x:c r="AN259" s="13" t="n">
        <x:v>0.10844334482147448</x:v>
      </x:c>
      <x:c r="AO259" s="13" t="n">
        <x:v>0.1258892524293674</x:v>
      </x:c>
      <x:c r="AP259" s="13" t="n">
        <x:v>0.3668390459285362</x:v>
      </x:c>
    </x:row>
    <x:row r="260" ht="15" hidden="0" customHeight="1">
      <x:c r="A260" s="2" t="str">
        <x:v>E259</x:v>
      </x:c>
      <x:c r="B260" s="2" t="str">
        <x:v>***文化传媒有限公司</x:v>
      </x:c>
      <x:c r="C260" s="2" t="str">
        <x:v>无信贷记录</x:v>
      </x:c>
      <x:c r="D260" s="2" t="str"/>
      <x:c r="E260" s="2" t="str"/>
      <x:c r="F260" s="13" t="n">
        <x:v>0.18388783738933095</x:v>
      </x:c>
      <x:c r="G260" s="13" t="n">
        <x:v>0.17694023860608638</x:v>
      </x:c>
      <x:c r="H260" s="13" t="n">
        <x:v>0.25636363636363635</x:v>
      </x:c>
      <x:c r="I260" s="13" t="n">
        <x:v>0.14690170940170963</x:v>
      </x:c>
      <x:c r="J260" s="13" t="n">
        <x:v>0.06762345951676638</x:v>
      </x:c>
      <x:c r="K260" s="13" t="n">
        <x:v>0.06816554348058151</x:v>
      </x:c>
      <x:c r="L260" s="13" t="n">
        <x:v>0.32533777899425215</x:v>
      </x:c>
      <x:c r="M260" s="13" t="n">
        <x:v>0.44940643045927897</x:v>
      </x:c>
      <x:c r="N260" s="13" t="n">
        <x:v>0.1952837662741013</x:v>
      </x:c>
      <x:c r="O260" s="13" t="n">
        <x:v>0.005190293656317684</x:v>
      </x:c>
      <x:c r="P260" s="13" t="n">
        <x:v>0.016933069980239718</x:v>
      </x:c>
      <x:c r="Q260" s="13" t="n">
        <x:v>0.06799485343527062</x:v>
      </x:c>
      <x:c r="R260" s="13" t="n">
        <x:v>0.08524799586356066</x:v>
      </x:c>
      <x:c r="S260" s="13" t="n">
        <x:v>0.631965097661292</x:v>
      </x:c>
      <x:c r="T260" s="13" t="n">
        <x:v>0.9722222222222222</x:v>
      </x:c>
      <x:c r="U260" s="13" t="n">
        <x:v>0.07064003774178337</x:v>
      </x:c>
      <x:c r="V260" s="13" t="n">
        <x:v>0.06534876689523375</x:v>
      </x:c>
      <x:c r="W260" s="13" t="n">
        <x:v>0.13707765263781874</x:v>
      </x:c>
      <x:c r="X260" s="13" t="n">
        <x:v>0.0453463326153498</x:v>
      </x:c>
      <x:c r="Y260" s="13" t="n">
        <x:v>0.05017648647419413</x:v>
      </x:c>
      <x:c r="Z260" s="13" t="n">
        <x:v>0.03489086225872175</x:v>
      </x:c>
      <x:c r="AA260" s="13" t="n">
        <x:v>0.08208655860460283</x:v>
      </x:c>
      <x:c r="AB260" s="13" t="n">
        <x:v>0.16678118395050634</x:v>
      </x:c>
      <x:c r="AC260" s="13" t="n">
        <x:v>0.12693901287674098</x:v>
      </x:c>
      <x:c r="AD260" s="13" t="n">
        <x:v>0.009926106587652538</x:v>
      </x:c>
      <x:c r="AE260" s="13" t="n">
        <x:v>0.024016081235000333</x:v>
      </x:c>
      <x:c r="AF260" s="13" t="n">
        <x:v>0.049392851537158916</x:v>
      </x:c>
      <x:c r="AG260" s="13" t="n">
        <x:v>0.08563122049359681</x:v>
      </x:c>
      <x:c r="AH260" s="13" t="n">
        <x:v>0.5555975829831556</x:v>
      </x:c>
      <x:c r="AI260" s="13" t="n">
        <x:v>0.9705882352941176</x:v>
      </x:c>
      <x:c r="AJ260" s="13" t="n">
        <x:v>0.17321202126104507</x:v>
      </x:c>
      <x:c r="AK260" s="13" t="n">
        <x:v>0.026611506819925114</x:v>
      </x:c>
      <x:c r="AL260" s="13" t="n">
        <x:v>0.21328153736804423</x:v>
      </x:c>
      <x:c r="AM260" s="13" t="n">
        <x:v>0.12174924584475255</x:v>
      </x:c>
      <x:c r="AN260" s="13" t="n">
        <x:v>0</x:v>
      </x:c>
      <x:c r="AO260" s="13" t="n">
        <x:v>0.08786683757572747</x:v>
      </x:c>
      <x:c r="AP260" s="13" t="n">
        <x:v>0.5669378288119659</x:v>
      </x:c>
    </x:row>
    <x:row r="261" ht="15" hidden="0" customHeight="1">
      <x:c r="A261" s="2" t="str">
        <x:v>E260</x:v>
      </x:c>
      <x:c r="B261" s="2" t="str">
        <x:v>***广告有限公司</x:v>
      </x:c>
      <x:c r="C261" s="2" t="str">
        <x:v>无信贷记录</x:v>
      </x:c>
      <x:c r="D261" s="2" t="str"/>
      <x:c r="E261" s="2" t="str"/>
      <x:c r="F261" s="13" t="n">
        <x:v>0.10188582209823499</x:v>
      </x:c>
      <x:c r="G261" s="13" t="n">
        <x:v>0.10231861145785331</x:v>
      </x:c>
      <x:c r="H261" s="13" t="n">
        <x:v>0.04</x:v>
      </x:c>
      <x:c r="I261" s="13" t="n">
        <x:v>0.06009615384615394</x:v>
      </x:c>
      <x:c r="J261" s="13" t="n">
        <x:v>0.06957699035848036</x:v>
      </x:c>
      <x:c r="K261" s="13" t="n">
        <x:v>0.06952611904355241</x:v>
      </x:c>
      <x:c r="L261" s="13" t="n">
        <x:v>0.16049167682699247</x:v>
      </x:c>
      <x:c r="M261" s="13" t="n">
        <x:v>0.12647312446105208</x:v>
      </x:c>
      <x:c r="N261" s="13" t="n">
        <x:v>0.13806547734717733</x:v>
      </x:c>
      <x:c r="O261" s="13" t="n">
        <x:v>0.03286166885972861</x:v>
      </x:c>
      <x:c r="P261" s="13" t="n">
        <x:v>0.07779587092717827</x:v>
      </x:c>
      <x:c r="Q261" s="13" t="n">
        <x:v>0.0699591986499986</x:v>
      </x:c>
      <x:c r="R261" s="13" t="n">
        <x:v>0.09452009359353145</x:v>
      </x:c>
      <x:c r="S261" s="13" t="n">
        <x:v>0.6740772484192863</x:v>
      </x:c>
      <x:c r="T261" s="13" t="n">
        <x:v>0.9722222222222222</x:v>
      </x:c>
      <x:c r="U261" s="13" t="n">
        <x:v>0.13791127186315122</x:v>
      </x:c>
      <x:c r="V261" s="13" t="n">
        <x:v>0.13048476862721692</x:v>
      </x:c>
      <x:c r="W261" s="13" t="n">
        <x:v>0.22599288678126872</x:v>
      </x:c>
      <x:c r="X261" s="13" t="n">
        <x:v>0.06801949892302471</x:v>
      </x:c>
      <x:c r="Y261" s="13" t="n">
        <x:v>0.03774423273064009</x:v>
      </x:c>
      <x:c r="Z261" s="13" t="n">
        <x:v>0.025834235362729222</x:v>
      </x:c>
      <x:c r="AA261" s="13" t="n">
        <x:v>0.11402974430594148</x:v>
      </x:c>
      <x:c r="AB261" s="13" t="n">
        <x:v>0.14163740752880327</x:v>
      </x:c>
      <x:c r="AC261" s="13" t="n">
        <x:v>0.0958141090076753</x:v>
      </x:c>
      <x:c r="AD261" s="13" t="n">
        <x:v>0.04038931033077576</x:v>
      </x:c>
      <x:c r="AE261" s="13" t="n">
        <x:v>0.08907608191191833</x:v>
      </x:c>
      <x:c r="AF261" s="13" t="n">
        <x:v>0.03714315709631948</x:v>
      </x:c>
      <x:c r="AG261" s="13" t="n">
        <x:v>0.2145244326194385</x:v>
      </x:c>
      <x:c r="AH261" s="13" t="n">
        <x:v>0.7141544676230888</x:v>
      </x:c>
      <x:c r="AI261" s="13" t="n">
        <x:v>0.9705882352941176</x:v>
      </x:c>
      <x:c r="AJ261" s="13" t="n">
        <x:v>0.15411925335036672</x:v>
      </x:c>
      <x:c r="AK261" s="13" t="n">
        <x:v>0.03663930415996614</x:v>
      </x:c>
      <x:c r="AL261" s="13" t="n">
        <x:v>0.1923329616461274</x:v>
      </x:c>
      <x:c r="AM261" s="13" t="n">
        <x:v>0.1165026396402269</x:v>
      </x:c>
      <x:c r="AN261" s="13" t="n">
        <x:v>0.020620217894865026</x:v>
      </x:c>
      <x:c r="AO261" s="13" t="n">
        <x:v>0.1599347534493418</x:v>
      </x:c>
      <x:c r="AP261" s="13" t="n">
        <x:v>0.6715062855008196</x:v>
      </x:c>
    </x:row>
    <x:row r="262" ht="15" hidden="0" customHeight="1">
      <x:c r="A262" s="2" t="str">
        <x:v>E261</x:v>
      </x:c>
      <x:c r="B262" s="2" t="str">
        <x:v>***医疗器械有限公司</x:v>
      </x:c>
      <x:c r="C262" s="2" t="str">
        <x:v>无信贷记录</x:v>
      </x:c>
      <x:c r="D262" s="2" t="str"/>
      <x:c r="E262" s="2" t="str"/>
      <x:c r="F262" s="13" t="n">
        <x:v>0.10345559631985124</x:v>
      </x:c>
      <x:c r="G262" s="13" t="n">
        <x:v>0.10193711029656378</x:v>
      </x:c>
      <x:c r="H262" s="13" t="n">
        <x:v>0.08727272727272728</x:v>
      </x:c>
      <x:c r="I262" s="13" t="n">
        <x:v>0.06009615384615394</x:v>
      </x:c>
      <x:c r="J262" s="13" t="n">
        <x:v>0.03368328286212447</x:v>
      </x:c>
      <x:c r="K262" s="13" t="n">
        <x:v>0.033463414009165096</x:v>
      </x:c>
      <x:c r="L262" s="13" t="n">
        <x:v>0.28614795093184703</x:v>
      </x:c>
      <x:c r="M262" s="13" t="n">
        <x:v>0.2717604327262276</x:v>
      </x:c>
      <x:c r="N262" s="13" t="n">
        <x:v>0.13858141709810104</x:v>
      </x:c>
      <x:c r="O262" s="13" t="n">
        <x:v>0.5516590384436363</x:v>
      </x:c>
      <x:c r="P262" s="13" t="n">
        <x:v>0.7326856809306193</x:v>
      </x:c>
      <x:c r="Q262" s="13" t="n">
        <x:v>0.03386679045569056</x:v>
      </x:c>
      <x:c r="R262" s="13" t="n">
        <x:v>0.0792747994790067</x:v>
      </x:c>
      <x:c r="S262" s="13" t="n">
        <x:v>0.6737046816989476</x:v>
      </x:c>
      <x:c r="T262" s="13" t="n">
        <x:v>0.9722222222222222</x:v>
      </x:c>
      <x:c r="U262" s="13" t="n">
        <x:v>0.13441666229840485</x:v>
      </x:c>
      <x:c r="V262" s="13" t="n">
        <x:v>0.12693868257304017</x:v>
      </x:c>
      <x:c r="W262" s="13" t="n">
        <x:v>0.22352301916617287</x:v>
      </x:c>
      <x:c r="X262" s="13" t="n">
        <x:v>0.06801949892302471</x:v>
      </x:c>
      <x:c r="Y262" s="13" t="n">
        <x:v>0.027388869266357044</x:v>
      </x:c>
      <x:c r="Z262" s="13" t="n">
        <x:v>0.01860694407136236</x:v>
      </x:c>
      <x:c r="AA262" s="13" t="n">
        <x:v>0.05125767007889226</x:v>
      </x:c>
      <x:c r="AB262" s="13" t="n">
        <x:v>0.14370934034816252</x:v>
      </x:c>
      <x:c r="AC262" s="13" t="n">
        <x:v>0.09847755900203642</x:v>
      </x:c>
      <x:c r="AD262" s="13" t="n">
        <x:v>0.04788833227702717</x:v>
      </x:c>
      <x:c r="AE262" s="13" t="n">
        <x:v>0.10827835631439926</x:v>
      </x:c>
      <x:c r="AF262" s="13" t="n">
        <x:v>0.026939855194838436</x:v>
      </x:c>
      <x:c r="AG262" s="13" t="n">
        <x:v>0.11295098233639311</x:v>
      </x:c>
      <x:c r="AH262" s="13" t="n">
        <x:v>0.7130649207466915</x:v>
      </x:c>
      <x:c r="AI262" s="13" t="n">
        <x:v>0.9705882352941176</x:v>
      </x:c>
      <x:c r="AJ262" s="13" t="n">
        <x:v>0.16177094031491335</x:v>
      </x:c>
      <x:c r="AK262" s="13" t="n">
        <x:v>0.024455717828807007</x:v>
      </x:c>
      <x:c r="AL262" s="13" t="n">
        <x:v>0.2167346552143531</x:v>
      </x:c>
      <x:c r="AM262" s="13" t="n">
        <x:v>0.11835462245151332</x:v>
      </x:c>
      <x:c r="AN262" s="13" t="n">
        <x:v>0.3359371933510983</x:v>
      </x:c>
      <x:c r="AO262" s="13" t="n">
        <x:v>0.09735107248105863</x:v>
      </x:c>
      <x:c r="AP262" s="13" t="n">
        <x:v>0.6707325423432048</x:v>
      </x:c>
    </x:row>
    <x:row r="263" ht="15" hidden="0" customHeight="1">
      <x:c r="A263" s="2" t="str">
        <x:v>E262</x:v>
      </x:c>
      <x:c r="B263" s="2" t="str">
        <x:v>个体经营E262 </x:v>
      </x:c>
      <x:c r="C263" s="2" t="str">
        <x:v>无信贷记录</x:v>
      </x:c>
      <x:c r="D263" s="2" t="str"/>
      <x:c r="E263" s="2" t="str"/>
      <x:c r="F263" s="13" t="n">
        <x:v>0.024443627165167164</x:v>
      </x:c>
      <x:c r="G263" s="13" t="n">
        <x:v>0.02426347385801443</x:v>
      </x:c>
      <x:c r="H263" s="13" t="n">
        <x:v>0.016363636363636365</x:v>
      </x:c>
      <x:c r="I263" s="13" t="n">
        <x:v>0</x:v>
      </x:c>
      <x:c r="J263" s="13" t="n">
        <x:v>0.06453499662025958</x:v>
      </x:c>
      <x:c r="K263" s="13" t="n">
        <x:v>0.06405867644032127</x:v>
      </x:c>
      <x:c r="L263" s="13" t="n">
        <x:v>0.025504491278708106</x:v>
      </x:c>
      <x:c r="M263" s="13" t="n">
        <x:v>0.21466183116938722</x:v>
      </x:c>
      <x:c r="N263" s="13" t="n">
        <x:v>0</x:v>
      </x:c>
      <x:c r="O263" s="13" t="n">
        <x:v>0.08400219381365358</x:v>
      </x:c>
      <x:c r="P263" s="13" t="n">
        <x:v>0.13009281295750552</x:v>
      </x:c>
      <x:c r="Q263" s="13" t="n">
        <x:v>0.06669190942676259</x:v>
      </x:c>
      <x:c r="R263" s="13" t="n">
        <x:v>0.17958017681827443</x:v>
      </x:c>
      <x:c r="S263" s="13" t="n">
        <x:v>0.6013463921838287</x:v>
      </x:c>
      <x:c r="T263" s="13" t="n">
        <x:v>0.8333333333333334</x:v>
      </x:c>
      <x:c r="U263" s="13" t="n">
        <x:v>0.05963201761283227</x:v>
      </x:c>
      <x:c r="V263" s="13" t="n">
        <x:v>0.06058954613831235</x:v>
      </x:c>
      <x:c r="W263" s="13" t="n">
        <x:v>0.04445761707172499</x:v>
      </x:c>
      <x:c r="X263" s="13" t="n">
        <x:v>0.025507312096134264</x:v>
      </x:c>
      <x:c r="Y263" s="13" t="n">
        <x:v>0.04216052906384096</x:v>
      </x:c>
      <x:c r="Z263" s="13" t="n">
        <x:v>0.02807313496876082</x:v>
      </x:c>
      <x:c r="AA263" s="13" t="n">
        <x:v>0.07428647837520617</x:v>
      </x:c>
      <x:c r="AB263" s="13" t="n">
        <x:v>0.06394016956952704</x:v>
      </x:c>
      <x:c r="AC263" s="13" t="n">
        <x:v>0.0769543577491142</x:v>
      </x:c>
      <x:c r="AD263" s="13" t="n">
        <x:v>0.23390247293495744</x:v>
      </x:c>
      <x:c r="AE263" s="13" t="n">
        <x:v>0.39960580243089894</x:v>
      </x:c>
      <x:c r="AF263" s="13" t="n">
        <x:v>0.04265115664456832</x:v>
      </x:c>
      <x:c r="AG263" s="13" t="n">
        <x:v>0.30910053927515135</x:v>
      </x:c>
      <x:c r="AH263" s="13" t="n">
        <x:v>0.5942053541105579</x:v>
      </x:c>
      <x:c r="AI263" s="13" t="n">
        <x:v>0.7647058823529411</x:v>
      </x:c>
      <x:c r="AJ263" s="13" t="n">
        <x:v>0.16363117368549984</x:v>
      </x:c>
      <x:c r="AK263" s="13" t="n">
        <x:v>0.031069865780009996</x:v>
      </x:c>
      <x:c r="AL263" s="13" t="n">
        <x:v>0.12066064954806097</x:v>
      </x:c>
      <x:c r="AM263" s="13" t="n">
        <x:v>0.08946048446293131</x:v>
      </x:c>
      <x:c r="AN263" s="13" t="n">
        <x:v>0.16581304325927074</x:v>
      </x:c>
      <x:c r="AO263" s="13" t="n">
        <x:v>0.2699023360544799</x:v>
      </x:c>
      <x:c r="AP263" s="13" t="n">
        <x:v>0.5652849412511175</x:v>
      </x:c>
    </x:row>
    <x:row r="264" ht="15" hidden="0" customHeight="1">
      <x:c r="A264" s="2" t="str">
        <x:v>E263</x:v>
      </x:c>
      <x:c r="B264" s="2" t="str">
        <x:v>***通信工程有限公司</x:v>
      </x:c>
      <x:c r="C264" s="2" t="str">
        <x:v>无信贷记录</x:v>
      </x:c>
      <x:c r="D264" s="2" t="str"/>
      <x:c r="E264" s="2" t="str"/>
      <x:c r="F264" s="13" t="n">
        <x:v>0.03692706978468679</x:v>
      </x:c>
      <x:c r="G264" s="13" t="n">
        <x:v>0.03723451334185863</x:v>
      </x:c>
      <x:c r="H264" s="13" t="n">
        <x:v>0.01090909090909091</x:v>
      </x:c>
      <x:c r="I264" s="13" t="n">
        <x:v>0.006677350427350438</x:v>
      </x:c>
      <x:c r="J264" s="13" t="n">
        <x:v>0.0514977137327504</x:v>
      </x:c>
      <x:c r="K264" s="13" t="n">
        <x:v>0.05112033665815673</x:v>
      </x:c>
      <x:c r="L264" s="13" t="n">
        <x:v>0.09144293214561199</x:v>
      </x:c>
      <x:c r="M264" s="13" t="n">
        <x:v>0.09492438501979622</x:v>
      </x:c>
      <x:c r="N264" s="13" t="n">
        <x:v>0.042045790493709566</x:v>
      </x:c>
      <x:c r="O264" s="13" t="n">
        <x:v>0.19366574309430656</x:v>
      </x:c>
      <x:c r="P264" s="13" t="n">
        <x:v>0.28644852562847695</x:v>
      </x:c>
      <x:c r="Q264" s="13" t="n">
        <x:v>0.051779838607575956</x:v>
      </x:c>
      <x:c r="R264" s="13" t="n">
        <x:v>0.4475194253918889</x:v>
      </x:c>
      <x:c r="S264" s="13" t="n">
        <x:v>0.7834016268053798</x:v>
      </x:c>
      <x:c r="T264" s="13" t="n">
        <x:v>0.9722222222222222</x:v>
      </x:c>
      <x:c r="U264" s="13" t="n">
        <x:v>0.042508430745575</x:v>
      </x:c>
      <x:c r="V264" s="13" t="n">
        <x:v>0.03707339651587717</x:v>
      </x:c>
      <x:c r="W264" s="13" t="n">
        <x:v>0.11361391029440832</x:v>
      </x:c>
      <x:c r="X264" s="13" t="n">
        <x:v>0.05101462419226853</x:v>
      </x:c>
      <x:c r="Y264" s="13" t="n">
        <x:v>0.0424528176761485</x:v>
      </x:c>
      <x:c r="Z264" s="13" t="n">
        <x:v>0.029692201638385363</x:v>
      </x:c>
      <x:c r="AA264" s="13" t="n">
        <x:v>0.005571485878140463</x:v>
      </x:c>
      <x:c r="AB264" s="13" t="n">
        <x:v>0.22797305978239077</x:v>
      </x:c>
      <x:c r="AC264" s="13" t="n">
        <x:v>0.24991118160108375</x:v>
      </x:c>
      <x:c r="AD264" s="13" t="n">
        <x:v>0.25950408049577384</x:v>
      </x:c>
      <x:c r="AE264" s="13" t="n">
        <x:v>0.40321439165468076</x:v>
      </x:c>
      <x:c r="AF264" s="13" t="n">
        <x:v>0.04178259963191929</x:v>
      </x:c>
      <x:c r="AG264" s="13" t="n">
        <x:v>0.2590676866639283</x:v>
      </x:c>
      <x:c r="AH264" s="13" t="n">
        <x:v>0.6110695614356662</x:v>
      </x:c>
      <x:c r="AI264" s="13" t="n">
        <x:v>0.9411764705882353</x:v>
      </x:c>
      <x:c r="AJ264" s="13" t="n">
        <x:v>0.17223577323501882</x:v>
      </x:c>
      <x:c r="AK264" s="13" t="n">
        <x:v>0.023441938165325315</x:v>
      </x:c>
      <x:c r="AL264" s="13" t="n">
        <x:v>0.2753808446938248</x:v>
      </x:c>
      <x:c r="AM264" s="13" t="n">
        <x:v>0.20618384587131475</x:v>
      </x:c>
      <x:c r="AN264" s="13" t="n">
        <x:v>0.24668112316223242</x:v>
      </x:c>
      <x:c r="AO264" s="13" t="n">
        <x:v>0.4400118188231368</x:v>
      </x:c>
      <x:c r="AP264" s="13" t="n">
        <x:v>0.6942098358013183</x:v>
      </x:c>
    </x:row>
    <x:row r="265" ht="15" hidden="0" customHeight="1">
      <x:c r="A265" s="2" t="str">
        <x:v>E264</x:v>
      </x:c>
      <x:c r="B265" s="2" t="str">
        <x:v>个体经营E264 </x:v>
      </x:c>
      <x:c r="C265" s="2" t="str">
        <x:v>无信贷记录</x:v>
      </x:c>
      <x:c r="D265" s="2" t="str"/>
      <x:c r="E265" s="2" t="str"/>
      <x:c r="F265" s="13" t="n">
        <x:v>0.1201998546837578</x:v>
      </x:c>
      <x:c r="G265" s="13" t="n">
        <x:v>0.11445034838686054</x:v>
      </x:c>
      <x:c r="H265" s="13" t="n">
        <x:v>0.19636363636363635</x:v>
      </x:c>
      <x:c r="I265" s="13" t="n">
        <x:v>0.07345085470085481</x:v>
      </x:c>
      <x:c r="J265" s="13" t="n">
        <x:v>0.09268080788740857</x:v>
      </x:c>
      <x:c r="K265" s="13" t="n">
        <x:v>0.09523906250338027</x:v>
      </x:c>
      <x:c r="L265" s="13" t="n">
        <x:v>1</x:v>
      </x:c>
      <x:c r="M265" s="13" t="n">
        <x:v>0.5263881425197147</x:v>
      </x:c>
      <x:c r="N265" s="13" t="n">
        <x:v>0.15088336269047573</x:v>
      </x:c>
      <x:c r="O265" s="13" t="n">
        <x:v>0</x:v>
      </x:c>
      <x:c r="P265" s="13" t="n">
        <x:v>0</x:v>
      </x:c>
      <x:c r="Q265" s="13" t="n">
        <x:v>0.1379248975773163</x:v>
      </x:c>
      <x:c r="R265" s="13" t="n">
        <x:v>0.138960951651974</x:v>
      </x:c>
      <x:c r="S265" s="13" t="n">
        <x:v>0.45163846470598434</x:v>
      </x:c>
      <x:c r="T265" s="13" t="n">
        <x:v>0.6388888888888888</x:v>
      </x:c>
      <x:c r="U265" s="13" t="n">
        <x:v>0.036130768289912844</x:v>
      </x:c>
      <x:c r="V265" s="13" t="n">
        <x:v>0.001612535974109841</x:v>
      </x:c>
      <x:c r="W265" s="13" t="n">
        <x:v>0.49273858921161867</x:v>
      </x:c>
      <x:c r="X265" s="13" t="n">
        <x:v>0</x:v>
      </x:c>
      <x:c r="Y265" s="13" t="n">
        <x:v>0.0019452210449711759</x:v>
      </x:c>
      <x:c r="Z265" s="13" t="n">
        <x:v>0.0012819410085709196</x:v>
      </x:c>
      <x:c r="AA265" s="13" t="n">
        <x:v>0.0048286210943884016</x:v>
      </x:c>
      <x:c r="AB265" s="13" t="n">
        <x:v>1</x:v>
      </x:c>
      <x:c r="AC265" s="13" t="n">
        <x:v>0</x:v>
      </x:c>
      <x:c r="AD265" s="13" t="n">
        <x:v>0.5386824755165058</x:v>
      </x:c>
      <x:c r="AE265" s="13" t="n">
        <x:v>0.6953241731743569</x:v>
      </x:c>
      <x:c r="AF265" s="13" t="n">
        <x:v>0.0032410719532034163</x:v>
      </x:c>
      <x:c r="AG265" s="13" t="n">
        <x:v>0.31405778934130407</x:v>
      </x:c>
      <x:c r="AH265" s="13" t="n">
        <x:v>0.1595067728853119</x:v>
      </x:c>
      <x:c r="AI265" s="13" t="n">
        <x:v>0.2647058823529412</x:v>
      </x:c>
      <x:c r="AJ265" s="13" t="n">
        <x:v>0.0881684036896778</x:v>
      </x:c>
      <x:c r="AK265" s="13" t="n">
        <x:v>0.9644626546495919</x:v>
      </x:c>
      <x:c r="AL265" s="13" t="n">
        <x:v>0.7012180582917306</x:v>
      </x:c>
      <x:c r="AM265" s="13" t="n">
        <x:v>0.06993212182860278</x:v>
      </x:c>
      <x:c r="AN265" s="13" t="n">
        <x:v>0.29359744728890036</x:v>
      </x:c>
      <x:c r="AO265" s="13" t="n">
        <x:v>0.2427826594283653</x:v>
      </x:c>
      <x:c r="AP265" s="13" t="n">
        <x:v>0.25587713294289394</x:v>
      </x:c>
    </x:row>
    <x:row r="266" ht="15" hidden="0" customHeight="1">
      <x:c r="A266" s="2" t="str">
        <x:v>E265</x:v>
      </x:c>
      <x:c r="B266" s="2" t="str">
        <x:v>***净化工程有限公司</x:v>
      </x:c>
      <x:c r="C266" s="2" t="str">
        <x:v>无信贷记录</x:v>
      </x:c>
      <x:c r="D266" s="2" t="str"/>
      <x:c r="E266" s="2" t="str"/>
      <x:c r="F266" s="13" t="n">
        <x:v>0.15196909488313406</x:v>
      </x:c>
      <x:c r="G266" s="13" t="n">
        <x:v>0.1500062566190452</x:v>
      </x:c>
      <x:c r="H266" s="13" t="n">
        <x:v>0.12181818181818181</x:v>
      </x:c>
      <x:c r="I266" s="13" t="n">
        <x:v>0.08680555555555569</x:v>
      </x:c>
      <x:c r="J266" s="13" t="n">
        <x:v>0.08116887918208385</x:v>
      </x:c>
      <x:c r="K266" s="13" t="n">
        <x:v>0.08130630546667093</x:v>
      </x:c>
      <x:c r="L266" s="13" t="n">
        <x:v>0.29858916618975345</x:v>
      </x:c>
      <x:c r="M266" s="13" t="n">
        <x:v>0.25835603300392046</x:v>
      </x:c>
      <x:c r="N266" s="13" t="n">
        <x:v>0.13609333610006602</x:v>
      </x:c>
      <x:c r="O266" s="13" t="n">
        <x:v>0.10512140875826642</x:v>
      </x:c>
      <x:c r="P266" s="13" t="n">
        <x:v>0.26562660229142976</x:v>
      </x:c>
      <x:c r="Q266" s="13" t="n">
        <x:v>0.09150860844370715</x:v>
      </x:c>
      <x:c r="R266" s="13" t="n">
        <x:v>0.1280920978495713</x:v>
      </x:c>
      <x:c r="S266" s="13" t="n">
        <x:v>0.5660386658840789</x:v>
      </x:c>
      <x:c r="T266" s="13" t="n">
        <x:v>0.8611111111111112</x:v>
      </x:c>
      <x:c r="U266" s="13" t="n">
        <x:v>0.040673760724083144</x:v>
      </x:c>
      <x:c r="V266" s="13" t="n">
        <x:v>0.036793442353705325</x:v>
      </x:c>
      <x:c r="W266" s="13" t="n">
        <x:v>0.09138510175854582</x:v>
      </x:c>
      <x:c r="X266" s="13" t="n">
        <x:v>0.0453463326153498</x:v>
      </x:c>
      <x:c r="Y266" s="13" t="n">
        <x:v>0.03936288712512182</x:v>
      </x:c>
      <x:c r="Z266" s="13" t="n">
        <x:v>0.028735356830985544</x:v>
      </x:c>
      <x:c r="AA266" s="13" t="n">
        <x:v>0.024143105471942008</x:v>
      </x:c>
      <x:c r="AB266" s="13" t="n">
        <x:v>0.19147650311791467</x:v>
      </x:c>
      <x:c r="AC266" s="13" t="n">
        <x:v>0.22380519227894227</x:v>
      </x:c>
      <x:c r="AD266" s="13" t="n">
        <x:v>0.09143222705163485</x:v>
      </x:c>
      <x:c r="AE266" s="13" t="n">
        <x:v>0.16636177934681376</x:v>
      </x:c>
      <x:c r="AF266" s="13" t="n">
        <x:v>0.04345069328193514</x:v>
      </x:c>
      <x:c r="AG266" s="13" t="n">
        <x:v>0.22771751726240985</x:v>
      </x:c>
      <x:c r="AH266" s="13" t="n">
        <x:v>0.5749130450024512</x:v>
      </x:c>
      <x:c r="AI266" s="13" t="n">
        <x:v>0.8235294117647058</x:v>
      </x:c>
      <x:c r="AJ266" s="13" t="n">
        <x:v>0.14916825827271857</x:v>
      </x:c>
      <x:c r="AK266" s="13" t="n">
        <x:v>0.038532048804325425</x:v>
      </x:c>
      <x:c r="AL266" s="13" t="n">
        <x:v>0.15487827576190322</x:v>
      </x:c>
      <x:c r="AM266" s="13" t="n">
        <x:v>0.11876035609205984</x:v>
      </x:c>
      <x:c r="AN266" s="13" t="n">
        <x:v>0.0941345827201977</x:v>
      </x:c>
      <x:c r="AO266" s="13" t="n">
        <x:v>0.1911094659648834</x:v>
      </x:c>
      <x:c r="AP266" s="13" t="n">
        <x:v>0.5325379220040092</x:v>
      </x:c>
    </x:row>
    <x:row r="267" ht="15" hidden="0" customHeight="1">
      <x:c r="A267" s="2" t="str">
        <x:v>E266</x:v>
      </x:c>
      <x:c r="B267" s="2" t="str">
        <x:v>***煤矿机械有限公司</x:v>
      </x:c>
      <x:c r="C267" s="2" t="str">
        <x:v>无信贷记录</x:v>
      </x:c>
      <x:c r="D267" s="2" t="str"/>
      <x:c r="E267" s="2" t="str"/>
      <x:c r="F267" s="13" t="n">
        <x:v>0.02190208794921706</x:v>
      </x:c>
      <x:c r="G267" s="13" t="n">
        <x:v>0.021898166658019316</x:v>
      </x:c>
      <x:c r="H267" s="13" t="n">
        <x:v>0.01090909090909091</x:v>
      </x:c>
      <x:c r="I267" s="13" t="n">
        <x:v>0.013354700854700877</x:v>
      </x:c>
      <x:c r="J267" s="13" t="n">
        <x:v>0.0045548373963805655</x:v>
      </x:c>
      <x:c r="K267" s="13" t="n">
        <x:v>0.004549609480690579</x:v>
      </x:c>
      <x:c r="L267" s="13" t="n">
        <x:v>0.05100898255741621</x:v>
      </x:c>
      <x:c r="M267" s="13" t="n">
        <x:v>0.15960167786379298</x:v>
      </x:c>
      <x:c r="N267" s="13" t="n">
        <x:v>0.14257742105133347</x:v>
      </x:c>
      <x:c r="O267" s="13" t="n">
        <x:v>0.30594936855946764</x:v>
      </x:c>
      <x:c r="P267" s="13" t="n">
        <x:v>0.502195191318637</x:v>
      </x:c>
      <x:c r="Q267" s="13" t="n">
        <x:v>0.004704372685243135</x:v>
      </x:c>
      <x:c r="R267" s="13" t="n">
        <x:v>0.3359143514415233</x:v>
      </x:c>
      <x:c r="S267" s="13" t="n">
        <x:v>0.5074921294682353</x:v>
      </x:c>
      <x:c r="T267" s="13" t="n">
        <x:v>0.8888888888888888</x:v>
      </x:c>
      <x:c r="U267" s="13" t="n">
        <x:v>0.04146004787615108</x:v>
      </x:c>
      <x:c r="V267" s="13" t="n">
        <x:v>0.041366027002512164</x:v>
      </x:c>
      <x:c r="W267" s="13" t="n">
        <x:v>0.04198774945662916</x:v>
      </x:c>
      <x:c r="X267" s="13" t="n">
        <x:v>0.025507312096134264</x:v>
      </x:c>
      <x:c r="Y267" s="13" t="n">
        <x:v>0.04543348976230127</x:v>
      </x:c>
      <x:c r="Z267" s="13" t="n">
        <x:v>0.03157778748021716</x:v>
      </x:c>
      <x:c r="AA267" s="13" t="n">
        <x:v>0.005200053486264432</x:v>
      </x:c>
      <x:c r="AB267" s="13" t="n">
        <x:v>0.08633977901927412</x:v>
      </x:c>
      <x:c r="AC267" s="13" t="n">
        <x:v>0.11218235262981982</x:v>
      </x:c>
      <x:c r="AD267" s="13" t="n">
        <x:v>0.6852803767546859</x:v>
      </x:c>
      <x:c r="AE267" s="13" t="n">
        <x:v>0.8184500900284292</x:v>
      </x:c>
      <x:c r="AF267" s="13" t="n">
        <x:v>0.048677810877948965</x:v>
      </x:c>
      <x:c r="AG267" s="13" t="n">
        <x:v>0.19479598961361605</x:v>
      </x:c>
      <x:c r="AH267" s="13" t="n">
        <x:v>0.4259803084036646</x:v>
      </x:c>
      <x:c r="AI267" s="13" t="n">
        <x:v>0.7058823529411765</x:v>
      </x:c>
      <x:c r="AJ267" s="13" t="n">
        <x:v>0.20598911614308574</x:v>
      </x:c>
      <x:c r="AK267" s="13" t="n">
        <x:v>0.0019487509448185456</x:v>
      </x:c>
      <x:c r="AL267" s="13" t="n">
        <x:v>0.14122778148067242</x:v>
      </x:c>
      <x:c r="AM267" s="13" t="n">
        <x:v>0.14440651949992944</x:v>
      </x:c>
      <x:c r="AN267" s="13" t="n">
        <x:v>0.565998216888416</x:v>
      </x:c>
      <x:c r="AO267" s="13" t="n">
        <x:v>0.3260337516034125</x:v>
      </x:c>
      <x:c r="AP267" s="13" t="n">
        <x:v>0.42171840507233654</x:v>
      </x:c>
    </x:row>
    <x:row r="268" ht="15" hidden="0" customHeight="1">
      <x:c r="A268" s="2" t="str">
        <x:v>E267</x:v>
      </x:c>
      <x:c r="B268" s="2" t="str">
        <x:v>***林园艺场</x:v>
      </x:c>
      <x:c r="C268" s="2" t="str">
        <x:v>无信贷记录</x:v>
      </x:c>
      <x:c r="D268" s="2" t="str"/>
      <x:c r="E268" s="2" t="str"/>
      <x:c r="F268" s="13" t="n">
        <x:v>0.014202719147956455</x:v>
      </x:c>
      <x:c r="G268" s="13" t="n">
        <x:v>0.014268143432228613</x:v>
      </x:c>
      <x:c r="H268" s="13" t="n">
        <x:v>0.005454545454545455</x:v>
      </x:c>
      <x:c r="I268" s="13" t="n">
        <x:v>0</x:v>
      </x:c>
      <x:c r="J268" s="13" t="n">
        <x:v>0.00356255425118337</x:v>
      </x:c>
      <x:c r="K268" s="13" t="n">
        <x:v>0.003536259735481313</x:v>
      </x:c>
      <x:c r="L268" s="13" t="n">
        <x:v>0.025504491278708106</x:v>
      </x:c>
      <x:c r="M268" s="13" t="n">
        <x:v>0.12261066398390347</x:v>
      </x:c>
      <x:c r="N268" s="13" t="n">
        <x:v>0</x:v>
      </x:c>
      <x:c r="O268" s="13" t="n">
        <x:v>0.3306749020882844</x:v>
      </x:c>
      <x:c r="P268" s="13" t="n">
        <x:v>0.503656869260633</x:v>
      </x:c>
      <x:c r="Q268" s="13" t="n">
        <x:v>0.006974879851405816</x:v>
      </x:c>
      <x:c r="R268" s="13" t="n">
        <x:v>0.578007108302854</x:v>
      </x:c>
      <x:c r="S268" s="13" t="n">
        <x:v>0.32966146057943746</x:v>
      </x:c>
      <x:c r="T268" s="13" t="n">
        <x:v>0.4722222222222222</x:v>
      </x:c>
      <x:c r="U268" s="13" t="n">
        <x:v>0.019007181422655575</x:v>
      </x:c>
      <x:c r="V268" s="13" t="n">
        <x:v>0.01822314959630612</x:v>
      </x:c>
      <x:c r="W268" s="13" t="n">
        <x:v>0.03087334518869791</x:v>
      </x:c>
      <x:c r="X268" s="13" t="n">
        <x:v>0.014170728942296814</x:v>
      </x:c>
      <x:c r="Y268" s="13" t="n">
        <x:v>0.026418344580034697</x:v>
      </x:c>
      <x:c r="Z268" s="13" t="n">
        <x:v>0.018044357719064125</x:v>
      </x:c>
      <x:c r="AA268" s="13" t="n">
        <x:v>0.003342891526884278</x:v>
      </x:c>
      <x:c r="AB268" s="13" t="n">
        <x:v>0.13536036876564092</x:v>
      </x:c>
      <x:c r="AC268" s="13" t="n">
        <x:v>0.13883954533393544</x:v>
      </x:c>
      <x:c r="AD268" s="13" t="n">
        <x:v>0.17501598554865724</x:v>
      </x:c>
      <x:c r="AE268" s="13" t="n">
        <x:v>0.26965763605949156</x:v>
      </x:c>
      <x:c r="AF268" s="13" t="n">
        <x:v>0.05355987293803074</x:v>
      </x:c>
      <x:c r="AG268" s="13" t="n">
        <x:v>0.269462198084152</x:v>
      </x:c>
      <x:c r="AH268" s="13" t="n">
        <x:v>0.3582521569840951</x:v>
      </x:c>
      <x:c r="AI268" s="13" t="n">
        <x:v>0.29411764705882354</x:v>
      </x:c>
      <x:c r="AJ268" s="13" t="n">
        <x:v>0.17928540612114174</x:v>
      </x:c>
      <x:c r="AK268" s="13" t="n">
        <x:v>0.0026523477208884633</x:v>
      </x:c>
      <x:c r="AL268" s="13" t="n">
        <x:v>0.18499464570014693</x:v>
      </x:c>
      <x:c r="AM268" s="13" t="n">
        <x:v>0.12406000687101586</x:v>
      </x:c>
      <x:c r="AN268" s="13" t="n">
        <x:v>0.27876907910575033</x:v>
      </x:c>
      <x:c r="AO268" s="13" t="n">
        <x:v>0.5404675498684486</x:v>
      </x:c>
      <x:c r="AP268" s="13" t="n">
        <x:v>0.27101320496075176</x:v>
      </x:c>
    </x:row>
    <x:row r="269" ht="15" hidden="0" customHeight="1">
      <x:c r="A269" s="2" t="str">
        <x:v>E268</x:v>
      </x:c>
      <x:c r="B269" s="2" t="str">
        <x:v>***建筑劳务有限公司</x:v>
      </x:c>
      <x:c r="C269" s="2" t="str">
        <x:v>无信贷记录</x:v>
      </x:c>
      <x:c r="D269" s="2" t="str"/>
      <x:c r="E269" s="2" t="str"/>
      <x:c r="F269" s="13" t="n">
        <x:v>0.003363801903463371</x:v>
      </x:c>
      <x:c r="G269" s="13" t="n">
        <x:v>0.0030520092903162806</x:v>
      </x:c>
      <x:c r="H269" s="13" t="n">
        <x:v>0.00909090909090909</x:v>
      </x:c>
      <x:c r="I269" s="13" t="n">
        <x:v>0</x:v>
      </x:c>
      <x:c r="J269" s="13" t="n">
        <x:v>0.020632401790413025</x:v>
      </x:c>
      <x:c r="K269" s="13" t="n">
        <x:v>0.020480118070756274</x:v>
      </x:c>
      <x:c r="L269" s="13" t="n">
        <x:v>0.011819154495011074</x:v>
      </x:c>
      <x:c r="M269" s="13" t="n">
        <x:v>0.8347960101031725</x:v>
      </x:c>
      <x:c r="N269" s="13" t="n">
        <x:v>0</x:v>
      </x:c>
      <x:c r="O269" s="13" t="n">
        <x:v>0.1698159502818944</x:v>
      </x:c>
      <x:c r="P269" s="13" t="n">
        <x:v>0.29419726100098736</x:v>
      </x:c>
      <x:c r="Q269" s="13" t="n">
        <x:v>0.028428308796793058</x:v>
      </x:c>
      <x:c r="R269" s="13" t="n">
        <x:v>0.3684470814857895</x:v>
      </x:c>
      <x:c r="S269" s="13" t="n">
        <x:v>0.7743031605402136</x:v>
      </x:c>
      <x:c r="T269" s="13" t="n">
        <x:v>0.2777777777777778</x:v>
      </x:c>
      <x:c r="U269" s="13" t="n">
        <x:v>0.030626758225437294</x:v>
      </x:c>
      <x:c r="V269" s="13" t="n">
        <x:v>0.03128767716432566</x:v>
      </x:c>
      <x:c r="W269" s="13" t="n">
        <x:v>0.022228808535862496</x:v>
      </x:c>
      <x:c r="X269" s="13" t="n">
        <x:v>0.025507312096134264</x:v>
      </x:c>
      <x:c r="Y269" s="13" t="n">
        <x:v>0.0403649365728587</x:v>
      </x:c>
      <x:c r="Z269" s="13" t="n">
        <x:v>0.028389909024717306</x:v>
      </x:c>
      <x:c r="AA269" s="13" t="n">
        <x:v>0.003342891526884278</x:v>
      </x:c>
      <x:c r="AB269" s="13" t="n">
        <x:v>0.06145360741960099</x:v>
      </x:c>
      <x:c r="AC269" s="13" t="n">
        <x:v>0.14760835872344713</x:v>
      </x:c>
      <x:c r="AD269" s="13" t="n">
        <x:v>0.29772987527141365</x:v>
      </x:c>
      <x:c r="AE269" s="13" t="n">
        <x:v>0.4150027159214422</x:v>
      </x:c>
      <x:c r="AF269" s="13" t="n">
        <x:v>0.03972537766141668</x:v>
      </x:c>
      <x:c r="AG269" s="13" t="n">
        <x:v>0.3284263892511839</x:v>
      </x:c>
      <x:c r="AH269" s="13" t="n">
        <x:v>0.5436916017434318</x:v>
      </x:c>
      <x:c r="AI269" s="13" t="n">
        <x:v>0.47058823529411764</x:v>
      </x:c>
      <x:c r="AJ269" s="13" t="n">
        <x:v>0.18861192214865904</x:v>
      </x:c>
      <x:c r="AK269" s="13" t="n">
        <x:v>0.009812927187186505</x:v>
      </x:c>
      <x:c r="AL269" s="13" t="n">
        <x:v>0.15582769834952637</x:v>
      </x:c>
      <x:c r="AM269" s="13" t="n">
        <x:v>0.22737873134328376</x:v>
      </x:c>
      <x:c r="AN269" s="13" t="n">
        <x:v>0.25501699214982976</x:v>
      </x:c>
      <x:c r="AO269" s="13" t="n">
        <x:v>0.4174701491400177</x:v>
      </x:c>
      <x:c r="AP269" s="13" t="n">
        <x:v>0.6556097878868193</x:v>
      </x:c>
    </x:row>
    <x:row r="270" ht="15" hidden="0" customHeight="1">
      <x:c r="A270" s="2" t="str">
        <x:v>E269</x:v>
      </x:c>
      <x:c r="B270" s="2" t="str">
        <x:v>***节能服务有限公司</x:v>
      </x:c>
      <x:c r="C270" s="2" t="str">
        <x:v>无信贷记录</x:v>
      </x:c>
      <x:c r="D270" s="2" t="str"/>
      <x:c r="E270" s="2" t="str"/>
      <x:c r="F270" s="13" t="n">
        <x:v>0.012558193772929918</x:v>
      </x:c>
      <x:c r="G270" s="13" t="n">
        <x:v>0.012742138787070473</x:v>
      </x:c>
      <x:c r="H270" s="13" t="n">
        <x:v>0.0018181818181818182</x:v>
      </x:c>
      <x:c r="I270" s="13" t="n">
        <x:v>0</x:v>
      </x:c>
      <x:c r="J270" s="13" t="n">
        <x:v>0.0035409993134577393</x:v>
      </x:c>
      <x:c r="K270" s="13" t="n">
        <x:v>0.003514863890532528</x:v>
      </x:c>
      <x:c r="L270" s="13" t="n">
        <x:v>0.04230013187688174</x:v>
      </x:c>
      <x:c r="M270" s="13" t="n">
        <x:v>0.046159308793940125</x:v>
      </x:c>
      <x:c r="N270" s="13" t="n">
        <x:v>0</x:v>
      </x:c>
      <x:c r="O270" s="13" t="n">
        <x:v>0.15752608471799107</x:v>
      </x:c>
      <x:c r="P270" s="13" t="n">
        <x:v>0.2792695877520317</x:v>
      </x:c>
      <x:c r="Q270" s="13" t="n">
        <x:v>0.004114290084193861</x:v>
      </x:c>
      <x:c r="R270" s="13" t="n">
        <x:v>0.36661536841739395</x:v>
      </x:c>
      <x:c r="S270" s="13" t="n">
        <x:v>0.334420804599729</x:v>
      </x:c>
      <x:c r="T270" s="13" t="n">
        <x:v>0.7777777777777778</x:v>
      </x:c>
      <x:c r="U270" s="13" t="n">
        <x:v>0.018657720466180937</x:v>
      </x:c>
      <x:c r="V270" s="13" t="n">
        <x:v>0.017476605163847858</x:v>
      </x:c>
      <x:c r="W270" s="13" t="n">
        <x:v>0.03581308041888958</x:v>
      </x:c>
      <x:c r="X270" s="13" t="n">
        <x:v>0.025507312096134264</x:v>
      </x:c>
      <x:c r="Y270" s="13" t="n">
        <x:v>0.05153278992221866</x:v>
      </x:c>
      <x:c r="Z270" s="13" t="n">
        <x:v>0.035095674068261154</x:v>
      </x:c>
      <x:c r="AA270" s="13" t="n">
        <x:v>0.007057215445644587</x:v>
      </x:c>
      <x:c r="AB270" s="13" t="n">
        <x:v>0.15983449463393978</x:v>
      </x:c>
      <x:c r="AC270" s="13" t="n">
        <x:v>0.2602167973372109</x:v>
      </x:c>
      <x:c r="AD270" s="13" t="n">
        <x:v>0.72958986571572</x:v>
      </x:c>
      <x:c r="AE270" s="13" t="n">
        <x:v>0.8457462176415375</x:v>
      </x:c>
      <x:c r="AF270" s="13" t="n">
        <x:v>0.05214230979484401</x:v>
      </x:c>
      <x:c r="AG270" s="13" t="n">
        <x:v>0.4799784921163778</x:v>
      </x:c>
      <x:c r="AH270" s="13" t="n">
        <x:v>0.34334753370915544</x:v>
      </x:c>
      <x:c r="AI270" s="13" t="n">
        <x:v>0.9117647058823529</x:v>
      </x:c>
      <x:c r="AJ270" s="13" t="n">
        <x:v>0.21539088204233525</x:v>
      </x:c>
      <x:c r="AK270" s="13" t="n">
        <x:v>0.001350432255463854</x:v>
      </x:c>
      <x:c r="AL270" s="13" t="n">
        <x:v>0.21188637648242148</x:v>
      </x:c>
      <x:c r="AM270" s="13" t="n">
        <x:v>0.24053287282595306</x:v>
      </x:c>
      <x:c r="AN270" s="13" t="n">
        <x:v>0.5032873131295211</x:v>
      </x:c>
      <x:c r="AO270" s="13" t="n">
        <x:v>0.49291813278487695</x:v>
      </x:c>
      <x:c r="AP270" s="13" t="n">
        <x:v>0.26696702850475124</x:v>
      </x:c>
    </x:row>
    <x:row r="271" ht="15" hidden="0" customHeight="1">
      <x:c r="A271" s="2" t="str">
        <x:v>E270</x:v>
      </x:c>
      <x:c r="B271" s="2" t="str">
        <x:v>个体经营E270 </x:v>
      </x:c>
      <x:c r="C271" s="2" t="str">
        <x:v>无信贷记录</x:v>
      </x:c>
      <x:c r="D271" s="2" t="str"/>
      <x:c r="E271" s="2" t="str"/>
      <x:c r="F271" s="13" t="n">
        <x:v>0.0417858947563561</x:v>
      </x:c>
      <x:c r="G271" s="13" t="n">
        <x:v>0.04165992681281723</x:v>
      </x:c>
      <x:c r="H271" s="13" t="n">
        <x:v>0.023636363636363636</x:v>
      </x:c>
      <x:c r="I271" s="13" t="n">
        <x:v>0.026709401709401753</x:v>
      </x:c>
      <x:c r="J271" s="13" t="n">
        <x:v>0.023071140431551534</x:v>
      </x:c>
      <x:c r="K271" s="13" t="n">
        <x:v>0.023118254609095917</x:v>
      </x:c>
      <x:c r="L271" s="13" t="n">
        <x:v>0.055363407897683445</x:v>
      </x:c>
      <x:c r="M271" s="13" t="n">
        <x:v>0.18183970130946112</x:v>
      </x:c>
      <x:c r="N271" s="13" t="n">
        <x:v>0.15038275432056705</x:v>
      </x:c>
      <x:c r="O271" s="13" t="n">
        <x:v>0.253517748427278</x:v>
      </x:c>
      <x:c r="P271" s="13" t="n">
        <x:v>0.467001258860907</x:v>
      </x:c>
      <x:c r="Q271" s="13" t="n">
        <x:v>0.023840367480215598</x:v>
      </x:c>
      <x:c r="R271" s="13" t="n">
        <x:v>0.13577214686896102</x:v>
      </x:c>
      <x:c r="S271" s="13" t="n">
        <x:v>0.5283854650860201</x:v>
      </x:c>
      <x:c r="T271" s="13" t="n">
        <x:v>0.9444444444444444</x:v>
      </x:c>
      <x:c r="U271" s="13" t="n">
        <x:v>0.035431846376963574</x:v>
      </x:c>
      <x:c r="V271" s="13" t="n">
        <x:v>0.030634450785924684</x:v>
      </x:c>
      <x:c r="W271" s="13" t="n">
        <x:v>0.09879470460383331</x:v>
      </x:c>
      <x:c r="X271" s="13" t="n">
        <x:v>0.028341457884593628</x:v>
      </x:c>
      <x:c r="Y271" s="13" t="n">
        <x:v>0.03445422043063601</x:v>
      </x:c>
      <x:c r="Z271" s="13" t="n">
        <x:v>0.023667885724402447</x:v>
      </x:c>
      <x:c r="AA271" s="13" t="n">
        <x:v>0.014114430891289173</x:v>
      </x:c>
      <x:c r="AB271" s="13" t="n">
        <x:v>0.23692957077436527</x:v>
      </x:c>
      <x:c r="AC271" s="13" t="n">
        <x:v>0.1674363472086863</x:v>
      </x:c>
      <x:c r="AD271" s="13" t="n">
        <x:v>0.33838656090610686</x:v>
      </x:c>
      <x:c r="AE271" s="13" t="n">
        <x:v>0.5471448834101151</x:v>
      </x:c>
      <x:c r="AF271" s="13" t="n">
        <x:v>0.03584675822464873</x:v>
      </x:c>
      <x:c r="AG271" s="13" t="n">
        <x:v>0.15885978635919829</x:v>
      </x:c>
      <x:c r="AH271" s="13" t="n">
        <x:v>0.6052335219734966</x:v>
      </x:c>
      <x:c r="AI271" s="13" t="n">
        <x:v>0.8235294117647058</x:v>
      </x:c>
      <x:c r="AJ271" s="13" t="n">
        <x:v>0.17858664537671354</x:v>
      </x:c>
      <x:c r="AK271" s="13" t="n">
        <x:v>0.013286022344120968</x:v>
      </x:c>
      <x:c r="AL271" s="13" t="n">
        <x:v>0.2654741694999063</x:v>
      </x:c>
      <x:c r="AM271" s="13" t="n">
        <x:v>0.1538175487229764</x:v>
      </x:c>
      <x:c r="AN271" s="13" t="n">
        <x:v>0.32923974604400214</x:v>
      </x:c>
      <x:c r="AO271" s="13" t="n">
        <x:v>0.16182506010949277</x:v>
      </x:c>
      <x:c r="AP271" s="13" t="n">
        <x:v>0.5222130935028979</x:v>
      </x:c>
    </x:row>
    <x:row r="272" ht="15" hidden="0" customHeight="1">
      <x:c r="A272" s="2" t="str">
        <x:v>E271</x:v>
      </x:c>
      <x:c r="B272" s="2" t="str">
        <x:v>***科技有限公司</x:v>
      </x:c>
      <x:c r="C272" s="2" t="str">
        <x:v>无信贷记录</x:v>
      </x:c>
      <x:c r="D272" s="2" t="str"/>
      <x:c r="E272" s="2" t="str"/>
      <x:c r="F272" s="13" t="n">
        <x:v>0.12677795618386395</x:v>
      </x:c>
      <x:c r="G272" s="13" t="n">
        <x:v>0.12482717997393589</x:v>
      </x:c>
      <x:c r="H272" s="13" t="n">
        <x:v>0.10909090909090909</x:v>
      </x:c>
      <x:c r="I272" s="13" t="n">
        <x:v>0.05341880341880351</x:v>
      </x:c>
      <x:c r="J272" s="13" t="n">
        <x:v>0.10304932054182847</x:v>
      </x:c>
      <x:c r="K272" s="13" t="n">
        <x:v>0.10580971442452278</x:v>
      </x:c>
      <x:c r="L272" s="13" t="n">
        <x:v>0.3166289283137177</x:v>
      </x:c>
      <x:c r="M272" s="13" t="n">
        <x:v>0.27728206696006436</x:v>
      </x:c>
      <x:c r="N272" s="13" t="n">
        <x:v>0.10062240460033058</x:v>
      </x:c>
      <x:c r="O272" s="13" t="n">
        <x:v>0.03743193327678498</x:v>
      </x:c>
      <x:c r="P272" s="13" t="n">
        <x:v>0.0635473134211203</x:v>
      </x:c>
      <x:c r="Q272" s="13" t="n">
        <x:v>0.10361682524972246</x:v>
      </x:c>
      <x:c r="R272" s="13" t="n">
        <x:v>0.2034385748767534</x:v>
      </x:c>
      <x:c r="S272" s="13" t="n">
        <x:v>0.46872658304069986</x:v>
      </x:c>
      <x:c r="T272" s="13" t="n">
        <x:v>0.9722222222222222</x:v>
      </x:c>
      <x:c r="U272" s="13" t="n">
        <x:v>0.04783771033181322</x:v>
      </x:c>
      <x:c r="V272" s="13" t="n">
        <x:v>0.04043284646193934</x:v>
      </x:c>
      <x:c r="W272" s="13" t="n">
        <x:v>0.14448725548310623</x:v>
      </x:c>
      <x:c r="X272" s="13" t="n">
        <x:v>0.04251218682689044</x:v>
      </x:c>
      <x:c r="Y272" s="13" t="n">
        <x:v>0.05225137567391853</x:v>
      </x:c>
      <x:c r="Z272" s="13" t="n">
        <x:v>0.039801843768272734</x:v>
      </x:c>
      <x:c r="AA272" s="13" t="n">
        <x:v>0.036028942011975</x:v>
      </x:c>
      <x:c r="AB272" s="13" t="n">
        <x:v>0.2581713489441047</x:v>
      </x:c>
      <x:c r="AC272" s="13" t="n">
        <x:v>0.19121991925537468</x:v>
      </x:c>
      <x:c r="AD272" s="13" t="n">
        <x:v>0.06011075888623229</x:v>
      </x:c>
      <x:c r="AE272" s="13" t="n">
        <x:v>0.09405056758013614</x:v>
      </x:c>
      <x:c r="AF272" s="13" t="n">
        <x:v>0.05143727238148089</x:v>
      </x:c>
      <x:c r="AG272" s="13" t="n">
        <x:v>0.3196283605932465</x:v>
      </x:c>
      <x:c r="AH272" s="13" t="n">
        <x:v>0.43067273969977643</x:v>
      </x:c>
      <x:c r="AI272" s="13" t="n">
        <x:v>0.9705882352941176</x:v>
      </x:c>
      <x:c r="AJ272" s="13" t="n">
        <x:v>0.15395417794430327</x:v>
      </x:c>
      <x:c r="AK272" s="13" t="n">
        <x:v>0.03622447812541855</x:v>
      </x:c>
      <x:c r="AL272" s="13" t="n">
        <x:v>0.21798392354342802</x:v>
      </x:c>
      <x:c r="AM272" s="13" t="n">
        <x:v>0.10737936879605829</x:v>
      </x:c>
      <x:c r="AN272" s="13" t="n">
        <x:v>0.03503274300873062</x:v>
      </x:c>
      <x:c r="AO272" s="13" t="n">
        <x:v>0.29264071829940236</x:v>
      </x:c>
      <x:c r="AP272" s="13" t="n">
        <x:v>0.39826946154983606</x:v>
      </x:c>
    </x:row>
    <x:row r="273" ht="15" hidden="0" customHeight="1">
      <x:c r="A273" s="2" t="str">
        <x:v>E272</x:v>
      </x:c>
      <x:c r="B273" s="2" t="str">
        <x:v>个体经营E272 </x:v>
      </x:c>
      <x:c r="C273" s="2" t="str">
        <x:v>无信贷记录</x:v>
      </x:c>
      <x:c r="D273" s="2" t="str"/>
      <x:c r="E273" s="2" t="str"/>
      <x:c r="F273" s="13" t="n">
        <x:v>0.09000038870599775</x:v>
      </x:c>
      <x:c r="G273" s="13" t="n">
        <x:v>0.08896607081271958</x:v>
      </x:c>
      <x:c r="H273" s="13" t="n">
        <x:v>0.06909090909090909</x:v>
      </x:c>
      <x:c r="I273" s="13" t="n">
        <x:v>0.09348290598290614</x:v>
      </x:c>
      <x:c r="J273" s="13" t="n">
        <x:v>0.01652948421742446</x:v>
      </x:c>
      <x:c r="K273" s="13" t="n">
        <x:v>0.017335432308917723</x:v>
      </x:c>
      <x:c r="L273" s="13" t="n">
        <x:v>0.17604319589937545</x:v>
      </x:c>
      <x:c r="M273" s="13" t="n">
        <x:v>0.24725467231248197</x:v>
      </x:c>
      <x:c r="N273" s="13" t="n">
        <x:v>0.24694702293394485</x:v>
      </x:c>
      <x:c r="O273" s="13" t="n">
        <x:v>0.07531063918395461</x:v>
      </x:c>
      <x:c r="P273" s="13" t="n">
        <x:v>0.2063483897989124</x:v>
      </x:c>
      <x:c r="Q273" s="13" t="n">
        <x:v>0.017079779309550076</x:v>
      </x:c>
      <x:c r="R273" s="13" t="n">
        <x:v>0.09397384781976227</x:v>
      </x:c>
      <x:c r="S273" s="13" t="n">
        <x:v>0.6281198229238865</x:v>
      </x:c>
      <x:c r="T273" s="13" t="n">
        <x:v>0.9444444444444444</x:v>
      </x:c>
      <x:c r="U273" s="13" t="n">
        <x:v>0.05115758941832229</x:v>
      </x:c>
      <x:c r="V273" s="13" t="n">
        <x:v>0.04995128797578215</x:v>
      </x:c>
      <x:c r="W273" s="13" t="n">
        <x:v>0.06545149180003958</x:v>
      </x:c>
      <x:c r="X273" s="13" t="n">
        <x:v>0.09352681101915897</x:v>
      </x:c>
      <x:c r="Y273" s="13" t="n">
        <x:v>0.023759853401679538</x:v>
      </x:c>
      <x:c r="Z273" s="13" t="n">
        <x:v>0.01893569650975765</x:v>
      </x:c>
      <x:c r="AA273" s="13" t="n">
        <x:v>0.026743132215074225</x:v>
      </x:c>
      <x:c r="AB273" s="13" t="n">
        <x:v>0.10948037624332277</x:v>
      </x:c>
      <x:c r="AC273" s="13" t="n">
        <x:v>0.3415145421387504</x:v>
      </x:c>
      <x:c r="AD273" s="13" t="n">
        <x:v>0.147915136953076</x:v>
      </x:c>
      <x:c r="AE273" s="13" t="n">
        <x:v>0.20866543824047995</x:v>
      </x:c>
      <x:c r="AF273" s="13" t="n">
        <x:v>0.02401705827522833</x:v>
      </x:c>
      <x:c r="AG273" s="13" t="n">
        <x:v>0.2335501177927169</x:v>
      </x:c>
      <x:c r="AH273" s="13" t="n">
        <x:v>0.660905646951706</x:v>
      </x:c>
      <x:c r="AI273" s="13" t="n">
        <x:v>0.9411764705882353</x:v>
      </x:c>
      <x:c r="AJ273" s="13" t="n">
        <x:v>0.16732450543448024</x:v>
      </x:c>
      <x:c r="AK273" s="13" t="n">
        <x:v>0.012443063316699896</x:v>
      </x:c>
      <x:c r="AL273" s="13" t="n">
        <x:v>0.1389079431309628</x:v>
      </x:c>
      <x:c r="AM273" s="13" t="n">
        <x:v>0.26664921008990156</x:v>
      </x:c>
      <x:c r="AN273" s="13" t="n">
        <x:v>0.10970556414992996</x:v>
      </x:c>
      <x:c r="AO273" s="13" t="n">
        <x:v>0.16917567739175332</x:v>
      </x:c>
      <x:c r="AP273" s="13" t="n">
        <x:v>0.6152829310201754</x:v>
      </x:c>
    </x:row>
    <x:row r="274" ht="15" hidden="0" customHeight="1">
      <x:c r="A274" s="2" t="str">
        <x:v>E273</x:v>
      </x:c>
      <x:c r="B274" s="2" t="str">
        <x:v>个体经营E273 </x:v>
      </x:c>
      <x:c r="C274" s="2" t="str">
        <x:v>无信贷记录</x:v>
      </x:c>
      <x:c r="D274" s="2" t="str"/>
      <x:c r="E274" s="2" t="str"/>
      <x:c r="F274" s="13" t="n">
        <x:v>0.11541578086549878</x:v>
      </x:c>
      <x:c r="G274" s="13" t="n">
        <x:v>0.11124573863202844</x:v>
      </x:c>
      <x:c r="H274" s="13" t="n">
        <x:v>0.15636363636363637</x:v>
      </x:c>
      <x:c r="I274" s="13" t="n">
        <x:v>0.12019230769230788</x:v>
      </x:c>
      <x:c r="J274" s="13" t="n">
        <x:v>0.03591854183028275</x:v>
      </x:c>
      <x:c r="K274" s="13" t="n">
        <x:v>0.03971231945537341</x:v>
      </x:c>
      <x:c r="L274" s="13" t="n">
        <x:v>0.20154768717808355</x:v>
      </x:c>
      <x:c r="M274" s="13" t="n">
        <x:v>0.4365129977796925</x:v>
      </x:c>
      <x:c r="N274" s="13" t="n">
        <x:v>0.254002652160629</x:v>
      </x:c>
      <x:c r="O274" s="13" t="n">
        <x:v>0.375906928216826</x:v>
      </x:c>
      <x:c r="P274" s="13" t="n">
        <x:v>0.5905708397825467</x:v>
      </x:c>
      <x:c r="Q274" s="13" t="n">
        <x:v>0.04607837014566374</x:v>
      </x:c>
      <x:c r="R274" s="13" t="n">
        <x:v>0.20860670145488458</x:v>
      </x:c>
      <x:c r="S274" s="13" t="n">
        <x:v>0.49981817650938015</x:v>
      </x:c>
      <x:c r="T274" s="13" t="n">
        <x:v>0.75</x:v>
      </x:c>
      <x:c r="U274" s="13" t="n">
        <x:v>0.7021159860914548</x:v>
      </x:c>
      <x:c r="V274" s="13" t="n">
        <x:v>0.7422779310267607</x:v>
      </x:c>
      <x:c r="W274" s="13" t="n">
        <x:v>0.1049693736415729</x:v>
      </x:c>
      <x:c r="X274" s="13" t="n">
        <x:v>0.03684389524997171</x:v>
      </x:c>
      <x:c r="Y274" s="13" t="n">
        <x:v>0.035519410844527685</x:v>
      </x:c>
      <x:c r="Z274" s="13" t="n">
        <x:v>0.023576879223318185</x:v>
      </x:c>
      <x:c r="AA274" s="13" t="n">
        <x:v>1</x:v>
      </x:c>
      <x:c r="AB274" s="13" t="n">
        <x:v>0.01298423224127786</x:v>
      </x:c>
      <x:c r="AC274" s="13" t="n">
        <x:v>0.009159468560404834</x:v>
      </x:c>
      <x:c r="AD274" s="13" t="n">
        <x:v>0</x:v>
      </x:c>
      <x:c r="AE274" s="13" t="n">
        <x:v>0</x:v>
      </x:c>
      <x:c r="AF274" s="13" t="n">
        <x:v>0.036956281249754155</x:v>
      </x:c>
      <x:c r="AG274" s="13" t="n">
        <x:v>0.0714644827129801</x:v>
      </x:c>
      <x:c r="AH274" s="13" t="n">
        <x:v>0.4921257247784466</x:v>
      </x:c>
      <x:c r="AI274" s="13" t="n">
        <x:v>0.9117647058823529</x:v>
      </x:c>
      <x:c r="AJ274" s="13" t="n">
        <x:v>0.1720520814656055</x:v>
      </x:c>
      <x:c r="AK274" s="13" t="n">
        <x:v>0.022920704982193844</x:v>
      </x:c>
      <x:c r="AL274" s="13" t="n">
        <x:v>0.0464417386885791</x:v>
      </x:c>
      <x:c r="AM274" s="13" t="n">
        <x:v>0.03192296663376676</x:v>
      </x:c>
      <x:c r="AN274" s="13" t="n">
        <x:v>0.19988037459224278</x:v>
      </x:c>
      <x:c r="AO274" s="13" t="n">
        <x:v>0.1706780484521527</x:v>
      </x:c>
      <x:c r="AP274" s="13" t="n">
        <x:v>0.448596037784025</x:v>
      </x:c>
    </x:row>
    <x:row r="275" ht="15" hidden="0" customHeight="1">
      <x:c r="A275" s="2" t="str">
        <x:v>E274</x:v>
      </x:c>
      <x:c r="B275" s="2" t="str">
        <x:v>***建筑劳务有限公司</x:v>
      </x:c>
      <x:c r="C275" s="2" t="str">
        <x:v>无信贷记录</x:v>
      </x:c>
      <x:c r="D275" s="2" t="str"/>
      <x:c r="E275" s="2" t="str"/>
      <x:c r="F275" s="13" t="n">
        <x:v>0.0007475115341029713</x:v>
      </x:c>
      <x:c r="G275" s="13" t="n">
        <x:v>0.0007630023225790702</x:v>
      </x:c>
      <x:c r="H275" s="13" t="n">
        <x:v>0</x:v>
      </x:c>
      <x:c r="I275" s="13" t="n">
        <x:v>0</x:v>
      </x:c>
      <x:c r="J275" s="13" t="n">
        <x:v>0.00012397575454243157</x:v>
      </x:c>
      <x:c r="K275" s="13" t="n">
        <x:v>0.00012306071376139434</x:v>
      </x:c>
      <x:c r="L275" s="13" t="n">
        <x:v>0.004976486103162557</x:v>
      </x:c>
      <x:c r="M275" s="13" t="n">
        <x:v>0</x:v>
      </x:c>
      <x:c r="N275" s="13" t="n">
        <x:v>0</x:v>
      </x:c>
      <x:c r="O275" s="13" t="n">
        <x:v>0.47451241461668947</x:v>
      </x:c>
      <x:c r="P275" s="13" t="n">
        <x:v>0.6203710028018073</x:v>
      </x:c>
      <x:c r="Q275" s="13" t="n">
        <x:v>0.00021815423953545318</x:v>
      </x:c>
      <x:c r="R275" s="13" t="n">
        <x:v>0.5963628252330119</x:v>
      </x:c>
      <x:c r="S275" s="13" t="n">
        <x:v>1</x:v>
      </x:c>
      <x:c r="T275" s="13" t="n">
        <x:v>0.1388888888888889</x:v>
      </x:c>
      <x:c r="U275" s="13" t="n">
        <x:v>0.012629518966993426</x:v>
      </x:c>
      <x:c r="V275" s="13" t="n">
        <x:v>0.012064158028525476</x:v>
      </x:c>
      <x:c r="W275" s="13" t="n">
        <x:v>0.022228808535862496</x:v>
      </x:c>
      <x:c r="X275" s="13" t="n">
        <x:v>0.005668291576918725</x:v>
      </x:c>
      <x:c r="Y275" s="13" t="n">
        <x:v>0.017971066447602876</x:v>
      </x:c>
      <x:c r="Z275" s="13" t="n">
        <x:v>0.012066109023798155</x:v>
      </x:c>
      <x:c r="AA275" s="13" t="n">
        <x:v>0.005571485878140463</x:v>
      </x:c>
      <x:c r="AB275" s="13" t="n">
        <x:v>0.143657783578288</x:v>
      </x:c>
      <x:c r="AC275" s="13" t="n">
        <x:v>0.08248702399251458</x:v>
      </x:c>
      <x:c r="AD275" s="13" t="n">
        <x:v>0.14326427115861906</x:v>
      </x:c>
      <x:c r="AE275" s="13" t="n">
        <x:v>0.24822979117222846</x:v>
      </x:c>
      <x:c r="AF275" s="13" t="n">
        <x:v>0.03122352490580448</x:v>
      </x:c>
      <x:c r="AG275" s="13" t="n">
        <x:v>0.35544269592128375</x:v>
      </x:c>
      <x:c r="AH275" s="13" t="n">
        <x:v>0.8034123411429915</x:v>
      </x:c>
      <x:c r="AI275" s="13" t="n">
        <x:v>0.3235294117647059</x:v>
      </x:c>
      <x:c r="AJ275" s="13" t="n">
        <x:v>0.16930450371360004</x:v>
      </x:c>
      <x:c r="AK275" s="13" t="n">
        <x:v>0.00012539647491618624</x:v>
      </x:c>
      <x:c r="AL275" s="13" t="n">
        <x:v>0.30264953680238615</x:v>
      </x:c>
      <x:c r="AM275" s="13" t="n">
        <x:v>0.13110125050423568</x:v>
      </x:c>
      <x:c r="AN275" s="13" t="n">
        <x:v>0.3461654954493485</x:v>
      </x:c>
      <x:c r="AO275" s="13" t="n">
        <x:v>0.5974200472482176</x:v>
      </x:c>
      <x:c r="AP275" s="13" t="n">
        <x:v>0.931263890255819</x:v>
      </x:c>
    </x:row>
    <x:row r="276" ht="15" hidden="0" customHeight="1">
      <x:c r="A276" s="2" t="str">
        <x:v>E275</x:v>
      </x:c>
      <x:c r="B276" s="2" t="str">
        <x:v>***网络工程有限公司</x:v>
      </x:c>
      <x:c r="C276" s="2" t="str">
        <x:v>无信贷记录</x:v>
      </x:c>
      <x:c r="D276" s="2" t="str"/>
      <x:c r="E276" s="2" t="str"/>
      <x:c r="F276" s="13" t="n">
        <x:v>0.028181184835682018</x:v>
      </x:c>
      <x:c r="G276" s="13" t="n">
        <x:v>0.027620684077362342</x:v>
      </x:c>
      <x:c r="H276" s="13" t="n">
        <x:v>0.02727272727272727</x:v>
      </x:c>
      <x:c r="I276" s="13" t="n">
        <x:v>0.04006410256410263</x:v>
      </x:c>
      <x:c r="J276" s="13" t="n">
        <x:v>0.006105073411207583</x:v>
      </x:c>
      <x:c r="K276" s="13" t="n">
        <x:v>0.006092360485619003</x:v>
      </x:c>
      <x:c r="L276" s="13" t="n">
        <x:v>0.059717833237950685</x:v>
      </x:c>
      <x:c r="M276" s="13" t="n">
        <x:v>0.31057054729432015</x:v>
      </x:c>
      <x:c r="N276" s="13" t="n">
        <x:v>0.3396006155261157</x:v>
      </x:c>
      <x:c r="O276" s="13" t="n">
        <x:v>0.12337057975181873</x:v>
      </x:c>
      <x:c r="P276" s="13" t="n">
        <x:v>0.22412402183133792</x:v>
      </x:c>
      <x:c r="Q276" s="13" t="n">
        <x:v>0.00648681599392657</x:v>
      </x:c>
      <x:c r="R276" s="13" t="n">
        <x:v>0.28877603789853284</x:v>
      </x:c>
      <x:c r="S276" s="13" t="n">
        <x:v>0.5309306986318681</x:v>
      </x:c>
      <x:c r="T276" s="13" t="n">
        <x:v>0.8888888888888888</x:v>
      </x:c>
      <x:c r="U276" s="13" t="n">
        <x:v>0.03770334259404872</x:v>
      </x:c>
      <x:c r="V276" s="13" t="n">
        <x:v>0.0326874479751849</x:v>
      </x:c>
      <x:c r="W276" s="13" t="n">
        <x:v>0.10373443983402499</x:v>
      </x:c>
      <x:c r="X276" s="13" t="n">
        <x:v>0.06801949892302471</x:v>
      </x:c>
      <x:c r="Y276" s="13" t="n">
        <x:v>0.03313708872017228</x:v>
      </x:c>
      <x:c r="Z276" s="13" t="n">
        <x:v>0.025969491419971347</x:v>
      </x:c>
      <x:c r="AA276" s="13" t="n">
        <x:v>0.017085890026297422</x:v>
      </x:c>
      <x:c r="AB276" s="13" t="n">
        <x:v>0.23410898064609897</x:v>
      </x:c>
      <x:c r="AC276" s="13" t="n">
        <x:v>0.3770835382514952</x:v>
      </x:c>
      <x:c r="AD276" s="13" t="n">
        <x:v>0.07006156529087884</x:v>
      </x:c>
      <x:c r="AE276" s="13" t="n">
        <x:v>0.1487362415302676</x:v>
      </x:c>
      <x:c r="AF276" s="13" t="n">
        <x:v>0.03174195561201319</x:v>
      </x:c>
      <x:c r="AG276" s="13" t="n">
        <x:v>0.24597964477104298</x:v>
      </x:c>
      <x:c r="AH276" s="13" t="n">
        <x:v>0.5271046385230029</x:v>
      </x:c>
      <x:c r="AI276" s="13" t="n">
        <x:v>0.8823529411764706</x:v>
      </x:c>
      <x:c r="AJ276" s="13" t="n">
        <x:v>0.1873447626382936</x:v>
      </x:c>
      <x:c r="AK276" s="13" t="n">
        <x:v>0.003180906483596109</x:v>
      </x:c>
      <x:c r="AL276" s="13" t="n">
        <x:v>0.33742453239817605</x:v>
      </x:c>
      <x:c r="AM276" s="13" t="n">
        <x:v>0.4036682054360655</x:v>
      </x:c>
      <x:c r="AN276" s="13" t="n">
        <x:v>0.09241987318033776</x:v>
      </x:c>
      <x:c r="AO276" s="13" t="n">
        <x:v>0.31757917905815936</x:v>
      </x:c>
      <x:c r="AP276" s="13" t="n">
        <x:v>0.4861414167712765</x:v>
      </x:c>
    </x:row>
    <x:row r="277" ht="15" hidden="0" customHeight="1">
      <x:c r="A277" s="2" t="str">
        <x:v>E276</x:v>
      </x:c>
      <x:c r="B277" s="2" t="str">
        <x:v>***体育设施工程有限公司</x:v>
      </x:c>
      <x:c r="C277" s="2" t="str">
        <x:v>无信贷记录</x:v>
      </x:c>
      <x:c r="D277" s="2" t="str"/>
      <x:c r="E277" s="2" t="str"/>
      <x:c r="F277" s="13" t="n">
        <x:v>0.07759169723988843</x:v>
      </x:c>
      <x:c r="G277" s="13" t="n">
        <x:v>0.07782623690306516</x:v>
      </x:c>
      <x:c r="H277" s="13" t="n">
        <x:v>0.03272727272727273</x:v>
      </x:c>
      <x:c r="I277" s="13" t="n">
        <x:v>0.006677350427350438</x:v>
      </x:c>
      <x:c r="J277" s="13" t="n">
        <x:v>0.014681192974381538</x:v>
      </x:c>
      <x:c r="K277" s="13" t="n">
        <x:v>0.014584784044848252</x:v>
      </x:c>
      <x:c r="L277" s="13" t="n">
        <x:v>0.151782826146458</x:v>
      </x:c>
      <x:c r="M277" s="13" t="n">
        <x:v>0.13581488933601615</x:v>
      </x:c>
      <x:c r="N277" s="13" t="n">
        <x:v>0.020158940647668967</x:v>
      </x:c>
      <x:c r="O277" s="13" t="n">
        <x:v>0.2106934908887081</x:v>
      </x:c>
      <x:c r="P277" s="13" t="n">
        <x:v>0.4167440261083453</x:v>
      </x:c>
      <x:c r="Q277" s="13" t="n">
        <x:v>0.016549131934601138</x:v>
      </x:c>
      <x:c r="R277" s="13" t="n">
        <x:v>0.40432445851415727</x:v>
      </x:c>
      <x:c r="S277" s="13" t="n">
        <x:v>0.7323077685396254</x:v>
      </x:c>
      <x:c r="T277" s="13" t="n">
        <x:v>0.8333333333333334</x:v>
      </x:c>
      <x:c r="U277" s="13" t="n">
        <x:v>0.01769670283587568</x:v>
      </x:c>
      <x:c r="V277" s="13" t="n">
        <x:v>0.015143653812415798</x:v>
      </x:c>
      <x:c r="W277" s="13" t="n">
        <x:v>0.05310215372456041</x:v>
      </x:c>
      <x:c r="X277" s="13" t="n">
        <x:v>0.0226731663076749</x:v>
      </x:c>
      <x:c r="Y277" s="13" t="n">
        <x:v>0.019607168129976205</x:v>
      </x:c>
      <x:c r="Z277" s="13" t="n">
        <x:v>0.014263646052321166</x:v>
      </x:c>
      <x:c r="AA277" s="13" t="n">
        <x:v>0.007800080229396648</x:v>
      </x:c>
      <x:c r="AB277" s="13" t="n">
        <x:v>0.24929293575875874</x:v>
      </x:c>
      <x:c r="AC277" s="13" t="n">
        <x:v>0.2655203612540114</x:v>
      </x:c>
      <x:c r="AD277" s="13" t="n">
        <x:v>0.15488036337313887</x:v>
      </x:c>
      <x:c r="AE277" s="13" t="n">
        <x:v>0.26717943521364773</x:v>
      </x:c>
      <x:c r="AF277" s="13" t="n">
        <x:v>0.019272423117205503</x:v>
      </x:c>
      <x:c r="AG277" s="13" t="n">
        <x:v>0.47468746958021113</x:v>
      </x:c>
      <x:c r="AH277" s="13" t="n">
        <x:v>0.5878417354228529</x:v>
      </x:c>
      <x:c r="AI277" s="13" t="n">
        <x:v>0.5882352941176471</x:v>
      </x:c>
      <x:c r="AJ277" s="13" t="n">
        <x:v>0.1625170067933142</x:v>
      </x:c>
      <x:c r="AK277" s="13" t="n">
        <x:v>0.013883867394915535</x:v>
      </x:c>
      <x:c r="AL277" s="13" t="n">
        <x:v>0.13380269763185582</x:v>
      </x:c>
      <x:c r="AM277" s="13" t="n">
        <x:v>0.07331102673032826</x:v>
      </x:c>
      <x:c r="AN277" s="13" t="n">
        <x:v>0.19495377513367942</x:v>
      </x:c>
      <x:c r="AO277" s="13" t="n">
        <x:v>0.5177457913463661</x:v>
      </x:c>
      <x:c r="AP277" s="13" t="n">
        <x:v>0.6490883345074805</x:v>
      </x:c>
    </x:row>
    <x:row r="278" ht="15" hidden="0" customHeight="1">
      <x:c r="A278" s="2" t="str">
        <x:v>E277</x:v>
      </x:c>
      <x:c r="B278" s="2" t="str">
        <x:v>***消防设备制造有限公司</x:v>
      </x:c>
      <x:c r="C278" s="2" t="str">
        <x:v>无信贷记录</x:v>
      </x:c>
      <x:c r="D278" s="2" t="str"/>
      <x:c r="E278" s="2" t="str"/>
      <x:c r="F278" s="13" t="n">
        <x:v>0.02481738293221865</x:v>
      </x:c>
      <x:c r="G278" s="13" t="n">
        <x:v>0.024187173625756526</x:v>
      </x:c>
      <x:c r="H278" s="13" t="n">
        <x:v>0.02727272727272727</x:v>
      </x:c>
      <x:c r="I278" s="13" t="n">
        <x:v>0.013354700854700877</x:v>
      </x:c>
      <x:c r="J278" s="13" t="n">
        <x:v>0.048315015403295775</x:v>
      </x:c>
      <x:c r="K278" s="13" t="n">
        <x:v>0.04819985129348437</x:v>
      </x:c>
      <x:c r="L278" s="13" t="n">
        <x:v>0.04976486103162557</x:v>
      </x:c>
      <x:c r="M278" s="13" t="n">
        <x:v>0.3524138845046327</x:v>
      </x:c>
      <x:c r="N278" s="13" t="n">
        <x:v>0.12916888615622374</x:v>
      </x:c>
      <x:c r="O278" s="13" t="n">
        <x:v>0.07515923045903307</x:v>
      </x:c>
      <x:c r="P278" s="13" t="n">
        <x:v>0.16796358241780876</x:v>
      </x:c>
      <x:c r="Q278" s="13" t="n">
        <x:v>0.059915882651789897</x:v>
      </x:c>
      <x:c r="R278" s="13" t="n">
        <x:v>0.032536620673475604</x:v>
      </x:c>
      <x:c r="S278" s="13" t="n">
        <x:v>0.589761775855716</x:v>
      </x:c>
      <x:c r="T278" s="13" t="n">
        <x:v>0.7777777777777778</x:v>
      </x:c>
      <x:c r="U278" s="13" t="n">
        <x:v>0.022851251943876594</x:v>
      </x:c>
      <x:c r="V278" s="13" t="n">
        <x:v>0.023075688407284807</x:v>
      </x:c>
      <x:c r="W278" s="13" t="n">
        <x:v>0.02099387472831458</x:v>
      </x:c>
      <x:c r="X278" s="13" t="n">
        <x:v>0.0028341457884593626</x:v>
      </x:c>
      <x:c r="Y278" s="13" t="n">
        <x:v>0.031216548529300028</x:v>
      </x:c>
      <x:c r="Z278" s="13" t="n">
        <x:v>0.020827225553161258</x:v>
      </x:c>
      <x:c r="AA278" s="13" t="n">
        <x:v>0.01262870132378505</x:v>
      </x:c>
      <x:c r="AB278" s="13" t="n">
        <x:v>0.07710046687330013</x:v>
      </x:c>
      <x:c r="AC278" s="13" t="n">
        <x:v>0.022083140281460596</x:v>
      </x:c>
      <x:c r="AD278" s="13" t="n">
        <x:v>0.7614646950315587</x:v>
      </x:c>
      <x:c r="AE278" s="13" t="n">
        <x:v>0.8677571823556072</x:v>
      </x:c>
      <x:c r="AF278" s="13" t="n">
        <x:v>0.037910279862005576</x:v>
      </x:c>
      <x:c r="AG278" s="13" t="n">
        <x:v>0.015715885056682026</x:v>
      </x:c>
      <x:c r="AH278" s="13" t="n">
        <x:v>0.48180076838768277</x:v>
      </x:c>
      <x:c r="AI278" s="13" t="n">
        <x:v>0.7647058823529411</x:v>
      </x:c>
      <x:c r="AJ278" s="13" t="n">
        <x:v>0.1580861780671393</x:v>
      </x:c>
      <x:c r="AK278" s="13" t="n">
        <x:v>0.031485971818030395</x:v>
      </x:c>
      <x:c r="AL278" s="13" t="n">
        <x:v>0.14559567575267163</x:v>
      </x:c>
      <x:c r="AM278" s="13" t="n">
        <x:v>0.05079315464562011</x:v>
      </x:c>
      <x:c r="AN278" s="13" t="n">
        <x:v>0.4727987250065763</x:v>
      </x:c>
      <x:c r="AO278" s="13" t="n">
        <x:v>0.013991714362892581</x:v>
      </x:c>
      <x:c r="AP278" s="13" t="n">
        <x:v>0.5032739519644293</x:v>
      </x:c>
    </x:row>
    <x:row r="279" ht="15" hidden="0" customHeight="1">
      <x:c r="A279" s="2" t="str">
        <x:v>E278</x:v>
      </x:c>
      <x:c r="B279" s="2" t="str">
        <x:v>***贸易有限公司</x:v>
      </x:c>
      <x:c r="C279" s="2" t="str">
        <x:v>无信贷记录</x:v>
      </x:c>
      <x:c r="D279" s="2" t="str"/>
      <x:c r="E279" s="2" t="str"/>
      <x:c r="F279" s="13" t="n">
        <x:v>0.030124714824349745</x:v>
      </x:c>
      <x:c r="G279" s="13" t="n">
        <x:v>0.029528189883810018</x:v>
      </x:c>
      <x:c r="H279" s="13" t="n">
        <x:v>0.02909090909090909</x:v>
      </x:c>
      <x:c r="I279" s="13" t="n">
        <x:v>0.013354700854700877</x:v>
      </x:c>
      <x:c r="J279" s="13" t="n">
        <x:v>0.04339092432553787</x:v>
      </x:c>
      <x:c r="K279" s="13" t="n">
        <x:v>0.04308590330800471</x:v>
      </x:c>
      <x:c r="L279" s="13" t="n">
        <x:v>0.060339894000846</x:v>
      </x:c>
      <x:c r="M279" s="13" t="n">
        <x:v>0.3100081973321411</x:v>
      </x:c>
      <x:c r="N279" s="13" t="n">
        <x:v>0.10592512772194182</x:v>
      </x:c>
      <x:c r="O279" s="13" t="n">
        <x:v>0.04742188483369882</x:v>
      </x:c>
      <x:c r="P279" s="13" t="n">
        <x:v>0.08549823520579654</x:v>
      </x:c>
      <x:c r="Q279" s="13" t="n">
        <x:v>0.04362817156509749</x:v>
      </x:c>
      <x:c r="R279" s="13" t="n">
        <x:v>0.19765715960037136</x:v>
      </x:c>
      <x:c r="S279" s="13" t="n">
        <x:v>0.6508771365509168</x:v>
      </x:c>
      <x:c r="T279" s="13" t="n">
        <x:v>0.9444444444444444</x:v>
      </x:c>
      <x:c r="U279" s="13" t="n">
        <x:v>0.01996819905296083</x:v>
      </x:c>
      <x:c r="V279" s="13" t="n">
        <x:v>0.020089510677451766</x:v>
      </x:c>
      <x:c r="W279" s="13" t="n">
        <x:v>0.019758940920766663</x:v>
      </x:c>
      <x:c r="X279" s="13" t="n">
        <x:v>0.005668291576918725</x:v>
      </x:c>
      <x:c r="Y279" s="13" t="n">
        <x:v>0.022275323837874964</x:v>
      </x:c>
      <x:c r="Z279" s="13" t="n">
        <x:v>0.015111713532186835</x:v>
      </x:c>
      <x:c r="AA279" s="13" t="n">
        <x:v>0.013742998499413142</x:v>
      </x:c>
      <x:c r="AB279" s="13" t="n">
        <x:v>0.08262669905156435</x:v>
      </x:c>
      <x:c r="AC279" s="13" t="n">
        <x:v>0.05053259127469362</x:v>
      </x:c>
      <x:c r="AD279" s="13" t="n">
        <x:v>0.1354456556016647</x:v>
      </x:c>
      <x:c r="AE279" s="13" t="n">
        <x:v>0.29395294865416965</x:v>
      </x:c>
      <x:c r="AF279" s="13" t="n">
        <x:v>0.021901398749181147</x:v>
      </x:c>
      <x:c r="AG279" s="13" t="n">
        <x:v>0.2701008294910068</x:v>
      </x:c>
      <x:c r="AH279" s="13" t="n">
        <x:v>0.6742004663868372</x:v>
      </x:c>
      <x:c r="AI279" s="13" t="n">
        <x:v>0.9411764705882353</x:v>
      </x:c>
      <x:c r="AJ279" s="13" t="n">
        <x:v>0.14832800137681723</x:v>
      </x:c>
      <x:c r="AK279" s="13" t="n">
        <x:v>0.03874750796423448</x:v>
      </x:c>
      <x:c r="AL279" s="13" t="n">
        <x:v>0.1367567232983643</x:v>
      </x:c>
      <x:c r="AM279" s="13" t="n">
        <x:v>0.06351222610352499</x:v>
      </x:c>
      <x:c r="AN279" s="13" t="n">
        <x:v>0.08561266431313078</x:v>
      </x:c>
      <x:c r="AO279" s="13" t="n">
        <x:v>0.2633300095112957</x:v>
      </x:c>
      <x:c r="AP279" s="13" t="n">
        <x:v>0.6368054603436701</x:v>
      </x:c>
    </x:row>
    <x:row r="280" ht="15" hidden="0" customHeight="1">
      <x:c r="A280" s="2" t="str">
        <x:v>E279</x:v>
      </x:c>
      <x:c r="B280" s="2" t="str">
        <x:v>***环保包装有限公司</x:v>
      </x:c>
      <x:c r="C280" s="2" t="str">
        <x:v>无信贷记录</x:v>
      </x:c>
      <x:c r="D280" s="2" t="str"/>
      <x:c r="E280" s="2" t="str"/>
      <x:c r="F280" s="13" t="n">
        <x:v>0.04612146165415333</x:v>
      </x:c>
      <x:c r="G280" s="13" t="n">
        <x:v>0.0456275388902284</x:v>
      </x:c>
      <x:c r="H280" s="13" t="n">
        <x:v>0.034545454545454546</x:v>
      </x:c>
      <x:c r="I280" s="13" t="n">
        <x:v>0.026709401709401753</x:v>
      </x:c>
      <x:c r="J280" s="13" t="n">
        <x:v>0.0643870210787501</x:v>
      </x:c>
      <x:c r="K280" s="13" t="n">
        <x:v>0.06603287253986309</x:v>
      </x:c>
      <x:c r="L280" s="13" t="n">
        <x:v>0.05598546866057877</x:v>
      </x:c>
      <x:c r="M280" s="13" t="n">
        <x:v>0.24086359839164234</x:v>
      </x:c>
      <x:c r="N280" s="13" t="n">
        <x:v>0.13734958227945124</x:v>
      </x:c>
      <x:c r="O280" s="13" t="n">
        <x:v>0.11047483499535486</x:v>
      </x:c>
      <x:c r="P280" s="13" t="n">
        <x:v>0.18679773387834905</x:v>
      </x:c>
      <x:c r="Q280" s="13" t="n">
        <x:v>0.07984775456160319</x:v>
      </x:c>
      <x:c r="R280" s="13" t="n">
        <x:v>0.06978829044137341</x:v>
      </x:c>
      <x:c r="S280" s="13" t="n">
        <x:v>0.4810682440423579</x:v>
      </x:c>
      <x:c r="T280" s="13" t="n">
        <x:v>0.7777777777777778</x:v>
      </x:c>
      <x:c r="U280" s="13" t="n">
        <x:v>0.045129387919134775</x:v>
      </x:c>
      <x:c r="V280" s="13" t="n">
        <x:v>0.04603192970537629</x:v>
      </x:c>
      <x:c r="W280" s="13" t="n">
        <x:v>0.032108278996245826</x:v>
      </x:c>
      <x:c r="X280" s="13" t="n">
        <x:v>0.09352681101915897</x:v>
      </x:c>
      <x:c r="Y280" s="13" t="n">
        <x:v>0.034719710796736254</x:v>
      </x:c>
      <x:c r="Z280" s="13" t="n">
        <x:v>0.027306379990463734</x:v>
      </x:c>
      <x:c r="AA280" s="13" t="n">
        <x:v>0.0018571619593801545</x:v>
      </x:c>
      <x:c r="AB280" s="13" t="n">
        <x:v>0.06075261569998577</x:v>
      </x:c>
      <x:c r="AC280" s="13" t="n">
        <x:v>0.37020176367840546</x:v>
      </x:c>
      <x:c r="AD280" s="13" t="n">
        <x:v>0.8578259667336954</x:v>
      </x:c>
      <x:c r="AE280" s="13" t="n">
        <x:v>0.9210080326402441</x:v>
      </x:c>
      <x:c r="AF280" s="13" t="n">
        <x:v>0.042167402034713815</x:v>
      </x:c>
      <x:c r="AG280" s="13" t="n">
        <x:v>0.12022799285954704</x:v>
      </x:c>
      <x:c r="AH280" s="13" t="n">
        <x:v>0.3993587210052554</x:v>
      </x:c>
      <x:c r="AI280" s="13" t="n">
        <x:v>0.7352941176470589</x:v>
      </x:c>
      <x:c r="AJ280" s="13" t="n">
        <x:v>0.1530308773930751</x:v>
      </x:c>
      <x:c r="AK280" s="13" t="n">
        <x:v>0.03292541197075696</x:v>
      </x:c>
      <x:c r="AL280" s="13" t="n">
        <x:v>0.10716367152896866</x:v>
      </x:c>
      <x:c r="AM280" s="13" t="n">
        <x:v>0.32632293080054303</x:v>
      </x:c>
      <x:c r="AN280" s="13" t="n">
        <x:v>0.5510008222816312</x:v>
      </x:c>
      <x:c r="AO280" s="13" t="n">
        <x:v>0.09411768147440672</x:v>
      </x:c>
      <x:c r="AP280" s="13" t="n">
        <x:v>0.39132258587198676</x:v>
      </x:c>
    </x:row>
    <x:row r="281" ht="15" hidden="0" customHeight="1">
      <x:c r="A281" s="2" t="str">
        <x:v>E280</x:v>
      </x:c>
      <x:c r="B281" s="2" t="str">
        <x:v>个体经营E280 </x:v>
      </x:c>
      <x:c r="C281" s="2" t="str">
        <x:v>无信贷记录</x:v>
      </x:c>
      <x:c r="D281" s="2" t="str"/>
      <x:c r="E281" s="2" t="str"/>
      <x:c r="F281" s="13" t="n">
        <x:v>0.041337387835894315</x:v>
      </x:c>
      <x:c r="G281" s="13" t="n">
        <x:v>0.0413547258837856</x:v>
      </x:c>
      <x:c r="H281" s="13" t="n">
        <x:v>0.02</x:v>
      </x:c>
      <x:c r="I281" s="13" t="n">
        <x:v>0</x:v>
      </x:c>
      <x:c r="J281" s="13" t="n">
        <x:v>0.048291352179635</x:v>
      </x:c>
      <x:c r="K281" s="13" t="n">
        <x:v>0.04793492316027643</x:v>
      </x:c>
      <x:c r="L281" s="13" t="n">
        <x:v>0.06407225857821792</x:v>
      </x:c>
      <x:c r="M281" s="13" t="n">
        <x:v>0.15552776116156403</x:v>
      </x:c>
      <x:c r="N281" s="13" t="n">
        <x:v>0</x:v>
      </x:c>
      <x:c r="O281" s="13" t="n">
        <x:v>0.08209716594082993</x:v>
      </x:c>
      <x:c r="P281" s="13" t="n">
        <x:v>0.1555653572241791</x:v>
      </x:c>
      <x:c r="Q281" s="13" t="n">
        <x:v>0.06195175782966141</x:v>
      </x:c>
      <x:c r="R281" s="13" t="n">
        <x:v>0.05823167418146752</x:v>
      </x:c>
      <x:c r="S281" s="13" t="n">
        <x:v>0.5309468488496406</x:v>
      </x:c>
      <x:c r="T281" s="13" t="n">
        <x:v>0.75</x:v>
      </x:c>
      <x:c r="U281" s="13" t="n">
        <x:v>0.05054603274449167</x:v>
      </x:c>
      <x:c r="V281" s="13" t="n">
        <x:v>0.05060451435418313</x:v>
      </x:c>
      <x:c r="W281" s="13" t="n">
        <x:v>0.048162418494368746</x:v>
      </x:c>
      <x:c r="X281" s="13" t="n">
        <x:v>0.01133658315383745</x:v>
      </x:c>
      <x:c r="Y281" s="13" t="n">
        <x:v>0.02941699634946956</x:v>
      </x:c>
      <x:c r="Z281" s="13" t="n">
        <x:v>0.019728051743403238</x:v>
      </x:c>
      <x:c r="AA281" s="13" t="n">
        <x:v>0.04642904898450386</x:v>
      </x:c>
      <x:c r="AB281" s="13" t="n">
        <x:v>0.0815200914749809</x:v>
      </x:c>
      <x:c r="AC281" s="13" t="n">
        <x:v>0.04086788802543527</x:v>
      </x:c>
      <x:c r="AD281" s="13" t="n">
        <x:v>0.030446784452501235</x:v>
      </x:c>
      <x:c r="AE281" s="13" t="n">
        <x:v>0.07378306829014235</x:v>
      </x:c>
      <x:c r="AF281" s="13" t="n">
        <x:v>0.029745965197668735</x:v>
      </x:c>
      <x:c r="AG281" s="13" t="n">
        <x:v>0.08377467557206644</x:v>
      </x:c>
      <x:c r="AH281" s="13" t="n">
        <x:v>0.5832903382960958</x:v>
      </x:c>
      <x:c r="AI281" s="13" t="n">
        <x:v>0.9411764705882353</x:v>
      </x:c>
      <x:c r="AJ281" s="13" t="n">
        <x:v>0.15551489874894966</x:v>
      </x:c>
      <x:c r="AK281" s="13" t="n">
        <x:v>0.03305245980880284</x:v>
      </x:c>
      <x:c r="AL281" s="13" t="n">
        <x:v>0.11972777696925552</x:v>
      </x:c>
      <x:c r="AM281" s="13" t="n">
        <x:v>0.03550408979803638</x:v>
      </x:c>
      <x:c r="AN281" s="13" t="n">
        <x:v>0.0442381475606759</x:v>
      </x:c>
      <x:c r="AO281" s="13" t="n">
        <x:v>0.06721810557642001</x:v>
      </x:c>
      <x:c r="AP281" s="13" t="n">
        <x:v>0.5133070243221854</x:v>
      </x:c>
    </x:row>
    <x:row r="282" ht="15" hidden="0" customHeight="1">
      <x:c r="A282" s="2" t="str">
        <x:v>E281</x:v>
      </x:c>
      <x:c r="B282" s="2" t="str">
        <x:v>***商业管理有限责任公司</x:v>
      </x:c>
      <x:c r="C282" s="2" t="str">
        <x:v>无信贷记录</x:v>
      </x:c>
      <x:c r="D282" s="2" t="str"/>
      <x:c r="E282" s="2" t="str"/>
      <x:c r="F282" s="13" t="n">
        <x:v>0.07923622261491496</x:v>
      </x:c>
      <x:c r="G282" s="13" t="n">
        <x:v>0.07630023225790702</x:v>
      </x:c>
      <x:c r="H282" s="13" t="n">
        <x:v>0.10909090909090909</x:v>
      </x:c>
      <x:c r="I282" s="13" t="n">
        <x:v>0</x:v>
      </x:c>
      <x:c r="J282" s="13" t="n">
        <x:v>0.07396489372379421</x:v>
      </x:c>
      <x:c r="K282" s="13" t="n">
        <x:v>0.07341897331885573</x:v>
      </x:c>
      <x:c r="L282" s="13" t="n">
        <x:v>0.11694742342432009</x:v>
      </x:c>
      <x:c r="M282" s="13" t="n">
        <x:v>0.4433379940660916</x:v>
      </x:c>
      <x:c r="N282" s="13" t="n">
        <x:v>0</x:v>
      </x:c>
      <x:c r="O282" s="13" t="n">
        <x:v>0.32578682560488675</x:v>
      </x:c>
      <x:c r="P282" s="13" t="n">
        <x:v>0.5482969801441877</x:v>
      </x:c>
      <x:c r="Q282" s="13" t="n">
        <x:v>0.08093400521555831</x:v>
      </x:c>
      <x:c r="R282" s="13" t="n">
        <x:v>0.048472883353037045</x:v>
      </x:c>
      <x:c r="S282" s="13" t="n">
        <x:v>0.5475175439627691</x:v>
      </x:c>
      <x:c r="T282" s="13" t="n">
        <x:v>0.8888888888888888</x:v>
      </x:c>
      <x:c r="U282" s="13" t="n">
        <x:v>0.04993447607066105</x:v>
      </x:c>
      <x:c r="V282" s="13" t="n">
        <x:v>0.05079115046229769</x:v>
      </x:c>
      <x:c r="W282" s="13" t="n">
        <x:v>0.0370480142264375</x:v>
      </x:c>
      <x:c r="X282" s="13" t="n">
        <x:v>0.008502437365378089</x:v>
      </x:c>
      <x:c r="Y282" s="13" t="n">
        <x:v>0.02647531765873662</x:v>
      </x:c>
      <x:c r="Z282" s="13" t="n">
        <x:v>0.01754979027282774</x:v>
      </x:c>
      <x:c r="AA282" s="13" t="n">
        <x:v>0.015228728066917266</x:v>
      </x:c>
      <x:c r="AB282" s="13" t="n">
        <x:v>0.0634632778859907</x:v>
      </x:c>
      <x:c r="AC282" s="13" t="n">
        <x:v>0.030539660425540786</x:v>
      </x:c>
      <x:c r="AD282" s="13" t="n">
        <x:v>0.2047411337170675</x:v>
      </x:c>
      <x:c r="AE282" s="13" t="n">
        <x:v>0.3632682477452728</x:v>
      </x:c>
      <x:c r="AF282" s="13" t="n">
        <x:v>0.029213178317071452</x:v>
      </x:c>
      <x:c r="AG282" s="13" t="n">
        <x:v>0.10442937617709022</x:v>
      </x:c>
      <x:c r="AH282" s="13" t="n">
        <x:v>0.573982167386013</x:v>
      </x:c>
      <x:c r="AI282" s="13" t="n">
        <x:v>0.8529411764705882</x:v>
      </x:c>
      <x:c r="AJ282" s="13" t="n">
        <x:v>0.13517006669208756</x:v>
      </x:c>
      <x:c r="AK282" s="13" t="n">
        <x:v>0.05689438044832255</x:v>
      </x:c>
      <x:c r="AL282" s="13" t="n">
        <x:v>0.15092669461173486</x:v>
      </x:c>
      <x:c r="AM282" s="13" t="n">
        <x:v>0.0187408097951966</x:v>
      </x:c>
      <x:c r="AN282" s="13" t="n">
        <x:v>0.29343547923522006</x:v>
      </x:c>
      <x:c r="AO282" s="13" t="n">
        <x:v>0.07056392338962875</x:v>
      </x:c>
      <x:c r="AP282" s="13" t="n">
        <x:v>0.5198012251038711</x:v>
      </x:c>
    </x:row>
    <x:row r="283" ht="15" hidden="0" customHeight="1">
      <x:c r="A283" s="2" t="str">
        <x:v>E282</x:v>
      </x:c>
      <x:c r="B283" s="2" t="str">
        <x:v>***影城有限公司***分公司</x:v>
      </x:c>
      <x:c r="C283" s="2" t="str">
        <x:v>无信贷记录</x:v>
      </x:c>
      <x:c r="D283" s="2" t="str"/>
      <x:c r="E283" s="2" t="str"/>
      <x:c r="F283" s="13" t="n">
        <x:v>0.059277664654365625</x:v>
      </x:c>
      <x:c r="G283" s="13" t="n">
        <x:v>0.05722517419343027</x:v>
      </x:c>
      <x:c r="H283" s="13" t="n">
        <x:v>0.07818181818181819</x:v>
      </x:c>
      <x:c r="I283" s="13" t="n">
        <x:v>0.1268696581196583</x:v>
      </x:c>
      <x:c r="J283" s="13" t="n">
        <x:v>0.04406322912130475</x:v>
      </x:c>
      <x:c r="K283" s="13" t="n">
        <x:v>0.04633002506822576</x:v>
      </x:c>
      <x:c r="L283" s="13" t="n">
        <x:v>0.05722959018636941</x:v>
      </x:c>
      <x:c r="M283" s="13" t="n">
        <x:v>0.42443339280968845</x:v>
      </x:c>
      <x:c r="N283" s="13" t="n">
        <x:v>0.5205403051814309</x:v>
      </x:c>
      <x:c r="O283" s="13" t="n">
        <x:v>0.5116660091245026</x:v>
      </x:c>
      <x:c r="P283" s="13" t="n">
        <x:v>0.6957725021372507</x:v>
      </x:c>
      <x:c r="Q283" s="13" t="n">
        <x:v>0.04313816964550551</x:v>
      </x:c>
      <x:c r="R283" s="13" t="n">
        <x:v>0</x:v>
      </x:c>
      <x:c r="S283" s="13" t="n">
        <x:v>0.5570230373501662</x:v>
      </x:c>
      <x:c r="T283" s="13" t="n">
        <x:v>1</x:v>
      </x:c>
      <x:c r="U283" s="13" t="n">
        <x:v>0.23602243539340592</x:v>
      </x:c>
      <x:c r="V283" s="13" t="n">
        <x:v>0.1821829705749514</x:v>
      </x:c>
      <x:c r="W283" s="13" t="n">
        <x:v>0.9286702232760332</x:v>
      </x:c>
      <x:c r="X283" s="13" t="n">
        <x:v>0.05101462419226853</x:v>
      </x:c>
      <x:c r="Y283" s="13" t="n">
        <x:v>0.03286489119466664</x:v>
      </x:c>
      <x:c r="Z283" s="13" t="n">
        <x:v>0.022229944852750486</x:v>
      </x:c>
      <x:c r="AA283" s="13" t="n">
        <x:v>0.21951654359873427</x:v>
      </x:c>
      <x:c r="AB283" s="13" t="n">
        <x:v>0.34093037830719247</x:v>
      </x:c>
      <x:c r="AC283" s="13" t="n">
        <x:v>0.0515385999830719</x:v>
      </x:c>
      <x:c r="AD283" s="13" t="n">
        <x:v>0.09568010410790175</x:v>
      </x:c>
      <x:c r="AE283" s="13" t="n">
        <x:v>0.20814976135814656</x:v>
      </x:c>
      <x:c r="AF283" s="13" t="n">
        <x:v>0.03148081303205926</x:v>
      </x:c>
      <x:c r="AG283" s="13" t="n">
        <x:v>0.07366980556374354</x:v>
      </x:c>
      <x:c r="AH283" s="13" t="n">
        <x:v>0.5025931202078125</x:v>
      </x:c>
      <x:c r="AI283" s="13" t="n">
        <x:v>1</x:v>
      </x:c>
      <x:c r="AJ283" s="13" t="n">
        <x:v>0.16312419814261317</x:v>
      </x:c>
      <x:c r="AK283" s="13" t="n">
        <x:v>0.02835904732826813</x:v>
      </x:c>
      <x:c r="AL283" s="13" t="n">
        <x:v>0.6372243180287963</x:v>
      </x:c>
      <x:c r="AM283" s="13" t="n">
        <x:v>0.132406943519217</x:v>
      </x:c>
      <x:c r="AN283" s="13" t="n">
        <x:v>0.3402620543786889</x:v>
      </x:c>
      <x:c r="AO283" s="13" t="n">
        <x:v>0</x:v>
      </x:c>
      <x:c r="AP283" s="13" t="n">
        <x:v>0.4916043460592063</x:v>
      </x:c>
    </x:row>
    <x:row r="284" ht="15" hidden="0" customHeight="1">
      <x:c r="A284" s="2" t="str">
        <x:v>E283</x:v>
      </x:c>
      <x:c r="B284" s="2" t="str">
        <x:v>***机械铸造有限责任公司</x:v>
      </x:c>
      <x:c r="C284" s="2" t="str">
        <x:v>无信贷记录</x:v>
      </x:c>
      <x:c r="D284" s="2" t="str"/>
      <x:c r="E284" s="2" t="str"/>
      <x:c r="F284" s="13" t="n">
        <x:v>0.04537395012005036</x:v>
      </x:c>
      <x:c r="G284" s="13" t="n">
        <x:v>0.04425413470958607</x:v>
      </x:c>
      <x:c r="H284" s="13" t="n">
        <x:v>0.04909090909090909</x:v>
      </x:c>
      <x:c r="I284" s="13" t="n">
        <x:v>0</x:v>
      </x:c>
      <x:c r="J284" s="13" t="n">
        <x:v>0.059439006492582325</x:v>
      </x:c>
      <x:c r="K284" s="13" t="n">
        <x:v>0.05900029881844242</x:v>
      </x:c>
      <x:c r="L284" s="13" t="n">
        <x:v>0.06593844086690388</x:v>
      </x:c>
      <x:c r="M284" s="13" t="n">
        <x:v>0.3479002091365931</x:v>
      </x:c>
      <x:c r="N284" s="13" t="n">
        <x:v>0</x:v>
      </x:c>
      <x:c r="O284" s="13" t="n">
        <x:v>0.09181807369386503</x:v>
      </x:c>
      <x:c r="P284" s="13" t="n">
        <x:v>0.17298766177556837</x:v>
      </x:c>
      <x:c r="Q284" s="13" t="n">
        <x:v>0.059765092844894716</x:v>
      </x:c>
      <x:c r="R284" s="13" t="n">
        <x:v>0.04148801500802443</x:v>
      </x:c>
      <x:c r="S284" s="13" t="n">
        <x:v>0.5904720334606571</x:v>
      </x:c>
      <x:c r="T284" s="13" t="n">
        <x:v>0.9722222222222222</x:v>
      </x:c>
      <x:c r="U284" s="13" t="n">
        <x:v>0.025297478639199063</x:v>
      </x:c>
      <x:c r="V284" s="13" t="n">
        <x:v>0.026528456407404255</x:v>
      </x:c>
      <x:c r="W284" s="13" t="n">
        <x:v>0.009879470460383332</x:v>
      </x:c>
      <x:c r="X284" s="13" t="n">
        <x:v>0</x:v>
      </x:c>
      <x:c r="Y284" s="13" t="n">
        <x:v>0.033825670701332175</x:v>
      </x:c>
      <x:c r="Z284" s="13" t="n">
        <x:v>0.022342250535279794</x:v>
      </x:c>
      <x:c r="AA284" s="13" t="n">
        <x:v>0.006685783053768556</x:v>
      </x:c>
      <x:c r="AB284" s="13" t="n">
        <x:v>0.032884873535572436</x:v>
      </x:c>
      <x:c r="AC284" s="13" t="n">
        <x:v>0</x:v>
      </x:c>
      <x:c r="AD284" s="13" t="n">
        <x:v>0.14684404534975773</x:v>
      </x:c>
      <x:c r="AE284" s="13" t="n">
        <x:v>0.22556492901506472</x:v>
      </x:c>
      <x:c r="AF284" s="13" t="n">
        <x:v>0.03328213652059437</x:v>
      </x:c>
      <x:c r="AG284" s="13" t="n">
        <x:v>0.07541762276764123</x:v>
      </x:c>
      <x:c r="AH284" s="13" t="n">
        <x:v>0.5940764759778313</x:v>
      </x:c>
      <x:c r="AI284" s="13" t="n">
        <x:v>0.9705882352941176</x:v>
      </x:c>
      <x:c r="AJ284" s="13" t="n">
        <x:v>0.15485232030714283</x:v>
      </x:c>
      <x:c r="AK284" s="13" t="n">
        <x:v>0.035937400519184204</x:v>
      </x:c>
      <x:c r="AL284" s="13" t="n">
        <x:v>0.10502860264157343</x:v>
      </x:c>
      <x:c r="AM284" s="13" t="n">
        <x:v>0</x:v>
      </x:c>
      <x:c r="AN284" s="13" t="n">
        <x:v>0.11896326350885583</x:v>
      </x:c>
      <x:c r="AO284" s="13" t="n">
        <x:v>0.05076967162366588</x:v>
      </x:c>
      <x:c r="AP284" s="13" t="n">
        <x:v>0.558008671160647</x:v>
      </x:c>
    </x:row>
    <x:row r="285" ht="15" hidden="0" customHeight="1">
      <x:c r="A285" s="2" t="str">
        <x:v>E284</x:v>
      </x:c>
      <x:c r="B285" s="2" t="str">
        <x:v>***成焊科技有限公司</x:v>
      </x:c>
      <x:c r="C285" s="2" t="str">
        <x:v>无信贷记录</x:v>
      </x:c>
      <x:c r="D285" s="2" t="str"/>
      <x:c r="E285" s="2" t="str"/>
      <x:c r="F285" s="13" t="n">
        <x:v>0.07893721800127378</x:v>
      </x:c>
      <x:c r="G285" s="13" t="n">
        <x:v>0.07668173341919655</x:v>
      </x:c>
      <x:c r="H285" s="13" t="n">
        <x:v>0.09272727272727273</x:v>
      </x:c>
      <x:c r="I285" s="13" t="n">
        <x:v>0.03338675213675219</x:v>
      </x:c>
      <x:c r="J285" s="13" t="n">
        <x:v>0.04184984598097103</x:v>
      </x:c>
      <x:c r="K285" s="13" t="n">
        <x:v>0.04169533881243394</x:v>
      </x:c>
      <x:c r="L285" s="13" t="n">
        <x:v>0.07526935231033367</x:v>
      </x:c>
      <x:c r="M285" s="13" t="n">
        <x:v>0.3782620106270897</x:v>
      </x:c>
      <x:c r="N285" s="13" t="n">
        <x:v>0.10229611391220302</x:v>
      </x:c>
      <x:c r="O285" s="13" t="n">
        <x:v>0.07377625352751091</x:v>
      </x:c>
      <x:c r="P285" s="13" t="n">
        <x:v>0.16455655696899296</x:v>
      </x:c>
      <x:c r="Q285" s="13" t="n">
        <x:v>0.04097110300812235</x:v>
      </x:c>
      <x:c r="R285" s="13" t="n">
        <x:v>0.03777757053588644</x:v>
      </x:c>
      <x:c r="S285" s="13" t="n">
        <x:v>0.5900152744658524</x:v>
      </x:c>
      <x:c r="T285" s="13" t="n">
        <x:v>1</x:v>
      </x:c>
      <x:c r="U285" s="13" t="n">
        <x:v>0.039887473572015206</x:v>
      </x:c>
      <x:c r="V285" s="13" t="n">
        <x:v>0.03940634786730923</x:v>
      </x:c>
      <x:c r="W285" s="13" t="n">
        <x:v>0.04569255087927291</x:v>
      </x:c>
      <x:c r="X285" s="13" t="n">
        <x:v>0.005668291576918725</x:v>
      </x:c>
      <x:c r="Y285" s="13" t="n">
        <x:v>0.02751758668259502</x:v>
      </x:c>
      <x:c r="Z285" s="13" t="n">
        <x:v>0.01819146714630164</x:v>
      </x:c>
      <x:c r="AA285" s="13" t="n">
        <x:v>0.04642904898450386</x:v>
      </x:c>
      <x:c r="AB285" s="13" t="n">
        <x:v>0.09758727358477409</x:v>
      </x:c>
      <x:c r="AC285" s="13" t="n">
        <x:v>0.026149732547743547</x:v>
      </x:c>
      <x:c r="AD285" s="13" t="n">
        <x:v>0.33164314858684385</x:v>
      </x:c>
      <x:c r="AE285" s="13" t="n">
        <x:v>0.5468059458373703</x:v>
      </x:c>
      <x:c r="AF285" s="13" t="n">
        <x:v>0.02706668248220353</x:v>
      </x:c>
      <x:c r="AG285" s="13" t="n">
        <x:v>0.06911518551427498</x:v>
      </x:c>
      <x:c r="AH285" s="13" t="n">
        <x:v>0.6085020050259585</x:v>
      </x:c>
      <x:c r="AI285" s="13" t="n">
        <x:v>0.9705882352941176</x:v>
      </x:c>
      <x:c r="AJ285" s="13" t="n">
        <x:v>0.1568291109634321</x:v>
      </x:c>
      <x:c r="AK285" s="13" t="n">
        <x:v>0.03116901748047179</x:v>
      </x:c>
      <x:c r="AL285" s="13" t="n">
        <x:v>0.15931065085851695</x:v>
      </x:c>
      <x:c r="AM285" s="13" t="n">
        <x:v>0.047291398162391425</x:v>
      </x:c>
      <x:c r="AN285" s="13" t="n">
        <x:v>0.21754188570334435</x:v>
      </x:c>
      <x:c r="AO285" s="13" t="n">
        <x:v>0.044869799829369596</x:v>
      </x:c>
      <x:c r="AP285" s="13" t="n">
        <x:v>0.5646776068010603</x:v>
      </x:c>
    </x:row>
    <x:row r="286" ht="15" hidden="0" customHeight="1">
      <x:c r="A286" s="2" t="str">
        <x:v>E285</x:v>
      </x:c>
      <x:c r="B286" s="2" t="str">
        <x:v>个体经营E285 </x:v>
      </x:c>
      <x:c r="C286" s="2" t="str">
        <x:v>无信贷记录</x:v>
      </x:c>
      <x:c r="D286" s="2" t="str"/>
      <x:c r="E286" s="2" t="str"/>
      <x:c r="F286" s="13" t="n">
        <x:v>0.0575583881259288</x:v>
      </x:c>
      <x:c r="G286" s="13" t="n">
        <x:v>0.05554656908375631</x:v>
      </x:c>
      <x:c r="H286" s="13" t="n">
        <x:v>0.07636363636363637</x:v>
      </x:c>
      <x:c r="I286" s="13" t="n">
        <x:v>0.026709401709401753</x:v>
      </x:c>
      <x:c r="J286" s="13" t="n">
        <x:v>0.06304376852004905</x:v>
      </x:c>
      <x:c r="K286" s="13" t="n">
        <x:v>0.063886954127575</x:v>
      </x:c>
      <x:c r="L286" s="13" t="n">
        <x:v>0.1399636716514469</x:v>
      </x:c>
      <x:c r="M286" s="13" t="n">
        <x:v>0.42691381449317684</x:v>
      </x:c>
      <x:c r="N286" s="13" t="n">
        <x:v>0.11289006762694623</x:v>
      </x:c>
      <x:c r="O286" s="13" t="n">
        <x:v>0.061670499747775075</x:v>
      </x:c>
      <x:c r="P286" s="13" t="n">
        <x:v>0.13816497522502635</x:v>
      </x:c>
      <x:c r="Q286" s="13" t="n">
        <x:v>0.06515077386047044</x:v>
      </x:c>
      <x:c r="R286" s="13" t="n">
        <x:v>0.2999731147654729</x:v>
      </x:c>
      <x:c r="S286" s="13" t="n">
        <x:v>0.5468294487085128</x:v>
      </x:c>
      <x:c r="T286" s="13" t="n">
        <x:v>0.9444444444444444</x:v>
      </x:c>
      <x:c r="U286" s="13" t="n">
        <x:v>0.048449267005643844</x:v>
      </x:c>
      <x:c r="V286" s="13" t="n">
        <x:v>0.04211257143497042</x:v>
      </x:c>
      <x:c r="W286" s="13" t="n">
        <x:v>0.13090298360007915</x:v>
      </x:c>
      <x:c r="X286" s="13" t="n">
        <x:v>0.019839020519215537</x:v>
      </x:c>
      <x:c r="Y286" s="13" t="n">
        <x:v>0.05080932892723438</x:v>
      </x:c>
      <x:c r="Z286" s="13" t="n">
        <x:v>0.03454218918276532</x:v>
      </x:c>
      <x:c r="AA286" s="13" t="n">
        <x:v>0.019685916769429636</x:v>
      </x:c>
      <x:c r="AB286" s="13" t="n">
        <x:v>0.23099582930772</x:v>
      </x:c>
      <x:c r="AC286" s="13" t="n">
        <x:v>0.08572887209702387</x:v>
      </x:c>
      <x:c r="AD286" s="13" t="n">
        <x:v>0.06624053010147625</x:v>
      </x:c>
      <x:c r="AE286" s="13" t="n">
        <x:v>0.16733924691406654</x:v>
      </x:c>
      <x:c r="AF286" s="13" t="n">
        <x:v>0.05140967129860447</x:v>
      </x:c>
      <x:c r="AG286" s="13" t="n">
        <x:v>0.35241218246151</x:v>
      </x:c>
      <x:c r="AH286" s="13" t="n">
        <x:v>0.632906617827248</x:v>
      </x:c>
      <x:c r="AI286" s="13" t="n">
        <x:v>0.9411764705882353</x:v>
      </x:c>
      <x:c r="AJ286" s="13" t="n">
        <x:v>0.17699651918581674</x:v>
      </x:c>
      <x:c r="AK286" s="13" t="n">
        <x:v>0.025191675863881338</x:v>
      </x:c>
      <x:c r="AL286" s="13" t="n">
        <x:v>0.3092796717484639</x:v>
      </x:c>
      <x:c r="AM286" s="13" t="n">
        <x:v>0.08982863460475407</x:v>
      </x:c>
      <x:c r="AN286" s="13" t="n">
        <x:v>0.053185625900849534</x:v>
      </x:c>
      <x:c r="AO286" s="13" t="n">
        <x:v>0.3796715971320107</x:v>
      </x:c>
      <x:c r="AP286" s="13" t="n">
        <x:v>0.5478232955625422</x:v>
      </x:c>
    </x:row>
    <x:row r="287" ht="15" hidden="0" customHeight="1">
      <x:c r="A287" s="2" t="str">
        <x:v>E286</x:v>
      </x:c>
      <x:c r="B287" s="2" t="str">
        <x:v>***印务有限公司</x:v>
      </x:c>
      <x:c r="C287" s="2" t="str">
        <x:v>无信贷记录</x:v>
      </x:c>
      <x:c r="D287" s="2" t="str"/>
      <x:c r="E287" s="2" t="str"/>
      <x:c r="F287" s="13" t="n">
        <x:v>0.022649599483320033</x:v>
      </x:c>
      <x:c r="G287" s="13" t="n">
        <x:v>0.02197446689027722</x:v>
      </x:c>
      <x:c r="H287" s="13" t="n">
        <x:v>0.02727272727272727</x:v>
      </x:c>
      <x:c r="I287" s="13" t="n">
        <x:v>0</x:v>
      </x:c>
      <x:c r="J287" s="13" t="n">
        <x:v>0.044106233082833</x:v>
      </x:c>
      <x:c r="K287" s="13" t="n">
        <x:v>0.043780693608460104</x:v>
      </x:c>
      <x:c r="L287" s="13" t="n">
        <x:v>0.04976486103162557</x:v>
      </x:c>
      <x:c r="M287" s="13" t="n">
        <x:v>0.3859220899165486</x:v>
      </x:c>
      <x:c r="N287" s="13" t="n">
        <x:v>0</x:v>
      </x:c>
      <x:c r="O287" s="13" t="n">
        <x:v>0.07015554871737148</x:v>
      </x:c>
      <x:c r="P287" s="13" t="n">
        <x:v>0.11304246954090477</x:v>
      </x:c>
      <x:c r="Q287" s="13" t="n">
        <x:v>0.06837161549112064</x:v>
      </x:c>
      <x:c r="R287" s="13" t="n">
        <x:v>0.14487273729030997</x:v>
      </x:c>
      <x:c r="S287" s="13" t="n">
        <x:v>0.7325226915034274</x:v>
      </x:c>
      <x:c r="T287" s="13" t="n">
        <x:v>0.6111111111111112</x:v>
      </x:c>
      <x:c r="U287" s="13" t="n">
        <x:v>0.02171550383533402</x:v>
      </x:c>
      <x:c r="V287" s="13" t="n">
        <x:v>0.017943195434134272</x:v>
      </x:c>
      <x:c r="W287" s="13" t="n">
        <x:v>0.07286109464532707</x:v>
      </x:c>
      <x:c r="X287" s="13" t="n">
        <x:v>0.014170728942296814</x:v>
      </x:c>
      <x:c r="Y287" s="13" t="n">
        <x:v>0.020597671680598156</x:v>
      </x:c>
      <x:c r="Z287" s="13" t="n">
        <x:v>0.014148218317582032</x:v>
      </x:c>
      <x:c r="AA287" s="13" t="n">
        <x:v>0.012257268931909019</x:v>
      </x:c>
      <x:c r="AB287" s="13" t="n">
        <x:v>0.28106688664778745</x:v>
      </x:c>
      <x:c r="AC287" s="13" t="n">
        <x:v>0.14093260380630632</x:v>
      </x:c>
      <x:c r="AD287" s="13" t="n">
        <x:v>0.14637260578014719</x:v>
      </x:c>
      <x:c r="AE287" s="13" t="n">
        <x:v>0.22357135776222758</x:v>
      </x:c>
      <x:c r="AF287" s="13" t="n">
        <x:v>0.031292806395937796</x:v>
      </x:c>
      <x:c r="AG287" s="13" t="n">
        <x:v>0.2382329064010427</x:v>
      </x:c>
      <x:c r="AH287" s="13" t="n">
        <x:v>0.7996826315529545</x:v>
      </x:c>
      <x:c r="AI287" s="13" t="n">
        <x:v>0.5588235294117647</x:v>
      </x:c>
      <x:c r="AJ287" s="13" t="n">
        <x:v>0.14546799226395887</x:v>
      </x:c>
      <x:c r="AK287" s="13" t="n">
        <x:v>0.042042334314758976</x:v>
      </x:c>
      <x:c r="AL287" s="13" t="n">
        <x:v>0.36770077200908696</x:v>
      </x:c>
      <x:c r="AM287" s="13" t="n">
        <x:v>0.09919726520770389</x:v>
      </x:c>
      <x:c r="AN287" s="13" t="n">
        <x:v>0.10570340428319729</x:v>
      </x:c>
      <x:c r="AO287" s="13" t="n">
        <x:v>0.20867840235191748</x:v>
      </x:c>
      <x:c r="AP287" s="13" t="n">
        <x:v>0.7516149185601985</x:v>
      </x:c>
    </x:row>
    <x:row r="288" ht="15" hidden="0" customHeight="1">
      <x:c r="A288" s="2" t="str">
        <x:v>E287</x:v>
      </x:c>
      <x:c r="B288" s="2" t="str">
        <x:v>***鞋材有限公司</x:v>
      </x:c>
      <x:c r="C288" s="2" t="str">
        <x:v>无信贷记录</x:v>
      </x:c>
      <x:c r="D288" s="2" t="str"/>
      <x:c r="E288" s="2" t="str"/>
      <x:c r="F288" s="13" t="n">
        <x:v>0.03438553056873668</x:v>
      </x:c>
      <x:c r="G288" s="13" t="n">
        <x:v>0.03204609754832095</x:v>
      </x:c>
      <x:c r="H288" s="13" t="n">
        <x:v>0.07272727272727272</x:v>
      </x:c>
      <x:c r="I288" s="13" t="n">
        <x:v>0.020032051282051315</x:v>
      </x:c>
      <x:c r="J288" s="13" t="n">
        <x:v>0.056426923413104554</x:v>
      </x:c>
      <x:c r="K288" s="13" t="n">
        <x:v>0.056881836009569135</x:v>
      </x:c>
      <x:c r="L288" s="13" t="n">
        <x:v>0.05785165094926473</x:v>
      </x:c>
      <x:c r="M288" s="13" t="n">
        <x:v>0.6794010818155689</x:v>
      </x:c>
      <x:c r="N288" s="13" t="n">
        <x:v>0.14646282470557595</x:v>
      </x:c>
      <x:c r="O288" s="13" t="n">
        <x:v>0.050669216458710184</x:v>
      </x:c>
      <x:c r="P288" s="13" t="n">
        <x:v>0.14836051595226538</x:v>
      </x:c>
      <x:c r="Q288" s="13" t="n">
        <x:v>0.05673633544972408</x:v>
      </x:c>
      <x:c r="R288" s="13" t="n">
        <x:v>0.05957148506161883</x:v>
      </x:c>
      <x:c r="S288" s="13" t="n">
        <x:v>0.6019993095721293</x:v>
      </x:c>
      <x:c r="T288" s="13" t="n">
        <x:v>0.9722222222222222</x:v>
      </x:c>
      <x:c r="U288" s="13" t="n">
        <x:v>0.02617113103038566</x:v>
      </x:c>
      <x:c r="V288" s="13" t="n">
        <x:v>0.024288823110029476</x:v>
      </x:c>
      <x:c r="W288" s="13" t="n">
        <x:v>0.05186721991701249</x:v>
      </x:c>
      <x:c r="X288" s="13" t="n">
        <x:v>0.0028341457884593626</x:v>
      </x:c>
      <x:c r="Y288" s="13" t="n">
        <x:v>0.025869359080049788</x:v>
      </x:c>
      <x:c r="Z288" s="13" t="n">
        <x:v>0.017248857324818036</x:v>
      </x:c>
      <x:c r="AA288" s="13" t="n">
        <x:v>0.00891437740502474</x:v>
      </x:c>
      <x:c r="AB288" s="13" t="n">
        <x:v>0.16705835026687646</x:v>
      </x:c>
      <x:c r="AC288" s="13" t="n">
        <x:v>0.02100793120408611</x:v>
      </x:c>
      <x:c r="AD288" s="13" t="n">
        <x:v>0.12746794932299726</x:v>
      </x:c>
      <x:c r="AE288" s="13" t="n">
        <x:v>0.2146091884943336</x:v>
      </x:c>
      <x:c r="AF288" s="13" t="n">
        <x:v>0.025442657995846434</x:v>
      </x:c>
      <x:c r="AG288" s="13" t="n">
        <x:v>0.05442221924775185</x:v>
      </x:c>
      <x:c r="AH288" s="13" t="n">
        <x:v>0.5907524196838726</x:v>
      </x:c>
      <x:c r="AI288" s="13" t="n">
        <x:v>0.9705882352941176</x:v>
      </x:c>
      <x:c r="AJ288" s="13" t="n">
        <x:v>0.1453092398759142</x:v>
      </x:c>
      <x:c r="AK288" s="13" t="n">
        <x:v>0.044842488747461634</x:v>
      </x:c>
      <x:c r="AL288" s="13" t="n">
        <x:v>0.2967725767190844</x:v>
      </x:c>
      <x:c r="AM288" s="13" t="n">
        <x:v>0.056322162771050455</x:v>
      </x:c>
      <x:c r="AN288" s="13" t="n">
        <x:v>0.08283624180387776</x:v>
      </x:c>
      <x:c r="AO288" s="13" t="n">
        <x:v>0.05332399788385471</x:v>
      </x:c>
      <x:c r="AP288" s="13" t="n">
        <x:v>0.5640492582147121</x:v>
      </x:c>
    </x:row>
    <x:row r="289" ht="15" hidden="0" customHeight="1">
      <x:c r="A289" s="2" t="str">
        <x:v>E288</x:v>
      </x:c>
      <x:c r="B289" s="2" t="str">
        <x:v>个体经营E288 </x:v>
      </x:c>
      <x:c r="C289" s="2" t="str">
        <x:v>无信贷记录</x:v>
      </x:c>
      <x:c r="D289" s="2" t="str"/>
      <x:c r="E289" s="2" t="str"/>
      <x:c r="F289" s="13" t="n">
        <x:v>0.043355668977972335</x:v>
      </x:c>
      <x:c r="G289" s="13" t="n">
        <x:v>0.043720033083780724</x:v>
      </x:c>
      <x:c r="H289" s="13" t="n">
        <x:v>0.012727272727272728</x:v>
      </x:c>
      <x:c r="I289" s="13" t="n">
        <x:v>0.006677350427350438</x:v>
      </x:c>
      <x:c r="J289" s="13" t="n">
        <x:v>0.05191185400847049</x:v>
      </x:c>
      <x:c r="K289" s="13" t="n">
        <x:v>0.05152933390652257</x:v>
      </x:c>
      <x:c r="L289" s="13" t="n">
        <x:v>0.07775759536191496</x:v>
      </x:c>
      <x:c r="M289" s="13" t="n">
        <x:v>0.09438071729345146</x:v>
      </x:c>
      <x:c r="N289" s="13" t="n">
        <x:v>0.03583032581203076</x:v>
      </x:c>
      <x:c r="O289" s="13" t="n">
        <x:v>0.18116191450632974</x:v>
      </x:c>
      <x:c r="P289" s="13" t="n">
        <x:v>0.2906734224445509</x:v>
      </x:c>
      <x:c r="Q289" s="13" t="n">
        <x:v>0.06035270196658695</x:v>
      </x:c>
      <x:c r="R289" s="13" t="n">
        <x:v>0.09168039341220628</x:v>
      </x:c>
      <x:c r="S289" s="13" t="n">
        <x:v>0.5924208843599895</x:v>
      </x:c>
      <x:c r="T289" s="13" t="n">
        <x:v>0.8055555555555556</x:v>
      </x:c>
      <x:c r="U289" s="13" t="n">
        <x:v>0.026083765791266998</x:v>
      </x:c>
      <x:c r="V289" s="13" t="n">
        <x:v>0.021769235650482853</x:v>
      </x:c>
      <x:c r="W289" s="13" t="n">
        <x:v>0.08397549891325833</x:v>
      </x:c>
      <x:c r="X289" s="13" t="n">
        <x:v>0.01133658315383745</x:v>
      </x:c>
      <x:c r="Y289" s="13" t="n">
        <x:v>0.027644597126854013</x:v>
      </x:c>
      <x:c r="Z289" s="13" t="n">
        <x:v>0.019045645333945385</x:v>
      </x:c>
      <x:c r="AA289" s="13" t="n">
        <x:v>0.014114430891289173</x:v>
      </x:c>
      <x:c r="AB289" s="13" t="n">
        <x:v>0.27135359120343294</x:v>
      </x:c>
      <x:c r="AC289" s="13" t="n">
        <x:v>0.09348529385818319</x:v>
      </x:c>
      <x:c r="AD289" s="13" t="n">
        <x:v>0.12276262204477617</x:v>
      </x:c>
      <x:c r="AE289" s="13" t="n">
        <x:v>0.24575232156154328</x:v>
      </x:c>
      <x:c r="AF289" s="13" t="n">
        <x:v>0.02960357666132965</x:v>
      </x:c>
      <x:c r="AG289" s="13" t="n">
        <x:v>0.18564965227046748</x:v>
      </x:c>
      <x:c r="AH289" s="13" t="n">
        <x:v>0.5074846107342507</x:v>
      </x:c>
      <x:c r="AI289" s="13" t="n">
        <x:v>0.8529411764705882</x:v>
      </x:c>
      <x:c r="AJ289" s="13" t="n">
        <x:v>0.15069490518500847</x:v>
      </x:c>
      <x:c r="AK289" s="13" t="n">
        <x:v>0.03680118088904887</x:v>
      </x:c>
      <x:c r="AL289" s="13" t="n">
        <x:v>0.2343207528179074</x:v>
      </x:c>
      <x:c r="AM289" s="13" t="n">
        <x:v>0.05951835912462233</x:v>
      </x:c>
      <x:c r="AN289" s="13" t="n">
        <x:v>0.15824587937528617</x:v>
      </x:c>
      <x:c r="AO289" s="13" t="n">
        <x:v>0.14323375396355653</x:v>
      </x:c>
      <x:c r="AP289" s="13" t="n">
        <x:v>0.517451146809566</x:v>
      </x:c>
    </x:row>
    <x:row r="290" ht="15" hidden="0" customHeight="1">
      <x:c r="A290" s="2" t="str">
        <x:v>E289</x:v>
      </x:c>
      <x:c r="B290" s="2" t="str">
        <x:v>***运业有限公司***分公司</x:v>
      </x:c>
      <x:c r="C290" s="2" t="str">
        <x:v>无信贷记录</x:v>
      </x:c>
      <x:c r="D290" s="2" t="str"/>
      <x:c r="E290" s="2" t="str"/>
      <x:c r="F290" s="13" t="n">
        <x:v>0.24914559431652036</x:v>
      </x:c>
      <x:c r="G290" s="13" t="n">
        <x:v>0.2521722676123827</x:v>
      </x:c>
      <x:c r="H290" s="13" t="n">
        <x:v>0.05090909090909091</x:v>
      </x:c>
      <x:c r="I290" s="13" t="n">
        <x:v>0.06009615384615394</x:v>
      </x:c>
      <x:c r="J290" s="13" t="n">
        <x:v>0.026937683520329145</x:v>
      </x:c>
      <x:c r="K290" s="13" t="n">
        <x:v>0.026950833863650204</x:v>
      </x:c>
      <x:c r="L290" s="13" t="n">
        <x:v>0.10575032969220434</x:v>
      </x:c>
      <x:c r="M290" s="13" t="n">
        <x:v>0.06588255168190554</x:v>
      </x:c>
      <x:c r="N290" s="13" t="n">
        <x:v>0.05606953011105509</x:v>
      </x:c>
      <x:c r="O290" s="13" t="n">
        <x:v>0.16011773283166775</x:v>
      </x:c>
      <x:c r="P290" s="13" t="n">
        <x:v>0.23437283634821013</x:v>
      </x:c>
      <x:c r="Q290" s="13" t="n">
        <x:v>0.026370987388364894</x:v>
      </x:c>
      <x:c r="R290" s="13" t="n">
        <x:v>0.1532977459323709</x:v>
      </x:c>
      <x:c r="S290" s="13" t="n">
        <x:v>0.6147273742875945</x:v>
      </x:c>
      <x:c r="T290" s="13" t="n">
        <x:v>1</x:v>
      </x:c>
      <x:c r="U290" s="13" t="n">
        <x:v>0.14586150862294925</x:v>
      </x:c>
      <x:c r="V290" s="13" t="n">
        <x:v>0.14560229338449668</x:v>
      </x:c>
      <x:c r="W290" s="13" t="n">
        <x:v>0.13831258644536665</x:v>
      </x:c>
      <x:c r="X290" s="13" t="n">
        <x:v>0.06801949892302471</x:v>
      </x:c>
      <x:c r="Y290" s="13" t="n">
        <x:v>0.032318338876456715</x:v>
      </x:c>
      <x:c r="Z290" s="13" t="n">
        <x:v>0.021559519442707304</x:v>
      </x:c>
      <x:c r="AA290" s="13" t="n">
        <x:v>0.14968725392604046</x:v>
      </x:c>
      <x:c r="AB290" s="13" t="n">
        <x:v>0.0819869449790984</x:v>
      </x:c>
      <x:c r="AC290" s="13" t="n">
        <x:v>0.08590862996540127</x:v>
      </x:c>
      <x:c r="AD290" s="13" t="n">
        <x:v>0.0776444550881567</x:v>
      </x:c>
      <x:c r="AE290" s="13" t="n">
        <x:v>0.1531803176751513</x:v>
      </x:c>
      <x:c r="AF290" s="13" t="n">
        <x:v>0.031796938851969665</x:v>
      </x:c>
      <x:c r="AG290" s="13" t="n">
        <x:v>0</x:v>
      </x:c>
      <x:c r="AH290" s="13" t="n">
        <x:v>0.4876907539312758</x:v>
      </x:c>
      <x:c r="AI290" s="13" t="n">
        <x:v>0.9705882352941176</x:v>
      </x:c>
      <x:c r="AJ290" s="13" t="n">
        <x:v>0.17308983181605173</x:v>
      </x:c>
      <x:c r="AK290" s="13" t="n">
        <x:v>0.017002680573650723</x:v>
      </x:c>
      <x:c r="AL290" s="13" t="n">
        <x:v>0.0749858667643514</x:v>
      </x:c>
      <x:c r="AM290" s="13" t="n">
        <x:v>0.06568511566092398</x:v>
      </x:c>
      <x:c r="AN290" s="13" t="n">
        <x:v>0.11892841137494733</x:v>
      </x:c>
      <x:c r="AO290" s="13" t="n">
        <x:v>0.08356580533233658</x:v>
      </x:c>
      <x:c r="AP290" s="13" t="n">
        <x:v>0.5226826421311926</x:v>
      </x:c>
    </x:row>
    <x:row r="291" ht="15" hidden="0" customHeight="1">
      <x:c r="A291" s="2" t="str">
        <x:v>E290</x:v>
      </x:c>
      <x:c r="B291" s="2" t="str">
        <x:v>***机电有限公司</x:v>
      </x:c>
      <x:c r="C291" s="2" t="str">
        <x:v>无信贷记录</x:v>
      </x:c>
      <x:c r="D291" s="2" t="str"/>
      <x:c r="E291" s="2" t="str"/>
      <x:c r="F291" s="13" t="n">
        <x:v>0.06495875231354821</x:v>
      </x:c>
      <x:c r="G291" s="13" t="n">
        <x:v>0.06538929904502631</x:v>
      </x:c>
      <x:c r="H291" s="13" t="n">
        <x:v>0.02181818181818182</x:v>
      </x:c>
      <x:c r="I291" s="13" t="n">
        <x:v>0.04006410256410263</x:v>
      </x:c>
      <x:c r="J291" s="13" t="n">
        <x:v>0.02086574083976595</x:v>
      </x:c>
      <x:c r="K291" s="13" t="n">
        <x:v>0.020761794662484467</x:v>
      </x:c>
      <x:c r="L291" s="13" t="n">
        <x:v>0.13560924631117968</x:v>
      </x:c>
      <x:c r="M291" s="13" t="n">
        <x:v>0.10811135469533623</x:v>
      </x:c>
      <x:c r="N291" s="13" t="n">
        <x:v>0.1439052666490176</x:v>
      </x:c>
      <x:c r="O291" s="13" t="n">
        <x:v>0.03493776153722901</x:v>
      </x:c>
      <x:c r="P291" s="13" t="n">
        <x:v>0.04965134425130869</x:v>
      </x:c>
      <x:c r="Q291" s="13" t="n">
        <x:v>0.02042610411561741</x:v>
      </x:c>
      <x:c r="R291" s="13" t="n">
        <x:v>0.14199443452482413</x:v>
      </x:c>
      <x:c r="S291" s="13" t="n">
        <x:v>0.5705390306406413</x:v>
      </x:c>
      <x:c r="T291" s="13" t="n">
        <x:v>1</x:v>
      </x:c>
      <x:c r="U291" s="13" t="n">
        <x:v>0.09746116615121185</x:v>
      </x:c>
      <x:c r="V291" s="13" t="n">
        <x:v>0.09157114008533013</x:v>
      </x:c>
      <x:c r="W291" s="13" t="n">
        <x:v>0.16918593163406456</x:v>
      </x:c>
      <x:c r="X291" s="13" t="n">
        <x:v>0.05384876998072789</x:v>
      </x:c>
      <x:c r="Y291" s="13" t="n">
        <x:v>0.028888877597532874</x:v>
      </x:c>
      <x:c r="Z291" s="13" t="n">
        <x:v>0.01948839088090929</x:v>
      </x:c>
      <x:c r="AA291" s="13" t="n">
        <x:v>0.041228995498239426</x:v>
      </x:c>
      <x:c r="AB291" s="13" t="n">
        <x:v>0.1496736749597393</x:v>
      </x:c>
      <x:c r="AC291" s="13" t="n">
        <x:v>0.10786764675944215</x:v>
      </x:c>
      <x:c r="AD291" s="13" t="n">
        <x:v>0.13109447027995486</x:v>
      </x:c>
      <x:c r="AE291" s="13" t="n">
        <x:v>0.3223608261603594</x:v>
      </x:c>
      <x:c r="AF291" s="13" t="n">
        <x:v>0.02841783691035356</x:v>
      </x:c>
      <x:c r="AG291" s="13" t="n">
        <x:v>0.17703089710591263</x:v>
      </x:c>
      <x:c r="AH291" s="13" t="n">
        <x:v>0.5471501100991193</x:v>
      </x:c>
      <x:c r="AI291" s="13" t="n">
        <x:v>0.9705882352941176</x:v>
      </x:c>
      <x:c r="AJ291" s="13" t="n">
        <x:v>0.1719732036295453</x:v>
      </x:c>
      <x:c r="AK291" s="13" t="n">
        <x:v>0.014483479002816935</x:v>
      </x:c>
      <x:c r="AL291" s="13" t="n">
        <x:v>0.20711723367360663</x:v>
      </x:c>
      <x:c r="AM291" s="13" t="n">
        <x:v>0.1313141924379188</x:v>
      </x:c>
      <x:c r="AN291" s="13" t="n">
        <x:v>0.07555618949625975</x:v>
      </x:c>
      <x:c r="AO291" s="13" t="n">
        <x:v>0.1755705827783177</x:v>
      </x:c>
      <x:c r="AP291" s="13" t="n">
        <x:v>0.5221054393612761</x:v>
      </x:c>
    </x:row>
    <x:row r="292" ht="15" hidden="0" customHeight="1">
      <x:c r="A292" s="2" t="str">
        <x:v>E291</x:v>
      </x:c>
      <x:c r="B292" s="2" t="str">
        <x:v>***文业建设工程有限公司</x:v>
      </x:c>
      <x:c r="C292" s="2" t="str">
        <x:v>无信贷记录</x:v>
      </x:c>
      <x:c r="D292" s="2" t="str"/>
      <x:c r="E292" s="2" t="str"/>
      <x:c r="F292" s="13" t="n">
        <x:v>0.02922770098342618</x:v>
      </x:c>
      <x:c r="G292" s="13" t="n">
        <x:v>0.028231085935425598</x:v>
      </x:c>
      <x:c r="H292" s="13" t="n">
        <x:v>0.038181818181818185</x:v>
      </x:c>
      <x:c r="I292" s="13" t="n">
        <x:v>0.06009615384615394</x:v>
      </x:c>
      <x:c r="J292" s="13" t="n">
        <x:v>0.06377290775353658</x:v>
      </x:c>
      <x:c r="K292" s="13" t="n">
        <x:v>0.06381923792153336</x:v>
      </x:c>
      <x:c r="L292" s="13" t="n">
        <x:v>0.07278110925875239</x:v>
      </x:c>
      <x:c r="M292" s="13" t="n">
        <x:v>0.41930975163960876</x:v>
      </x:c>
      <x:c r="N292" s="13" t="n">
        <x:v>0.498446064723815</x:v>
      </x:c>
      <x:c r="O292" s="13" t="n">
        <x:v>0.5695475283916508</x:v>
      </x:c>
      <x:c r="P292" s="13" t="n">
        <x:v>0.7346877082458065</x:v>
      </x:c>
      <x:c r="Q292" s="13" t="n">
        <x:v>0.06590431545839767</x:v>
      </x:c>
      <x:c r="R292" s="13" t="n">
        <x:v>0.6224609133736216</x:v>
      </x:c>
      <x:c r="S292" s="13" t="n">
        <x:v>0.517249059361909</x:v>
      </x:c>
      <x:c r="T292" s="13" t="n">
        <x:v>0.75</x:v>
      </x:c>
      <x:c r="U292" s="13" t="n">
        <x:v>0.013328440879942702</x:v>
      </x:c>
      <x:c r="V292" s="13" t="n">
        <x:v>0.011410931650124499</x:v>
      </x:c>
      <x:c r="W292" s="13" t="n">
        <x:v>0.040752815649081245</x:v>
      </x:c>
      <x:c r="X292" s="13" t="n">
        <x:v>0.005668291576918725</x:v>
      </x:c>
      <x:c r="Y292" s="13" t="n">
        <x:v>0.019333802964240282</x:v>
      </x:c>
      <x:c r="Z292" s="13" t="n">
        <x:v>0.01301730937964104</x:v>
      </x:c>
      <x:c r="AA292" s="13" t="n">
        <x:v>0.010771539364404895</x:v>
      </x:c>
      <x:c r="AB292" s="13" t="n">
        <x:v>0.25036654874652253</x:v>
      </x:c>
      <x:c r="AC292" s="13" t="n">
        <x:v>0.08696306405412389</x:v>
      </x:c>
      <x:c r="AD292" s="13" t="n">
        <x:v>0.961513484248785</x:v>
      </x:c>
      <x:c r="AE292" s="13" t="n">
        <x:v>0.9798577672667212</x:v>
      </x:c>
      <x:c r="AF292" s="13" t="n">
        <x:v>0.026093589659973337</x:v>
      </x:c>
      <x:c r="AG292" s="13" t="n">
        <x:v>0.8686466568923292</x:v>
      </x:c>
      <x:c r="AH292" s="13" t="n">
        <x:v>0.4276647865951871</x:v>
      </x:c>
      <x:c r="AI292" s="13" t="n">
        <x:v>0.08823529411764706</x:v>
      </x:c>
      <x:c r="AJ292" s="13" t="n">
        <x:v>0.131305333081703</x:v>
      </x:c>
      <x:c r="AK292" s="13" t="n">
        <x:v>0.06659047753697565</x:v>
      </x:c>
      <x:c r="AL292" s="13" t="n">
        <x:v>0.27115901478074084</x:v>
      </x:c>
      <x:c r="AM292" s="13" t="n">
        <x:v>0.2130068221765426</x:v>
      </x:c>
      <x:c r="AN292" s="13" t="n">
        <x:v>0.8874668060643665</x:v>
      </x:c>
      <x:c r="AO292" s="13" t="n">
        <x:v>0.8764742037887299</x:v>
      </x:c>
      <x:c r="AP292" s="13" t="n">
        <x:v>0.4290052108277079</x:v>
      </x:c>
    </x:row>
    <x:row r="293" ht="15" hidden="0" customHeight="1">
      <x:c r="A293" s="2" t="str">
        <x:v>E292</x:v>
      </x:c>
      <x:c r="B293" s="2" t="str">
        <x:v>***物流有限公司</x:v>
      </x:c>
      <x:c r="C293" s="2" t="str">
        <x:v>无信贷记录</x:v>
      </x:c>
      <x:c r="D293" s="2" t="str"/>
      <x:c r="E293" s="2" t="str"/>
      <x:c r="F293" s="13" t="n">
        <x:v>0.024892134085628945</x:v>
      </x:c>
      <x:c r="G293" s="13" t="n">
        <x:v>0.024492374554788154</x:v>
      </x:c>
      <x:c r="H293" s="13" t="n">
        <x:v>0.02181818181818182</x:v>
      </x:c>
      <x:c r="I293" s="13" t="n">
        <x:v>0</x:v>
      </x:c>
      <x:c r="J293" s="13" t="n">
        <x:v>0.025624314908662075</x:v>
      </x:c>
      <x:c r="K293" s="13" t="n">
        <x:v>0.025435186855244655</x:v>
      </x:c>
      <x:c r="L293" s="13" t="n">
        <x:v>0.05100898255741621</x:v>
      </x:c>
      <x:c r="M293" s="13" t="n">
        <x:v>0.2810895222078742</x:v>
      </x:c>
      <x:c r="N293" s="13" t="n">
        <x:v>0</x:v>
      </x:c>
      <x:c r="O293" s="13" t="n">
        <x:v>0.1896164031525915</x:v>
      </x:c>
      <x:c r="P293" s="13" t="n">
        <x:v>0.3688311818475108</x:v>
      </x:c>
      <x:c r="Q293" s="13" t="n">
        <x:v>0.0272356720657956</x:v>
      </x:c>
      <x:c r="R293" s="13" t="n">
        <x:v>0.16498672026312372</x:v>
      </x:c>
      <x:c r="S293" s="13" t="n">
        <x:v>0.7198069198768119</x:v>
      </x:c>
      <x:c r="T293" s="13" t="n">
        <x:v>0.8888888888888888</x:v>
      </x:c>
      <x:c r="U293" s="13" t="n">
        <x:v>0.1142352920619945</x:v>
      </x:c>
      <x:c r="V293" s="13" t="n">
        <x:v>0.11863337576194204</x:v>
      </x:c>
      <x:c r="W293" s="13" t="n">
        <x:v>0.048162418494368746</x:v>
      </x:c>
      <x:c r="X293" s="13" t="n">
        <x:v>0.005668291576918725</x:v>
      </x:c>
      <x:c r="Y293" s="13" t="n">
        <x:v>0.018540921565853186</x:v>
      </x:c>
      <x:c r="Z293" s="13" t="n">
        <x:v>0.012270985359074608</x:v>
      </x:c>
      <x:c r="AA293" s="13" t="n">
        <x:v>0.006685783053768556</x:v>
      </x:c>
      <x:c r="AB293" s="13" t="n">
        <x:v>0.036396213961494894</x:v>
      </x:c>
      <x:c r="AC293" s="13" t="n">
        <x:v>0.00877796186461814</x:v>
      </x:c>
      <x:c r="AD293" s="13" t="n">
        <x:v>0.2115236865814603</x:v>
      </x:c>
      <x:c r="AE293" s="13" t="n">
        <x:v>0.32229087413606766</x:v>
      </x:c>
      <x:c r="AF293" s="13" t="n">
        <x:v>0.019271157031099086</x:v>
      </x:c>
      <x:c r="AG293" s="13" t="n">
        <x:v>0.1681635410768581</x:v>
      </x:c>
      <x:c r="AH293" s="13" t="n">
        <x:v>0.6980351582286836</x:v>
      </x:c>
      <x:c r="AI293" s="13" t="n">
        <x:v>0.8529411764705882</x:v>
      </x:c>
      <x:c r="AJ293" s="13" t="n">
        <x:v>0.1541148264450212</x:v>
      </x:c>
      <x:c r="AK293" s="13" t="n">
        <x:v>0.028137587897631947</x:v>
      </x:c>
      <x:c r="AL293" s="13" t="n">
        <x:v>0.08332716726789814</x:v>
      </x:c>
      <x:c r="AM293" s="13" t="n">
        <x:v>0.012119291114695115</x:v>
      </x:c>
      <x:c r="AN293" s="13" t="n">
        <x:v>0.21585317986761055</x:v>
      </x:c>
      <x:c r="AO293" s="13" t="n">
        <x:v>0.18785053738209329</x:v>
      </x:c>
      <x:c r="AP293" s="13" t="n">
        <x:v>0.6940525062808272</x:v>
      </x:c>
    </x:row>
    <x:row r="294" ht="15" hidden="0" customHeight="1">
      <x:c r="A294" s="2" t="str">
        <x:v>E293</x:v>
      </x:c>
      <x:c r="B294" s="2" t="str">
        <x:v>***物资有限公司</x:v>
      </x:c>
      <x:c r="C294" s="2" t="str">
        <x:v>无信贷记录</x:v>
      </x:c>
      <x:c r="D294" s="2" t="str"/>
      <x:c r="E294" s="2" t="str"/>
      <x:c r="F294" s="13" t="n">
        <x:v>0.004260815744386937</x:v>
      </x:c>
      <x:c r="G294" s="13" t="n">
        <x:v>0.004120212541926979</x:v>
      </x:c>
      <x:c r="H294" s="13" t="n">
        <x:v>0.005454545454545455</x:v>
      </x:c>
      <x:c r="I294" s="13" t="n">
        <x:v>0</x:v>
      </x:c>
      <x:c r="J294" s="13" t="n">
        <x:v>0.029337590181877003</x:v>
      </x:c>
      <x:c r="K294" s="13" t="n">
        <x:v>0.029121055170391454</x:v>
      </x:c>
      <x:c r="L294" s="13" t="n">
        <x:v>0.016173579835278312</x:v>
      </x:c>
      <x:c r="M294" s="13" t="n">
        <x:v>0.39900419465948245</x:v>
      </x:c>
      <x:c r="N294" s="13" t="n">
        <x:v>0</x:v>
      </x:c>
      <x:c r="O294" s="13" t="n">
        <x:v>0.6639909975386088</x:v>
      </x:c>
      <x:c r="P294" s="13" t="n">
        <x:v>0.8057515133025567</x:v>
      </x:c>
      <x:c r="Q294" s="13" t="n">
        <x:v>0.030316538753574627</x:v>
      </x:c>
      <x:c r="R294" s="13" t="n">
        <x:v>0.30715826449865297</x:v>
      </x:c>
      <x:c r="S294" s="13" t="n">
        <x:v>0.7430826273968105</x:v>
      </x:c>
      <x:c r="T294" s="13" t="n">
        <x:v>0.5833333333333334</x:v>
      </x:c>
      <x:c r="U294" s="13" t="n">
        <x:v>0.009397005119603022</x:v>
      </x:c>
      <x:c r="V294" s="13" t="n">
        <x:v>0.009357934460864284</x:v>
      </x:c>
      <x:c r="W294" s="13" t="n">
        <x:v>0.012349338075479164</x:v>
      </x:c>
      <x:c r="X294" s="13" t="n">
        <x:v>0</x:v>
      </x:c>
      <x:c r="Y294" s="13" t="n">
        <x:v>0.013105943100539849</x:v>
      </x:c>
      <x:c r="Z294" s="13" t="n">
        <x:v>0.008654743574576898</x:v>
      </x:c>
      <x:c r="AA294" s="13" t="n">
        <x:v>0.0003714323918760309</x:v>
      </x:c>
      <x:c r="AB294" s="13" t="n">
        <x:v>0.1050489015719675</x:v>
      </x:c>
      <x:c r="AC294" s="13" t="n">
        <x:v>0</x:v>
      </x:c>
      <x:c r="AD294" s="13" t="n">
        <x:v>0.646098357637546</x:v>
      </x:c>
      <x:c r="AE294" s="13" t="n">
        <x:v>0.7779177062112882</x:v>
      </x:c>
      <x:c r="AF294" s="13" t="n">
        <x:v>0.012866664214237175</x:v>
      </x:c>
      <x:c r="AG294" s="13" t="n">
        <x:v>0.4522055399721146</x:v>
      </x:c>
      <x:c r="AH294" s="13" t="n">
        <x:v>0.7444046381536269</x:v>
      </x:c>
      <x:c r="AI294" s="13" t="n">
        <x:v>0.9705882352941176</x:v>
      </x:c>
      <x:c r="AJ294" s="13" t="n">
        <x:v>0.14397310257502202</x:v>
      </x:c>
      <x:c r="AK294" s="13" t="n">
        <x:v>0.04558207992631786</x:v>
      </x:c>
      <x:c r="AL294" s="13" t="n">
        <x:v>0.2048956153552765</x:v>
      </x:c>
      <x:c r="AM294" s="13" t="n">
        <x:v>0</x:v>
      </x:c>
      <x:c r="AN294" s="13" t="n">
        <x:v>0.7573534927630254</x:v>
      </x:c>
      <x:c r="AO294" s="13" t="n">
        <x:v>0.4354736035993083</x:v>
      </x:c>
      <x:c r="AP294" s="13" t="n">
        <x:v>0.7319041213585897</x:v>
      </x:c>
    </x:row>
    <x:row r="295" ht="15" hidden="0" customHeight="1">
      <x:c r="A295" s="2" t="str">
        <x:v>E294</x:v>
      </x:c>
      <x:c r="B295" s="2" t="str">
        <x:v>个体经营E294 </x:v>
      </x:c>
      <x:c r="C295" s="2" t="str">
        <x:v>无信贷记录</x:v>
      </x:c>
      <x:c r="D295" s="2" t="str"/>
      <x:c r="E295" s="2" t="str"/>
      <x:c r="F295" s="13" t="n">
        <x:v>0.06465974769990702</x:v>
      </x:c>
      <x:c r="G295" s="13" t="n">
        <x:v>0.06432109579341562</x:v>
      </x:c>
      <x:c r="H295" s="13" t="n">
        <x:v>0.04</x:v>
      </x:c>
      <x:c r="I295" s="13" t="n">
        <x:v>0.026709401709401753</x:v>
      </x:c>
      <x:c r="J295" s="13" t="n">
        <x:v>0.01562366762481405</x:v>
      </x:c>
      <x:c r="K295" s="13" t="n">
        <x:v>0.015645849674862263</x:v>
      </x:c>
      <x:c r="L295" s="13" t="n">
        <x:v>0.14556221851750478</x:v>
      </x:c>
      <x:c r="M295" s="13" t="n">
        <x:v>0.19911858695425153</x:v>
      </x:c>
      <x:c r="N295" s="13" t="n">
        <x:v>0.0975263306126281</x:v>
      </x:c>
      <x:c r="O295" s="13" t="n">
        <x:v>0.0764249601885721</x:v>
      </x:c>
      <x:c r="P295" s="13" t="n">
        <x:v>0.19301136728433643</x:v>
      </x:c>
      <x:c r="Q295" s="13" t="n">
        <x:v>0.019373353633460863</x:v>
      </x:c>
      <x:c r="R295" s="13" t="n">
        <x:v>0.1793566024552345</x:v>
      </x:c>
      <x:c r="S295" s="13" t="n">
        <x:v>0.5371704040734294</x:v>
      </x:c>
      <x:c r="T295" s="13" t="n">
        <x:v>0.7777777777777778</x:v>
      </x:c>
      <x:c r="U295" s="13" t="n">
        <x:v>0.030539392986318636</x:v>
      </x:c>
      <x:c r="V295" s="13" t="n">
        <x:v>0.02830149943449262</x:v>
      </x:c>
      <x:c r="W295" s="13" t="n">
        <x:v>0.060511756569847905</x:v>
      </x:c>
      <x:c r="X295" s="13" t="n">
        <x:v>0.0028341457884593626</x:v>
      </x:c>
      <x:c r="Y295" s="13" t="n">
        <x:v>0.03905419073686375</x:v>
      </x:c>
      <x:c r="Z295" s="13" t="n">
        <x:v>0.026024346019009693</x:v>
      </x:c>
      <x:c r="AA295" s="13" t="n">
        <x:v>0.01671445763442139</x:v>
      </x:c>
      <x:c r="AB295" s="13" t="n">
        <x:v>0.16775636565796367</x:v>
      </x:c>
      <x:c r="AC295" s="13" t="n">
        <x:v>0.018093927843519327</x:v>
      </x:c>
      <x:c r="AD295" s="13" t="n">
        <x:v>0.06868430364006879</x:v>
      </x:c>
      <x:c r="AE295" s="13" t="n">
        <x:v>0.11328675482362592</x:v>
      </x:c>
      <x:c r="AF295" s="13" t="n">
        <x:v>0.039505412704720785</x:v>
      </x:c>
      <x:c r="AG295" s="13" t="n">
        <x:v>0.11776255215171681</x:v>
      </x:c>
      <x:c r="AH295" s="13" t="n">
        <x:v>0.4817287109041264</x:v>
      </x:c>
      <x:c r="AI295" s="13" t="n">
        <x:v>0.9411764705882353</x:v>
      </x:c>
      <x:c r="AJ295" s="13" t="n">
        <x:v>0.18987263622938078</x:v>
      </x:c>
      <x:c r="AK295" s="13" t="n">
        <x:v>0.00817400172432632</x:v>
      </x:c>
      <x:c r="AL295" s="13" t="n">
        <x:v>0.15978889010768882</x:v>
      </x:c>
      <x:c r="AM295" s="13" t="n">
        <x:v>0.04199780319183308</x:v>
      </x:c>
      <x:c r="AN295" s="13" t="n">
        <x:v>0.06347347939726085</x:v>
      </x:c>
      <x:c r="AO295" s="13" t="n">
        <x:v>0.17279743918421034</x:v>
      </x:c>
      <x:c r="AP295" s="13" t="n">
        <x:v>0.4683503345130237</x:v>
      </x:c>
    </x:row>
    <x:row r="296" ht="15" hidden="0" customHeight="1">
      <x:c r="A296" s="2" t="str">
        <x:v>E295</x:v>
      </x:c>
      <x:c r="B296" s="2" t="str">
        <x:v>***电器设备制造有限公司</x:v>
      </x:c>
      <x:c r="C296" s="2" t="str">
        <x:v>无信贷记录</x:v>
      </x:c>
      <x:c r="D296" s="2" t="str"/>
      <x:c r="E296" s="2" t="str"/>
      <x:c r="F296" s="13" t="n">
        <x:v>0.06368798270557316</x:v>
      </x:c>
      <x:c r="G296" s="13" t="n">
        <x:v>0.062260989522452126</x:v>
      </x:c>
      <x:c r="H296" s="13" t="n">
        <x:v>0.06545454545454546</x:v>
      </x:c>
      <x:c r="I296" s="13" t="n">
        <x:v>0.006677350427350438</x:v>
      </x:c>
      <x:c r="J296" s="13" t="n">
        <x:v>0.04402427343288319</x:v>
      </x:c>
      <x:c r="K296" s="13" t="n">
        <x:v>0.04389001199902377</x:v>
      </x:c>
      <x:c r="L296" s="13" t="n">
        <x:v>0.13374306402249372</x:v>
      </x:c>
      <x:c r="M296" s="13" t="n">
        <x:v>0.3307903627856131</x:v>
      </x:c>
      <x:c r="N296" s="13" t="n">
        <x:v>0.02518635371872578</x:v>
      </x:c>
      <x:c r="O296" s="13" t="n">
        <x:v>0.0587083545464584</x:v>
      </x:c>
      <x:c r="P296" s="13" t="n">
        <x:v>0.19289255981790662</x:v>
      </x:c>
      <x:c r="Q296" s="13" t="n">
        <x:v>0.04426502677193643</x:v>
      </x:c>
      <x:c r="R296" s="13" t="n">
        <x:v>0.1811687018793437</x:v>
      </x:c>
      <x:c r="S296" s="13" t="n">
        <x:v>0.5944398158365916</x:v>
      </x:c>
      <x:c r="T296" s="13" t="n">
        <x:v>0.9722222222222222</x:v>
      </x:c>
      <x:c r="U296" s="13" t="n">
        <x:v>0.021103947161503402</x:v>
      </x:c>
      <x:c r="V296" s="13" t="n">
        <x:v>0.01859642181253525</x:v>
      </x:c>
      <x:c r="W296" s="13" t="n">
        <x:v>0.05557202133965624</x:v>
      </x:c>
      <x:c r="X296" s="13" t="n">
        <x:v>0.008502437365378089</x:v>
      </x:c>
      <x:c r="Y296" s="13" t="n">
        <x:v>0.0235115642920412</x:v>
      </x:c>
      <x:c r="Z296" s="13" t="n">
        <x:v>0.015833371844175475</x:v>
      </x:c>
      <x:c r="AA296" s="13" t="n">
        <x:v>0.02117164633693376</x:v>
      </x:c>
      <x:c r="AB296" s="13" t="n">
        <x:v>0.22035158038900754</x:v>
      </x:c>
      <x:c r="AC296" s="13" t="n">
        <x:v>0.08168617909938337</x:v>
      </x:c>
      <x:c r="AD296" s="13" t="n">
        <x:v>0.053186166359596665</x:v>
      </x:c>
      <x:c r="AE296" s="13" t="n">
        <x:v>0.12463285992500446</x:v>
      </x:c>
      <x:c r="AF296" s="13" t="n">
        <x:v>0.023119485841941192</x:v>
      </x:c>
      <x:c r="AG296" s="13" t="n">
        <x:v>0.2426647948274753</x:v>
      </x:c>
      <x:c r="AH296" s="13" t="n">
        <x:v>0.5580493981089129</x:v>
      </x:c>
      <x:c r="AI296" s="13" t="n">
        <x:v>0.8529411764705882</x:v>
      </x:c>
      <x:c r="AJ296" s="13" t="n">
        <x:v>0.1497069970757548</x:v>
      </x:c>
      <x:c r="AK296" s="13" t="n">
        <x:v>0.0376787099938351</x:v>
      </x:c>
      <x:c r="AL296" s="13" t="n">
        <x:v>0.20331077645499065</x:v>
      </x:c>
      <x:c r="AM296" s="13" t="n">
        <x:v>0.037896455223880625</x:v>
      </x:c>
      <x:c r="AN296" s="13" t="n">
        <x:v>0.04368323843616778</x:v>
      </x:c>
      <x:c r="AO296" s="13" t="n">
        <x:v>0.23740133510446848</x:v>
      </x:c>
      <x:c r="AP296" s="13" t="n">
        <x:v>0.5432287656271909</x:v>
      </x:c>
    </x:row>
    <x:row r="297" ht="15" hidden="0" customHeight="1">
      <x:c r="A297" s="2" t="str">
        <x:v>E296</x:v>
      </x:c>
      <x:c r="B297" s="2" t="str">
        <x:v>***装饰设计工程有限公司</x:v>
      </x:c>
      <x:c r="C297" s="2" t="str">
        <x:v>无信贷记录</x:v>
      </x:c>
      <x:c r="D297" s="2" t="str"/>
      <x:c r="E297" s="2" t="str"/>
      <x:c r="F297" s="13" t="n">
        <x:v>0.11526627855867819</x:v>
      </x:c>
      <x:c r="G297" s="13" t="n">
        <x:v>0.11017753538041773</x:v>
      </x:c>
      <x:c r="H297" s="13" t="n">
        <x:v>0.1781818181818182</x:v>
      </x:c>
      <x:c r="I297" s="13" t="n">
        <x:v>0.18696581196581227</x:v>
      </x:c>
      <x:c r="J297" s="13" t="n">
        <x:v>0.01986825658519758</x:v>
      </x:c>
      <x:c r="K297" s="13" t="n">
        <x:v>0.024263846454409734</x:v>
      </x:c>
      <x:c r="L297" s="13" t="n">
        <x:v>0.23949339371469805</x:v>
      </x:c>
      <x:c r="M297" s="13" t="n">
        <x:v>0.49806611690870634</x:v>
      </x:c>
      <x:c r="N297" s="13" t="n">
        <x:v>0.3989406954174932</x:v>
      </x:c>
      <x:c r="O297" s="13" t="n">
        <x:v>0.03417332780883396</x:v>
      </x:c>
      <x:c r="P297" s="13" t="n">
        <x:v>0.07293352674609052</x:v>
      </x:c>
      <x:c r="Q297" s="13" t="n">
        <x:v>0.022397125676954597</x:v>
      </x:c>
      <x:c r="R297" s="13" t="n">
        <x:v>0.2001309336968839</x:v>
      </x:c>
      <x:c r="S297" s="13" t="n">
        <x:v>0.6041484134016886</x:v>
      </x:c>
      <x:c r="T297" s="13" t="n">
        <x:v>0.7222222222222222</x:v>
      </x:c>
      <x:c r="U297" s="13" t="n">
        <x:v>0.021191312400622064</x:v>
      </x:c>
      <x:c r="V297" s="13" t="n">
        <x:v>0.019809556515279922</x:v>
      </x:c>
      <x:c r="W297" s="13" t="n">
        <x:v>0.040752815649081245</x:v>
      </x:c>
      <x:c r="X297" s="13" t="n">
        <x:v>0.05384876998072789</x:v>
      </x:c>
      <x:c r="Y297" s="13" t="n">
        <x:v>0.019628464169831827</x:v>
      </x:c>
      <x:c r="Z297" s="13" t="n">
        <x:v>0.01659659010303002</x:v>
      </x:c>
      <x:c r="AA297" s="13" t="n">
        <x:v>0.006314350661892525</x:v>
      </x:c>
      <x:c r="AB297" s="13" t="n">
        <x:v>0.16094992419419307</x:v>
      </x:c>
      <x:c r="AC297" s="13" t="n">
        <x:v>0.48663577624807686</x:v>
      </x:c>
      <x:c r="AD297" s="13" t="n">
        <x:v>0.39450772180845195</x:v>
      </x:c>
      <x:c r="AE297" s="13" t="n">
        <x:v>0.60228341738295</x:v>
      </x:c>
      <x:c r="AF297" s="13" t="n">
        <x:v>0.021008235699570117</x:v>
      </x:c>
      <x:c r="AG297" s="13" t="n">
        <x:v>0.4514214017902815</x:v>
      </x:c>
      <x:c r="AH297" s="13" t="n">
        <x:v>0.6767657459413794</x:v>
      </x:c>
      <x:c r="AI297" s="13" t="n">
        <x:v>0.47058823529411764</x:v>
      </x:c>
      <x:c r="AJ297" s="13" t="n">
        <x:v>0.15929127395990755</x:v>
      </x:c>
      <x:c r="AK297" s="13" t="n">
        <x:v>0.019869448245868466</x:v>
      </x:c>
      <x:c r="AL297" s="13" t="n">
        <x:v>0.2022834695084087</x:v>
      </x:c>
      <x:c r="AM297" s="13" t="n">
        <x:v>0.2738559454977368</x:v>
      </x:c>
      <x:c r="AN297" s="13" t="n">
        <x:v>0.23102268623452377</x:v>
      </x:c>
      <x:c r="AO297" s="13" t="n">
        <x:v>0.35700105761815676</x:v>
      </x:c>
      <x:c r="AP297" s="13" t="n">
        <x:v>0.6070457290111265</x:v>
      </x:c>
    </x:row>
    <x:row r="298" ht="15" hidden="0" customHeight="1">
      <x:c r="A298" s="2" t="str">
        <x:v>E297</x:v>
      </x:c>
      <x:c r="B298" s="2" t="str">
        <x:v>***建筑机械租赁有限公司</x:v>
      </x:c>
      <x:c r="C298" s="2" t="str">
        <x:v>无信贷记录</x:v>
      </x:c>
      <x:c r="D298" s="2" t="str"/>
      <x:c r="E298" s="2" t="str"/>
      <x:c r="F298" s="13" t="n">
        <x:v>0.0035880553636942624</x:v>
      </x:c>
      <x:c r="G298" s="13" t="n">
        <x:v>0.003662411148379537</x:v>
      </x:c>
      <x:c r="H298" s="13" t="n">
        <x:v>0</x:v>
      </x:c>
      <x:c r="I298" s="13" t="n">
        <x:v>0</x:v>
      </x:c>
      <x:c r="J298" s="13" t="n">
        <x:v>0.04044371915325917</x:v>
      </x:c>
      <x:c r="K298" s="13" t="n">
        <x:v>0.04014521197741147</x:v>
      </x:c>
      <x:c r="L298" s="13" t="n">
        <x:v>0.005598546866057877</x:v>
      </x:c>
      <x:c r="M298" s="13" t="n">
        <x:v>0</x:v>
      </x:c>
      <x:c r="N298" s="13" t="n">
        <x:v>0</x:v>
      </x:c>
      <x:c r="O298" s="13" t="n">
        <x:v>0.5829248577826609</x:v>
      </x:c>
      <x:c r="P298" s="13" t="n">
        <x:v>0.7394542461528517</x:v>
      </x:c>
      <x:c r="Q298" s="13" t="n">
        <x:v>0.04701926604578856</x:v>
      </x:c>
      <x:c r="R298" s="13" t="n">
        <x:v>0.36357307619718754</x:v>
      </x:c>
      <x:c r="S298" s="13" t="n">
        <x:v>0.6437330978852284</x:v>
      </x:c>
      <x:c r="T298" s="13" t="n">
        <x:v>0.3055555555555556</x:v>
      </x:c>
      <x:c r="U298" s="13" t="n">
        <x:v>0.015163110901434552</x:v>
      </x:c>
      <x:c r="V298" s="13" t="n">
        <x:v>0.01449042743401482</x:v>
      </x:c>
      <x:c r="W298" s="13" t="n">
        <x:v>0.025933609958506246</x:v>
      </x:c>
      <x:c r="X298" s="13" t="n">
        <x:v>0</x:v>
      </x:c>
      <x:c r="Y298" s="13" t="n">
        <x:v>0.02335970709512975</x:v>
      </x:c>
      <x:c r="Z298" s="13" t="n">
        <x:v>0.015428407242046496</x:v>
      </x:c>
      <x:c r="AA298" s="13" t="n">
        <x:v>0.0003714323918760309</x:v>
      </x:c>
      <x:c r="AB298" s="13" t="n">
        <x:v>0.1410410662089203</x:v>
      </x:c>
      <x:c r="AC298" s="13" t="n">
        <x:v>0</x:v>
      </x:c>
      <x:c r="AD298" s="13" t="n">
        <x:v>0.5005033853263011</x:v>
      </x:c>
      <x:c r="AE298" s="13" t="n">
        <x:v>0.6438314155891413</x:v>
      </x:c>
      <x:c r="AF298" s="13" t="n">
        <x:v>0.035488416428874237</x:v>
      </x:c>
      <x:c r="AG298" s="13" t="n">
        <x:v>0.3054739576682208</x:v>
      </x:c>
      <x:c r="AH298" s="13" t="n">
        <x:v>0.44055002930529213</x:v>
      </x:c>
      <x:c r="AI298" s="13" t="n">
        <x:v>0.29411764705882354</x:v>
      </x:c>
      <x:c r="AJ298" s="13" t="n">
        <x:v>0.15173656538165878</x:v>
      </x:c>
      <x:c r="AK298" s="13" t="n">
        <x:v>0.03536380859784232</x:v>
      </x:c>
      <x:c r="AL298" s="13" t="n">
        <x:v>0.250888517622165</x:v>
      </x:c>
      <x:c r="AM298" s="13" t="n">
        <x:v>0</x:v>
      </x:c>
      <x:c r="AN298" s="13" t="n">
        <x:v>0.6225930390851603</x:v>
      </x:c>
      <x:c r="AO298" s="13" t="n">
        <x:v>0.4022857171656352</x:v>
      </x:c>
      <x:c r="AP298" s="13" t="n">
        <x:v>0.519141458657369</x:v>
      </x:c>
    </x:row>
    <x:row r="299" ht="15" hidden="0" customHeight="1">
      <x:c r="A299" s="2" t="str">
        <x:v>E298</x:v>
      </x:c>
      <x:c r="B299" s="2" t="str">
        <x:v>***电器维护服务有限公司</x:v>
      </x:c>
      <x:c r="C299" s="2" t="str">
        <x:v>无信贷记录</x:v>
      </x:c>
      <x:c r="D299" s="2" t="str"/>
      <x:c r="E299" s="2" t="str"/>
      <x:c r="F299" s="13" t="n">
        <x:v>0.0677992961431395</x:v>
      </x:c>
      <x:c r="G299" s="13" t="n">
        <x:v>0.06867020903211632</x:v>
      </x:c>
      <x:c r="H299" s="13" t="n">
        <x:v>0.012727272727272728</x:v>
      </x:c>
      <x:c r="I299" s="13" t="n">
        <x:v>0.06677350427350438</x:v>
      </x:c>
      <x:c r="J299" s="13" t="n">
        <x:v>0.01966932789147237</x:v>
      </x:c>
      <x:c r="K299" s="13" t="n">
        <x:v>0.01981775468279146</x:v>
      </x:c>
      <x:c r="L299" s="13" t="n">
        <x:v>0.042922192639777056</x:v>
      </x:c>
      <x:c r="M299" s="13" t="n">
        <x:v>0.060428578069074534</x:v>
      </x:c>
      <x:c r="N299" s="13" t="n">
        <x:v>0.22840839625185907</x:v>
      </x:c>
      <x:c r="O299" s="13" t="n">
        <x:v>0.09206586695883279</x:v>
      </x:c>
      <x:c r="P299" s="13" t="n">
        <x:v>0.0966234645794615</x:v>
      </x:c>
      <x:c r="Q299" s="13" t="n">
        <x:v>0.025231847397138813</x:v>
      </x:c>
      <x:c r="R299" s="13" t="n">
        <x:v>0.20347264292368722</x:v>
      </x:c>
      <x:c r="S299" s="13" t="n">
        <x:v>0.7872005408894462</x:v>
      </x:c>
      <x:c r="T299" s="13" t="n">
        <x:v>0.7222222222222222</x:v>
      </x:c>
      <x:c r="U299" s="13" t="n">
        <x:v>0.24493368978350918</x:v>
      </x:c>
      <x:c r="V299" s="13" t="n">
        <x:v>0.22669568236027515</x:v>
      </x:c>
      <x:c r="W299" s="13" t="n">
        <x:v>0.4655700454455645</x:v>
      </x:c>
      <x:c r="X299" s="13" t="n">
        <x:v>0.08219022786532151</x:v>
      </x:c>
      <x:c r="Y299" s="13" t="n">
        <x:v>0.024926221467980892</x:v>
      </x:c>
      <x:c r="Z299" s="13" t="n">
        <x:v>0.016745035748270055</x:v>
      </x:c>
      <x:c r="AA299" s="13" t="n">
        <x:v>0.09694385427964407</x:v>
      </x:c>
      <x:c r="AB299" s="13" t="n">
        <x:v>0.16472100957831193</x:v>
      </x:c>
      <x:c r="AC299" s="13" t="n">
        <x:v>0.06677520989870227</x:v>
      </x:c>
      <x:c r="AD299" s="13" t="n">
        <x:v>0.2927149818672987</x:v>
      </x:c>
      <x:c r="AE299" s="13" t="n">
        <x:v>0.48203451344423026</x:v>
      </x:c>
      <x:c r="AF299" s="13" t="n">
        <x:v>0.023864561965934387</x:v>
      </x:c>
      <x:c r="AG299" s="13" t="n">
        <x:v>0.08977876792176603</x:v>
      </x:c>
      <x:c r="AH299" s="13" t="n">
        <x:v>0.6058146047840444</x:v>
      </x:c>
      <x:c r="AI299" s="13" t="n">
        <x:v>1</x:v>
      </x:c>
      <x:c r="AJ299" s="13" t="n">
        <x:v>0.16702955920025372</x:v>
      </x:c>
      <x:c r="AK299" s="13" t="n">
        <x:v>0.016082664440973254</x:v>
      </x:c>
      <x:c r="AL299" s="13" t="n">
        <x:v>0.2877662225914338</x:v>
      </x:c>
      <x:c r="AM299" s="13" t="n">
        <x:v>0.11334877440240389</x:v>
      </x:c>
      <x:c r="AN299" s="13" t="n">
        <x:v>0.2054584391321949</x:v>
      </x:c>
      <x:c r="AO299" s="13" t="n">
        <x:v>0.17621178112787267</x:v>
      </x:c>
      <x:c r="AP299" s="13" t="n">
        <x:v>0.694190259163592</x:v>
      </x:c>
    </x:row>
    <x:row r="300" ht="15" hidden="0" customHeight="1">
      <x:c r="A300" s="2" t="str">
        <x:v>E299</x:v>
      </x:c>
      <x:c r="B300" s="2" t="str">
        <x:v>***压缩天然气有限责任公司</x:v>
      </x:c>
      <x:c r="C300" s="2" t="str">
        <x:v>无信贷记录</x:v>
      </x:c>
      <x:c r="D300" s="2" t="str"/>
      <x:c r="E300" s="2" t="str"/>
      <x:c r="F300" s="13" t="n">
        <x:v>0.04410318051207531</x:v>
      </x:c>
      <x:c r="G300" s="13" t="n">
        <x:v>0.04333853192249119</x:v>
      </x:c>
      <x:c r="H300" s="13" t="n">
        <x:v>0.04</x:v>
      </x:c>
      <x:c r="I300" s="13" t="n">
        <x:v>0.04006410256410263</x:v>
      </x:c>
      <x:c r="J300" s="13" t="n">
        <x:v>0.09179343530619108</x:v>
      </x:c>
      <x:c r="K300" s="13" t="n">
        <x:v>0.09281871961655103</x:v>
      </x:c>
      <x:c r="L300" s="13" t="n">
        <x:v>0.06718256239269452</x:v>
      </x:c>
      <x:c r="M300" s="13" t="n">
        <x:v>0.2916145521779326</x:v>
      </x:c>
      <x:c r="N300" s="13" t="n">
        <x:v>0.21686776149387038</x:v>
      </x:c>
      <x:c r="O300" s="13" t="n">
        <x:v>0.41115127516532196</x:v>
      </x:c>
      <x:c r="P300" s="13" t="n">
        <x:v>0.6018687110630427</x:v>
      </x:c>
      <x:c r="Q300" s="13" t="n">
        <x:v>0.08986958976605906</x:v>
      </x:c>
      <x:c r="R300" s="13" t="n">
        <x:v>0.09526449322428808</x:v>
      </x:c>
      <x:c r="S300" s="13" t="n">
        <x:v>0.6266901277264227</x:v>
      </x:c>
      <x:c r="T300" s="13" t="n">
        <x:v>1</x:v>
      </x:c>
      <x:c r="U300" s="13" t="n">
        <x:v>0.046789327462389306</x:v>
      </x:c>
      <x:c r="V300" s="13" t="n">
        <x:v>0.04556533943508988</x:v>
      </x:c>
      <x:c r="W300" s="13" t="n">
        <x:v>0.06174669037739582</x:v>
      </x:c>
      <x:c r="X300" s="13" t="n">
        <x:v>0.017004874730756177</x:v>
      </x:c>
      <x:c r="Y300" s="13" t="n">
        <x:v>0.032599831286399525</x:v>
      </x:c>
      <x:c r="Z300" s="13" t="n">
        <x:v>0.022619728703760156</x:v>
      </x:c>
      <x:c r="AA300" s="13" t="n">
        <x:v>0.10288677254966055</x:v>
      </x:c>
      <x:c r="AB300" s="13" t="n">
        <x:v>0.11275891269651558</x:v>
      </x:c>
      <x:c r="AC300" s="13" t="n">
        <x:v>0.06798930462413323</x:v>
      </x:c>
      <x:c r="AD300" s="13" t="n">
        <x:v>0.3257991619439701</x:v>
      </x:c>
      <x:c r="AE300" s="13" t="n">
        <x:v>0.4731686165810222</x:v>
      </x:c>
      <x:c r="AF300" s="13" t="n">
        <x:v>0.031226518184379635</x:v>
      </x:c>
      <x:c r="AG300" s="13" t="n">
        <x:v>0.1611380498053575</x:v>
      </x:c>
      <x:c r="AH300" s="13" t="n">
        <x:v>0.5505328616079281</x:v>
      </x:c>
      <x:c r="AI300" s="13" t="n">
        <x:v>1</x:v>
      </x:c>
      <x:c r="AJ300" s="13" t="n">
        <x:v>0.13277918844470793</x:v>
      </x:c>
      <x:c r="AK300" s="13" t="n">
        <x:v>0.05585266520135153</x:v>
      </x:c>
      <x:c r="AL300" s="13" t="n">
        <x:v>0.17509419127148435</x:v>
      </x:c>
      <x:c r="AM300" s="13" t="n">
        <x:v>0.10931259196972891</x:v>
      </x:c>
      <x:c r="AN300" s="13" t="n">
        <x:v>0.4162472281061883</x:v>
      </x:c>
      <x:c r="AO300" s="13" t="n">
        <x:v>0.13342945936055411</x:v>
      </x:c>
      <x:c r="AP300" s="13" t="n">
        <x:v>0.5609906353657256</x:v>
      </x:c>
    </x:row>
    <x:row r="301" ht="15" hidden="0" customHeight="1">
      <x:c r="A301" s="2" t="str">
        <x:v>E300</x:v>
      </x:c>
      <x:c r="B301" s="2" t="str">
        <x:v>***建设工程有限公司</x:v>
      </x:c>
      <x:c r="C301" s="2" t="str">
        <x:v>无信贷记录</x:v>
      </x:c>
      <x:c r="D301" s="2" t="str"/>
      <x:c r="E301" s="2" t="str"/>
      <x:c r="F301" s="13" t="n">
        <x:v>0.057483636972518494</x:v>
      </x:c>
      <x:c r="G301" s="13" t="n">
        <x:v>0.05684367303214073</x:v>
      </x:c>
      <x:c r="H301" s="13" t="n">
        <x:v>0.04363636363636364</x:v>
      </x:c>
      <x:c r="I301" s="13" t="n">
        <x:v>0.013354700854700877</x:v>
      </x:c>
      <x:c r="J301" s="13" t="n">
        <x:v>0.05520648319839962</x:v>
      </x:c>
      <x:c r="K301" s="13" t="n">
        <x:v>0.055481544629145126</x:v>
      </x:c>
      <x:c r="L301" s="13" t="n">
        <x:v>0.14494015775460947</x:v>
      </x:c>
      <x:c r="M301" s="13" t="n">
        <x:v>0.2442671593764925</x:v>
      </x:c>
      <x:c r="N301" s="13" t="n">
        <x:v>0.05516047481102459</x:v>
      </x:c>
      <x:c r="O301" s="13" t="n">
        <x:v>0.049823839632258914</x:v>
      </x:c>
      <x:c r="P301" s="13" t="n">
        <x:v>0.12349127502716292</x:v>
      </x:c>
      <x:c r="Q301" s="13" t="n">
        <x:v>0.05868136898068941</x:v>
      </x:c>
      <x:c r="R301" s="13" t="n">
        <x:v>0.3438541566931162</x:v>
      </x:c>
      <x:c r="S301" s="13" t="n">
        <x:v>0.8768581575000064</x:v>
      </x:c>
      <x:c r="T301" s="13" t="n">
        <x:v>0.9166666666666666</x:v>
      </x:c>
      <x:c r="U301" s="13" t="n">
        <x:v>0.020667120965910106</x:v>
      </x:c>
      <x:c r="V301" s="13" t="n">
        <x:v>0.02018282873150905</x:v>
      </x:c>
      <x:c r="W301" s="13" t="n">
        <x:v>0.02840347757360208</x:v>
      </x:c>
      <x:c r="X301" s="13" t="n">
        <x:v>0.01133658315383745</x:v>
      </x:c>
      <x:c r="Y301" s="13" t="n">
        <x:v>0.030171040091617436</x:v>
      </x:c>
      <x:c r="Z301" s="13" t="n">
        <x:v>0.02071012201570582</x:v>
      </x:c>
      <x:c r="AA301" s="13" t="n">
        <x:v>0.007800080229396648</x:v>
      </x:c>
      <x:c r="AB301" s="13" t="n">
        <x:v>0.11491324964640834</x:v>
      </x:c>
      <x:c r="AC301" s="13" t="n">
        <x:v>0.1006119754527532</x:v>
      </x:c>
      <x:c r="AD301" s="13" t="n">
        <x:v>0.15249663917032544</x:v>
      </x:c>
      <x:c r="AE301" s="13" t="n">
        <x:v>0.2783872590733598</x:v>
      </x:c>
      <x:c r="AF301" s="13" t="n">
        <x:v>0.033296019816499794</x:v>
      </x:c>
      <x:c r="AG301" s="13" t="n">
        <x:v>0.4952083881107798</x:v>
      </x:c>
      <x:c r="AH301" s="13" t="n">
        <x:v>0.9596331275257322</x:v>
      </x:c>
      <x:c r="AI301" s="13" t="n">
        <x:v>0.4117647058823529</x:v>
      </x:c>
      <x:c r="AJ301" s="13" t="n">
        <x:v>0.15225734989250275</x:v>
      </x:c>
      <x:c r="AK301" s="13" t="n">
        <x:v>0.03644913866527933</x:v>
      </x:c>
      <x:c r="AL301" s="13" t="n">
        <x:v>0.12671170217427455</x:v>
      </x:c>
      <x:c r="AM301" s="13" t="n">
        <x:v>0.06000923218956767</x:v>
      </x:c>
      <x:c r="AN301" s="13" t="n">
        <x:v>0.09714512488927489</x:v>
      </x:c>
      <x:c r="AO301" s="13" t="n">
        <x:v>0.48403033866179807</x:v>
      </x:c>
      <x:c r="AP301" s="13" t="n">
        <x:v>0.9246712329194043</x:v>
      </x:c>
    </x:row>
    <x:row r="302" ht="15" hidden="0" customHeight="1">
      <x:c r="A302" s="2" t="str">
        <x:v>E301</x:v>
      </x:c>
      <x:c r="B302" s="2" t="str">
        <x:v>***企业管理咨询有限公司</x:v>
      </x:c>
      <x:c r="C302" s="2" t="str">
        <x:v>无信贷记录</x:v>
      </x:c>
      <x:c r="D302" s="2" t="str"/>
      <x:c r="E302" s="2" t="str"/>
      <x:c r="F302" s="13" t="n">
        <x:v>0.22627174137296943</x:v>
      </x:c>
      <x:c r="G302" s="13" t="n">
        <x:v>0.22653538957372593</x:v>
      </x:c>
      <x:c r="H302" s="13" t="n">
        <x:v>0.10545454545454545</x:v>
      </x:c>
      <x:c r="I302" s="13" t="n">
        <x:v>0.04674145299145307</x:v>
      </x:c>
      <x:c r="J302" s="13" t="n">
        <x:v>0.014092258690993594</x:v>
      </x:c>
      <x:c r="K302" s="13" t="n">
        <x:v>0.014050106337930407</x:v>
      </x:c>
      <x:c r="L302" s="13" t="n">
        <x:v>0.49018388116151185</x:v>
      </x:c>
      <x:c r="M302" s="13" t="n">
        <x:v>0.15025776979473413</x:v>
      </x:c>
      <x:c r="N302" s="13" t="n">
        <x:v>0.048541589159684886</x:v>
      </x:c>
      <x:c r="O302" s="13" t="n">
        <x:v>0.05438766339624711</x:v>
      </x:c>
      <x:c r="P302" s="13" t="n">
        <x:v>0.18250592594618695</x:v>
      </x:c>
      <x:c r="Q302" s="13" t="n">
        <x:v>0.014560986281624005</x:v>
      </x:c>
      <x:c r="R302" s="13" t="n">
        <x:v>0.10465065877664825</x:v>
      </x:c>
      <x:c r="S302" s="13" t="n">
        <x:v>0.6880234099792768</x:v>
      </x:c>
      <x:c r="T302" s="13" t="n">
        <x:v>0.9166666666666666</x:v>
      </x:c>
      <x:c r="U302" s="13" t="n">
        <x:v>0.03918855165906593</x:v>
      </x:c>
      <x:c r="V302" s="13" t="n">
        <x:v>0.03931302981325195</x:v>
      </x:c>
      <x:c r="W302" s="13" t="n">
        <x:v>0.0370480142264375</x:v>
      </x:c>
      <x:c r="X302" s="13" t="n">
        <x:v>0.0226731663076749</x:v>
      </x:c>
      <x:c r="Y302" s="13" t="n">
        <x:v>0.024179381417863095</x:v>
      </x:c>
      <x:c r="Z302" s="13" t="n">
        <x:v>0.016335746509579432</x:v>
      </x:c>
      <x:c r="AA302" s="13" t="n">
        <x:v>0.04420045463324768</x:v>
      </x:c>
      <x:c r="AB302" s="13" t="n">
        <x:v>0.08050690928332006</x:v>
      </x:c>
      <x:c r="AC302" s="13" t="n">
        <x:v>0.10484332021478487</x:v>
      </x:c>
      <x:c r="AD302" s="13" t="n">
        <x:v>0.11045781075846677</x:v>
      </x:c>
      <x:c r="AE302" s="13" t="n">
        <x:v>0.27524924316146016</x:v>
      </x:c>
      <x:c r="AF302" s="13" t="n">
        <x:v>0.025887980789291297</x:v>
      </x:c>
      <x:c r="AG302" s="13" t="n">
        <x:v>0.26824567379807124</x:v>
      </x:c>
      <x:c r="AH302" s="13" t="n">
        <x:v>0.6852482899717087</x:v>
      </x:c>
      <x:c r="AI302" s="13" t="n">
        <x:v>0.8823529411764706</x:v>
      </x:c>
      <x:c r="AJ302" s="13" t="n">
        <x:v>0.16945745136731322</x:v>
      </x:c>
      <x:c r="AK302" s="13" t="n">
        <x:v>0.01168286946880033</x:v>
      </x:c>
      <x:c r="AL302" s="13" t="n">
        <x:v>0.06739284946503879</x:v>
      </x:c>
      <x:c r="AM302" s="13" t="n">
        <x:v>0.042813294515946336</x:v>
      </x:c>
      <x:c r="AN302" s="13" t="n">
        <x:v>0.07499547627196741</x:v>
      </x:c>
      <x:c r="AO302" s="13" t="n">
        <x:v>0.19454287147150584</x:v>
      </x:c>
      <x:c r="AP302" s="13" t="n">
        <x:v>0.6667875499525824</x:v>
      </x:c>
    </x:row>
    <x:row r="303" ht="15" hidden="0" customHeight="1">
      <x:c r="A303" s="2" t="str">
        <x:v>E302</x:v>
      </x:c>
      <x:c r="B303" s="2" t="str">
        <x:v>***机电设备有限公司</x:v>
      </x:c>
      <x:c r="C303" s="2" t="str">
        <x:v>无信贷记录</x:v>
      </x:c>
      <x:c r="D303" s="2" t="str"/>
      <x:c r="E303" s="2" t="str"/>
      <x:c r="F303" s="13" t="n">
        <x:v>0.07123784920001316</x:v>
      </x:c>
      <x:c r="G303" s="13" t="n">
        <x:v>0.0684413083353426</x:v>
      </x:c>
      <x:c r="H303" s="13" t="n">
        <x:v>0.10181818181818182</x:v>
      </x:c>
      <x:c r="I303" s="13" t="n">
        <x:v>0.05341880341880351</x:v>
      </x:c>
      <x:c r="J303" s="13" t="n">
        <x:v>0.011955876444195794</x:v>
      </x:c>
      <x:c r="K303" s="13" t="n">
        <x:v>0.012329901600328702</x:v>
      </x:c>
      <x:c r="L303" s="13" t="n">
        <x:v>0.14680634004329543</x:v>
      </x:c>
      <x:c r="M303" s="13" t="n">
        <x:v>0.4601430572966597</x:v>
      </x:c>
      <x:c r="N303" s="13" t="n">
        <x:v>0.18333648357657562</x:v>
      </x:c>
      <x:c r="O303" s="13" t="n">
        <x:v>0.09176648280577811</x:v>
      </x:c>
      <x:c r="P303" s="13" t="n">
        <x:v>0.21848680621539293</x:v>
      </x:c>
      <x:c r="Q303" s="13" t="n">
        <x:v>0.011702684512657605</x:v>
      </x:c>
      <x:c r="R303" s="13" t="n">
        <x:v>0.3124386318231376</x:v>
      </x:c>
      <x:c r="S303" s="13" t="n">
        <x:v>0.6409185525519129</x:v>
      </x:c>
      <x:c r="T303" s="13" t="n">
        <x:v>1</x:v>
      </x:c>
      <x:c r="U303" s="13" t="n">
        <x:v>0.024423826248012467</x:v>
      </x:c>
      <x:c r="V303" s="13" t="n">
        <x:v>0.023728914785685784</x:v>
      </x:c>
      <x:c r="W303" s="13" t="n">
        <x:v>0.03457814661134166</x:v>
      </x:c>
      <x:c r="X303" s="13" t="n">
        <x:v>0.0028341457884593626</x:v>
      </x:c>
      <x:c r="Y303" s="13" t="n">
        <x:v>0.015978826392611955</x:v>
      </x:c>
      <x:c r="Z303" s="13" t="n">
        <x:v>0.010738282053196562</x:v>
      </x:c>
      <x:c r="AA303" s="13" t="n">
        <x:v>0.011885836540032989</x:v>
      </x:c>
      <x:c r="AB303" s="13" t="n">
        <x:v>0.1190796545154898</x:v>
      </x:c>
      <x:c r="AC303" s="13" t="n">
        <x:v>0.02149087215130648</x:v>
      </x:c>
      <x:c r="AD303" s="13" t="n">
        <x:v>0.0896235018821494</x:v>
      </x:c>
      <x:c r="AE303" s="13" t="n">
        <x:v>0.12317954118468477</x:v>
      </x:c>
      <x:c r="AF303" s="13" t="n">
        <x:v>0.01569736114320894</x:v>
      </x:c>
      <x:c r="AG303" s="13" t="n">
        <x:v>0.187675426732105</x:v>
      </x:c>
      <x:c r="AH303" s="13" t="n">
        <x:v>0.6916797168720354</x:v>
      </x:c>
      <x:c r="AI303" s="13" t="n">
        <x:v>0.9411764705882353</x:v>
      </x:c>
      <x:c r="AJ303" s="13" t="n">
        <x:v>0.1590136210853287</x:v>
      </x:c>
      <x:c r="AK303" s="13" t="n">
        <x:v>0.015569234124209144</x:v>
      </x:c>
      <x:c r="AL303" s="13" t="n">
        <x:v>0.18696934308379068</x:v>
      </x:c>
      <x:c r="AM303" s="13" t="n">
        <x:v>0.07527020072053531</x:v>
      </x:c>
      <x:c r="AN303" s="13" t="n">
        <x:v>0.08506127962444936</x:v>
      </x:c>
      <x:c r="AO303" s="13" t="n">
        <x:v>0.3053008238713351</x:v>
      </x:c>
      <x:c r="AP303" s="13" t="n">
        <x:v>0.6386468262046808</x:v>
      </x:c>
    </x:row>
    <x:row r="304" ht="15" hidden="0" customHeight="1">
      <x:c r="A304" s="2" t="str">
        <x:v>E303</x:v>
      </x:c>
      <x:c r="B304" s="2" t="str">
        <x:v>***图书发行有限公司</x:v>
      </x:c>
      <x:c r="C304" s="2" t="str">
        <x:v>无信贷记录</x:v>
      </x:c>
      <x:c r="D304" s="2" t="str"/>
      <x:c r="E304" s="2" t="str"/>
      <x:c r="F304" s="13" t="n">
        <x:v>0.051653047006515324</x:v>
      </x:c>
      <x:c r="G304" s="13" t="n">
        <x:v>0.051884157935376776</x:v>
      </x:c>
      <x:c r="H304" s="13" t="n">
        <x:v>0.02</x:v>
      </x:c>
      <x:c r="I304" s="13" t="n">
        <x:v>0.006677350427350438</x:v>
      </x:c>
      <x:c r="J304" s="13" t="n">
        <x:v>0.008290209462266865</x:v>
      </x:c>
      <x:c r="K304" s="13" t="n">
        <x:v>0.008230923279010111</x:v>
      </x:c>
      <x:c r="L304" s="13" t="n">
        <x:v>0.06904874468138048</x:v>
      </x:c>
      <x:c r="M304" s="13" t="n">
        <x:v>0.12455686499952097</x:v>
      </x:c>
      <x:c r="N304" s="13" t="n">
        <x:v>0.030208852407503938</x:v>
      </x:c>
      <x:c r="O304" s="13" t="n">
        <x:v>0.29015197468524806</x:v>
      </x:c>
      <x:c r="P304" s="13" t="n">
        <x:v>0.40876648040197067</x:v>
      </x:c>
      <x:c r="Q304" s="13" t="n">
        <x:v>0.008113724031510453</x:v>
      </x:c>
      <x:c r="R304" s="13" t="n">
        <x:v>0.5637527639689928</x:v>
      </x:c>
      <x:c r="S304" s="13" t="n">
        <x:v>0.6221746455692486</x:v>
      </x:c>
      <x:c r="T304" s="13" t="n">
        <x:v>0.8888888888888888</x:v>
      </x:c>
      <x:c r="U304" s="13" t="n">
        <x:v>0.030626758225437294</x:v>
      </x:c>
      <x:c r="V304" s="13" t="n">
        <x:v>0.028768089704779034</x:v>
      </x:c>
      <x:c r="W304" s="13" t="n">
        <x:v>0.05557202133965624</x:v>
      </x:c>
      <x:c r="X304" s="13" t="n">
        <x:v>0.0028341457884593626</x:v>
      </x:c>
      <x:c r="Y304" s="13" t="n">
        <x:v>0.024463015144370465</x:v>
      </x:c>
      <x:c r="Z304" s="13" t="n">
        <x:v>0.016160353784829582</x:v>
      </x:c>
      <x:c r="AA304" s="13" t="n">
        <x:v>0.017085890026297422</x:v>
      </x:c>
      <x:c r="AB304" s="13" t="n">
        <x:v>0.15363401854900247</x:v>
      </x:c>
      <x:c r="AC304" s="13" t="n">
        <x:v>0.01780672263965394</x:v>
      </x:c>
      <x:c r="AD304" s="13" t="n">
        <x:v>0.10405920994725419</x:v>
      </x:c>
      <x:c r="AE304" s="13" t="n">
        <x:v>0.20956936053884623</x:v>
      </x:c>
      <x:c r="AF304" s="13" t="n">
        <x:v>0.02342016815973097</x:v>
      </x:c>
      <x:c r="AG304" s="13" t="n">
        <x:v>0.11725673932047019</x:v>
      </x:c>
      <x:c r="AH304" s="13" t="n">
        <x:v>0.5803891767137009</x:v>
      </x:c>
      <x:c r="AI304" s="13" t="n">
        <x:v>0.8529411764705882</x:v>
      </x:c>
      <x:c r="AJ304" s="13" t="n">
        <x:v>0.17350747443579675</x:v>
      </x:c>
      <x:c r="AK304" s="13" t="n">
        <x:v>0.006912556634750272</x:v>
      </x:c>
      <x:c r="AL304" s="13" t="n">
        <x:v>0.14641238532836232</x:v>
      </x:c>
      <x:c r="AM304" s="13" t="n">
        <x:v>0.0194613691821734</x:v>
      </x:c>
      <x:c r="AN304" s="13" t="n">
        <x:v>0.21248451822065884</x:v>
      </x:c>
      <x:c r="AO304" s="13" t="n">
        <x:v>0.45295394010163315</x:v>
      </x:c>
      <x:c r="AP304" s="13" t="n">
        <x:v>0.5724248327201924</x:v>
      </x:c>
    </x:row>
    <x:row r="305" ht="15" hidden="0" customHeight="1">
      <x:c r="A305" s="2" t="str">
        <x:v>E304</x:v>
      </x:c>
      <x:c r="B305" s="2" t="str">
        <x:v>***环保科技有限公司</x:v>
      </x:c>
      <x:c r="C305" s="2" t="str">
        <x:v>无信贷记录</x:v>
      </x:c>
      <x:c r="D305" s="2" t="str"/>
      <x:c r="E305" s="2" t="str"/>
      <x:c r="F305" s="13" t="n">
        <x:v>0.04522444781322977</x:v>
      </x:c>
      <x:c r="G305" s="13" t="n">
        <x:v>0.044711936103133516</x:v>
      </x:c>
      <x:c r="H305" s="13" t="n">
        <x:v>0.034545454545454546</x:v>
      </x:c>
      <x:c r="I305" s="13" t="n">
        <x:v>0.006677350427350438</x:v>
      </x:c>
      <x:c r="J305" s="13" t="n">
        <x:v>0.06515437939413482</x:v>
      </x:c>
      <x:c r="K305" s="13" t="n">
        <x:v>0.06468367819068482</x:v>
      </x:c>
      <x:c r="L305" s="13" t="n">
        <x:v>0.0883326283311354</x:v>
      </x:c>
      <x:c r="M305" s="13" t="n">
        <x:v>0.2456253169759911</x:v>
      </x:c>
      <x:c r="N305" s="13" t="n">
        <x:v>0.03503815874475797</x:v>
      </x:c>
      <x:c r="O305" s="13" t="n">
        <x:v>0.20514342436975053</x:v>
      </x:c>
      <x:c r="P305" s="13" t="n">
        <x:v>0.39735129879093534</x:v>
      </x:c>
      <x:c r="Q305" s="13" t="n">
        <x:v>0.06551210495743458</x:v>
      </x:c>
      <x:c r="R305" s="13" t="n">
        <x:v>0.11433181038596082</x:v>
      </x:c>
      <x:c r="S305" s="13" t="n">
        <x:v>0.705392404240695</x:v>
      </x:c>
      <x:c r="T305" s="13" t="n">
        <x:v>0.9722222222222222</x:v>
      </x:c>
      <x:c r="U305" s="13" t="n">
        <x:v>0.08907410319582054</x:v>
      </x:c>
      <x:c r="V305" s="13" t="n">
        <x:v>0.08811837208521067</x:v>
      </x:c>
      <x:c r="W305" s="13" t="n">
        <x:v>0.09632483698873749</x:v>
      </x:c>
      <x:c r="X305" s="13" t="n">
        <x:v>0</x:v>
      </x:c>
      <x:c r="Y305" s="13" t="n">
        <x:v>0.01602541089958621</x:v>
      </x:c>
      <x:c r="Z305" s="13" t="n">
        <x:v>0.010583351739264689</x:v>
      </x:c>
      <x:c r="AA305" s="13" t="n">
        <x:v>0.07428647837520617</x:v>
      </x:c>
      <x:c r="AB305" s="13" t="n">
        <x:v>0.0931658188285496</x:v>
      </x:c>
      <x:c r="AC305" s="13" t="n">
        <x:v>0</x:v>
      </x:c>
      <x:c r="AD305" s="13" t="n">
        <x:v>0.04306614278688877</x:v>
      </x:c>
      <x:c r="AE305" s="13" t="n">
        <x:v>0.12207711568309403</x:v>
      </x:c>
      <x:c r="AF305" s="13" t="n">
        <x:v>0.015743261587961983</x:v>
      </x:c>
      <x:c r="AG305" s="13" t="n">
        <x:v>0.11738175475399532</x:v>
      </x:c>
      <x:c r="AH305" s="13" t="n">
        <x:v>0.6870872650148898</x:v>
      </x:c>
      <x:c r="AI305" s="13" t="n">
        <x:v>0.9705882352941176</x:v>
      </x:c>
      <x:c r="AJ305" s="13" t="n">
        <x:v>0.12568358522415649</x:v>
      </x:c>
      <x:c r="AK305" s="13" t="n">
        <x:v>0.08292123802506803</x:v>
      </x:c>
      <x:c r="AL305" s="13" t="n">
        <x:v>0.16368841751153546</x:v>
      </x:c>
      <x:c r="AM305" s="13" t="n">
        <x:v>0.006303763831912566</x:v>
      </x:c>
      <x:c r="AN305" s="13" t="n">
        <x:v>0.12544082498618567</x:v>
      </x:c>
      <x:c r="AO305" s="13" t="n">
        <x:v>0.12516963672079606</x:v>
      </x:c>
      <x:c r="AP305" s="13" t="n">
        <x:v>0.6791988215308161</x:v>
      </x:c>
    </x:row>
    <x:row r="306" ht="15" hidden="0" customHeight="1">
      <x:c r="A306" s="2" t="str">
        <x:v>E305</x:v>
      </x:c>
      <x:c r="B306" s="2" t="str">
        <x:v>***劳务有限公司</x:v>
      </x:c>
      <x:c r="C306" s="2" t="str">
        <x:v>无信贷记录</x:v>
      </x:c>
      <x:c r="D306" s="2" t="str"/>
      <x:c r="E306" s="2" t="str"/>
      <x:c r="F306" s="13" t="n">
        <x:v>0.04395367820525471</x:v>
      </x:c>
      <x:c r="G306" s="13" t="n">
        <x:v>0.043720033083780724</x:v>
      </x:c>
      <x:c r="H306" s="13" t="n">
        <x:v>0.02727272727272727</x:v>
      </x:c>
      <x:c r="I306" s="13" t="n">
        <x:v>0</x:v>
      </x:c>
      <x:c r="J306" s="13" t="n">
        <x:v>0.06694866665066444</x:v>
      </x:c>
      <x:c r="K306" s="13" t="n">
        <x:v>0.06645453164461003</x:v>
      </x:c>
      <x:c r="L306" s="13" t="n">
        <x:v>0.1013959043519371</x:v>
      </x:c>
      <x:c r="M306" s="13" t="n">
        <x:v>0.19950209732974122</x:v>
      </x:c>
      <x:c r="N306" s="13" t="n">
        <x:v>0</x:v>
      </x:c>
      <x:c r="O306" s="13" t="n">
        <x:v>0.3841453054650701</x:v>
      </x:c>
      <x:c r="P306" s="13" t="n">
        <x:v>0.5654924497597674</x:v>
      </x:c>
      <x:c r="Q306" s="13" t="n">
        <x:v>0.0691863586184223</x:v>
      </x:c>
      <x:c r="R306" s="13" t="n">
        <x:v>0.64019075114392</x:v>
      </x:c>
      <x:c r="S306" s="13" t="n">
        <x:v>0.38396250648588015</x:v>
      </x:c>
      <x:c r="T306" s="13" t="n">
        <x:v>0.9444444444444444</x:v>
      </x:c>
      <x:c r="U306" s="13" t="n">
        <x:v>0.030539392986318636</x:v>
      </x:c>
      <x:c r="V306" s="13" t="n">
        <x:v>0.02932799802912273</x:v>
      </x:c>
      <x:c r="W306" s="13" t="n">
        <x:v>0.04692748468682083</x:v>
      </x:c>
      <x:c r="X306" s="13" t="n">
        <x:v>0.005668291576918725</x:v>
      </x:c>
      <x:c r="Y306" s="13" t="n">
        <x:v>0.07540953363050232</x:v>
      </x:c>
      <x:c r="Z306" s="13" t="n">
        <x:v>0.05041946049690511</x:v>
      </x:c>
      <x:c r="AA306" s="13" t="n">
        <x:v>0.0011142971756280926</x:v>
      </x:c>
      <x:c r="AB306" s="13" t="n">
        <x:v>0.13009677336740041</x:v>
      </x:c>
      <x:c r="AC306" s="13" t="n">
        <x:v>0.034947773404928294</x:v>
      </x:c>
      <x:c r="AD306" s="13" t="n">
        <x:v>0.33214634023887213</x:v>
      </x:c>
      <x:c r="AE306" s="13" t="n">
        <x:v>0.45148120831054545</x:v>
      </x:c>
      <x:c r="AF306" s="13" t="n">
        <x:v>0.07425536833032931</x:v>
      </x:c>
      <x:c r="AG306" s="13" t="n">
        <x:v>0.3237799009948838</x:v>
      </x:c>
      <x:c r="AH306" s="13" t="n">
        <x:v>0.38909515382917725</x:v>
      </x:c>
      <x:c r="AI306" s="13" t="n">
        <x:v>0.6470588235294118</x:v>
      </x:c>
      <x:c r="AJ306" s="13" t="n">
        <x:v>0.20989802975880587</x:v>
      </x:c>
      <x:c r="AK306" s="13" t="n">
        <x:v>0.017958806932805063</x:v>
      </x:c>
      <x:c r="AL306" s="13" t="n">
        <x:v>0.15395351137995844</x:v>
      </x:c>
      <x:c r="AM306" s="13" t="n">
        <x:v>0.021655117270788928</x:v>
      </x:c>
      <x:c r="AN306" s="13" t="n">
        <x:v>0.4038216317236903</x:v>
      </x:c>
      <x:c r="AO306" s="13" t="n">
        <x:v>0.6133500141572029</x:v>
      </x:c>
      <x:c r="AP306" s="13" t="n">
        <x:v>0.32194279356062505</x:v>
      </x:c>
    </x:row>
    <x:row r="307" ht="15" hidden="0" customHeight="1">
      <x:c r="A307" s="2" t="str">
        <x:v>E306</x:v>
      </x:c>
      <x:c r="B307" s="2" t="str">
        <x:v>个体经营E306 </x:v>
      </x:c>
      <x:c r="C307" s="2" t="str">
        <x:v>无信贷记录</x:v>
      </x:c>
      <x:c r="D307" s="2" t="str"/>
      <x:c r="E307" s="2" t="str"/>
      <x:c r="F307" s="13" t="n">
        <x:v>0.09336419060946112</x:v>
      </x:c>
      <x:c r="G307" s="13" t="n">
        <x:v>0.09331518405142028</x:v>
      </x:c>
      <x:c r="H307" s="13" t="n">
        <x:v>0.04727272727272727</x:v>
      </x:c>
      <x:c r="I307" s="13" t="n">
        <x:v>0.03338675213675219</x:v>
      </x:c>
      <x:c r="J307" s="13" t="n">
        <x:v>0.013507471168683392</x:v>
      </x:c>
      <x:c r="K307" s="13" t="n">
        <x:v>0.013720524929165513</x:v>
      </x:c>
      <x:c r="L307" s="13" t="n">
        <x:v>0.21087859862151337</x:v>
      </x:c>
      <x:c r="M307" s="13" t="n">
        <x:v>0.1630888448195167</x:v>
      </x:c>
      <x:c r="N307" s="13" t="n">
        <x:v>0.08409158098741913</x:v>
      </x:c>
      <x:c r="O307" s="13" t="n">
        <x:v>0.2277257109223807</x:v>
      </x:c>
      <x:c r="P307" s="13" t="n">
        <x:v>0.33415644066982075</x:v>
      </x:c>
      <x:c r="Q307" s="13" t="n">
        <x:v>0.01620848408883515</x:v>
      </x:c>
      <x:c r="R307" s="13" t="n">
        <x:v>0.3034911695130978</x:v>
      </x:c>
      <x:c r="S307" s="13" t="n">
        <x:v>0.7421937007431774</x:v>
      </x:c>
      <x:c r="T307" s="13" t="n">
        <x:v>0.8055555555555556</x:v>
      </x:c>
      <x:c r="U307" s="13" t="n">
        <x:v>0.032548793486047806</x:v>
      </x:c>
      <x:c r="V307" s="13" t="n">
        <x:v>0.030074542461580988</x:v>
      </x:c>
      <x:c r="W307" s="13" t="n">
        <x:v>0.06545149180003958</x:v>
      </x:c>
      <x:c r="X307" s="13" t="n">
        <x:v>0.019839020519215537</x:v>
      </x:c>
      <x:c r="Y307" s="13" t="n">
        <x:v>0.019928726066102333</x:v>
      </x:c>
      <x:c r="Z307" s="13" t="n">
        <x:v>0.013873314502826278</x:v>
      </x:c>
      <x:c r="AA307" s="13" t="n">
        <x:v>0.024143105471942008</x:v>
      </x:c>
      <x:c r="AB307" s="13" t="n">
        <x:v>0.17052571692350013</x:v>
      </x:c>
      <x:c r="AC307" s="13" t="n">
        <x:v>0.11934292832959556</x:v>
      </x:c>
      <x:c r="AD307" s="13" t="n">
        <x:v>0.07542462369015394</x:v>
      </x:c>
      <x:c r="AE307" s="13" t="n">
        <x:v>0.19710505431080005</x:v>
      </x:c>
      <x:c r="AF307" s="13" t="n">
        <x:v>0.02013733097894125</x:v>
      </x:c>
      <x:c r="AG307" s="13" t="n">
        <x:v>0.24236519557757652</x:v>
      </x:c>
      <x:c r="AH307" s="13" t="n">
        <x:v>0.6449900164645762</x:v>
      </x:c>
      <x:c r="AI307" s="13" t="n">
        <x:v>0.8823529411764706</x:v>
      </x:c>
      <x:c r="AJ307" s="13" t="n">
        <x:v>0.1637159570338719</x:v>
      </x:c>
      <x:c r="AK307" s="13" t="n">
        <x:v>0.013426481019492453</x:v>
      </x:c>
      <x:c r="AL307" s="13" t="n">
        <x:v>0.1328276357613729</x:v>
      </x:c>
      <x:c r="AM307" s="13" t="n">
        <x:v>0.07491500028813468</x:v>
      </x:c>
      <x:c r="AN307" s="13" t="n">
        <x:v>0.15812701346654054</x:v>
      </x:c>
      <x:c r="AO307" s="13" t="n">
        <x:v>0.3264824372864821</x:v>
      </x:c>
      <x:c r="AP307" s="13" t="n">
        <x:v>0.6832667159813332</x:v>
      </x:c>
    </x:row>
    <x:row r="308" ht="15" hidden="0" customHeight="1">
      <x:c r="A308" s="2" t="str">
        <x:v>E307</x:v>
      </x:c>
      <x:c r="B308" s="2" t="str">
        <x:v>***通信工程有限公司</x:v>
      </x:c>
      <x:c r="C308" s="2" t="str">
        <x:v>无信贷记录</x:v>
      </x:c>
      <x:c r="D308" s="2" t="str"/>
      <x:c r="E308" s="2" t="str"/>
      <x:c r="F308" s="13" t="n">
        <x:v>0.034310779415326384</x:v>
      </x:c>
      <x:c r="G308" s="13" t="n">
        <x:v>0.03433510451605816</x:v>
      </x:c>
      <x:c r="H308" s="13" t="n">
        <x:v>0.016363636363636365</x:v>
      </x:c>
      <x:c r="I308" s="13" t="n">
        <x:v>0</x:v>
      </x:c>
      <x:c r="J308" s="13" t="n">
        <x:v>0.011048774237931129</x:v>
      </x:c>
      <x:c r="K308" s="13" t="n">
        <x:v>0.010967225397631711</x:v>
      </x:c>
      <x:c r="L308" s="13" t="n">
        <x:v>0.06842668391848516</x:v>
      </x:c>
      <x:c r="M308" s="13" t="n">
        <x:v>0.15319683829659086</x:v>
      </x:c>
      <x:c r="N308" s="13" t="n">
        <x:v>0</x:v>
      </x:c>
      <x:c r="O308" s="13" t="n">
        <x:v>0.3931926561628473</x:v>
      </x:c>
      <x:c r="P308" s="13" t="n">
        <x:v>0.6029343784804322</x:v>
      </x:c>
      <x:c r="Q308" s="13" t="n">
        <x:v>0.012453874263946205</x:v>
      </x:c>
      <x:c r="R308" s="13" t="n">
        <x:v>0.7284467953573647</x:v>
      </x:c>
      <x:c r="S308" s="13" t="n">
        <x:v>0.8568692464593664</x:v>
      </x:c>
      <x:c r="T308" s="13" t="n">
        <x:v>0.8611111111111112</x:v>
      </x:c>
      <x:c r="U308" s="13" t="n">
        <x:v>0.009222274641365703</x:v>
      </x:c>
      <x:c r="V308" s="13" t="n">
        <x:v>0.008518071974348743</x:v>
      </x:c>
      <x:c r="W308" s="13" t="n">
        <x:v>0.02099387472831458</x:v>
      </x:c>
      <x:c r="X308" s="13" t="n">
        <x:v>0</x:v>
      </x:c>
      <x:c r="Y308" s="13" t="n">
        <x:v>0.009903499437735304</x:v>
      </x:c>
      <x:c r="Z308" s="13" t="n">
        <x:v>0.00653920080439975</x:v>
      </x:c>
      <x:c r="AA308" s="13" t="n">
        <x:v>0.0029714591350082473</x:v>
      </x:c>
      <x:c r="AB308" s="13" t="n">
        <x:v>0.1816889262840377</x:v>
      </x:c>
      <x:c r="AC308" s="13" t="n">
        <x:v>0</x:v>
      </x:c>
      <x:c r="AD308" s="13" t="n">
        <x:v>0.32994718825243974</x:v>
      </x:c>
      <x:c r="AE308" s="13" t="n">
        <x:v>0.43290932408900384</x:v>
      </x:c>
      <x:c r="AF308" s="13" t="n">
        <x:v>0.011618195603809571</x:v>
      </x:c>
      <x:c r="AG308" s="13" t="n">
        <x:v>0.8357640464559631</x:v>
      </x:c>
      <x:c r="AH308" s="13" t="n">
        <x:v>0.72731570881714</x:v>
      </x:c>
      <x:c r="AI308" s="13" t="n">
        <x:v>0.29411764705882354</x:v>
      </x:c>
      <x:c r="AJ308" s="13" t="n">
        <x:v>0.15085223589673014</x:v>
      </x:c>
      <x:c r="AK308" s="13" t="n">
        <x:v>0.022659195273875436</x:v>
      </x:c>
      <x:c r="AL308" s="13" t="n">
        <x:v>0.12367060229806867</x:v>
      </x:c>
      <x:c r="AM308" s="13" t="n">
        <x:v>0</x:v>
      </x:c>
      <x:c r="AN308" s="13" t="n">
        <x:v>0.4079412956198031</x:v>
      </x:c>
      <x:c r="AO308" s="13" t="n">
        <x:v>0.9371296938674298</x:v>
      </x:c>
      <x:c r="AP308" s="13" t="n">
        <x:v>0.7991302780963174</x:v>
      </x:c>
    </x:row>
    <x:row r="309" ht="15" hidden="0" customHeight="1">
      <x:c r="A309" s="2" t="str">
        <x:v>E308</x:v>
      </x:c>
      <x:c r="B309" s="2" t="str">
        <x:v>***餐饮文化服务有限公司</x:v>
      </x:c>
      <x:c r="C309" s="2" t="str">
        <x:v>无信贷记录</x:v>
      </x:c>
      <x:c r="D309" s="2" t="str"/>
      <x:c r="E309" s="2" t="str"/>
      <x:c r="F309" s="13" t="n">
        <x:v>0.038272590546072134</x:v>
      </x:c>
      <x:c r="G309" s="13" t="n">
        <x:v>0.0370056126450849</x:v>
      </x:c>
      <x:c r="H309" s="13" t="n">
        <x:v>0.04909090909090909</x:v>
      </x:c>
      <x:c r="I309" s="13" t="n">
        <x:v>0.06009615384615394</x:v>
      </x:c>
      <x:c r="J309" s="13" t="n">
        <x:v>0.0287221358050269</x:v>
      </x:c>
      <x:c r="K309" s="13" t="n">
        <x:v>0.028976930279123358</x:v>
      </x:c>
      <x:c r="L309" s="13" t="n">
        <x:v>0.040433949588195774</x:v>
      </x:c>
      <x:c r="M309" s="13" t="n">
        <x:v>0.4122008314478311</x:v>
      </x:c>
      <x:c r="N309" s="13" t="n">
        <x:v>0.38074319523051164</x:v>
      </x:c>
      <x:c r="O309" s="13" t="n">
        <x:v>0.059390945872044486</x:v>
      </x:c>
      <x:c r="P309" s="13" t="n">
        <x:v>0.09607610586188757</x:v>
      </x:c>
      <x:c r="Q309" s="13" t="n">
        <x:v>0.028878179437591252</x:v>
      </x:c>
      <x:c r="R309" s="13" t="n">
        <x:v>0.2243240235737537</x:v>
      </x:c>
      <x:c r="S309" s="13" t="n">
        <x:v>0.70917262021842</x:v>
      </x:c>
      <x:c r="T309" s="13" t="n">
        <x:v>0.9722222222222222</x:v>
      </x:c>
      <x:c r="U309" s="13" t="n">
        <x:v>0.17521622896681885</x:v>
      </x:c>
      <x:c r="V309" s="13" t="n">
        <x:v>0.14989492387113165</x:v>
      </x:c>
      <x:c r="W309" s="13" t="n">
        <x:v>0.4964433906342624</x:v>
      </x:c>
      <x:c r="X309" s="13" t="n">
        <x:v>0.031175603673052988</x:v>
      </x:c>
      <x:c r="Y309" s="13" t="n">
        <x:v>0.01828692917022042</x:v>
      </x:c>
      <x:c r="Z309" s="13" t="n">
        <x:v>0.012214749549799576</x:v>
      </x:c>
      <x:c r="AA309" s="13" t="n">
        <x:v>0.6355208224998888</x:v>
      </x:c>
      <x:c r="AB309" s="13" t="n">
        <x:v>0.2452044683144377</x:v>
      </x:c>
      <x:c r="AC309" s="13" t="n">
        <x:v>0.038251887133540545</x:v>
      </x:c>
      <x:c r="AD309" s="13" t="n">
        <x:v>0</x:v>
      </x:c>
      <x:c r="AE309" s="13" t="n">
        <x:v>0</x:v>
      </x:c>
      <x:c r="AF309" s="13" t="n">
        <x:v>0.017971570980537584</x:v>
      </x:c>
      <x:c r="AG309" s="13" t="n">
        <x:v>0.06639534828137666</x:v>
      </x:c>
      <x:c r="AH309" s="13" t="n">
        <x:v>0.5943707639141883</x:v>
      </x:c>
      <x:c r="AI309" s="13" t="n">
        <x:v>0.9705882352941176</x:v>
      </x:c>
      <x:c r="AJ309" s="13" t="n">
        <x:v>0.15180506269903876</x:v>
      </x:c>
      <x:c r="AK309" s="13" t="n">
        <x:v>0.0322043204035556</x:v>
      </x:c>
      <x:c r="AL309" s="13" t="n">
        <x:v>0.47570071735282043</x:v>
      </x:c>
      <x:c r="AM309" s="13" t="n">
        <x:v>0.09239516702203278</x:v>
      </x:c>
      <x:c r="AN309" s="13" t="n">
        <x:v>0.010487192431092519</x:v>
      </x:c>
      <x:c r="AO309" s="13" t="n">
        <x:v>0.17957537423286246</x:v>
      </x:c>
      <x:c r="AP309" s="13" t="n">
        <x:v>0.6368961393700505</x:v>
      </x:c>
    </x:row>
    <x:row r="310" ht="15" hidden="0" customHeight="1">
      <x:c r="A310" s="2" t="str">
        <x:v>E309</x:v>
      </x:c>
      <x:c r="B310" s="2" t="str">
        <x:v>个体经营E309 </x:v>
      </x:c>
      <x:c r="C310" s="2" t="str">
        <x:v>无信贷记录</x:v>
      </x:c>
      <x:c r="D310" s="2" t="str"/>
      <x:c r="E310" s="2" t="str"/>
      <x:c r="F310" s="13" t="n">
        <x:v>0.07355513495573238</x:v>
      </x:c>
      <x:c r="G310" s="13" t="n">
        <x:v>0.07111181646436934</x:v>
      </x:c>
      <x:c r="H310" s="13" t="n">
        <x:v>0.09454545454545454</x:v>
      </x:c>
      <x:c r="I310" s="13" t="n">
        <x:v>0.09348290598290614</x:v>
      </x:c>
      <x:c r="J310" s="13" t="n">
        <x:v>0.023256289022362105</x:v>
      </x:c>
      <x:c r="K310" s="13" t="n">
        <x:v>0.02373276457421082</x:v>
      </x:c>
      <x:c r="L310" s="13" t="n">
        <x:v>0.120679788001692</x:v>
      </x:c>
      <x:c r="M310" s="13" t="n">
        <x:v>0.4138420788422218</x:v>
      </x:c>
      <x:c r="N310" s="13" t="n">
        <x:v>0.30881597728784543</x:v>
      </x:c>
      <x:c r="O310" s="13" t="n">
        <x:v>0.06667446223825912</x:v>
      </x:c>
      <x:c r="P310" s="13" t="n">
        <x:v>0.1873404821845973</x:v>
      </x:c>
      <x:c r="Q310" s="13" t="n">
        <x:v>0.027036287018525212</x:v>
      </x:c>
      <x:c r="R310" s="13" t="n">
        <x:v>0.15259990276887198</x:v>
      </x:c>
      <x:c r="S310" s="13" t="n">
        <x:v>0.6162188554103298</x:v>
      </x:c>
      <x:c r="T310" s="13" t="n">
        <x:v>0.8055555555555556</x:v>
      </x:c>
      <x:c r="U310" s="13" t="n">
        <x:v>0.01760933759675702</x:v>
      </x:c>
      <x:c r="V310" s="13" t="n">
        <x:v>0.015423607974587644</x:v>
      </x:c>
      <x:c r="W310" s="13" t="n">
        <x:v>0.048162418494368746</x:v>
      </x:c>
      <x:c r="X310" s="13" t="n">
        <x:v>0.005668291576918725</x:v>
      </x:c>
      <x:c r="Y310" s="13" t="n">
        <x:v>0.020000256153884448</x:v>
      </x:c>
      <x:c r="Z310" s="13" t="n">
        <x:v>0.013377026518399324</x:v>
      </x:c>
      <x:c r="AA310" s="13" t="n">
        <x:v>0.014485863283165205</x:v>
      </x:c>
      <x:c r="AB310" s="13" t="n">
        <x:v>0.2271744729255392</x:v>
      </x:c>
      <x:c r="AC310" s="13" t="n">
        <x:v>0.06522229804059292</x:v>
      </x:c>
      <x:c r="AD310" s="13" t="n">
        <x:v>0.08925908753441981</x:v>
      </x:c>
      <x:c r="AE310" s="13" t="n">
        <x:v>0.13372296259103167</x:v>
      </x:c>
      <x:c r="AF310" s="13" t="n">
        <x:v>0.020209768465290757</x:v>
      </x:c>
      <x:c r="AG310" s="13" t="n">
        <x:v>0.2517313521691687</x:v>
      </x:c>
      <x:c r="AH310" s="13" t="n">
        <x:v>0.4932256190358381</x:v>
      </x:c>
      <x:c r="AI310" s="13" t="n">
        <x:v>0.8529411764705882</x:v>
      </x:c>
      <x:c r="AJ310" s="13" t="n">
        <x:v>0.15769863517266117</x:v>
      </x:c>
      <x:c r="AK310" s="13" t="n">
        <x:v>0.02409219442074003</x:v>
      </x:c>
      <x:c r="AL310" s="13" t="n">
        <x:v>0.21100275919416428</x:v>
      </x:c>
      <x:c r="AM310" s="13" t="n">
        <x:v>0.14034708914739155</x:v>
      </x:c>
      <x:c r="AN310" s="13" t="n">
        <x:v>0.06980972233937256</x:v>
      </x:c>
      <x:c r="AO310" s="13" t="n">
        <x:v>0.2211543011011082</x:v>
      </x:c>
      <x:c r="AP310" s="13" t="n">
        <x:v>0.5263471157885083</x:v>
      </x:c>
    </x:row>
    <x:row r="311" ht="15" hidden="0" customHeight="1">
      <x:c r="A311" s="2" t="str">
        <x:v>E310</x:v>
      </x:c>
      <x:c r="B311" s="2" t="str">
        <x:v>***律师事务所</x:v>
      </x:c>
      <x:c r="C311" s="2" t="str">
        <x:v>无信贷记录</x:v>
      </x:c>
      <x:c r="D311" s="2" t="str"/>
      <x:c r="E311" s="2" t="str"/>
      <x:c r="F311" s="13" t="n">
        <x:v>0.13903714534315267</x:v>
      </x:c>
      <x:c r="G311" s="13" t="n">
        <x:v>0.1401635266577752</x:v>
      </x:c>
      <x:c r="H311" s="13" t="n">
        <x:v>0.04181818181818182</x:v>
      </x:c>
      <x:c r="I311" s="13" t="n">
        <x:v>0.06009615384615394</x:v>
      </x:c>
      <x:c r="J311" s="13" t="n">
        <x:v>0.013195604936010855</x:v>
      </x:c>
      <x:c r="K311" s="13" t="n">
        <x:v>0.01587163259177359</x:v>
      </x:c>
      <x:c r="L311" s="13" t="n">
        <x:v>0.29921122695264873</x:v>
      </x:c>
      <x:c r="M311" s="13" t="n">
        <x:v>0.09692959043195805</x:v>
      </x:c>
      <x:c r="N311" s="13" t="n">
        <x:v>0.10082758894902619</x:v>
      </x:c>
      <x:c r="O311" s="13" t="n">
        <x:v>0.04547339047541826</x:v>
      </x:c>
      <x:c r="P311" s="13" t="n">
        <x:v>0.13542605052303475</x:v>
      </x:c>
      <x:c r="Q311" s="13" t="n">
        <x:v>0.01583419606994664</x:v>
      </x:c>
      <x:c r="R311" s="13" t="n">
        <x:v>0.2500721470521499</x:v>
      </x:c>
      <x:c r="S311" s="13" t="n">
        <x:v>0.6618918348931442</x:v>
      </x:c>
      <x:c r="T311" s="13" t="n">
        <x:v>0.8055555555555556</x:v>
      </x:c>
      <x:c r="U311" s="13" t="n">
        <x:v>0.08627841554402343</x:v>
      </x:c>
      <x:c r="V311" s="13" t="n">
        <x:v>0.086905237382466</x:v>
      </x:c>
      <x:c r="W311" s="13" t="n">
        <x:v>0.07286109464532707</x:v>
      </x:c>
      <x:c r="X311" s="13" t="n">
        <x:v>0.08502437365378088</x:v>
      </x:c>
      <x:c r="Y311" s="13" t="n">
        <x:v>0.017185372910204177</x:v>
      </x:c>
      <x:c r="Z311" s="13" t="n">
        <x:v>0.01213515299436958</x:v>
      </x:c>
      <x:c r="AA311" s="13" t="n">
        <x:v>0.16863030591171801</x:v>
      </x:c>
      <x:c r="AB311" s="13" t="n">
        <x:v>0.0727334571265087</x:v>
      </x:c>
      <x:c r="AC311" s="13" t="n">
        <x:v>0.17939608629502105</x:v>
      </x:c>
      <x:c r="AD311" s="13" t="n">
        <x:v>0.018940387719370136</x:v>
      </x:c>
      <x:c r="AE311" s="13" t="n">
        <x:v>0.07616442437515039</x:v>
      </x:c>
      <x:c r="AF311" s="13" t="n">
        <x:v>0.02018183849923923</x:v>
      </x:c>
      <x:c r="AG311" s="13" t="n">
        <x:v>0.08960065951825522</x:v>
      </x:c>
      <x:c r="AH311" s="13" t="n">
        <x:v>0.5564379374094789</x:v>
      </x:c>
      <x:c r="AI311" s="13" t="n">
        <x:v>0.7941176470588235</x:v>
      </x:c>
      <x:c r="AJ311" s="13" t="n">
        <x:v>0.1599692705089358</x:v>
      </x:c>
      <x:c r="AK311" s="13" t="n">
        <x:v>0.017748574919628293</x:v>
      </x:c>
      <x:c r="AL311" s="13" t="n">
        <x:v>0.0771336141429831</x:v>
      </x:c>
      <x:c r="AM311" s="13" t="n">
        <x:v>0.13624710441311638</x:v>
      </x:c>
      <x:c r="AN311" s="13" t="n">
        <x:v>0.015481064084050781</x:v>
      </x:c>
      <x:c r="AO311" s="13" t="n">
        <x:v>0.21011536786378085</x:v>
      </x:c>
      <x:c r="AP311" s="13" t="n">
        <x:v>0.587197190139424</x:v>
      </x:c>
    </x:row>
    <x:row r="312" ht="15" hidden="0" customHeight="1">
      <x:c r="A312" s="2" t="str">
        <x:v>E311</x:v>
      </x:c>
      <x:c r="B312" s="2" t="str">
        <x:v>***律师事务所</x:v>
      </x:c>
      <x:c r="C312" s="2" t="str">
        <x:v>无信贷记录</x:v>
      </x:c>
      <x:c r="D312" s="2" t="str"/>
      <x:c r="E312" s="2" t="str"/>
      <x:c r="F312" s="13" t="n">
        <x:v>0.1900174319689753</x:v>
      </x:c>
      <x:c r="G312" s="13" t="n">
        <x:v>0.19166618343186242</x:v>
      </x:c>
      <x:c r="H312" s="13" t="n">
        <x:v>0.05454545454545454</x:v>
      </x:c>
      <x:c r="I312" s="13" t="n">
        <x:v>0.14690170940170963</x:v>
      </x:c>
      <x:c r="J312" s="13" t="n">
        <x:v>0.007341966387110745</x:v>
      </x:c>
      <x:c r="K312" s="13" t="n">
        <x:v>0.0073798451247729735</x:v>
      </x:c>
      <x:c r="L312" s="13" t="n">
        <x:v>0.2158550847246759</x:v>
      </x:c>
      <x:c r="M312" s="13" t="n">
        <x:v>0.09253635017653092</x:v>
      </x:c>
      <x:c r="N312" s="13" t="n">
        <x:v>0.18029181444796702</x:v>
      </x:c>
      <x:c r="O312" s="13" t="n">
        <x:v>0.03861548918936478</x:v>
      </x:c>
      <x:c r="P312" s="13" t="n">
        <x:v>0.11105944173838299</x:v>
      </x:c>
      <x:c r="Q312" s="13" t="n">
        <x:v>0.010114667229688372</x:v>
      </x:c>
      <x:c r="R312" s="13" t="n">
        <x:v>0.051784128197834595</x:v>
      </x:c>
      <x:c r="S312" s="13" t="n">
        <x:v>0.5601333801026913</x:v>
      </x:c>
      <x:c r="T312" s="13" t="n">
        <x:v>0.6944444444444444</x:v>
      </x:c>
      <x:c r="U312" s="13" t="n">
        <x:v>0.03997483881113387</x:v>
      </x:c>
      <x:c r="V312" s="13" t="n">
        <x:v>0.03772662289427815</x:v>
      </x:c>
      <x:c r="W312" s="13" t="n">
        <x:v>0.06915629322268332</x:v>
      </x:c>
      <x:c r="X312" s="13" t="n">
        <x:v>0.05101462419226853</x:v>
      </x:c>
      <x:c r="Y312" s="13" t="n">
        <x:v>0.016335447006564474</x:v>
      </x:c>
      <x:c r="Z312" s="13" t="n">
        <x:v>0.01208141065945178</x:v>
      </x:c>
      <x:c r="AA312" s="13" t="n">
        <x:v>0.049029075727636075</x:v>
      </x:c>
      <x:c r="AB312" s="13" t="n">
        <x:v>0.1473833839613557</x:v>
      </x:c>
      <x:c r="AC312" s="13" t="n">
        <x:v>0.24565478678062735</x:v>
      </x:c>
      <x:c r="AD312" s="13" t="n">
        <x:v>0.0445068782753505</x:v>
      </x:c>
      <x:c r="AE312" s="13" t="n">
        <x:v>0.13152316135034078</x:v>
      </x:c>
      <x:c r="AF312" s="13" t="n">
        <x:v>0.0228983901088661</x:v>
      </x:c>
      <x:c r="AG312" s="13" t="n">
        <x:v>0.12818097174538404</x:v>
      </x:c>
      <x:c r="AH312" s="13" t="n">
        <x:v>0.5670096782509146</x:v>
      </x:c>
      <x:c r="AI312" s="13" t="n">
        <x:v>0.6470588235294118</x:v>
      </x:c>
      <x:c r="AJ312" s="13" t="n">
        <x:v>0.16242264294144257</x:v>
      </x:c>
      <x:c r="AK312" s="13" t="n">
        <x:v>0.008282097669064075</x:v>
      </x:c>
      <x:c r="AL312" s="13" t="n">
        <x:v>0.07679593691483654</x:v>
      </x:c>
      <x:c r="AM312" s="13" t="n">
        <x:v>0.13266998341625216</x:v>
      </x:c>
      <x:c r="AN312" s="13" t="n">
        <x:v>0.02650541817430341</x:v>
      </x:c>
      <x:c r="AO312" s="13" t="n">
        <x:v>0.0850132369565085</x:v>
      </x:c>
      <x:c r="AP312" s="13" t="n">
        <x:v>0.5248006461779453</x:v>
      </x:c>
    </x:row>
    <x:row r="313" ht="15" hidden="0" customHeight="1">
      <x:c r="A313" s="2" t="str">
        <x:v>E312</x:v>
      </x:c>
      <x:c r="B313" s="2" t="str">
        <x:v>***家居用品有限公司</x:v>
      </x:c>
      <x:c r="C313" s="2" t="str">
        <x:v>无信贷记录</x:v>
      </x:c>
      <x:c r="D313" s="2" t="str"/>
      <x:c r="E313" s="2" t="str"/>
      <x:c r="F313" s="13" t="n">
        <x:v>0.3475928633578817</x:v>
      </x:c>
      <x:c r="G313" s="13" t="n">
        <x:v>0.338086329134786</x:v>
      </x:c>
      <x:c r="H313" s="13" t="n">
        <x:v>0.3981818181818182</x:v>
      </x:c>
      <x:c r="I313" s="13" t="n">
        <x:v>0.20699786324786357</x:v>
      </x:c>
      <x:c r="J313" s="13" t="n">
        <x:v>0.28613522705890654</x:v>
      </x:c>
      <x:c r="K313" s="13" t="n">
        <x:v>0.2903037495130423</x:v>
      </x:c>
      <x:c r="L313" s="13" t="n">
        <x:v>0.5642091119460549</x:v>
      </x:c>
      <x:c r="M313" s="13" t="n">
        <x:v>0.3694133848663781</x:v>
      </x:c>
      <x:c r="N313" s="13" t="n">
        <x:v>0.14407298840501878</x:v>
      </x:c>
      <x:c r="O313" s="13" t="n">
        <x:v>0.05575420276739303</x:v>
      </x:c>
      <x:c r="P313" s="13" t="n">
        <x:v>0.17837215505330267</x:v>
      </x:c>
      <x:c r="Q313" s="13" t="n">
        <x:v>0.2877162603195094</x:v>
      </x:c>
      <x:c r="R313" s="13" t="n">
        <x:v>0.07570727932740387</x:v>
      </x:c>
      <x:c r="S313" s="13" t="n">
        <x:v>0.6945702523262679</x:v>
      </x:c>
      <x:c r="T313" s="13" t="n">
        <x:v>0.9722222222222222</x:v>
      </x:c>
      <x:c r="U313" s="13" t="n">
        <x:v>0.05884573046076433</x:v>
      </x:c>
      <x:c r="V313" s="13" t="n">
        <x:v>0.06152272667888518</x:v>
      </x:c>
      <x:c r="W313" s="13" t="n">
        <x:v>0.02099387472831458</x:v>
      </x:c>
      <x:c r="X313" s="13" t="n">
        <x:v>0.04251218682689044</x:v>
      </x:c>
      <x:c r="Y313" s="13" t="n">
        <x:v>0.021122094071164707</x:v>
      </x:c>
      <x:c r="Z313" s="13" t="n">
        <x:v>0.01501199409140036</x:v>
      </x:c>
      <x:c r="AA313" s="13" t="n">
        <x:v>0.07057215445644587</x:v>
      </x:c>
      <x:c r="AB313" s="13" t="n">
        <x:v>0.030591839711075163</x:v>
      </x:c>
      <x:c r="AC313" s="13" t="n">
        <x:v>0.12633147818673404</x:v>
      </x:c>
      <x:c r="AD313" s="13" t="n">
        <x:v>0.16462845245237603</x:v>
      </x:c>
      <x:c r="AE313" s="13" t="n">
        <x:v>0.3700699524471036</x:v>
      </x:c>
      <x:c r="AF313" s="13" t="n">
        <x:v>0.020765103387641752</x:v>
      </x:c>
      <x:c r="AG313" s="13" t="n">
        <x:v>0.0855473749183632</x:v>
      </x:c>
      <x:c r="AH313" s="13" t="n">
        <x:v>0.5074090695134619</x:v>
      </x:c>
      <x:c r="AI313" s="13" t="n">
        <x:v>0.9705882352941176</x:v>
      </x:c>
      <x:c r="AJ313" s="13" t="n">
        <x:v>0</x:v>
      </x:c>
      <x:c r="AK313" s="13" t="n">
        <x:v>0.2628773864683388</x:v>
      </x:c>
      <x:c r="AL313" s="13" t="n">
        <x:v>0.12111800021105502</x:v>
      </x:c>
      <x:c r="AM313" s="13" t="n">
        <x:v>0.08752081912461625</x:v>
      </x:c>
      <x:c r="AN313" s="13" t="n">
        <x:v>0.10788005867095843</x:v>
      </x:c>
      <x:c r="AO313" s="13" t="n">
        <x:v>0.08086450925476195</x:v>
      </x:c>
      <x:c r="AP313" s="13" t="n">
        <x:v>0.5851798978680596</x:v>
      </x:c>
    </x:row>
    <x:row r="314" ht="15" hidden="0" customHeight="1">
      <x:c r="A314" s="2" t="str">
        <x:v>E313</x:v>
      </x:c>
      <x:c r="B314" s="2" t="str">
        <x:v>***物流有限公司</x:v>
      </x:c>
      <x:c r="C314" s="2" t="str">
        <x:v>无信贷记录</x:v>
      </x:c>
      <x:c r="D314" s="2" t="str"/>
      <x:c r="E314" s="2" t="str"/>
      <x:c r="F314" s="13" t="n">
        <x:v>0.024593129471987756</x:v>
      </x:c>
      <x:c r="G314" s="13" t="n">
        <x:v>0.024644975019303968</x:v>
      </x:c>
      <x:c r="H314" s="13" t="n">
        <x:v>0.01090909090909091</x:v>
      </x:c>
      <x:c r="I314" s="13" t="n">
        <x:v>0.03338675213675219</x:v>
      </x:c>
      <x:c r="J314" s="13" t="n">
        <x:v>0.02784780025243505</x:v>
      </x:c>
      <x:c r="K314" s="13" t="n">
        <x:v>0.027797270847675727</x:v>
      </x:c>
      <x:c r="L314" s="13" t="n">
        <x:v>0.038567767299509816</x:v>
      </x:c>
      <x:c r="M314" s="13" t="n">
        <x:v>0.14224318721999676</x:v>
      </x:c>
      <x:c r="N314" s="13" t="n">
        <x:v>0.3169605744910413</x:v>
      </x:c>
      <x:c r="O314" s="13" t="n">
        <x:v>0.18480017855872682</x:v>
      </x:c>
      <x:c r="P314" s="13" t="n">
        <x:v>0.33333372375030795</x:v>
      </x:c>
      <x:c r="Q314" s="13" t="n">
        <x:v>0.027262059327212998</x:v>
      </x:c>
      <x:c r="R314" s="13" t="n">
        <x:v>0.06561028392904188</x:v>
      </x:c>
      <x:c r="S314" s="13" t="n">
        <x:v>0.5298825618866093</x:v>
      </x:c>
      <x:c r="T314" s="13" t="n">
        <x:v>1</x:v>
      </x:c>
      <x:c r="U314" s="13" t="n">
        <x:v>0.025122748160961744</x:v>
      </x:c>
      <x:c r="V314" s="13" t="n">
        <x:v>0.025408639758716864</x:v>
      </x:c>
      <x:c r="W314" s="13" t="n">
        <x:v>0.022228808535862496</x:v>
      </x:c>
      <x:c r="X314" s="13" t="n">
        <x:v>0.0226731663076749</x:v>
      </x:c>
      <x:c r="Y314" s="13" t="n">
        <x:v>0.021670273443743743</x:v>
      </x:c>
      <x:c r="Z314" s="13" t="n">
        <x:v>0.015091489779692588</x:v>
      </x:c>
      <x:c r="AA314" s="13" t="n">
        <x:v>0.010028674580652834</x:v>
      </x:c>
      <x:c r="AB314" s="13" t="n">
        <x:v>0.07448922111466787</x:v>
      </x:c>
      <x:c r="AC314" s="13" t="n">
        <x:v>0.16083491416461623</x:v>
      </x:c>
      <x:c r="AD314" s="13" t="n">
        <x:v>0.19756993867607797</x:v>
      </x:c>
      <x:c r="AE314" s="13" t="n">
        <x:v>0.28818661951529434</x:v>
      </x:c>
      <x:c r="AF314" s="13" t="n">
        <x:v>0.020740850001008476</x:v>
      </x:c>
      <x:c r="AG314" s="13" t="n">
        <x:v>0.1255265563428571</x:v>
      </x:c>
      <x:c r="AH314" s="13" t="n">
        <x:v>0.5379677652601192</x:v>
      </x:c>
      <x:c r="AI314" s="13" t="n">
        <x:v>0.9705882352941176</x:v>
      </x:c>
      <x:c r="AJ314" s="13" t="n">
        <x:v>0.1572161541572442</x:v>
      </x:c>
      <x:c r="AK314" s="13" t="n">
        <x:v>0.02502687981366591</x:v>
      </x:c>
      <x:c r="AL314" s="13" t="n">
        <x:v>0.10409632358623508</x:v>
      </x:c>
      <x:c r="AM314" s="13" t="n">
        <x:v>0.2088069585845608</x:v>
      </x:c>
      <x:c r="AN314" s="13" t="n">
        <x:v>0.20470739522297007</x:v>
      </x:c>
      <x:c r="AO314" s="13" t="n">
        <x:v>0.09375440023588444</x:v>
      </x:c>
      <x:c r="AP314" s="13" t="n">
        <x:v>0.49069630515528206</x:v>
      </x:c>
    </x:row>
    <x:row r="315" ht="15" hidden="0" customHeight="1">
      <x:c r="A315" s="2" t="str">
        <x:v>E314</x:v>
      </x:c>
      <x:c r="B315" s="2" t="str">
        <x:v>***房地产营销策划有限公司</x:v>
      </x:c>
      <x:c r="C315" s="2" t="str">
        <x:v>无信贷记录</x:v>
      </x:c>
      <x:c r="D315" s="2" t="str"/>
      <x:c r="E315" s="2" t="str"/>
      <x:c r="F315" s="13" t="n">
        <x:v>0.09321468830264053</x:v>
      </x:c>
      <x:c r="G315" s="13" t="n">
        <x:v>0.09423078683851517</x:v>
      </x:c>
      <x:c r="H315" s="13" t="n">
        <x:v>0.02181818181818182</x:v>
      </x:c>
      <x:c r="I315" s="13" t="n">
        <x:v>0.2604166666666671</x:v>
      </x:c>
      <x:c r="J315" s="13" t="n">
        <x:v>0.010582436158850198</x:v>
      </x:c>
      <x:c r="K315" s="13" t="n">
        <x:v>0.010600764532680983</x:v>
      </x:c>
      <x:c r="L315" s="13" t="n">
        <x:v>0.14431809699171416</x:v>
      </x:c>
      <x:c r="M315" s="13" t="n">
        <x:v>0.07539230579634736</x:v>
      </x:c>
      <x:c r="N315" s="13" t="n">
        <x:v>0.6495513794137346</x:v>
      </x:c>
      <x:c r="O315" s="13" t="n">
        <x:v>0.32121801872943584</x:v>
      </x:c>
      <x:c r="P315" s="13" t="n">
        <x:v>0.4983059175917315</x:v>
      </x:c>
      <x:c r="Q315" s="13" t="n">
        <x:v>0.011928115882537544</x:v>
      </x:c>
      <x:c r="R315" s="13" t="n">
        <x:v>0.3787977190055418</x:v>
      </x:c>
      <x:c r="S315" s="13" t="n">
        <x:v>0.6849542053487523</x:v>
      </x:c>
      <x:c r="T315" s="13" t="n">
        <x:v>0.8333333333333334</x:v>
      </x:c>
      <x:c r="U315" s="13" t="n">
        <x:v>0.010270657510789618</x:v>
      </x:c>
      <x:c r="V315" s="13" t="n">
        <x:v>0.009637888623036132</x:v>
      </x:c>
      <x:c r="W315" s="13" t="n">
        <x:v>0.02099387472831458</x:v>
      </x:c>
      <x:c r="X315" s="13" t="n">
        <x:v>0.005668291576918725</x:v>
      </x:c>
      <x:c r="Y315" s="13" t="n">
        <x:v>0.011306638118164802</x:v>
      </x:c>
      <x:c r="Z315" s="13" t="n">
        <x:v>0.007763803383871809</x:v>
      </x:c>
      <x:c r="AA315" s="13" t="n">
        <x:v>0.0011142971756280926</x:v>
      </x:c>
      <x:c r="AB315" s="13" t="n">
        <x:v>0.16452146868239637</x:v>
      </x:c>
      <x:c r="AC315" s="13" t="n">
        <x:v>0.10198395693619984</x:v>
      </x:c>
      <x:c r="AD315" s="13" t="n">
        <x:v>0.2951669366177108</x:v>
      </x:c>
      <x:c r="AE315" s="13" t="n">
        <x:v>0.4521838350368345</x:v>
      </x:c>
      <x:c r="AF315" s="13" t="n">
        <x:v>0.011405867095723375</x:v>
      </x:c>
      <x:c r="AG315" s="13" t="n">
        <x:v>0.2785497084072391</x:v>
      </x:c>
      <x:c r="AH315" s="13" t="n">
        <x:v>0.6552125953521027</x:v>
      </x:c>
      <x:c r="AI315" s="13" t="n">
        <x:v>0.7941176470588235</x:v>
      </x:c>
      <x:c r="AJ315" s="13" t="n">
        <x:v>0.15316144303288648</x:v>
      </x:c>
      <x:c r="AK315" s="13" t="n">
        <x:v>0.01847400219777804</x:v>
      </x:c>
      <x:c r="AL315" s="13" t="n">
        <x:v>0.0556267503171008</x:v>
      </x:c>
      <x:c r="AM315" s="13" t="n">
        <x:v>0.2952941306828887</x:v>
      </x:c>
      <x:c r="AN315" s="13" t="n">
        <x:v>0.3442242773392046</x:v>
      </x:c>
      <x:c r="AO315" s="13" t="n">
        <x:v>0.39975069797361296</x:v>
      </x:c>
      <x:c r="AP315" s="13" t="n">
        <x:v>0.6502350229496041</x:v>
      </x:c>
    </x:row>
    <x:row r="316" ht="15" hidden="0" customHeight="1">
      <x:c r="A316" s="2" t="str">
        <x:v>E315</x:v>
      </x:c>
      <x:c r="B316" s="2" t="str">
        <x:v>***轮胎有限公司</x:v>
      </x:c>
      <x:c r="C316" s="2" t="str">
        <x:v>无信贷记录</x:v>
      </x:c>
      <x:c r="D316" s="2" t="str"/>
      <x:c r="E316" s="2" t="str"/>
      <x:c r="F316" s="13" t="n">
        <x:v>0.028853945216374695</x:v>
      </x:c>
      <x:c r="G316" s="13" t="n">
        <x:v>0.028536286864457226</x:v>
      </x:c>
      <x:c r="H316" s="13" t="n">
        <x:v>0.02181818181818182</x:v>
      </x:c>
      <x:c r="I316" s="13" t="n">
        <x:v>0.026709401709401753</x:v>
      </x:c>
      <x:c r="J316" s="13" t="n">
        <x:v>0.008359501327930077</x:v>
      </x:c>
      <x:c r="K316" s="13" t="n">
        <x:v>0.008873393210319437</x:v>
      </x:c>
      <x:c r="L316" s="13" t="n">
        <x:v>0.058473711712160044</x:v>
      </x:c>
      <x:c r="M316" s="13" t="n">
        <x:v>0.24269327304030378</x:v>
      </x:c>
      <x:c r="N316" s="13" t="n">
        <x:v>0.21917486533954986</x:v>
      </x:c>
      <x:c r="O316" s="13" t="n">
        <x:v>0.04916996372769355</x:v>
      </x:c>
      <x:c r="P316" s="13" t="n">
        <x:v>0.11130501290124947</x:v>
      </x:c>
      <x:c r="Q316" s="13" t="n">
        <x:v>0.008402821311560879</x:v>
      </x:c>
      <x:c r="R316" s="13" t="n">
        <x:v>0.1899192408386012</x:v>
      </x:c>
      <x:c r="S316" s="13" t="n">
        <x:v>0.5997267652735155</x:v>
      </x:c>
      <x:c r="T316" s="13" t="n">
        <x:v>0.9722222222222222</x:v>
      </x:c>
      <x:c r="U316" s="13" t="n">
        <x:v>0.13721234995020196</x:v>
      </x:c>
      <x:c r="V316" s="13" t="n">
        <x:v>0.14242947954654905</x:v>
      </x:c>
      <x:c r="W316" s="13" t="n">
        <x:v>0.058041888954752076</x:v>
      </x:c>
      <x:c r="X316" s="13" t="n">
        <x:v>0.008502437365378089</x:v>
      </x:c>
      <x:c r="Y316" s="13" t="n">
        <x:v>0.01966493335872425</x:v>
      </x:c>
      <x:c r="Z316" s="13" t="n">
        <x:v>0.01302681543091255</x:v>
      </x:c>
      <x:c r="AA316" s="13" t="n">
        <x:v>0.051629102470768296</x:v>
      </x:c>
      <x:c r="AB316" s="13" t="n">
        <x:v>0.03656100694583856</x:v>
      </x:c>
      <x:c r="AC316" s="13" t="n">
        <x:v>0.010976746832663387</x:v>
      </x:c>
      <x:c r="AD316" s="13" t="n">
        <x:v>0.14584073810860612</x:v>
      </x:c>
      <x:c r="AE316" s="13" t="n">
        <x:v>0.3093571577364772</x:v>
      </x:c>
      <x:c r="AF316" s="13" t="n">
        <x:v>0.019329340102336674</x:v>
      </x:c>
      <x:c r="AG316" s="13" t="n">
        <x:v>0.041152475177466875</x:v>
      </x:c>
      <x:c r="AH316" s="13" t="n">
        <x:v>0.5484468967589375</x:v>
      </x:c>
      <x:c r="AI316" s="13" t="n">
        <x:v>0.9705882352941176</x:v>
      </x:c>
      <x:c r="AJ316" s="13" t="n">
        <x:v>0.16656865584393907</x:v>
      </x:c>
      <x:c r="AK316" s="13" t="n">
        <x:v>0.009240565312530664</x:v>
      </x:c>
      <x:c r="AL316" s="13" t="n">
        <x:v>0.08080486906042669</x:v>
      </x:c>
      <x:c r="AM316" s="13" t="n">
        <x:v>0.03557383329554431</x:v>
      </x:c>
      <x:c r="AN316" s="13" t="n">
        <x:v>0.09281341683705008</x:v>
      </x:c>
      <x:c r="AO316" s="13" t="n">
        <x:v>0.1416881077907047</x:v>
      </x:c>
      <x:c r="AP316" s="13" t="n">
        <x:v>0.5420951474234107</x:v>
      </x:c>
    </x:row>
    <x:row r="317" ht="15" hidden="0" customHeight="1">
      <x:c r="A317" s="2" t="str">
        <x:v>E316</x:v>
      </x:c>
      <x:c r="B317" s="2" t="str">
        <x:v>个体经营E316 </x:v>
      </x:c>
      <x:c r="C317" s="2" t="str">
        <x:v>无信贷记录</x:v>
      </x:c>
      <x:c r="D317" s="2" t="str"/>
      <x:c r="E317" s="2" t="str"/>
      <x:c r="F317" s="13" t="n">
        <x:v>0.05718463235887731</x:v>
      </x:c>
      <x:c r="G317" s="13" t="n">
        <x:v>0.05737777465794608</x:v>
      </x:c>
      <x:c r="H317" s="13" t="n">
        <x:v>0.023636363636363636</x:v>
      </x:c>
      <x:c r="I317" s="13" t="n">
        <x:v>0.020032051282051315</x:v>
      </x:c>
      <x:c r="J317" s="13" t="n">
        <x:v>0.009640027418018893</x:v>
      </x:c>
      <x:c r="K317" s="13" t="n">
        <x:v>0.009612294669140268</x:v>
      </x:c>
      <x:c r="L317" s="13" t="n">
        <x:v>0.11445918037273882</x:v>
      </x:c>
      <x:c r="M317" s="13" t="n">
        <x:v>0.13300139821982748</x:v>
      </x:c>
      <x:c r="N317" s="13" t="n">
        <x:v>0.08197256236837276</x:v>
      </x:c>
      <x:c r="O317" s="13" t="n">
        <x:v>0.08238081948227699</x:v>
      </x:c>
      <x:c r="P317" s="13" t="n">
        <x:v>0.207579406793715</x:v>
      </x:c>
      <x:c r="Q317" s="13" t="n">
        <x:v>0.009959750586581226</x:v>
      </x:c>
      <x:c r="R317" s="13" t="n">
        <x:v>0.25200422786382354</x:v>
      </x:c>
      <x:c r="S317" s="13" t="n">
        <x:v>0.74744775986728</x:v>
      </x:c>
      <x:c r="T317" s="13" t="n">
        <x:v>0.9444444444444444</x:v>
      </x:c>
      <x:c r="U317" s="13" t="n">
        <x:v>0.03901382118082861</x:v>
      </x:c>
      <x:c r="V317" s="13" t="n">
        <x:v>0.03707339651587717</x:v>
      </x:c>
      <x:c r="W317" s="13" t="n">
        <x:v>0.06421655799249165</x:v>
      </x:c>
      <x:c r="X317" s="13" t="n">
        <x:v>0.03684389524997171</x:v>
      </x:c>
      <x:c r="Y317" s="13" t="n">
        <x:v>0.01845509577834749</x:v>
      </x:c>
      <x:c r="Z317" s="13" t="n">
        <x:v>0.013176430775486893</x:v>
      </x:c>
      <x:c r="AA317" s="13" t="n">
        <x:v>0.007800080229396648</x:v>
      </x:c>
      <x:c r="AB317" s="13" t="n">
        <x:v>0.14015735025523032</x:v>
      </x:c>
      <x:c r="AC317" s="13" t="n">
        <x:v>0.18049140893411605</x:v>
      </x:c>
      <x:c r="AD317" s="13" t="n">
        <x:v>0.5327956779648609</x:v>
      </x:c>
      <x:c r="AE317" s="13" t="n">
        <x:v>0.7110071302237333</x:v>
      </x:c>
      <x:c r="AF317" s="13" t="n">
        <x:v>0.01918175922377422</x:v>
      </x:c>
      <x:c r="AG317" s="13" t="n">
        <x:v>0.30711855007232597</x:v>
      </x:c>
      <x:c r="AH317" s="13" t="n">
        <x:v>0.7297164640442357</x:v>
      </x:c>
      <x:c r="AI317" s="13" t="n">
        <x:v>0.8529411764705882</x:v>
      </x:c>
      <x:c r="AJ317" s="13" t="n">
        <x:v>0.1640261101733746</x:v>
      </x:c>
      <x:c r="AK317" s="13" t="n">
        <x:v>0.009897869691303064</x:v>
      </x:c>
      <x:c r="AL317" s="13" t="n">
        <x:v>0.1463179689804136</x:v>
      </x:c>
      <x:c r="AM317" s="13" t="n">
        <x:v>0.1340448018972496</x:v>
      </x:c>
      <x:c r="AN317" s="13" t="n">
        <x:v>0.34176800391270057</x:v>
      </x:c>
      <x:c r="AO317" s="13" t="n">
        <x:v>0.3217307056586809</x:v>
      </x:c>
      <x:c r="AP317" s="13" t="n">
        <x:v>0.7277010386025372</x:v>
      </x:c>
    </x:row>
    <x:row r="318" ht="15" hidden="0" customHeight="1">
      <x:c r="A318" s="2" t="str">
        <x:v>E317</x:v>
      </x:c>
      <x:c r="B318" s="2" t="str">
        <x:v>***科技有限公司</x:v>
      </x:c>
      <x:c r="C318" s="2" t="str">
        <x:v>无信贷记录</x:v>
      </x:c>
      <x:c r="D318" s="2" t="str"/>
      <x:c r="E318" s="2" t="str"/>
      <x:c r="F318" s="13" t="n">
        <x:v>0.02631240600042459</x:v>
      </x:c>
      <x:c r="G318" s="13" t="n">
        <x:v>0.02632358012897792</x:v>
      </x:c>
      <x:c r="H318" s="13" t="n">
        <x:v>0.012727272727272728</x:v>
      </x:c>
      <x:c r="I318" s="13" t="n">
        <x:v>0.020032051282051315</x:v>
      </x:c>
      <x:c r="J318" s="13" t="n">
        <x:v>0.005934704073169595</x:v>
      </x:c>
      <x:c r="K318" s="13" t="n">
        <x:v>0.005894827930740106</x:v>
      </x:c>
      <x:c r="L318" s="13" t="n">
        <x:v>0.06593844086690388</x:v>
      </x:c>
      <x:c r="M318" s="13" t="n">
        <x:v>0.15516829792313208</x:v>
      </x:c>
      <x:c r="N318" s="13" t="n">
        <x:v>0.17811905482925955</x:v>
      </x:c>
      <x:c r="O318" s="13" t="n">
        <x:v>0.09356561970527655</x:v>
      </x:c>
      <x:c r="P318" s="13" t="n">
        <x:v>0.15875030886231342</x:v>
      </x:c>
      <x:c r="Q318" s="13" t="n">
        <x:v>0.006897332787290853</x:v>
      </x:c>
      <x:c r="R318" s="13" t="n">
        <x:v>0.2646434233047455</x:v>
      </x:c>
      <x:c r="S318" s="13" t="n">
        <x:v>0.774094469455805</x:v>
      </x:c>
      <x:c r="T318" s="13" t="n">
        <x:v>0.8055555555555556</x:v>
      </x:c>
      <x:c r="U318" s="13" t="n">
        <x:v>0.017434607118519702</x:v>
      </x:c>
      <x:c r="V318" s="13" t="n">
        <x:v>0.015330289920530362</x:v>
      </x:c>
      <x:c r="W318" s="13" t="n">
        <x:v>0.04692748468682083</x:v>
      </x:c>
      <x:c r="X318" s="13" t="n">
        <x:v>0.028341457884593628</x:v>
      </x:c>
      <x:c r="Y318" s="13" t="n">
        <x:v>0.008995587866687813</x:v>
      </x:c>
      <x:c r="Z318" s="13" t="n">
        <x:v>0.00657315361718506</x:v>
      </x:c>
      <x:c r="AA318" s="13" t="n">
        <x:v>0.012257268931909019</x:v>
      </x:c>
      <x:c r="AB318" s="13" t="n">
        <x:v>0.2234676633440036</x:v>
      </x:c>
      <x:c r="AC318" s="13" t="n">
        <x:v>0.3280185749409936</x:v>
      </x:c>
      <x:c r="AD318" s="13" t="n">
        <x:v>0.07490488870985552</x:v>
      </x:c>
      <x:c r="AE318" s="13" t="n">
        <x:v>0.10003984909814705</x:v>
      </x:c>
      <x:c r="AF318" s="13" t="n">
        <x:v>0.010216353033641542</x:v>
      </x:c>
      <x:c r="AG318" s="13" t="n">
        <x:v>0.34482738729464096</x:v>
      </x:c>
      <x:c r="AH318" s="13" t="n">
        <x:v>0.8793095851980245</x:v>
      </x:c>
      <x:c r="AI318" s="13" t="n">
        <x:v>0.6176470588235294</x:v>
      </x:c>
      <x:c r="AJ318" s="13" t="n">
        <x:v>0.15275799058009343</x:v>
      </x:c>
      <x:c r="AK318" s="13" t="n">
        <x:v>0.012111638919916737</x:v>
      </x:c>
      <x:c r="AL318" s="13" t="n">
        <x:v>0.22204651792301358</x:v>
      </x:c>
      <x:c r="AM318" s="13" t="n">
        <x:v>0.24347375093643767</x:v>
      </x:c>
      <x:c r="AN318" s="13" t="n">
        <x:v>0.07742685256436448</x:v>
      </x:c>
      <x:c r="AO318" s="13" t="n">
        <x:v>0.3500561230321768</x:v>
      </x:c>
      <x:c r="AP318" s="13" t="n">
        <x:v>0.8176775751021987</x:v>
      </x:c>
    </x:row>
    <x:row r="319" ht="15" hidden="0" customHeight="1">
      <x:c r="A319" s="2" t="str">
        <x:v>E318</x:v>
      </x:c>
      <x:c r="B319" s="2" t="str">
        <x:v>***商贸有限公司</x:v>
      </x:c>
      <x:c r="C319" s="2" t="str">
        <x:v>无信贷记录</x:v>
      </x:c>
      <x:c r="D319" s="2" t="str"/>
      <x:c r="E319" s="2" t="str"/>
      <x:c r="F319" s="13" t="n">
        <x:v>0.022275843716268545</x:v>
      </x:c>
      <x:c r="G319" s="13" t="n">
        <x:v>0.022508568516082572</x:v>
      </x:c>
      <x:c r="H319" s="13" t="n">
        <x:v>0.005454545454545455</x:v>
      </x:c>
      <x:c r="I319" s="13" t="n">
        <x:v>0.013354700854700877</x:v>
      </x:c>
      <x:c r="J319" s="13" t="n">
        <x:v>0.004367731263037395</x:v>
      </x:c>
      <x:c r="K319" s="13" t="n">
        <x:v>0.0050220340851147485</x:v>
      </x:c>
      <x:c r="L319" s="13" t="n">
        <x:v>0.014929458309487671</x:v>
      </x:c>
      <x:c r="M319" s="13" t="n">
        <x:v>0.07847082494969822</x:v>
      </x:c>
      <x:c r="N319" s="13" t="n">
        <x:v>0.13873695179742548</x:v>
      </x:c>
      <x:c r="O319" s="13" t="n">
        <x:v>0.30415743663869915</x:v>
      </x:c>
      <x:c r="P319" s="13" t="n">
        <x:v>0.49916417542532465</x:v>
      </x:c>
      <x:c r="Q319" s="13" t="n">
        <x:v>0.004273326277269299</x:v>
      </x:c>
      <x:c r="R319" s="13" t="n">
        <x:v>0.19708021749145574</x:v>
      </x:c>
      <x:c r="S319" s="13" t="n">
        <x:v>0.593148937994397</x:v>
      </x:c>
      <x:c r="T319" s="13" t="n">
        <x:v>1</x:v>
      </x:c>
      <x:c r="U319" s="13" t="n">
        <x:v>0.03490765494225161</x:v>
      </x:c>
      <x:c r="V319" s="13" t="n">
        <x:v>0.031940903542726634</x:v>
      </x:c>
      <x:c r="W319" s="13" t="n">
        <x:v>0.074096028452875</x:v>
      </x:c>
      <x:c r="X319" s="13" t="n">
        <x:v>0.005668291576918725</x:v>
      </x:c>
      <x:c r="Y319" s="13" t="n">
        <x:v>0.01913843823782472</x:v>
      </x:c>
      <x:c r="Z319" s="13" t="n">
        <x:v>0.012707096467324014</x:v>
      </x:c>
      <x:c r="AA319" s="13" t="n">
        <x:v>0.005571485878140463</x:v>
      </x:c>
      <x:c r="AB319" s="13" t="n">
        <x:v>0.18030398264919606</x:v>
      </x:c>
      <x:c r="AC319" s="13" t="n">
        <x:v>0.03214394058161026</x:v>
      </x:c>
      <x:c r="AD319" s="13" t="n">
        <x:v>0.20073593453707</x:v>
      </x:c>
      <x:c r="AE319" s="13" t="n">
        <x:v>0.36137077215948615</x:v>
      </x:c>
      <x:c r="AF319" s="13" t="n">
        <x:v>0.01831184196185132</x:v>
      </x:c>
      <x:c r="AG319" s="13" t="n">
        <x:v>0.016842989735157257</x:v>
      </x:c>
      <x:c r="AH319" s="13" t="n">
        <x:v>0.5359098551609881</x:v>
      </x:c>
      <x:c r="AI319" s="13" t="n">
        <x:v>1</x:v>
      </x:c>
      <x:c r="AJ319" s="13" t="n">
        <x:v>0.16831798561434172</x:v>
      </x:c>
      <x:c r="AK319" s="13" t="n">
        <x:v>0.005355225078920915</x:v>
      </x:c>
      <x:c r="AL319" s="13" t="n">
        <x:v>0.2472939164718568</x:v>
      </x:c>
      <x:c r="AM319" s="13" t="n">
        <x:v>0.06007116122175505</x:v>
      </x:c>
      <x:c r="AN319" s="13" t="n">
        <x:v>0.27810370604155993</x:v>
      </x:c>
      <x:c r="AO319" s="13" t="n">
        <x:v>0.13459550852644464</x:v>
      </x:c>
      <x:c r="AP319" s="13" t="n">
        <x:v>0.5316722282192969</x:v>
      </x:c>
    </x:row>
    <x:row r="320" ht="15" hidden="0" customHeight="1">
      <x:c r="A320" s="2" t="str">
        <x:v>E319</x:v>
      </x:c>
      <x:c r="B320" s="2" t="str">
        <x:v>个体经营E319 </x:v>
      </x:c>
      <x:c r="C320" s="2" t="str">
        <x:v>无信贷记录</x:v>
      </x:c>
      <x:c r="D320" s="2" t="str"/>
      <x:c r="E320" s="2" t="str"/>
      <x:c r="F320" s="13" t="n">
        <x:v>0.013455207613853484</x:v>
      </x:c>
      <x:c r="G320" s="13" t="n">
        <x:v>0.013276240412875822</x:v>
      </x:c>
      <x:c r="H320" s="13" t="n">
        <x:v>0.01090909090909091</x:v>
      </x:c>
      <x:c r="I320" s="13" t="n">
        <x:v>0.006677350427350438</x:v>
      </x:c>
      <x:c r="J320" s="13" t="n">
        <x:v>0.028727490703467556</x:v>
      </x:c>
      <x:c r="K320" s="13" t="n">
        <x:v>0.028563014474604482</x:v>
      </x:c>
      <x:c r="L320" s="13" t="n">
        <x:v>0.022394187464231507</x:v>
      </x:c>
      <x:c r="M320" s="13" t="n">
        <x:v>0.2586950273066974</x:v>
      </x:c>
      <x:c r="N320" s="13" t="n">
        <x:v>0.11705930307907776</x:v>
      </x:c>
      <x:c r="O320" s="13" t="n">
        <x:v>0.08000659738572369</x:v>
      </x:c>
      <x:c r="P320" s="13" t="n">
        <x:v>0.1361807580087951</x:v>
      </x:c>
      <x:c r="Q320" s="13" t="n">
        <x:v>0.03562420174829599</x:v>
      </x:c>
      <x:c r="R320" s="13" t="n">
        <x:v>0.1174890786450926</x:v>
      </x:c>
      <x:c r="S320" s="13" t="n">
        <x:v>0.5466949006391663</x:v>
      </x:c>
      <x:c r="T320" s="13" t="n">
        <x:v>0.7777777777777778</x:v>
      </x:c>
      <x:c r="U320" s="13" t="n">
        <x:v>0.06400027956876524</x:v>
      </x:c>
      <x:c r="V320" s="13" t="n">
        <x:v>0.06385567803031723</x:v>
      </x:c>
      <x:c r="W320" s="13" t="n">
        <x:v>0.06298162418494374</x:v>
      </x:c>
      <x:c r="X320" s="13" t="n">
        <x:v>0.017004874730756177</x:v>
      </x:c>
      <x:c r="Y320" s="13" t="n">
        <x:v>0.02339826662433353</x:v>
      </x:c>
      <x:c r="Z320" s="13" t="n">
        <x:v>0.015570879328794666</x:v>
      </x:c>
      <x:c r="AA320" s="13" t="n">
        <x:v>0.0650006685783054</x:v>
      </x:c>
      <x:c r="AB320" s="13" t="n">
        <x:v>0.08447800480861592</x:v>
      </x:c>
      <x:c r="AC320" s="13" t="n">
        <x:v>0.04870434991164392</x:v>
      </x:c>
      <x:c r="AD320" s="13" t="n">
        <x:v>0.027820482193091012</x:v>
      </x:c>
      <x:c r="AE320" s="13" t="n">
        <x:v>0.06585617061799975</x:v>
      </x:c>
      <x:c r="AF320" s="13" t="n">
        <x:v>0.023650884570423913</x:v>
      </x:c>
      <x:c r="AG320" s="13" t="n">
        <x:v>0.061709317094063576</x:v>
      </x:c>
      <x:c r="AH320" s="13" t="n">
        <x:v>0.45630712833836945</x:v>
      </x:c>
      <x:c r="AI320" s="13" t="n">
        <x:v>0.9411764705882353</x:v>
      </x:c>
      <x:c r="AJ320" s="13" t="n">
        <x:v>0.15914719891473936</x:v>
      </x:c>
      <x:c r="AK320" s="13" t="n">
        <x:v>0.024927821263294146</x:v>
      </x:c>
      <x:c r="AL320" s="13" t="n">
        <x:v>0.17046743085693095</x:v>
      </x:c>
      <x:c r="AM320" s="13" t="n">
        <x:v>0.07832808276954334</x:v>
      </x:c>
      <x:c r="AN320" s="13" t="n">
        <x:v>0.04143080929922935</x:v>
      </x:c>
      <x:c r="AO320" s="13" t="n">
        <x:v>0.09926626916461664</x:v>
      </x:c>
      <x:c r="AP320" s="13" t="n">
        <x:v>0.46238241987796613</x:v>
      </x:c>
    </x:row>
    <x:row r="321" ht="15" hidden="0" customHeight="1">
      <x:c r="A321" s="2" t="str">
        <x:v>E320</x:v>
      </x:c>
      <x:c r="B321" s="2" t="str">
        <x:v>***建筑设计有限公司</x:v>
      </x:c>
      <x:c r="C321" s="2" t="str">
        <x:v>无信贷记录</x:v>
      </x:c>
      <x:c r="D321" s="2" t="str"/>
      <x:c r="E321" s="2" t="str"/>
      <x:c r="F321" s="13" t="n">
        <x:v>0.018089779125291906</x:v>
      </x:c>
      <x:c r="G321" s="13" t="n">
        <x:v>0.017472753187060708</x:v>
      </x:c>
      <x:c r="H321" s="13" t="n">
        <x:v>0.023636363636363636</x:v>
      </x:c>
      <x:c r="I321" s="13" t="n">
        <x:v>0</x:v>
      </x:c>
      <x:c r="J321" s="13" t="n">
        <x:v>0.023148739062888217</x:v>
      </x:c>
      <x:c r="K321" s="13" t="n">
        <x:v>0.022977882750294592</x:v>
      </x:c>
      <x:c r="L321" s="13" t="n">
        <x:v>0.047276617980044296</x:v>
      </x:c>
      <x:c r="M321" s="13" t="n">
        <x:v>0.418082264076261</x:v>
      </x:c>
      <x:c r="N321" s="13" t="n">
        <x:v>0</x:v>
      </x:c>
      <x:c r="O321" s="13" t="n">
        <x:v>0.6292965369751438</x:v>
      </x:c>
      <x:c r="P321" s="13" t="n">
        <x:v>0.7787183374087492</x:v>
      </x:c>
      <x:c r="Q321" s="13" t="n">
        <x:v>0.026095603744860328</x:v>
      </x:c>
      <x:c r="R321" s="13" t="n">
        <x:v>0.9168670405649227</x:v>
      </x:c>
      <x:c r="S321" s="13" t="n">
        <x:v>0.7087111019966993</x:v>
      </x:c>
      <x:c r="T321" s="13" t="n">
        <x:v>0.7777777777777778</x:v>
      </x:c>
      <x:c r="U321" s="13" t="n">
        <x:v>0.007737065576348491</x:v>
      </x:c>
      <x:c r="V321" s="13" t="n">
        <x:v>0.007958163650005049</x:v>
      </x:c>
      <x:c r="W321" s="13" t="n">
        <x:v>0.007409602845287499</x:v>
      </x:c>
      <x:c r="X321" s="13" t="n">
        <x:v>0</x:v>
      </x:c>
      <x:c r="Y321" s="13" t="n">
        <x:v>0.0133719452173955</x:v>
      </x:c>
      <x:c r="Z321" s="13" t="n">
        <x:v>0.008830465277881732</x:v>
      </x:c>
      <x:c r="AA321" s="13" t="n">
        <x:v>0.0014857295675041236</x:v>
      </x:c>
      <x:c r="AB321" s="13" t="n">
        <x:v>0.07524931520767468</x:v>
      </x:c>
      <x:c r="AC321" s="13" t="n">
        <x:v>0</x:v>
      </x:c>
      <x:c r="AD321" s="13" t="n">
        <x:v>0.47218855339415083</x:v>
      </x:c>
      <x:c r="AE321" s="13" t="n">
        <x:v>0.5991400654896802</x:v>
      </x:c>
      <x:c r="AF321" s="13" t="n">
        <x:v>0.030545747420628894</x:v>
      </x:c>
      <x:c r="AG321" s="13" t="n">
        <x:v>0.5327967051998967</x:v>
      </x:c>
      <x:c r="AH321" s="13" t="n">
        <x:v>0.548761256795822</x:v>
      </x:c>
      <x:c r="AI321" s="13" t="n">
        <x:v>0.058823529411764705</x:v>
      </x:c>
      <x:c r="AJ321" s="13" t="n">
        <x:v>0.14824061395636748</x:v>
      </x:c>
      <x:c r="AK321" s="13" t="n">
        <x:v>0.03525319981477024</x:v>
      </x:c>
      <x:c r="AL321" s="13" t="n">
        <x:v>0.15312582681331985</x:v>
      </x:c>
      <x:c r="AM321" s="13" t="n">
        <x:v>0</x:v>
      </x:c>
      <x:c r="AN321" s="13" t="n">
        <x:v>0.6336196045264416</x:v>
      </x:c>
      <x:c r="AO321" s="13" t="n">
        <x:v>0.9210811367364515</x:v>
      </x:c>
      <x:c r="AP321" s="13" t="n">
        <x:v>0.6145466162645539</x:v>
      </x:c>
    </x:row>
    <x:row r="322" ht="15" hidden="0" customHeight="1">
      <x:c r="A322" s="2" t="str">
        <x:v>E321</x:v>
      </x:c>
      <x:c r="B322" s="2" t="str">
        <x:v>***生物流有限公司</x:v>
      </x:c>
      <x:c r="C322" s="2" t="str">
        <x:v>无信贷记录</x:v>
      </x:c>
      <x:c r="D322" s="2" t="str"/>
      <x:c r="E322" s="2" t="str"/>
      <x:c r="F322" s="13" t="n">
        <x:v>0.004559820358028125</x:v>
      </x:c>
      <x:c r="G322" s="13" t="n">
        <x:v>0.004578013935474422</x:v>
      </x:c>
      <x:c r="H322" s="13" t="n">
        <x:v>0.0018181818181818182</x:v>
      </x:c>
      <x:c r="I322" s="13" t="n">
        <x:v>0.006677350427350438</x:v>
      </x:c>
      <x:c r="J322" s="13" t="n">
        <x:v>0.020288633291719205</x:v>
      </x:c>
      <x:c r="K322" s="13" t="n">
        <x:v>0.020486723259795586</x:v>
      </x:c>
      <x:c r="L322" s="13" t="n">
        <x:v>0.008708850680534475</x:v>
      </x:c>
      <x:c r="M322" s="13" t="n">
        <x:v>0.12455686499952097</x:v>
      </x:c>
      <x:c r="N322" s="13" t="n">
        <x:v>0.3322973764825433</x:v>
      </x:c>
      <x:c r="O322" s="13" t="n">
        <x:v>0.6507747689742277</x:v>
      </x:c>
      <x:c r="P322" s="13" t="n">
        <x:v>0.7964674151518244</x:v>
      </x:c>
      <x:c r="Q322" s="13" t="n">
        <x:v>0.020397990667765053</x:v>
      </x:c>
      <x:c r="R322" s="13" t="n">
        <x:v>0.06798762419324755</x:v>
      </x:c>
      <x:c r="S322" s="13" t="n">
        <x:v>0.61786602865965</x:v>
      </x:c>
      <x:c r="T322" s="13" t="n">
        <x:v>0.8611111111111112</x:v>
      </x:c>
      <x:c r="U322" s="13" t="n">
        <x:v>0.03648022924638748</x:v>
      </x:c>
      <x:c r="V322" s="13" t="n">
        <x:v>0.03343399240764316</x:v>
      </x:c>
      <x:c r="W322" s="13" t="n">
        <x:v>0.07656589606797082</x:v>
      </x:c>
      <x:c r="X322" s="13" t="n">
        <x:v>0.017004874730756177</x:v>
      </x:c>
      <x:c r="Y322" s="13" t="n">
        <x:v>0.01850415904674365</x:v>
      </x:c>
      <x:c r="Z322" s="13" t="n">
        <x:v>0.012882864851553094</x:v>
      </x:c>
      <x:c r="AA322" s="13" t="n">
        <x:v>0.04680048137637989</x:v>
      </x:c>
      <x:c r="AB322" s="13" t="n">
        <x:v>0.17846012459087873</x:v>
      </x:c>
      <x:c r="AC322" s="13" t="n">
        <x:v>0.09220467339437245</x:v>
      </x:c>
      <x:c r="AD322" s="13" t="n">
        <x:v>0.03314441587455607</x:v>
      </x:c>
      <x:c r="AE322" s="13" t="n">
        <x:v>0.07415850987871372</x:v>
      </x:c>
      <x:c r="AF322" s="13" t="n">
        <x:v>0.018185610982110953</x:v>
      </x:c>
      <x:c r="AG322" s="13" t="n">
        <x:v>0.1849573263435775</x:v>
      </x:c>
      <x:c r="AH322" s="13" t="n">
        <x:v>0.6330120418231721</x:v>
      </x:c>
      <x:c r="AI322" s="13" t="n">
        <x:v>0.9705882352941176</x:v>
      </x:c>
      <x:c r="AJ322" s="13" t="n">
        <x:v>0.15741163190179822</x:v>
      </x:c>
      <x:c r="AK322" s="13" t="n">
        <x:v>0.021589323426649314</x:v>
      </x:c>
      <x:c r="AL322" s="13" t="n">
        <x:v>0.3595929243678424</x:v>
      </x:c>
      <x:c r="AM322" s="13" t="n">
        <x:v>0.15904086126743347</x:v>
      </x:c>
      <x:c r="AN322" s="13" t="n">
        <x:v>0.3866026352248077</x:v>
      </x:c>
      <x:c r="AO322" s="13" t="n">
        <x:v>0.12559937098459686</x:v>
      </x:c>
      <x:c r="AP322" s="13" t="n">
        <x:v>0.594999476573017</x:v>
      </x:c>
    </x:row>
    <x:row r="323" ht="15" hidden="0" customHeight="1">
      <x:c r="A323" s="2" t="str">
        <x:v>E322</x:v>
      </x:c>
      <x:c r="B323" s="2" t="str">
        <x:v>***装饰工程设计有限公司</x:v>
      </x:c>
      <x:c r="C323" s="2" t="str">
        <x:v>无信贷记录</x:v>
      </x:c>
      <x:c r="D323" s="2" t="str"/>
      <x:c r="E323" s="2" t="str"/>
      <x:c r="F323" s="13" t="n">
        <x:v>0.06742554037608801</x:v>
      </x:c>
      <x:c r="G323" s="13" t="n">
        <x:v>0.06729680485147399</x:v>
      </x:c>
      <x:c r="H323" s="13" t="n">
        <x:v>0.03636363636363636</x:v>
      </x:c>
      <x:c r="I323" s="13" t="n">
        <x:v>0.08012820512820526</x:v>
      </x:c>
      <x:c r="J323" s="13" t="n">
        <x:v>0.03507660741711113</x:v>
      </x:c>
      <x:c r="K323" s="13" t="n">
        <x:v>0.03505885754101258</x:v>
      </x:c>
      <x:c r="L323" s="13" t="n">
        <x:v>0.14307397546592351</x:v>
      </x:c>
      <x:c r="M323" s="13" t="n">
        <x:v>0.17360801980021728</x:v>
      </x:c>
      <x:c r="N323" s="13" t="n">
        <x:v>0.2796710951391541</x:v>
      </x:c>
      <x:c r="O323" s="13" t="n">
        <x:v>0.08027914901579804</x:v>
      </x:c>
      <x:c r="P323" s="13" t="n">
        <x:v>0.20834235201879023</x:v>
      </x:c>
      <x:c r="Q323" s="13" t="n">
        <x:v>0.04349812760622853</x:v>
      </x:c>
      <x:c r="R323" s="13" t="n">
        <x:v>0.09240425978689754</x:v>
      </x:c>
      <x:c r="S323" s="13" t="n">
        <x:v>0.6032673814507128</x:v>
      </x:c>
      <x:c r="T323" s="13" t="n">
        <x:v>0.7777777777777778</x:v>
      </x:c>
      <x:c r="U323" s="13" t="n">
        <x:v>0.07605668256714027</x:v>
      </x:c>
      <x:c r="V323" s="13" t="n">
        <x:v>0.07701352365239407</x:v>
      </x:c>
      <x:c r="W323" s="13" t="n">
        <x:v>0.059276822762299994</x:v>
      </x:c>
      <x:c r="X323" s="13" t="n">
        <x:v>0.12186826890375259</x:v>
      </x:c>
      <x:c r="Y323" s="13" t="n">
        <x:v>0.016763756975455013</x:v>
      </x:c>
      <x:c r="Z323" s="13" t="n">
        <x:v>0.014455710019389079</x:v>
      </x:c>
      <x:c r="AA323" s="13" t="n">
        <x:v>0.00445718870251237</x:v>
      </x:c>
      <x:c r="AB323" s="13" t="n">
        <x:v>0.06704029900320108</x:v>
      </x:c>
      <x:c r="AC323" s="13" t="n">
        <x:v>0.28989430066600075</x:v>
      </x:c>
      <x:c r="AD323" s="13" t="n">
        <x:v>0.2374011303277299</x:v>
      </x:c>
      <x:c r="AE323" s="13" t="n">
        <x:v>0.3101182417712665</x:v>
      </x:c>
      <x:c r="AF323" s="13" t="n">
        <x:v>0.02034692005040532</x:v>
      </x:c>
      <x:c r="AG323" s="13" t="n">
        <x:v>0.1935309938771247</x:v>
      </x:c>
      <x:c r="AH323" s="13" t="n">
        <x:v>0.6591507952498994</x:v>
      </x:c>
      <x:c r="AI323" s="13" t="n">
        <x:v>0.7352941176470589</x:v>
      </x:c>
      <x:c r="AJ323" s="13" t="n">
        <x:v>0.14562690014785132</x:v>
      </x:c>
      <x:c r="AK323" s="13" t="n">
        <x:v>0.032951008583538596</x:v>
      </x:c>
      <x:c r="AL323" s="13" t="n">
        <x:v>0.10381364227358693</x:v>
      </x:c>
      <x:c r="AM323" s="13" t="n">
        <x:v>0.310945273631841</x:v>
      </x:c>
      <x:c r="AN323" s="13" t="n">
        <x:v>0.16565308146856156</x:v>
      </x:c>
      <x:c r="AO323" s="13" t="n">
        <x:v>0.14775490516269144</x:v>
      </x:c>
      <x:c r="AP323" s="13" t="n">
        <x:v>0.5979478440510416</x:v>
      </x:c>
    </x:row>
    <x:row r="324" ht="15" hidden="0" customHeight="1">
      <x:c r="A324" s="2" t="str">
        <x:v>E323</x:v>
      </x:c>
      <x:c r="B324" s="2" t="str">
        <x:v>***建筑装饰工程有限公司</x:v>
      </x:c>
      <x:c r="C324" s="2" t="str">
        <x:v>无信贷记录</x:v>
      </x:c>
      <x:c r="D324" s="2" t="str"/>
      <x:c r="E324" s="2" t="str"/>
      <x:c r="F324" s="13" t="n">
        <x:v>0.03730082555173827</x:v>
      </x:c>
      <x:c r="G324" s="13" t="n">
        <x:v>0.03555590823218467</x:v>
      </x:c>
      <x:c r="H324" s="13" t="n">
        <x:v>0.06</x:v>
      </x:c>
      <x:c r="I324" s="13" t="n">
        <x:v>0.026709401709401753</x:v>
      </x:c>
      <x:c r="J324" s="13" t="n">
        <x:v>0.014767316359013552</x:v>
      </x:c>
      <x:c r="K324" s="13" t="n">
        <x:v>0.016367135801635395</x:v>
      </x:c>
      <x:c r="L324" s="13" t="n">
        <x:v>0.09082087138271666</x:v>
      </x:c>
      <x:c r="M324" s="13" t="n">
        <x:v>0.5168736972734613</x:v>
      </x:c>
      <x:c r="N324" s="13" t="n">
        <x:v>0.17608920805057854</x:v>
      </x:c>
      <x:c r="O324" s="13" t="n">
        <x:v>0.06308759897559954</x:v>
      </x:c>
      <x:c r="P324" s="13" t="n">
        <x:v>0.1646557160530206</x:v>
      </x:c>
      <x:c r="Q324" s="13" t="n">
        <x:v>0.021129220941837473</x:v>
      </x:c>
      <x:c r="R324" s="13" t="n">
        <x:v>0.3126966104052708</x:v>
      </x:c>
      <x:c r="S324" s="13" t="n">
        <x:v>0.9448451049915041</x:v>
      </x:c>
      <x:c r="T324" s="13" t="n">
        <x:v>0.6666666666666666</x:v>
      </x:c>
      <x:c r="U324" s="13" t="n">
        <x:v>0.013590536597298681</x:v>
      </x:c>
      <x:c r="V324" s="13" t="n">
        <x:v>0.010291115001437109</x:v>
      </x:c>
      <x:c r="W324" s="13" t="n">
        <x:v>0.059276822762299994</x:v>
      </x:c>
      <x:c r="X324" s="13" t="n">
        <x:v>0</x:v>
      </x:c>
      <x:c r="Y324" s="13" t="n">
        <x:v>0.008827794282152008</x:v>
      </x:c>
      <x:c r="Z324" s="13" t="n">
        <x:v>0.0058285871279850415</x:v>
      </x:c>
      <x:c r="AA324" s="13" t="n">
        <x:v>0.0048286210943884016</x:v>
      </x:c>
      <x:c r="AB324" s="13" t="n">
        <x:v>0.35754826135040574</x:v>
      </x:c>
      <x:c r="AC324" s="13" t="n">
        <x:v>0</x:v>
      </x:c>
      <x:c r="AD324" s="13" t="n">
        <x:v>0.38635701829007457</x:v>
      </x:c>
      <x:c r="AE324" s="13" t="n">
        <x:v>0.5088479903843114</x:v>
      </x:c>
      <x:c r="AF324" s="13" t="n">
        <x:v>0.014003392465809285</x:v>
      </x:c>
      <x:c r="AG324" s="13" t="n">
        <x:v>0.4089448693235079</x:v>
      </x:c>
      <x:c r="AH324" s="13" t="n">
        <x:v>1</x:v>
      </x:c>
      <x:c r="AI324" s="13" t="n">
        <x:v>0.35294117647058826</x:v>
      </x:c>
      <x:c r="AJ324" s="13" t="n">
        <x:v>0.14697191289307904</x:v>
      </x:c>
      <x:c r="AK324" s="13" t="n">
        <x:v>0.037900258716514125</x:v>
      </x:c>
      <x:c r="AL324" s="13" t="n">
        <x:v>0.33994094445959766</x:v>
      </x:c>
      <x:c r="AM324" s="13" t="n">
        <x:v>0.06633499170812608</x:v>
      </x:c>
      <x:c r="AN324" s="13" t="n">
        <x:v>0.24352421381263498</x:v>
      </x:c>
      <x:c r="AO324" s="13" t="n">
        <x:v>0.4175956543936719</x:v>
      </x:c>
      <x:c r="AP324" s="13" t="n">
        <x:v>1</x:v>
      </x:c>
    </x:row>
    <x:row r="325" ht="15" hidden="0" customHeight="1">
      <x:c r="A325" s="2" t="str">
        <x:v>E324</x:v>
      </x:c>
      <x:c r="B325" s="2" t="str">
        <x:v>***汽贸有限公司</x:v>
      </x:c>
      <x:c r="C325" s="2" t="str">
        <x:v>无信贷记录</x:v>
      </x:c>
      <x:c r="D325" s="2" t="str"/>
      <x:c r="E325" s="2" t="str"/>
      <x:c r="F325" s="13" t="n">
        <x:v>0.12102211737127107</x:v>
      </x:c>
      <x:c r="G325" s="13" t="n">
        <x:v>0.1195624639481403</x:v>
      </x:c>
      <x:c r="H325" s="13" t="n">
        <x:v>0.09454545454545454</x:v>
      </x:c>
      <x:c r="I325" s="13" t="n">
        <x:v>0.04006410256410263</x:v>
      </x:c>
      <x:c r="J325" s="13" t="n">
        <x:v>0.31458136996786534</x:v>
      </x:c>
      <x:c r="K325" s="13" t="n">
        <x:v>0.3125557176705331</x:v>
      </x:c>
      <x:c r="L325" s="13" t="n">
        <x:v>0.05038692179452089</x:v>
      </x:c>
      <x:c r="M325" s="13" t="n">
        <x:v>0.251726273743634</x:v>
      </x:c>
      <x:c r="N325" s="13" t="n">
        <x:v>0.07878561125016323</x:v>
      </x:c>
      <x:c r="O325" s="13" t="n">
        <x:v>0.26169548645202506</x:v>
      </x:c>
      <x:c r="P325" s="13" t="n">
        <x:v>0.4555032605521591</x:v>
      </x:c>
      <x:c r="Q325" s="13" t="n">
        <x:v>0.31631987563364194</x:v>
      </x:c>
      <x:c r="R325" s="13" t="n">
        <x:v>0.02250200876636969</x:v>
      </x:c>
      <x:c r="S325" s="13" t="n">
        <x:v>0.5892593844132166</x:v>
      </x:c>
      <x:c r="T325" s="13" t="n">
        <x:v>0.9722222222222222</x:v>
      </x:c>
      <x:c r="U325" s="13" t="n">
        <x:v>0.03551921161608223</x:v>
      </x:c>
      <x:c r="V325" s="13" t="n">
        <x:v>0.031007723002153813</x:v>
      </x:c>
      <x:c r="W325" s="13" t="n">
        <x:v>0.09508990318118957</x:v>
      </x:c>
      <x:c r="X325" s="13" t="n">
        <x:v>0.017004874730756177</x:v>
      </x:c>
      <x:c r="Y325" s="13" t="n">
        <x:v>0.022273311471797244</x:v>
      </x:c>
      <x:c r="Z325" s="13" t="n">
        <x:v>0.015140017528496974</x:v>
      </x:c>
      <x:c r="AA325" s="13" t="n">
        <x:v>0.015228728066917266</x:v>
      </x:c>
      <x:c r="AB325" s="13" t="n">
        <x:v>0.22749652746679214</x:v>
      </x:c>
      <x:c r="AC325" s="13" t="n">
        <x:v>0.09927641825647772</x:v>
      </x:c>
      <x:c r="AD325" s="13" t="n">
        <x:v>0.3913089067837546</x:v>
      </x:c>
      <x:c r="AE325" s="13" t="n">
        <x:v>0.6033232411268876</x:v>
      </x:c>
      <x:c r="AF325" s="13" t="n">
        <x:v>0.02189941593334874</x:v>
      </x:c>
      <x:c r="AG325" s="13" t="n">
        <x:v>0.14676790893201508</x:v>
      </x:c>
      <x:c r="AH325" s="13" t="n">
        <x:v>0.4747451231453961</x:v>
      </x:c>
      <x:c r="AI325" s="13" t="n">
        <x:v>0.9705882352941176</x:v>
      </x:c>
      <x:c r="AJ325" s="13" t="n">
        <x:v>0</x:v>
      </x:c>
      <x:c r="AK325" s="13" t="n">
        <x:v>0.28064519436332414</x:v>
      </x:c>
      <x:c r="AL325" s="13" t="n">
        <x:v>0.17510517942165651</x:v>
      </x:c>
      <x:c r="AM325" s="13" t="n">
        <x:v>0.06101567633530466</x:v>
      </x:c>
      <x:c r="AN325" s="13" t="n">
        <x:v>0.3654668757977827</x:v>
      </x:c>
      <x:c r="AO325" s="13" t="n">
        <x:v>0.07306936450574153</x:v>
      </x:c>
      <x:c r="AP325" s="13" t="n">
        <x:v>0.4995306319238561</x:v>
      </x:c>
    </x:row>
    <x:row r="326" ht="15" hidden="0" customHeight="1">
      <x:c r="A326" s="2" t="str">
        <x:v>E325</x:v>
      </x:c>
      <x:c r="B326" s="2" t="str">
        <x:v>***通讯器材有限公司</x:v>
      </x:c>
      <x:c r="C326" s="2" t="str">
        <x:v>无信贷记录</x:v>
      </x:c>
      <x:c r="D326" s="2" t="str"/>
      <x:c r="E326" s="2" t="str"/>
      <x:c r="F326" s="13" t="n">
        <x:v>0.03946860900063689</x:v>
      </x:c>
      <x:c r="G326" s="13" t="n">
        <x:v>0.03898941868379049</x:v>
      </x:c>
      <x:c r="H326" s="13" t="n">
        <x:v>0.03090909090909091</x:v>
      </x:c>
      <x:c r="I326" s="13" t="n">
        <x:v>0.08012820512820526</x:v>
      </x:c>
      <x:c r="J326" s="13" t="n">
        <x:v>0.12161347182577437</x:v>
      </x:c>
      <x:c r="K326" s="13" t="n">
        <x:v>0.1207235272802306</x:v>
      </x:c>
      <x:c r="L326" s="13" t="n">
        <x:v>0.038567767299509816</x:v>
      </x:c>
      <x:c r="M326" s="13" t="n">
        <x:v>0.2516988724801641</x:v>
      </x:c>
      <x:c r="N326" s="13" t="n">
        <x:v>0.48192835887526747</x:v>
      </x:c>
      <x:c r="O326" s="13" t="n">
        <x:v>0.586904448997786</x:v>
      </x:c>
      <x:c r="P326" s="13" t="n">
        <x:v>0.752809756291312</x:v>
      </x:c>
      <x:c r="Q326" s="13" t="n">
        <x:v>0.12228374412370854</x:v>
      </x:c>
      <x:c r="R326" s="13" t="n">
        <x:v>0.026144729410100088</x:v>
      </x:c>
      <x:c r="S326" s="13" t="n">
        <x:v>0.6255962793959028</x:v>
      </x:c>
      <x:c r="T326" s="13" t="n">
        <x:v>0.9722222222222222</x:v>
      </x:c>
      <x:c r="U326" s="13" t="n">
        <x:v>0.36436197165871687</x:v>
      </x:c>
      <x:c r="V326" s="13" t="n">
        <x:v>0.3727384369599222</x:v>
      </x:c>
      <x:c r="W326" s="13" t="n">
        <x:v>0.22105315155107705</x:v>
      </x:c>
      <x:c r="X326" s="13" t="n">
        <x:v>0.08219022786532151</x:v>
      </x:c>
      <x:c r="Y326" s="13" t="n">
        <x:v>0.019435450554918493</x:v>
      </x:c>
      <x:c r="Z326" s="13" t="n">
        <x:v>0.013135172590626958</x:v>
      </x:c>
      <x:c r="AA326" s="13" t="n">
        <x:v>0.5634629384759389</x:v>
      </x:c>
      <x:c r="AB326" s="13" t="n">
        <x:v>0.05263251544549558</x:v>
      </x:c>
      <x:c r="AC326" s="13" t="n">
        <x:v>0.04065593884359879</x:v>
      </x:c>
      <x:c r="AD326" s="13" t="n">
        <x:v>0.14521789163710375</x:v>
      </x:c>
      <x:c r="AE326" s="13" t="n">
        <x:v>0.27994731162456526</x:v>
      </x:c>
      <x:c r="AF326" s="13" t="n">
        <x:v>0.018596791513173953</x:v>
      </x:c>
      <x:c r="AG326" s="13" t="n">
        <x:v>0.0610711586264709</x:v>
      </x:c>
      <x:c r="AH326" s="13" t="n">
        <x:v>0.4822127202281645</x:v>
      </x:c>
      <x:c r="AI326" s="13" t="n">
        <x:v>1</x:v>
      </x:c>
      <x:c r="AJ326" s="13" t="n">
        <x:v>0.09514023290282304</x:v>
      </x:c>
      <x:c r="AK326" s="13" t="n">
        <x:v>0.12485270167624248</x:v>
      </x:c>
      <x:c r="AL326" s="13" t="n">
        <x:v>0.11370210381031699</x:v>
      </x:c>
      <x:c r="AM326" s="13" t="n">
        <x:v>0.08811723394546989</x:v>
      </x:c>
      <x:c r="AN326" s="13" t="n">
        <x:v>0.41467039560504954</x:v>
      </x:c>
      <x:c r="AO326" s="13" t="n">
        <x:v>0.03230824668394073</x:v>
      </x:c>
      <x:c r="AP326" s="13" t="n">
        <x:v>0.5272454394189341</x:v>
      </x:c>
    </x:row>
    <x:row r="327" ht="15" hidden="0" customHeight="1">
      <x:c r="A327" s="2" t="str">
        <x:v>E326</x:v>
      </x:c>
      <x:c r="B327" s="2" t="str">
        <x:v>***包装材料有限公司</x:v>
      </x:c>
      <x:c r="C327" s="2" t="str">
        <x:v>无信贷记录</x:v>
      </x:c>
      <x:c r="D327" s="2" t="str"/>
      <x:c r="E327" s="2" t="str"/>
      <x:c r="F327" s="13" t="n">
        <x:v>0.021229327568524387</x:v>
      </x:c>
      <x:c r="G327" s="13" t="n">
        <x:v>0.020448462245119082</x:v>
      </x:c>
      <x:c r="H327" s="13" t="n">
        <x:v>0.02909090909090909</x:v>
      </x:c>
      <x:c r="I327" s="13" t="n">
        <x:v>0</x:v>
      </x:c>
      <x:c r="J327" s="13" t="n">
        <x:v>0.034933352248691554</x:v>
      </x:c>
      <x:c r="K327" s="13" t="n">
        <x:v>0.03467551601253498</x:v>
      </x:c>
      <x:c r="L327" s="13" t="n">
        <x:v>0.023016248227126827</x:v>
      </x:c>
      <x:c r="M327" s="13" t="n">
        <x:v>0.4389976220962138</x:v>
      </x:c>
      <x:c r="N327" s="13" t="n">
        <x:v>0</x:v>
      </x:c>
      <x:c r="O327" s="13" t="n">
        <x:v>0.08227844925735166</x:v>
      </x:c>
      <x:c r="P327" s="13" t="n">
        <x:v>0.17798901561501262</x:v>
      </x:c>
      <x:c r="Q327" s="13" t="n">
        <x:v>0.03822336795080103</x:v>
      </x:c>
      <x:c r="R327" s="13" t="n">
        <x:v>0.050896961893890834</x:v>
      </x:c>
      <x:c r="S327" s="13" t="n">
        <x:v>0.493102716843559</x:v>
      </x:c>
      <x:c r="T327" s="13" t="n">
        <x:v>0.8611111111111112</x:v>
      </x:c>
      <x:c r="U327" s="13" t="n">
        <x:v>0.01647358948821445</x:v>
      </x:c>
      <x:c r="V327" s="13" t="n">
        <x:v>0.016263470461103186</x:v>
      </x:c>
      <x:c r="W327" s="13" t="n">
        <x:v>0.02099387472831458</x:v>
      </x:c>
      <x:c r="X327" s="13" t="n">
        <x:v>0</x:v>
      </x:c>
      <x:c r="Y327" s="13" t="n">
        <x:v>0.01905862787243277</x:v>
      </x:c>
      <x:c r="Z327" s="13" t="n">
        <x:v>0.012587102909602072</x:v>
      </x:c>
      <x:c r="AA327" s="13" t="n">
        <x:v>0.01262870132378505</x:v>
      </x:c>
      <x:c r="AB327" s="13" t="n">
        <x:v>0.10552639657911281</x:v>
      </x:c>
      <x:c r="AC327" s="13" t="n">
        <x:v>0</x:v>
      </x:c>
      <x:c r="AD327" s="13" t="n">
        <x:v>0.1848785006979782</x:v>
      </x:c>
      <x:c r="AE327" s="13" t="n">
        <x:v>0.3604995538260622</x:v>
      </x:c>
      <x:c r="AF327" s="13" t="n">
        <x:v>0.02101960604592458</x:v>
      </x:c>
      <x:c r="AG327" s="13" t="n">
        <x:v>0.10400985450035562</x:v>
      </x:c>
      <x:c r="AH327" s="13" t="n">
        <x:v>0.46000486301455396</x:v>
      </x:c>
      <x:c r="AI327" s="13" t="n">
        <x:v>0.8529411764705882</x:v>
      </x:c>
      <x:c r="AJ327" s="13" t="n">
        <x:v>0.14901478960694384</x:v>
      </x:c>
      <x:c r="AK327" s="13" t="n">
        <x:v>0.03740562085075926</x:v>
      </x:c>
      <x:c r="AL327" s="13" t="n">
        <x:v>0.18882912925604856</x:v>
      </x:c>
      <x:c r="AM327" s="13" t="n">
        <x:v>0</x:v>
      </x:c>
      <x:c r="AN327" s="13" t="n">
        <x:v>0.13576092762323386</x:v>
      </x:c>
      <x:c r="AO327" s="13" t="n">
        <x:v>0.0721197104662408</x:v>
      </x:c>
      <x:c r="AP327" s="13" t="n">
        <x:v>0.42861683360215275</x:v>
      </x:c>
    </x:row>
    <x:row r="328" ht="15" hidden="0" customHeight="1">
      <x:c r="A328" s="2" t="str">
        <x:v>E327</x:v>
      </x:c>
      <x:c r="B328" s="2" t="str">
        <x:v>个体经营E327 </x:v>
      </x:c>
      <x:c r="C328" s="2" t="str">
        <x:v>无信贷记录</x:v>
      </x:c>
      <x:c r="D328" s="2" t="str"/>
      <x:c r="E328" s="2" t="str"/>
      <x:c r="F328" s="13" t="n">
        <x:v>0.035731051330122034</x:v>
      </x:c>
      <x:c r="G328" s="13" t="n">
        <x:v>0.035403307767668854</x:v>
      </x:c>
      <x:c r="H328" s="13" t="n">
        <x:v>0.025454545454545455</x:v>
      </x:c>
      <x:c r="I328" s="13" t="n">
        <x:v>0</x:v>
      </x:c>
      <x:c r="J328" s="13" t="n">
        <x:v>0.04230038704121007</x:v>
      </x:c>
      <x:c r="K328" s="13" t="n">
        <x:v>0.04198817616304906</x:v>
      </x:c>
      <x:c r="L328" s="13" t="n">
        <x:v>0.03732364577371918</x:v>
      </x:c>
      <x:c r="M328" s="13" t="n">
        <x:v>0.2288732394366198</x:v>
      </x:c>
      <x:c r="N328" s="13" t="n">
        <x:v>0</x:v>
      </x:c>
      <x:c r="O328" s="13" t="n">
        <x:v>0.1804057068782191</x:v>
      </x:c>
      <x:c r="P328" s="13" t="n">
        <x:v>0.3233522039183371</x:v>
      </x:c>
      <x:c r="Q328" s="13" t="n">
        <x:v>0.05245677614579166</x:v>
      </x:c>
      <x:c r="R328" s="13" t="n">
        <x:v>0.1249699500166229</x:v>
      </x:c>
      <x:c r="S328" s="13" t="n">
        <x:v>0.4601216328198407</x:v>
      </x:c>
      <x:c r="T328" s="13" t="n">
        <x:v>0.7777777777777778</x:v>
      </x:c>
      <x:c r="U328" s="13" t="n">
        <x:v>0.022851251943876594</x:v>
      </x:c>
      <x:c r="V328" s="13" t="n">
        <x:v>0.02279573424511296</x:v>
      </x:c>
      <x:c r="W328" s="13" t="n">
        <x:v>0.02469867615095833</x:v>
      </x:c>
      <x:c r="X328" s="13" t="n">
        <x:v>0.0028341457884593626</x:v>
      </x:c>
      <x:c r="Y328" s="13" t="n">
        <x:v>0.03113808339882693</x:v>
      </x:c>
      <x:c r="Z328" s="13" t="n">
        <x:v>0.02061628673159035</x:v>
      </x:c>
      <x:c r="AA328" s="13" t="n">
        <x:v>0.0018571619593801545</x:v>
      </x:c>
      <x:c r="AB328" s="13" t="n">
        <x:v>0.09070643161564722</x:v>
      </x:c>
      <x:c r="AC328" s="13" t="n">
        <x:v>0.022347082197175263</x:v>
      </x:c>
      <x:c r="AD328" s="13" t="n">
        <x:v>0.8658061010102998</x:v>
      </x:c>
      <x:c r="AE328" s="13" t="n">
        <x:v>0.9272404235922945</x:v>
      </x:c>
      <x:c r="AF328" s="13" t="n">
        <x:v>0.03148888518434466</x:v>
      </x:c>
      <x:c r="AG328" s="13" t="n">
        <x:v>0.1061562117170301</x:v>
      </x:c>
      <x:c r="AH328" s="13" t="n">
        <x:v>0.4054293912468795</x:v>
      </x:c>
      <x:c r="AI328" s="13" t="n">
        <x:v>0.9411764705882353</x:v>
      </x:c>
      <x:c r="AJ328" s="13" t="n">
        <x:v>0.1617492822654459</x:v>
      </x:c>
      <x:c r="AK328" s="13" t="n">
        <x:v>0.027706338029750196</x:v>
      </x:c>
      <x:c r="AL328" s="13" t="n">
        <x:v>0.124049741894581</x:v>
      </x:c>
      <x:c r="AM328" s="13" t="n">
        <x:v>0.013530672994858354</x:v>
      </x:c>
      <x:c r="AN328" s="13" t="n">
        <x:v>0.5976291249365298</x:v>
      </x:c>
      <x:c r="AO328" s="13" t="n">
        <x:v>0.12724259710636487</x:v>
      </x:c>
      <x:c r="AP328" s="13" t="n">
        <x:v>0.3803607253899858</x:v>
      </x:c>
    </x:row>
    <x:row r="329" ht="15" hidden="0" customHeight="1">
      <x:c r="A329" s="2" t="str">
        <x:v>E328</x:v>
      </x:c>
      <x:c r="B329" s="2" t="str">
        <x:v>***科技有限公司</x:v>
      </x:c>
      <x:c r="C329" s="2" t="str">
        <x:v>无信贷记录</x:v>
      </x:c>
      <x:c r="D329" s="2" t="str"/>
      <x:c r="E329" s="2" t="str"/>
      <x:c r="F329" s="13" t="n">
        <x:v>0.034609784028967576</x:v>
      </x:c>
      <x:c r="G329" s="13" t="n">
        <x:v>0.03395360335476862</x:v>
      </x:c>
      <x:c r="H329" s="13" t="n">
        <x:v>0.03272727272727273</x:v>
      </x:c>
      <x:c r="I329" s="13" t="n">
        <x:v>0.03338675213675219</x:v>
      </x:c>
      <x:c r="J329" s="13" t="n">
        <x:v>0.008898279431429634</x:v>
      </x:c>
      <x:c r="K329" s="13" t="n">
        <x:v>0.00884677526760942</x:v>
      </x:c>
      <x:c r="L329" s="13" t="n">
        <x:v>0.05722959018636941</x:v>
      </x:c>
      <x:c r="M329" s="13" t="n">
        <x:v>0.30375803206334795</x:v>
      </x:c>
      <x:c r="N329" s="13" t="n">
        <x:v>0.23045231926082424</x:v>
      </x:c>
      <x:c r="O329" s="13" t="n">
        <x:v>0.15374221095080476</x:v>
      </x:c>
      <x:c r="P329" s="13" t="n">
        <x:v>0.31884792683907</x:v>
      </x:c>
      <x:c r="Q329" s="13" t="n">
        <x:v>0.011032790624636558</x:v>
      </x:c>
      <x:c r="R329" s="13" t="n">
        <x:v>0.35703123147665283</x:v>
      </x:c>
      <x:c r="S329" s="13" t="n">
        <x:v>0.7552390427134029</x:v>
      </x:c>
      <x:c r="T329" s="13" t="n">
        <x:v>0.75</x:v>
      </x:c>
      <x:c r="U329" s="13" t="n">
        <x:v>0.013503171358180022</x:v>
      </x:c>
      <x:c r="V329" s="13" t="n">
        <x:v>0.012810702460983736</x:v>
      </x:c>
      <x:c r="W329" s="13" t="n">
        <x:v>0.02469867615095833</x:v>
      </x:c>
      <x:c r="X329" s="13" t="n">
        <x:v>0.01133658315383745</x:v>
      </x:c>
      <x:c r="Y329" s="13" t="n">
        <x:v>0.013489494469059886</x:v>
      </x:c>
      <x:c r="Z329" s="13" t="n">
        <x:v>0.009824047538146637</x:v>
      </x:c>
      <x:c r="AA329" s="13" t="n">
        <x:v>0.015600160458793297</x:v>
      </x:c>
      <x:c r="AB329" s="13" t="n">
        <x:v>0.14988684736488045</x:v>
      </x:c>
      <x:c r="AC329" s="13" t="n">
        <x:v>0.15580882309697197</x:v>
      </x:c>
      <x:c r="AD329" s="13" t="n">
        <x:v>0.08263234635228085</x:v>
      </x:c>
      <x:c r="AE329" s="13" t="n">
        <x:v>0.1289844307821823</x:v>
      </x:c>
      <x:c r="AF329" s="13" t="n">
        <x:v>0.01693724782115036</x:v>
      </x:c>
      <x:c r="AG329" s="13" t="n">
        <x:v>0.34976012267893736</x:v>
      </x:c>
      <x:c r="AH329" s="13" t="n">
        <x:v>0.8712097024216516</x:v>
      </x:c>
      <x:c r="AI329" s="13" t="n">
        <x:v>0.6470588235294118</x:v>
      </x:c>
      <x:c r="AJ329" s="13" t="n">
        <x:v>0.15735570444081007</x:v>
      </x:c>
      <x:c r="AK329" s="13" t="n">
        <x:v>0.012201063387585647</x:v>
      </x:c>
      <x:c r="AL329" s="13" t="n">
        <x:v>0.166862232522605</x:v>
      </x:c>
      <x:c r="AM329" s="13" t="n">
        <x:v>0.14773846503523005</x:v>
      </x:c>
      <x:c r="AN329" s="13" t="n">
        <x:v>0.11806054607889883</x:v>
      </x:c>
      <x:c r="AO329" s="13" t="n">
        <x:v>0.4199511939429302</x:v>
      </x:c>
      <x:c r="AP329" s="13" t="n">
        <x:v>0.8012542782452177</x:v>
      </x:c>
    </x:row>
    <x:row r="330" ht="15" hidden="0" customHeight="1">
      <x:c r="A330" s="2" t="str">
        <x:v>E329</x:v>
      </x:c>
      <x:c r="B330" s="2" t="str">
        <x:v>***园艺有限责任公司</x:v>
      </x:c>
      <x:c r="C330" s="2" t="str">
        <x:v>无信贷记录</x:v>
      </x:c>
      <x:c r="D330" s="2" t="str"/>
      <x:c r="E330" s="2" t="str"/>
      <x:c r="F330" s="13" t="n">
        <x:v>0.0002242534602308914</x:v>
      </x:c>
      <x:c r="G330" s="13" t="n">
        <x:v>0.00022890069677372106</x:v>
      </x:c>
      <x:c r="H330" s="13" t="n">
        <x:v>0</x:v>
      </x:c>
      <x:c r="I330" s="13" t="n">
        <x:v>0</x:v>
      </x:c>
      <x:c r="J330" s="13" t="n">
        <x:v>0.0000026247489161434527</x:v>
      </x:c>
      <x:c r="K330" s="13" t="n">
        <x:v>0.0000026053761580818553</x:v>
      </x:c>
      <x:c r="L330" s="13" t="n">
        <x:v>0.001866182288685959</x:v>
      </x:c>
      <x:c r="M330" s="13" t="n">
        <x:v>0</x:v>
      </x:c>
      <x:c r="N330" s="13" t="n">
        <x:v>0</x:v>
      </x:c>
      <x:c r="O330" s="13" t="n">
        <x:v>0.28590588496649744</x:v>
      </x:c>
      <x:c r="P330" s="13" t="n">
        <x:v>0.397059727421992</x:v>
      </x:c>
      <x:c r="Q330" s="13" t="n">
        <x:v>0.0000016145427899406399</x:v>
      </x:c>
      <x:c r="R330" s="13" t="n">
        <x:v>0.5049627149708212</x:v>
      </x:c>
      <x:c r="S330" s="13" t="n">
        <x:v>0.4748268589140253</x:v>
      </x:c>
      <x:c r="T330" s="13" t="n">
        <x:v>0.05555555555555555</x:v>
      </x:c>
      <x:c r="U330" s="13" t="n">
        <x:v>0.010445387989026937</x:v>
      </x:c>
      <x:c r="V330" s="13" t="n">
        <x:v>0.010944341379838086</x:v>
      </x:c>
      <x:c r="W330" s="13" t="n">
        <x:v>0.006174669037739582</x:v>
      </x:c>
      <x:c r="X330" s="13" t="n">
        <x:v>0</x:v>
      </x:c>
      <x:c r="Y330" s="13" t="n">
        <x:v>0.0164535954459652</x:v>
      </x:c>
      <x:c r="Z330" s="13" t="n">
        <x:v>0.010866211585298751</x:v>
      </x:c>
      <x:c r="AA330" s="13" t="n">
        <x:v>0.005200053486264432</x:v>
      </x:c>
      <x:c r="AB330" s="13" t="n">
        <x:v>0.04763845536403177</x:v>
      </x:c>
      <x:c r="AC330" s="13" t="n">
        <x:v>0</x:v>
      </x:c>
      <x:c r="AD330" s="13" t="n">
        <x:v>0.2367399778998053</x:v>
      </x:c>
      <x:c r="AE330" s="13" t="n">
        <x:v>0.3713183383792509</x:v>
      </x:c>
      <x:c r="AF330" s="13" t="n">
        <x:v>0.01997000473118475</x:v>
      </x:c>
      <x:c r="AG330" s="13" t="n">
        <x:v>0.2886254004532573</x:v>
      </x:c>
      <x:c r="AH330" s="13" t="n">
        <x:v>0.7285608313887023</x:v>
      </x:c>
      <x:c r="AI330" s="13" t="n">
        <x:v>0.4117647058823529</x:v>
      </x:c>
      <x:c r="AJ330" s="13" t="n">
        <x:v>0.16719992945691664</x:v>
      </x:c>
      <x:c r="AK330" s="13" t="n">
        <x:v>0</x:v>
      </x:c>
      <x:c r="AL330" s="13" t="n">
        <x:v>0.10154254806024314</x:v>
      </x:c>
      <x:c r="AM330" s="13" t="n">
        <x:v>0</x:v>
      </x:c>
      <x:c r="AN330" s="13" t="n">
        <x:v>0.2884790577441116</x:v>
      </x:c>
      <x:c r="AO330" s="13" t="n">
        <x:v>0.49689154591457174</x:v>
      </x:c>
      <x:c r="AP330" s="13" t="n">
        <x:v>0.5462874902325693</x:v>
      </x:c>
    </x:row>
    <x:row r="331" ht="15" hidden="0" customHeight="1">
      <x:c r="A331" s="2" t="str">
        <x:v>E330</x:v>
      </x:c>
      <x:c r="B331" s="2" t="str">
        <x:v>***酒店管理有限公司</x:v>
      </x:c>
      <x:c r="C331" s="2" t="str">
        <x:v>无信贷记录</x:v>
      </x:c>
      <x:c r="D331" s="2" t="str"/>
      <x:c r="E331" s="2" t="str"/>
      <x:c r="F331" s="13" t="n">
        <x:v>0.10255858247892767</x:v>
      </x:c>
      <x:c r="G331" s="13" t="n">
        <x:v>0.10239491169011122</x:v>
      </x:c>
      <x:c r="H331" s="13" t="n">
        <x:v>0.05454545454545454</x:v>
      </x:c>
      <x:c r="I331" s="13" t="n">
        <x:v>0.04006410256410263</x:v>
      </x:c>
      <x:c r="J331" s="13" t="n">
        <x:v>0.009824025704917244</x:v>
      </x:c>
      <x:c r="K331" s="13" t="n">
        <x:v>0.009804148964635677</x:v>
      </x:c>
      <x:c r="L331" s="13" t="n">
        <x:v>0.14556221851750478</x:v>
      </x:c>
      <x:c r="M331" s="13" t="n">
        <x:v>0.17133367892947207</x:v>
      </x:c>
      <x:c r="N331" s="13" t="n">
        <x:v>0.09197516670498966</x:v>
      </x:c>
      <x:c r="O331" s="13" t="n">
        <x:v>0.06682407074853965</x:v>
      </x:c>
      <x:c r="P331" s="13" t="n">
        <x:v>0.15389998833798835</x:v>
      </x:c>
      <x:c r="Q331" s="13" t="n">
        <x:v>0.010440043679049067</x:v>
      </x:c>
      <x:c r="R331" s="13" t="n">
        <x:v>0.0840452698695254</x:v>
      </x:c>
      <x:c r="S331" s="13" t="n">
        <x:v>0.6385375924968162</x:v>
      </x:c>
      <x:c r="T331" s="13" t="n">
        <x:v>0.8888888888888888</x:v>
      </x:c>
      <x:c r="U331" s="13" t="n">
        <x:v>0.6835071901591803</x:v>
      </x:c>
      <x:c r="V331" s="13" t="n">
        <x:v>0.7247341368639916</x:v>
      </x:c>
      <x:c r="W331" s="13" t="n">
        <x:v>0.074096028452875</x:v>
      </x:c>
      <x:c r="X331" s="13" t="n">
        <x:v>0.09636095680761833</x:v>
      </x:c>
      <x:c r="Y331" s="13" t="n">
        <x:v>0.012679450651837218</x:v>
      </x:c>
      <x:c r="Z331" s="13" t="n">
        <x:v>0.008422496940478275</x:v>
      </x:c>
      <x:c r="AA331" s="13" t="n">
        <x:v>0.5270625640720878</x:v>
      </x:c>
      <x:c r="AB331" s="13" t="n">
        <x:v>0.009414570267269396</x:v>
      </x:c>
      <x:c r="AC331" s="13" t="n">
        <x:v>0.02453492853090103</x:v>
      </x:c>
      <x:c r="AD331" s="13" t="n">
        <x:v>0.2506612890335186</x:v>
      </x:c>
      <x:c r="AE331" s="13" t="n">
        <x:v>0.4297890932265018</x:v>
      </x:c>
      <x:c r="AF331" s="13" t="n">
        <x:v>0.012115177686664003</x:v>
      </x:c>
      <x:c r="AG331" s="13" t="n">
        <x:v>0.06824012259631981</x:v>
      </x:c>
      <x:c r="AH331" s="13" t="n">
        <x:v>0.5854489099885939</x:v>
      </x:c>
      <x:c r="AI331" s="13" t="n">
        <x:v>1</x:v>
      </x:c>
      <x:c r="AJ331" s="13" t="n">
        <x:v>0.15561042583350668</x:v>
      </x:c>
      <x:c r="AK331" s="13" t="n">
        <x:v>0.015757969336808186</x:v>
      </x:c>
      <x:c r="AL331" s="13" t="n">
        <x:v>0.023672562472587363</x:v>
      </x:c>
      <x:c r="AM331" s="13" t="n">
        <x:v>0.042564407315184564</x:v>
      </x:c>
      <x:c r="AN331" s="13" t="n">
        <x:v>0.16543962377840496</x:v>
      </x:c>
      <x:c r="AO331" s="13" t="n">
        <x:v>0.07817822511621439</x:v>
      </x:c>
      <x:c r="AP331" s="13" t="n">
        <x:v>0.5857253109270139</x:v>
      </x:c>
    </x:row>
    <x:row r="332" ht="15" hidden="0" customHeight="1">
      <x:c r="A332" s="2" t="str">
        <x:v>E331</x:v>
      </x:c>
      <x:c r="B332" s="2" t="str">
        <x:v>***广告有限公司</x:v>
      </x:c>
      <x:c r="C332" s="2" t="str">
        <x:v>无信贷记录</x:v>
      </x:c>
      <x:c r="D332" s="2" t="str"/>
      <x:c r="E332" s="2" t="str"/>
      <x:c r="F332" s="13" t="n">
        <x:v>0.010614663784262193</x:v>
      </x:c>
      <x:c r="G332" s="13" t="n">
        <x:v>0.010453131819333262</x:v>
      </x:c>
      <x:c r="H332" s="13" t="n">
        <x:v>0.00909090909090909</x:v>
      </x:c>
      <x:c r="I332" s="13" t="n">
        <x:v>0.006677350427350438</x:v>
      </x:c>
      <x:c r="J332" s="13" t="n">
        <x:v>0.0043513074527855005</x:v>
      </x:c>
      <x:c r="K332" s="13" t="n">
        <x:v>0.004330733765848833</x:v>
      </x:c>
      <x:c r="L332" s="13" t="n">
        <x:v>0.047276617980044296</x:v>
      </x:c>
      <x:c r="M332" s="13" t="n">
        <x:v>0.27246814218645216</x:v>
      </x:c>
      <x:c r="N332" s="13" t="n">
        <x:v>0.14821897368286105</x:v>
      </x:c>
      <x:c r="O332" s="13" t="n">
        <x:v>0.0981338009497827</x:v>
      </x:c>
      <x:c r="P332" s="13" t="n">
        <x:v>0.17185062651058655</x:v>
      </x:c>
      <x:c r="Q332" s="13" t="n">
        <x:v>0.004372438841922422</x:v>
      </x:c>
      <x:c r="R332" s="13" t="n">
        <x:v>0.32736968957134466</x:v>
      </x:c>
      <x:c r="S332" s="13" t="n">
        <x:v>0.6111182303239571</x:v>
      </x:c>
      <x:c r="T332" s="13" t="n">
        <x:v>0.8333333333333334</x:v>
      </x:c>
      <x:c r="U332" s="13" t="n">
        <x:v>0.007474969858992512</x:v>
      </x:c>
      <x:c r="V332" s="13" t="n">
        <x:v>0.007584891433775919</x:v>
      </x:c>
      <x:c r="W332" s="13" t="n">
        <x:v>0.008644536652835415</x:v>
      </x:c>
      <x:c r="X332" s="13" t="n">
        <x:v>0.008502437365378089</x:v>
      </x:c>
      <x:c r="Y332" s="13" t="n">
        <x:v>0.009474984726685273</x:v>
      </x:c>
      <x:c r="Z332" s="13" t="n">
        <x:v>0.006487404265104731</x:v>
      </x:c>
      <x:c r="AA332" s="13" t="n">
        <x:v>0.00408575631063634</x:v>
      </x:c>
      <x:c r="AB332" s="13" t="n">
        <x:v>0.09056321093414882</x:v>
      </x:c>
      <x:c r="AC332" s="13" t="n">
        <x:v>0.19121991925537468</x:v>
      </x:c>
      <x:c r="AD332" s="13" t="n">
        <x:v>0.290197480061823</x:v>
      </x:c>
      <x:c r="AE332" s="13" t="n">
        <x:v>0.43283432600273936</x:v>
      </x:c>
      <x:c r="AF332" s="13" t="n">
        <x:v>0.010121113663300804</x:v>
      </x:c>
      <x:c r="AG332" s="13" t="n">
        <x:v>0.5336763170541129</x:v>
      </x:c>
      <x:c r="AH332" s="13" t="n">
        <x:v>0.5557468465478997</x:v>
      </x:c>
      <x:c r="AI332" s="13" t="n">
        <x:v>0.5882352941176471</x:v>
      </x:c>
      <x:c r="AJ332" s="13" t="n">
        <x:v>0.15444095683659628</x:v>
      </x:c>
      <x:c r="AK332" s="13" t="n">
        <x:v>0.009011591506022034</x:v>
      </x:c>
      <x:c r="AL332" s="13" t="n">
        <x:v>0.13800794310116862</x:v>
      </x:c>
      <x:c r="AM332" s="13" t="n">
        <x:v>0.17095141034913552</x:v>
      </x:c>
      <x:c r="AN332" s="13" t="n">
        <x:v>0.2076043088663357</x:v>
      </x:c>
      <x:c r="AO332" s="13" t="n">
        <x:v>0.4914949599597128</x:v>
      </x:c>
      <x:c r="AP332" s="13" t="n">
        <x:v>0.5531802856126476</x:v>
      </x:c>
    </x:row>
    <x:row r="333" ht="15" hidden="0" customHeight="1">
      <x:c r="A333" s="2" t="str">
        <x:v>E332</x:v>
      </x:c>
      <x:c r="B333" s="2" t="str">
        <x:v>***商贸有限公司</x:v>
      </x:c>
      <x:c r="C333" s="2" t="str">
        <x:v>无信贷记录</x:v>
      </x:c>
      <x:c r="D333" s="2" t="str"/>
      <x:c r="E333" s="2" t="str"/>
      <x:c r="F333" s="13" t="n">
        <x:v>0.06241721309759811</x:v>
      </x:c>
      <x:c r="G333" s="13" t="n">
        <x:v>0.062184689290194224</x:v>
      </x:c>
      <x:c r="H333" s="13" t="n">
        <x:v>0.03636363636363636</x:v>
      </x:c>
      <x:c r="I333" s="13" t="n">
        <x:v>0.03338675213675219</x:v>
      </x:c>
      <x:c r="J333" s="13" t="n">
        <x:v>0.06308225531264729</x:v>
      </x:c>
      <x:c r="K333" s="13" t="n">
        <x:v>0.0696032516293174</x:v>
      </x:c>
      <x:c r="L333" s="13" t="n">
        <x:v>0.12876657791933116</x:v>
      </x:c>
      <x:c r="M333" s="13" t="n">
        <x:v>0.18750495806379502</x:v>
      </x:c>
      <x:c r="N333" s="13" t="n">
        <x:v>0.1260859078452735</x:v>
      </x:c>
      <x:c r="O333" s="13" t="n">
        <x:v>0.19349369536319866</x:v>
      </x:c>
      <x:c r="P333" s="13" t="n">
        <x:v>0.3262787421025098</x:v>
      </x:c>
      <x:c r="Q333" s="13" t="n">
        <x:v>0.06342850999344551</x:v>
      </x:c>
      <x:c r="R333" s="13" t="n">
        <x:v>0.23145056122839897</x:v>
      </x:c>
      <x:c r="S333" s="13" t="n">
        <x:v>0.476767309526771</x:v>
      </x:c>
      <x:c r="T333" s="13" t="n">
        <x:v>0.9722222222222222</x:v>
      </x:c>
      <x:c r="U333" s="13" t="n">
        <x:v>0.03307298492075976</x:v>
      </x:c>
      <x:c r="V333" s="13" t="n">
        <x:v>0.03464712711038783</x:v>
      </x:c>
      <x:c r="W333" s="13" t="n">
        <x:v>0.012349338075479164</x:v>
      </x:c>
      <x:c r="X333" s="13" t="n">
        <x:v>0.008502437365378089</x:v>
      </x:c>
      <x:c r="Y333" s="13" t="n">
        <x:v>0.05319485418407482</x:v>
      </x:c>
      <x:c r="Z333" s="13" t="n">
        <x:v>0.0354178975271317</x:v>
      </x:c>
      <x:c r="AA333" s="13" t="n">
        <x:v>0.0014857295675041236</x:v>
      </x:c>
      <x:c r="AB333" s="13" t="n">
        <x:v>0.031677117226598446</x:v>
      </x:c>
      <x:c r="AC333" s="13" t="n">
        <x:v>0.044516806599134845</x:v>
      </x:c>
      <x:c r="AD333" s="13" t="n">
        <x:v>0.7953081175745188</x:v>
      </x:c>
      <x:c r="AE333" s="13" t="n">
        <x:v>0.883903675891671</x:v>
      </x:c>
      <x:c r="AF333" s="13" t="n">
        <x:v>0.07181438607015907</x:v>
      </x:c>
      <x:c r="AG333" s="13" t="n">
        <x:v>0.31936969507100627</x:v>
      </x:c>
      <x:c r="AH333" s="13" t="n">
        <x:v>0.31866930620284967</x:v>
      </x:c>
      <x:c r="AI333" s="13" t="n">
        <x:v>0.6470588235294118</x:v>
      </x:c>
      <x:c r="AJ333" s="13" t="n">
        <x:v>0.1804005938764377</x:v>
      </x:c>
      <x:c r="AK333" s="13" t="n">
        <x:v>0.026769269205251637</x:v>
      </x:c>
      <x:c r="AL333" s="13" t="n">
        <x:v>0.06528113002769997</x:v>
      </x:c>
      <x:c r="AM333" s="13" t="n">
        <x:v>0.0649472303753201</x:v>
      </x:c>
      <x:c r="AN333" s="13" t="n">
        <x:v>0.5637413134563444</x:v>
      </x:c>
      <x:c r="AO333" s="13" t="n">
        <x:v>0.3129441008133461</x:v>
      </x:c>
      <x:c r="AP333" s="13" t="n">
        <x:v>0.3494716829592233</x:v>
      </x:c>
    </x:row>
    <x:row r="334" ht="15" hidden="0" customHeight="1">
      <x:c r="A334" s="2" t="str">
        <x:v>E333</x:v>
      </x:c>
      <x:c r="B334" s="2" t="str">
        <x:v>***房地产营销策划有限公司</x:v>
      </x:c>
      <x:c r="C334" s="2" t="str">
        <x:v>无信贷记录</x:v>
      </x:c>
      <x:c r="D334" s="2" t="str"/>
      <x:c r="E334" s="2" t="str"/>
      <x:c r="F334" s="13" t="n">
        <x:v>0.06331422693852168</x:v>
      </x:c>
      <x:c r="G334" s="13" t="n">
        <x:v>0.06424479556115771</x:v>
      </x:c>
      <x:c r="H334" s="13" t="n">
        <x:v>0.00909090909090909</x:v>
      </x:c>
      <x:c r="I334" s="13" t="n">
        <x:v>0.03338675213675219</x:v>
      </x:c>
      <x:c r="J334" s="13" t="n">
        <x:v>0.004878270729843761</x:v>
      </x:c>
      <x:c r="K334" s="13" t="n">
        <x:v>0.004853478340436686</x:v>
      </x:c>
      <x:c r="L334" s="13" t="n">
        <x:v>0.11445918037273882</x:v>
      </x:c>
      <x:c r="M334" s="13" t="n">
        <x:v>0.046213677826677395</x:v>
      </x:c>
      <x:c r="N334" s="13" t="n">
        <x:v>0.12205235392131329</x:v>
      </x:c>
      <x:c r="O334" s="13" t="n">
        <x:v>0.10915433530957497</x:v>
      </x:c>
      <x:c r="P334" s="13" t="n">
        <x:v>0.22891063311143803</x:v>
      </x:c>
      <x:c r="Q334" s="13" t="n">
        <x:v>0.005182730880397928</x:v>
      </x:c>
      <x:c r="R334" s="13" t="n">
        <x:v>0.32032473419752083</x:v>
      </x:c>
      <x:c r="S334" s="13" t="n">
        <x:v>0.7275784773585546</x:v>
      </x:c>
      <x:c r="T334" s="13" t="n">
        <x:v>0.8055555555555556</x:v>
      </x:c>
      <x:c r="U334" s="13" t="n">
        <x:v>0.011144309901976214</x:v>
      </x:c>
      <x:c r="V334" s="13" t="n">
        <x:v>0.011224295542009934</x:v>
      </x:c>
      <x:c r="W334" s="13" t="n">
        <x:v>0.012349338075479164</x:v>
      </x:c>
      <x:c r="X334" s="13" t="n">
        <x:v>0.0028341457884593626</x:v>
      </x:c>
      <x:c r="Y334" s="13" t="n">
        <x:v>0.010867749993721629</x:v>
      </x:c>
      <x:c r="Z334" s="13" t="n">
        <x:v>0.007203344573701498</x:v>
      </x:c>
      <x:c r="AA334" s="13" t="n">
        <x:v>0.0014857295675041236</x:v>
      </x:c>
      <x:c r="AB334" s="13" t="n">
        <x:v>0.08971329550306713</x:v>
      </x:c>
      <x:c r="AC334" s="13" t="n">
        <x:v>0.04416628056292119</x:v>
      </x:c>
      <x:c r="AD334" s="13" t="n">
        <x:v>0.6170114712413435</x:v>
      </x:c>
      <x:c r="AE334" s="13" t="n">
        <x:v>0.7620209588730296</x:v>
      </x:c>
      <x:c r="AF334" s="13" t="n">
        <x:v>0.011970751125864107</x:v>
      </x:c>
      <x:c r="AG334" s="13" t="n">
        <x:v>0.18539167140922877</x:v>
      </x:c>
      <x:c r="AH334" s="13" t="n">
        <x:v>0.5917009816062625</x:v>
      </x:c>
      <x:c r="AI334" s="13" t="n">
        <x:v>0.7352941176470589</x:v>
      </x:c>
      <x:c r="AJ334" s="13" t="n">
        <x:v>0.15611168113572993</x:v>
      </x:c>
      <x:c r="AK334" s="13" t="n">
        <x:v>0.009104468195921235</x:v>
      </x:c>
      <x:c r="AL334" s="13" t="n">
        <x:v>0.03904906817683655</x:v>
      </x:c>
      <x:c r="AM334" s="13" t="n">
        <x:v>0.059947430714604164</x:v>
      </x:c>
      <x:c r="AN334" s="13" t="n">
        <x:v>0.4076620588694584</x:v>
      </x:c>
      <x:c r="AO334" s="13" t="n">
        <x:v>0.3098965792829847</x:v>
      </x:c>
      <x:c r="AP334" s="13" t="n">
        <x:v>0.6478161492812912</x:v>
      </x:c>
    </x:row>
    <x:row r="335" ht="15" hidden="0" customHeight="1">
      <x:c r="A335" s="2" t="str">
        <x:v>E334</x:v>
      </x:c>
      <x:c r="B335" s="2" t="str">
        <x:v>***机械科技有限公司</x:v>
      </x:c>
      <x:c r="C335" s="2" t="str">
        <x:v>无信贷记录</x:v>
      </x:c>
      <x:c r="D335" s="2" t="str"/>
      <x:c r="E335" s="2" t="str"/>
      <x:c r="F335" s="13" t="n">
        <x:v>0.011063170704723976</x:v>
      </x:c>
      <x:c r="G335" s="13" t="n">
        <x:v>0.011063533677396518</x:v>
      </x:c>
      <x:c r="H335" s="13" t="n">
        <x:v>0.005454545454545455</x:v>
      </x:c>
      <x:c r="I335" s="13" t="n">
        <x:v>0</x:v>
      </x:c>
      <x:c r="J335" s="13" t="n">
        <x:v>0.021556334044144497</x:v>
      </x:c>
      <x:c r="K335" s="13" t="n">
        <x:v>0.02139723096134533</x:v>
      </x:c>
      <x:c r="L335" s="13" t="n">
        <x:v>0.014929458309487671</x:v>
      </x:c>
      <x:c r="M335" s="13" t="n">
        <x:v>0.15694164989939643</x:v>
      </x:c>
      <x:c r="N335" s="13" t="n">
        <x:v>0</x:v>
      </x:c>
      <x:c r="O335" s="13" t="n">
        <x:v>0.40868178791049486</x:v>
      </x:c>
      <x:c r="P335" s="13" t="n">
        <x:v>0.4801117745685625</x:v>
      </x:c>
      <x:c r="Q335" s="13" t="n">
        <x:v>0.02586837228559566</x:v>
      </x:c>
      <x:c r="R335" s="13" t="n">
        <x:v>0.16231469507811289</x:v>
      </x:c>
      <x:c r="S335" s="13" t="n">
        <x:v>0.512146289289357</x:v>
      </x:c>
      <x:c r="T335" s="13" t="n">
        <x:v>0.8055555555555556</x:v>
      </x:c>
      <x:c r="U335" s="13" t="n">
        <x:v>0.016386224249095787</x:v>
      </x:c>
      <x:c r="V335" s="13" t="n">
        <x:v>0.016636742677332318</x:v>
      </x:c>
      <x:c r="W335" s="13" t="n">
        <x:v>0.014819205690574998</x:v>
      </x:c>
      <x:c r="X335" s="13" t="n">
        <x:v>0.017004874730756177</x:v>
      </x:c>
      <x:c r="Y335" s="13" t="n">
        <x:v>0.012925871100594918</x:v>
      </x:c>
      <x:c r="Z335" s="13" t="n">
        <x:v>0.008842512906489531</x:v>
      </x:c>
      <x:c r="AA335" s="13" t="n">
        <x:v>0.006685783053768556</x:v>
      </x:c>
      <x:c r="AB335" s="13" t="n">
        <x:v>0.07486733898834638</x:v>
      </x:c>
      <x:c r="AC335" s="13" t="n">
        <x:v>0.18191732858889703</x:v>
      </x:c>
      <x:c r="AD335" s="13" t="n">
        <x:v>0.6093099011471869</x:v>
      </x:c>
      <x:c r="AE335" s="13" t="n">
        <x:v>0.7651833943856817</x:v>
      </x:c>
      <x:c r="AF335" s="13" t="n">
        <x:v>0.01568303416476869</x:v>
      </x:c>
      <x:c r="AG335" s="13" t="n">
        <x:v>0.136145474752153</x:v>
      </x:c>
      <x:c r="AH335" s="13" t="n">
        <x:v>0.4820778438113807</x:v>
      </x:c>
      <x:c r="AI335" s="13" t="n">
        <x:v>0.7352941176470589</x:v>
      </x:c>
      <x:c r="AJ335" s="13" t="n">
        <x:v>0.14859924209932474</x:v>
      </x:c>
      <x:c r="AK335" s="13" t="n">
        <x:v>0.03278286630622619</x:v>
      </x:c>
      <x:c r="AL335" s="13" t="n">
        <x:v>0.11826623353494382</x:v>
      </x:c>
      <x:c r="AM335" s="13" t="n">
        <x:v>0.17532817838518264</x:v>
      </x:c>
      <x:c r="AN335" s="13" t="n">
        <x:v>0.5825884947102478</x:v>
      </x:c>
      <x:c r="AO335" s="13" t="n">
        <x:v>0.16967930237613935</x:v>
      </x:c>
      <x:c r="AP335" s="13" t="n">
        <x:v>0.45191822920527847</x:v>
      </x:c>
    </x:row>
    <x:row r="336" ht="15" hidden="0" customHeight="1">
      <x:c r="A336" s="2" t="str">
        <x:v>E335</x:v>
      </x:c>
      <x:c r="B336" s="2" t="str">
        <x:v>***挖掘机租赁经营部</x:v>
      </x:c>
      <x:c r="C336" s="2" t="str">
        <x:v>无信贷记录</x:v>
      </x:c>
      <x:c r="D336" s="2" t="str"/>
      <x:c r="E336" s="2" t="str"/>
      <x:c r="F336" s="13" t="n">
        <x:v>0.032666254040299846</x:v>
      </x:c>
      <x:c r="G336" s="13" t="n">
        <x:v>0.03273279963864211</x:v>
      </x:c>
      <x:c r="H336" s="13" t="n">
        <x:v>0.014545454545454545</x:v>
      </x:c>
      <x:c r="I336" s="13" t="n">
        <x:v>0</x:v>
      </x:c>
      <x:c r="J336" s="13" t="n">
        <x:v>0.012319192341235621</x:v>
      </x:c>
      <x:c r="K336" s="13" t="n">
        <x:v>0.012228266793548681</x:v>
      </x:c>
      <x:c r="L336" s="13" t="n">
        <x:v>0.03607952424792854</x:v>
      </x:c>
      <x:c r="M336" s="13" t="n">
        <x:v>0.14299922542086235</x:v>
      </x:c>
      <x:c r="N336" s="13" t="n">
        <x:v>0</x:v>
      </x:c>
      <x:c r="O336" s="13" t="n">
        <x:v>0.3703130077913498</x:v>
      </x:c>
      <x:c r="P336" s="13" t="n">
        <x:v>0.5637675814861507</x:v>
      </x:c>
      <x:c r="Q336" s="13" t="n">
        <x:v>0.01762606611615225</x:v>
      </x:c>
      <x:c r="R336" s="13" t="n">
        <x:v>0.5651718417704726</x:v>
      </x:c>
      <x:c r="S336" s="13" t="n">
        <x:v>0.8868051315166768</x:v>
      </x:c>
      <x:c r="T336" s="13" t="n">
        <x:v>0.4722222222222222</x:v>
      </x:c>
      <x:c r="U336" s="13" t="n">
        <x:v>0.028879453443064106</x:v>
      </x:c>
      <x:c r="V336" s="13" t="n">
        <x:v>0.024755413380315887</x:v>
      </x:c>
      <x:c r="W336" s="13" t="n">
        <x:v>0.08397549891325833</x:v>
      </x:c>
      <x:c r="X336" s="13" t="n">
        <x:v>0</x:v>
      </x:c>
      <x:c r="Y336" s="13" t="n">
        <x:v>0.008899829737446088</x:v>
      </x:c>
      <x:c r="Z336" s="13" t="n">
        <x:v>0.005876173940647453</x:v>
      </x:c>
      <x:c r="AA336" s="13" t="n">
        <x:v>0.003342891526884278</x:v>
      </x:c>
      <x:c r="AB336" s="13" t="n">
        <x:v>0.24581442967840397</x:v>
      </x:c>
      <x:c r="AC336" s="13" t="n">
        <x:v>0</x:v>
      </x:c>
      <x:c r="AD336" s="13" t="n">
        <x:v>0.35505428156082236</x:v>
      </x:c>
      <x:c r="AE336" s="13" t="n">
        <x:v>0.39820072145297924</x:v>
      </x:c>
      <x:c r="AF336" s="13" t="n">
        <x:v>0.012976861995295389</x:v>
      </x:c>
      <x:c r="AG336" s="13" t="n">
        <x:v>0.3471755753046071</x:v>
      </x:c>
      <x:c r="AH336" s="13" t="n">
        <x:v>0.8559580249623975</x:v>
      </x:c>
      <x:c r="AI336" s="13" t="n">
        <x:v>0.4117647058823529</x:v>
      </x:c>
      <x:c r="AJ336" s="13" t="n">
        <x:v>0.14861231947628975</x:v>
      </x:c>
      <x:c r="AK336" s="13" t="n">
        <x:v>0.028086573505034462</x:v>
      </x:c>
      <x:c r="AL336" s="13" t="n">
        <x:v>0.27190461835449536</x:v>
      </x:c>
      <x:c r="AM336" s="13" t="n">
        <x:v>0</x:v>
      </x:c>
      <x:c r="AN336" s="13" t="n">
        <x:v>0.40909303196712493</x:v>
      </x:c>
      <x:c r="AO336" s="13" t="n">
        <x:v>0.5704780134602422</x:v>
      </x:c>
      <x:c r="AP336" s="13" t="n">
        <x:v>0.8811631806454231</x:v>
      </x:c>
    </x:row>
    <x:row r="337" ht="15" hidden="0" customHeight="1">
      <x:c r="A337" s="2" t="str">
        <x:v>E336</x:v>
      </x:c>
      <x:c r="B337" s="2" t="str">
        <x:v>***猕猴桃专业合作社</x:v>
      </x:c>
      <x:c r="C337" s="2" t="str">
        <x:v>无信贷记录</x:v>
      </x:c>
      <x:c r="D337" s="2" t="str"/>
      <x:c r="E337" s="2" t="str"/>
      <x:c r="F337" s="13" t="n">
        <x:v>0.00037375576705148567</x:v>
      </x:c>
      <x:c r="G337" s="13" t="n">
        <x:v>0.0003815011612895351</x:v>
      </x:c>
      <x:c r="H337" s="13" t="n">
        <x:v>0</x:v>
      </x:c>
      <x:c r="I337" s="13" t="n">
        <x:v>0</x:v>
      </x:c>
      <x:c r="J337" s="13" t="n">
        <x:v>0.0008951454654328189</x:v>
      </x:c>
      <x:c r="K337" s="13" t="n">
        <x:v>0.000888538571940985</x:v>
      </x:c>
      <x:c r="L337" s="13" t="n">
        <x:v>0.001866182288685959</x:v>
      </x:c>
      <x:c r="M337" s="13" t="n">
        <x:v>0</x:v>
      </x:c>
      <x:c r="N337" s="13" t="n">
        <x:v>0</x:v>
      </x:c>
      <x:c r="O337" s="13" t="n">
        <x:v>0.9917725747613374</x:v>
      </x:c>
      <x:c r="P337" s="13" t="n">
        <x:v>0.9957420196987976</x:v>
      </x:c>
      <x:c r="Q337" s="13" t="n">
        <x:v>0.0013301175483725954</x:v>
      </x:c>
      <x:c r="R337" s="13" t="n">
        <x:v>0.6838989899718173</x:v>
      </x:c>
      <x:c r="S337" s="13" t="n">
        <x:v>0.5767008752875128</x:v>
      </x:c>
      <x:c r="T337" s="13" t="n">
        <x:v>0.08333333333333333</x:v>
      </x:c>
      <x:c r="U337" s="13" t="n">
        <x:v>0.0038056298160088105</x:v>
      </x:c>
      <x:c r="V337" s="13" t="n">
        <x:v>0.00385216927148462</x:v>
      </x:c>
      <x:c r="W337" s="13" t="n">
        <x:v>0.006174669037739582</x:v>
      </x:c>
      <x:c r="X337" s="13" t="n">
        <x:v>0</x:v>
      </x:c>
      <x:c r="Y337" s="13" t="n">
        <x:v>0.004208278738655946</x:v>
      </x:c>
      <x:c r="Z337" s="13" t="n">
        <x:v>0.0027769229181592485</x:v>
      </x:c>
      <x:c r="AA337" s="13" t="n">
        <x:v>0.006314350661892525</x:v>
      </x:c>
      <x:c r="AB337" s="13" t="n">
        <x:v>0.11595020267849243</x:v>
      </x:c>
      <x:c r="AC337" s="13" t="n">
        <x:v>0</x:v>
      </x:c>
      <x:c r="AD337" s="13" t="n">
        <x:v>0.38251709931398764</x:v>
      </x:c>
      <x:c r="AE337" s="13" t="n">
        <x:v>0.5443623044557143</x:v>
      </x:c>
      <x:c r="AF337" s="13" t="n">
        <x:v>0.005269581947730353</x:v>
      </x:c>
      <x:c r="AG337" s="13" t="n">
        <x:v>1</x:v>
      </x:c>
      <x:c r="AH337" s="13" t="n">
        <x:v>0.5609037676085213</x:v>
      </x:c>
      <x:c r="AI337" s="13" t="n">
        <x:v>0.20588235294117646</x:v>
      </x:c>
      <x:c r="AJ337" s="13" t="n">
        <x:v>0.14904189003256849</x:v>
      </x:c>
      <x:c r="AK337" s="13" t="n">
        <x:v>0.004260904808072434</x:v>
      </x:c>
      <x:c r="AL337" s="13" t="n">
        <x:v>0.23167309218732302</x:v>
      </x:c>
      <x:c r="AM337" s="13" t="n">
        <x:v>0</x:v>
      </x:c>
      <x:c r="AN337" s="13" t="n">
        <x:v>0.7977454394128239</x:v>
      </x:c>
      <x:c r="AO337" s="13" t="n">
        <x:v>1</x:v>
      </x:c>
      <x:c r="AP337" s="13" t="n">
        <x:v>0.532840396191369</x:v>
      </x:c>
    </x:row>
    <x:row r="338" ht="15" hidden="0" customHeight="1">
      <x:c r="A338" s="2" t="str">
        <x:v>E337</x:v>
      </x:c>
      <x:c r="B338" s="2" t="str">
        <x:v>个体经营E337 </x:v>
      </x:c>
      <x:c r="C338" s="2" t="str">
        <x:v>无信贷记录</x:v>
      </x:c>
      <x:c r="D338" s="2" t="str"/>
      <x:c r="E338" s="2" t="str"/>
      <x:c r="F338" s="13" t="n">
        <x:v>0.005008327278489908</x:v>
      </x:c>
      <x:c r="G338" s="13" t="n">
        <x:v>0.0048832148645060495</x:v>
      </x:c>
      <x:c r="H338" s="13" t="n">
        <x:v>0.005454545454545455</x:v>
      </x:c>
      <x:c r="I338" s="13" t="n">
        <x:v>0</x:v>
      </x:c>
      <x:c r="J338" s="13" t="n">
        <x:v>0.0010868882673567724</x:v>
      </x:c>
      <x:c r="K338" s="13" t="n">
        <x:v>0.0010788661577698373</x:v>
      </x:c>
      <x:c r="L338" s="13" t="n">
        <x:v>0.02115006593844087</x:v>
      </x:c>
      <x:c r="M338" s="13" t="n">
        <x:v>0.3411774997812966</x:v>
      </x:c>
      <x:c r="N338" s="13" t="n">
        <x:v>0</x:v>
      </x:c>
      <x:c r="O338" s="13" t="n">
        <x:v>0.25081451891927253</x:v>
      </x:c>
      <x:c r="P338" s="13" t="n">
        <x:v>0.4431157328161497</x:v>
      </x:c>
      <x:c r="Q338" s="13" t="n">
        <x:v>0.0011203604579548138</x:v>
      </x:c>
      <x:c r="R338" s="13" t="n">
        <x:v>0.4280864474306602</x:v>
      </x:c>
      <x:c r="S338" s="13" t="n">
        <x:v>0.5039535703969116</x:v>
      </x:c>
      <x:c r="T338" s="13" t="n">
        <x:v>0.6111111111111112</x:v>
      </x:c>
      <x:c r="U338" s="13" t="n">
        <x:v>0.06504866243818916</x:v>
      </x:c>
      <x:c r="V338" s="13" t="n">
        <x:v>0.06264254332757256</x:v>
      </x:c>
      <x:c r="W338" s="13" t="n">
        <x:v>0.09385496937364166</x:v>
      </x:c>
      <x:c r="X338" s="13" t="n">
        <x:v>0.019839020519215537</x:v>
      </x:c>
      <x:c r="Y338" s="13" t="n">
        <x:v>0.018840902808699166</x:v>
      </x:c>
      <x:c r="Z338" s="13" t="n">
        <x:v>0.012670574258255173</x:v>
      </x:c>
      <x:c r="AA338" s="13" t="n">
        <x:v>0.036028942011975</x:v>
      </x:c>
      <x:c r="AB338" s="13" t="n">
        <x:v>0.12388525633659617</x:v>
      </x:c>
      <x:c r="AC338" s="13" t="n">
        <x:v>0.05791124398294534</x:v>
      </x:c>
      <x:c r="AD338" s="13" t="n">
        <x:v>0.0596810853124349</x:v>
      </x:c>
      <x:c r="AE338" s="13" t="n">
        <x:v>0.1351989381305504</x:v>
      </x:c>
      <x:c r="AF338" s="13" t="n">
        <x:v>0.01903570808426732</x:v>
      </x:c>
      <x:c r="AG338" s="13" t="n">
        <x:v>0.09646438131905477</x:v>
      </x:c>
      <x:c r="AH338" s="13" t="n">
        <x:v>0.39625235772636275</x:v>
      </x:c>
      <x:c r="AI338" s="13" t="n">
        <x:v>0.9411764705882353</x:v>
      </x:c>
      <x:c r="AJ338" s="13" t="n">
        <x:v>0.1699500469815977</x:v>
      </x:c>
      <x:c r="AK338" s="13" t="n">
        <x:v>0.0011433850921047095</x:v>
      </x:c>
      <x:c r="AL338" s="13" t="n">
        <x:v>0.2674631584269964</x:v>
      </x:c>
      <x:c r="AM338" s="13" t="n">
        <x:v>0.09127748354999204</x:v>
      </x:c>
      <x:c r="AN338" s="13" t="n">
        <x:v>0.16264326446115351</x:v>
      </x:c>
      <x:c r="AO338" s="13" t="n">
        <x:v>0.34345236149541286</x:v>
      </x:c>
      <x:c r="AP338" s="13" t="n">
        <x:v>0.4050032457649743</x:v>
      </x:c>
    </x:row>
    <x:row r="339" ht="15" hidden="0" customHeight="1">
      <x:c r="A339" s="2" t="str">
        <x:v>E338</x:v>
      </x:c>
      <x:c r="B339" s="2" t="str">
        <x:v>***商贸有限公司</x:v>
      </x:c>
      <x:c r="C339" s="2" t="str">
        <x:v>无信贷记录</x:v>
      </x:c>
      <x:c r="D339" s="2" t="str"/>
      <x:c r="E339" s="2" t="str"/>
      <x:c r="F339" s="13" t="n">
        <x:v>0.018687788352574283</x:v>
      </x:c>
      <x:c r="G339" s="13" t="n">
        <x:v>0.018998757832218847</x:v>
      </x:c>
      <x:c r="H339" s="13" t="n">
        <x:v>0.0018181818181818182</x:v>
      </x:c>
      <x:c r="I339" s="13" t="n">
        <x:v>0.013354700854700877</x:v>
      </x:c>
      <x:c r="J339" s="13" t="n">
        <x:v>0.0020607482417358963</x:v>
      </x:c>
      <x:c r="K339" s="13" t="n">
        <x:v>0.0020779250241154436</x:v>
      </x:c>
      <x:c r="L339" s="13" t="n">
        <x:v>0.05474134713478813</x:v>
      </x:c>
      <x:c r="M339" s="13" t="n">
        <x:v>0.031139216249880242</x:v>
      </x:c>
      <x:c r="N339" s="13" t="n">
        <x:v>0.16416284734595765</x:v>
      </x:c>
      <x:c r="O339" s="13" t="n">
        <x:v>0.07873257195512932</x:v>
      </x:c>
      <x:c r="P339" s="13" t="n">
        <x:v>0.16852610685549438</x:v>
      </x:c>
      <x:c r="Q339" s="13" t="n">
        <x:v>0.0023932750228364704</x:v>
      </x:c>
      <x:c r="R339" s="13" t="n">
        <x:v>0.2145723773339029</x:v>
      </x:c>
      <x:c r="S339" s="13" t="n">
        <x:v>0.5932169612603609</x:v>
      </x:c>
      <x:c r="T339" s="13" t="n">
        <x:v>0.8055555555555556</x:v>
      </x:c>
      <x:c r="U339" s="13" t="n">
        <x:v>0.006950778424280555</x:v>
      </x:c>
      <x:c r="V339" s="13" t="n">
        <x:v>0.007024983109432223</x:v>
      </x:c>
      <x:c r="W339" s="13" t="n">
        <x:v>0.008644536652835415</x:v>
      </x:c>
      <x:c r="X339" s="13" t="n">
        <x:v>0</x:v>
      </x:c>
      <x:c r="Y339" s="13" t="n">
        <x:v>0.011382355912622124</x:v>
      </x:c>
      <x:c r="Z339" s="13" t="n">
        <x:v>0.007516137310704005</x:v>
      </x:c>
      <x:c r="AA339" s="13" t="n">
        <x:v>0.0007428647837520618</x:v>
      </x:c>
      <x:c r="AB339" s="13" t="n">
        <x:v>0.09666859594094537</x:v>
      </x:c>
      <x:c r="AC339" s="13" t="n">
        <x:v>0</x:v>
      </x:c>
      <x:c r="AD339" s="13" t="n">
        <x:v>0.3123004678596995</x:v>
      </x:c>
      <x:c r="AE339" s="13" t="n">
        <x:v>0.43544921727881364</x:v>
      </x:c>
      <x:c r="AF339" s="13" t="n">
        <x:v>0.011168386747443608</x:v>
      </x:c>
      <x:c r="AG339" s="13" t="n">
        <x:v>0.32664790235765023</x:v>
      </x:c>
      <x:c r="AH339" s="13" t="n">
        <x:v>0.5913030387771703</x:v>
      </x:c>
      <x:c r="AI339" s="13" t="n">
        <x:v>0.7647058823529411</x:v>
      </x:c>
      <x:c r="AJ339" s="13" t="n">
        <x:v>0.15862000644106006</x:v>
      </x:c>
      <x:c r="AK339" s="13" t="n">
        <x:v>0.0037300838705570556</x:v>
      </x:c>
      <x:c r="AL339" s="13" t="n">
        <x:v>0.062370335442770736</x:v>
      </x:c>
      <x:c r="AM339" s="13" t="n">
        <x:v>0.05826722244632697</x:v>
      </x:c>
      <x:c r="AN339" s="13" t="n">
        <x:v>0.20906216508288905</x:v>
      </x:c>
      <x:c r="AO339" s="13" t="n">
        <x:v>0.304319170638146</x:v>
      </x:c>
      <x:c r="AP339" s="13" t="n">
        <x:v>0.5584892201069015</x:v>
      </x:c>
    </x:row>
    <x:row r="340" ht="15" hidden="0" customHeight="1">
      <x:c r="A340" s="2" t="str">
        <x:v>E339</x:v>
      </x:c>
      <x:c r="B340" s="2" t="str">
        <x:v>***居益卫浴家俬厂</x:v>
      </x:c>
      <x:c r="C340" s="2" t="str">
        <x:v>无信贷记录</x:v>
      </x:c>
      <x:c r="D340" s="2" t="str"/>
      <x:c r="E340" s="2" t="str"/>
      <x:c r="F340" s="13" t="n">
        <x:v>0.009269143022876845</x:v>
      </x:c>
      <x:c r="G340" s="13" t="n">
        <x:v>0.009461228799980471</x:v>
      </x:c>
      <x:c r="H340" s="13" t="n">
        <x:v>0</x:v>
      </x:c>
      <x:c r="I340" s="13" t="n">
        <x:v>0</x:v>
      </x:c>
      <x:c r="J340" s="13" t="n">
        <x:v>0.011403180943222908</x:v>
      </x:c>
      <x:c r="K340" s="13" t="n">
        <x:v>0.011319016296392512</x:v>
      </x:c>
      <x:c r="L340" s="13" t="n">
        <x:v>0.019283883649754908</x:v>
      </x:c>
      <x:c r="M340" s="13" t="n">
        <x:v>0</x:v>
      </x:c>
      <x:c r="N340" s="13" t="n">
        <x:v>0</x:v>
      </x:c>
      <x:c r="O340" s="13" t="n">
        <x:v>0.17223599039903037</x:v>
      </x:c>
      <x:c r="P340" s="13" t="n">
        <x:v>0.28882442120482843</x:v>
      </x:c>
      <x:c r="Q340" s="13" t="n">
        <x:v>0.018444014179577715</x:v>
      </x:c>
      <x:c r="R340" s="13" t="n">
        <x:v>0.170501171475486</x:v>
      </x:c>
      <x:c r="S340" s="13" t="n">
        <x:v>0.3160863401925491</x:v>
      </x:c>
      <x:c r="T340" s="13" t="n">
        <x:v>0.5833333333333334</x:v>
      </x:c>
      <x:c r="U340" s="13" t="n">
        <x:v>0.014551554227603937</x:v>
      </x:c>
      <x:c r="V340" s="13" t="n">
        <x:v>0.015050335758358515</x:v>
      </x:c>
      <x:c r="W340" s="13" t="n">
        <x:v>0.009879470460383332</x:v>
      </x:c>
      <x:c r="X340" s="13" t="n">
        <x:v>0.01133658315383745</x:v>
      </x:c>
      <x:c r="Y340" s="13" t="n">
        <x:v>0.006620000871406346</x:v>
      </x:c>
      <x:c r="Z340" s="13" t="n">
        <x:v>0.0046833007715129885</x:v>
      </x:c>
      <x:c r="AA340" s="13" t="n">
        <x:v>0.01262870132378505</x:v>
      </x:c>
      <x:c r="AB340" s="13" t="n">
        <x:v>0.0558669158360009</x:v>
      </x:c>
      <x:c r="AC340" s="13" t="n">
        <x:v>0.13355041979740453</x:v>
      </x:c>
      <x:c r="AD340" s="13" t="n">
        <x:v>0.1213129801361322</x:v>
      </x:c>
      <x:c r="AE340" s="13" t="n">
        <x:v>0.2307742738019281</x:v>
      </x:c>
      <x:c r="AF340" s="13" t="n">
        <x:v>0.010987751562952452</x:v>
      </x:c>
      <x:c r="AG340" s="13" t="n">
        <x:v>0.16175568577428728</x:v>
      </x:c>
      <x:c r="AH340" s="13" t="n">
        <x:v>0.23289795257030343</x:v>
      </x:c>
      <x:c r="AI340" s="13" t="n">
        <x:v>0.47058823529411764</x:v>
      </x:c>
      <x:c r="AJ340" s="13" t="n">
        <x:v>0.14591103379203932</x:v>
      </x:c>
      <x:c r="AK340" s="13" t="n">
        <x:v>0.03253028582184505</x:v>
      </x:c>
      <x:c r="AL340" s="13" t="n">
        <x:v>0.07093729748158144</x:v>
      </x:c>
      <x:c r="AM340" s="13" t="n">
        <x:v>0.1319930957457611</x:v>
      </x:c>
      <x:c r="AN340" s="13" t="n">
        <x:v>0.15203911444110302</x:v>
      </x:c>
      <x:c r="AO340" s="13" t="n">
        <x:v>0.18862671524948446</x:v>
      </x:c>
      <x:c r="AP340" s="13" t="n">
        <x:v>0.20142309735550756</x:v>
      </x:c>
    </x:row>
    <x:row r="341" ht="15" hidden="0" customHeight="1">
      <x:c r="A341" s="2" t="str">
        <x:v>E340</x:v>
      </x:c>
      <x:c r="B341" s="2" t="str">
        <x:v>***物流有限公司</x:v>
      </x:c>
      <x:c r="C341" s="2" t="str">
        <x:v>无信贷记录</x:v>
      </x:c>
      <x:c r="D341" s="2" t="str"/>
      <x:c r="E341" s="2" t="str"/>
      <x:c r="F341" s="13" t="n">
        <x:v>0.0006727603806926742</x:v>
      </x:c>
      <x:c r="G341" s="13" t="n">
        <x:v>0.0006104018580632562</x:v>
      </x:c>
      <x:c r="H341" s="13" t="n">
        <x:v>0.0018181818181818182</x:v>
      </x:c>
      <x:c r="I341" s="13" t="n">
        <x:v>0</x:v>
      </x:c>
      <x:c r="J341" s="13" t="n">
        <x:v>0.00010817250748278298</x:v>
      </x:c>
      <x:c r="K341" s="13" t="n">
        <x:v>0.00010737410737544647</x:v>
      </x:c>
      <x:c r="L341" s="13" t="n">
        <x:v>0.001866182288685959</x:v>
      </x:c>
      <x:c r="M341" s="13" t="n">
        <x:v>0.7133711359063474</x:v>
      </x:c>
      <x:c r="N341" s="13" t="n">
        <x:v>0</x:v>
      </x:c>
      <x:c r="O341" s="13" t="n">
        <x:v>0.9106419756051557</x:v>
      </x:c>
      <x:c r="P341" s="13" t="n">
        <x:v>0.9523331859342746</x:v>
      </x:c>
      <x:c r="Q341" s="13" t="n">
        <x:v>0.00016577629960858807</x:v>
      </x:c>
      <x:c r="R341" s="13" t="n">
        <x:v>0.5792012830617251</x:v>
      </x:c>
      <x:c r="S341" s="13" t="n">
        <x:v>0.3267225569148675</x:v>
      </x:c>
      <x:c r="T341" s="13" t="n">
        <x:v>0.16666666666666666</x:v>
      </x:c>
      <x:c r="U341" s="13" t="n">
        <x:v>0.013503171358180022</x:v>
      </x:c>
      <x:c r="V341" s="13" t="n">
        <x:v>0.012157476082582759</x:v>
      </x:c>
      <x:c r="W341" s="13" t="n">
        <x:v>0.033343212803793744</x:v>
      </x:c>
      <x:c r="X341" s="13" t="n">
        <x:v>0.031175603673052988</x:v>
      </x:c>
      <x:c r="Y341" s="13" t="n">
        <x:v>0.01041709487574568</x:v>
      </x:c>
      <x:c r="Z341" s="13" t="n">
        <x:v>0.00873505489030626</x:v>
      </x:c>
      <x:c r="AA341" s="13" t="n">
        <x:v>0.01671445763442139</x:v>
      </x:c>
      <x:c r="AB341" s="13" t="n">
        <x:v>0.20234724394258863</x:v>
      </x:c>
      <x:c r="AC341" s="13" t="n">
        <x:v>0.4503671090978168</x:v>
      </x:c>
      <x:c r="AD341" s="13" t="n">
        <x:v>0.0762659383702133</x:v>
      </x:c>
      <x:c r="AE341" s="13" t="n">
        <x:v>0.14133605028220209</x:v>
      </x:c>
      <x:c r="AF341" s="13" t="n">
        <x:v>0.010505039507250331</x:v>
      </x:c>
      <x:c r="AG341" s="13" t="n">
        <x:v>0.3422329692388818</x:v>
      </x:c>
      <x:c r="AH341" s="13" t="n">
        <x:v>0.4584209682859184</x:v>
      </x:c>
      <x:c r="AI341" s="13" t="n">
        <x:v>0.8235294117647058</x:v>
      </x:c>
      <x:c r="AJ341" s="13" t="n">
        <x:v>0.15845861973250527</x:v>
      </x:c>
      <x:c r="AK341" s="13" t="n">
        <x:v>0.0001542875700043073</x:v>
      </x:c>
      <x:c r="AL341" s="13" t="n">
        <x:v>0.4484635446195718</x:v>
      </x:c>
      <x:c r="AM341" s="13" t="n">
        <x:v>0.725962026601686</x:v>
      </x:c>
      <x:c r="AN341" s="13" t="n">
        <x:v>0.5678477021262964</x:v>
      </x:c>
      <x:c r="AO341" s="13" t="n">
        <x:v>0.5782081546093585</x:v>
      </x:c>
      <x:c r="AP341" s="13" t="n">
        <x:v>0.317475755786561</x:v>
      </x:c>
    </x:row>
    <x:row r="342" ht="15" hidden="0" customHeight="1">
      <x:c r="A342" s="2" t="str">
        <x:v>E341</x:v>
      </x:c>
      <x:c r="B342" s="2" t="str">
        <x:v>***纺织品有限公司</x:v>
      </x:c>
      <x:c r="C342" s="2" t="str">
        <x:v>无信贷记录</x:v>
      </x:c>
      <x:c r="D342" s="2" t="str"/>
      <x:c r="E342" s="2" t="str"/>
      <x:c r="F342" s="13" t="n">
        <x:v>0.0038123088239251537</x:v>
      </x:c>
      <x:c r="G342" s="13" t="n">
        <x:v>0.003891311845153258</x:v>
      </x:c>
      <x:c r="H342" s="13" t="n">
        <x:v>0</x:v>
      </x:c>
      <x:c r="I342" s="13" t="n">
        <x:v>0</x:v>
      </x:c>
      <x:c r="J342" s="13" t="n">
        <x:v>0.005627671245473134</x:v>
      </x:c>
      <x:c r="K342" s="13" t="n">
        <x:v>0.005586134505399363</x:v>
      </x:c>
      <x:c r="L342" s="13" t="n">
        <x:v>0.008708850680534475</x:v>
      </x:c>
      <x:c r="M342" s="13" t="n">
        <x:v>0</x:v>
      </x:c>
      <x:c r="N342" s="13" t="n">
        <x:v>0</x:v>
      </x:c>
      <x:c r="O342" s="13" t="n">
        <x:v>0.8927414585595296</x:v>
      </x:c>
      <x:c r="P342" s="13" t="n">
        <x:v>0.942306628010627</x:v>
      </x:c>
      <x:c r="Q342" s="13" t="n">
        <x:v>0.011631106499542559</x:v>
      </x:c>
      <x:c r="R342" s="13" t="n">
        <x:v>0.25875824332907577</x:v>
      </x:c>
      <x:c r="S342" s="13" t="n">
        <x:v>0.513487023521801</x:v>
      </x:c>
      <x:c r="T342" s="13" t="n">
        <x:v>0.3611111111111111</x:v>
      </x:c>
      <x:c r="U342" s="13" t="n">
        <x:v>0.005727665076619321</x:v>
      </x:c>
      <x:c r="V342" s="13" t="n">
        <x:v>0.005811848406687551</x:v>
      </x:c>
      <x:c r="W342" s="13" t="n">
        <x:v>0.007409602845287499</x:v>
      </x:c>
      <x:c r="X342" s="13" t="n">
        <x:v>0</x:v>
      </x:c>
      <x:c r="Y342" s="13" t="n">
        <x:v>0.005714280038475644</x:v>
      </x:c>
      <x:c r="Z342" s="13" t="n">
        <x:v>0.0037717913677483964</x:v>
      </x:c>
      <x:c r="AA342" s="13" t="n">
        <x:v>0.00891437740502474</x:v>
      </x:c>
      <x:c r="AB342" s="13" t="n">
        <x:v>0.09832577187136159</x:v>
      </x:c>
      <x:c r="AC342" s="13" t="n">
        <x:v>0</x:v>
      </x:c>
      <x:c r="AD342" s="13" t="n">
        <x:v>0.07507708813271284</x:v>
      </x:c>
      <x:c r="AE342" s="13" t="n">
        <x:v>0.1353042349527752</x:v>
      </x:c>
      <x:c r="AF342" s="13" t="n">
        <x:v>0.011626458926943573</x:v>
      </x:c>
      <x:c r="AG342" s="13" t="n">
        <x:v>0.18345095005658876</x:v>
      </x:c>
      <x:c r="AH342" s="13" t="n">
        <x:v>0.309969459394114</x:v>
      </x:c>
      <x:c r="AI342" s="13" t="n">
        <x:v>0.3235294117647059</x:v>
      </x:c>
      <x:c r="AJ342" s="13" t="n">
        <x:v>0.14823517561906344</x:v>
      </x:c>
      <x:c r="AK342" s="13" t="n">
        <x:v>0.019864365131469656</x:v>
      </x:c>
      <x:c r="AL342" s="13" t="n">
        <x:v>0.12857980638394387</x:v>
      </x:c>
      <x:c r="AM342" s="13" t="n">
        <x:v>0</x:v>
      </x:c>
      <x:c r="AN342" s="13" t="n">
        <x:v>0.5564174808017934</x:v>
      </x:c>
      <x:c r="AO342" s="13" t="n">
        <x:v>0.26400123069001175</x:v>
      </x:c>
      <x:c r="AP342" s="13" t="n">
        <x:v>0.3696266253490845</x:v>
      </x:c>
    </x:row>
    <x:row r="343" ht="15" hidden="0" customHeight="1">
      <x:c r="A343" s="2" t="str">
        <x:v>E342</x:v>
      </x:c>
      <x:c r="B343" s="2" t="str">
        <x:v>***裕华机械厂</x:v>
      </x:c>
      <x:c r="C343" s="2" t="str">
        <x:v>无信贷记录</x:v>
      </x:c>
      <x:c r="D343" s="2" t="str"/>
      <x:c r="E343" s="2" t="str"/>
      <x:c r="F343" s="13" t="n">
        <x:v>0.019510051040087552</x:v>
      </x:c>
      <x:c r="G343" s="13" t="n">
        <x:v>0.018540956438671406</x:v>
      </x:c>
      <x:c r="H343" s="13" t="n">
        <x:v>0.03272727272727273</x:v>
      </x:c>
      <x:c r="I343" s="13" t="n">
        <x:v>0.006677350427350438</x:v>
      </x:c>
      <x:c r="J343" s="13" t="n">
        <x:v>0.008794896354967814</x:v>
      </x:c>
      <x:c r="K343" s="13" t="n">
        <x:v>0.008732718828961874</x:v>
      </x:c>
      <x:c r="L343" s="13" t="n">
        <x:v>0.03359128119634726</x:v>
      </x:c>
      <x:c r="M343" s="13" t="n">
        <x:v>0.5370626802640943</x:v>
      </x:c>
      <x:c r="N343" s="13" t="n">
        <x:v>0.08409158098741913</x:v>
      </x:c>
      <x:c r="O343" s="13" t="n">
        <x:v>0.09059997200792931</x:v>
      </x:c>
      <x:c r="P343" s="13" t="n">
        <x:v>0.14925538777530603</x:v>
      </x:c>
      <x:c r="Q343" s="13" t="n">
        <x:v>0.008607850017909665</x:v>
      </x:c>
      <x:c r="R343" s="13" t="n">
        <x:v>0.1953245809306726</x:v>
      </x:c>
      <x:c r="S343" s="13" t="n">
        <x:v>0.6107505598247946</x:v>
      </x:c>
      <x:c r="T343" s="13" t="n">
        <x:v>1</x:v>
      </x:c>
      <x:c r="U343" s="13" t="n">
        <x:v>0.013066345162586724</x:v>
      </x:c>
      <x:c r="V343" s="13" t="n">
        <x:v>0.011690885812296346</x:v>
      </x:c>
      <x:c r="W343" s="13" t="n">
        <x:v>0.033343212803793744</x:v>
      </x:c>
      <x:c r="X343" s="13" t="n">
        <x:v>0.0028341457884593626</x:v>
      </x:c>
      <x:c r="Y343" s="13" t="n">
        <x:v>0.008401058149020207</x:v>
      </x:c>
      <x:c r="Z343" s="13" t="n">
        <x:v>0.005568212437357614</x:v>
      </x:c>
      <x:c r="AA343" s="13" t="n">
        <x:v>0.007800080229396648</x:v>
      </x:c>
      <x:c r="AB343" s="13" t="n">
        <x:v>0.20871036482128635</x:v>
      </x:c>
      <x:c r="AC343" s="13" t="n">
        <x:v>0.04249331539008327</x:v>
      </x:c>
      <x:c r="AD343" s="13" t="n">
        <x:v>0.2699144683819852</x:v>
      </x:c>
      <x:c r="AE343" s="13" t="n">
        <x:v>0.4751162114694965</x:v>
      </x:c>
      <x:c r="AF343" s="13" t="n">
        <x:v>0.008463428244069579</x:v>
      </x:c>
      <x:c r="AG343" s="13" t="n">
        <x:v>0.11705975110984011</x:v>
      </x:c>
      <x:c r="AH343" s="13" t="n">
        <x:v>0.5968417238999972</x:v>
      </x:c>
      <x:c r="AI343" s="13" t="n">
        <x:v>0.8823529411764706</x:v>
      </x:c>
      <x:c r="AJ343" s="13" t="n">
        <x:v>0.1501080195997891</x:v>
      </x:c>
      <x:c r="AK343" s="13" t="n">
        <x:v>0.021151615790651807</x:v>
      </x:c>
      <x:c r="AL343" s="13" t="n">
        <x:v>0.29756345224039676</x:v>
      </x:c>
      <x:c r="AM343" s="13" t="n">
        <x:v>0.051466803911477135</x:v>
      </x:c>
      <x:c r="AN343" s="13" t="n">
        <x:v>0.19108352123316882</x:v>
      </x:c>
      <x:c r="AO343" s="13" t="n">
        <x:v>0.1840898282032737</x:v>
      </x:c>
      <x:c r="AP343" s="13" t="n">
        <x:v>0.5727977817565346</x:v>
      </x:c>
    </x:row>
    <x:row r="344" ht="15" hidden="0" customHeight="1">
      <x:c r="A344" s="2" t="str">
        <x:v>E343</x:v>
      </x:c>
      <x:c r="B344" s="2" t="str">
        <x:v>***五金工具经营部</x:v>
      </x:c>
      <x:c r="C344" s="2" t="str">
        <x:v>无信贷记录</x:v>
      </x:c>
      <x:c r="D344" s="2" t="str"/>
      <x:c r="E344" s="2" t="str"/>
      <x:c r="F344" s="13" t="n">
        <x:v>0.00007475115341029714</x:v>
      </x:c>
      <x:c r="G344" s="13" t="n">
        <x:v>0.00007630023225790702</x:v>
      </x:c>
      <x:c r="H344" s="13" t="n">
        <x:v>0</x:v>
      </x:c>
      <x:c r="I344" s="13" t="n">
        <x:v>0</x:v>
      </x:c>
      <x:c r="J344" s="13" t="n">
        <x:v>9.58187348787701e-7</x:v>
      </x:c>
      <x:c r="K344" s="13" t="n">
        <x:v>9.511151554927243e-7</x:v>
      </x:c>
      <x:c r="L344" s="13" t="n">
        <x:v>0</x:v>
      </x:c>
      <x:c r="M344" s="13" t="n">
        <x:v>0</x:v>
      </x:c>
      <x:c r="N344" s="13" t="n">
        <x:v>0</x:v>
      </x:c>
      <x:c r="O344" s="13" t="n">
        <x:v>1</x:v>
      </x:c>
      <x:c r="P344" s="13" t="n">
        <x:v>1</x:v>
      </x:c>
      <x:c r="Q344" s="13" t="n">
        <x:v>0</x:v>
      </x:c>
      <x:c r="R344" s="13" t="n">
        <x:v>0.527735112247839</x:v>
      </x:c>
      <x:c r="S344" s="13" t="n">
        <x:v>0.5396299382423102</x:v>
      </x:c>
      <x:c r="T344" s="13" t="n">
        <x:v>0.027777777777777776</x:v>
      </x:c>
      <x:c r="U344" s="13" t="n">
        <x:v>0.037004420681099444</x:v>
      </x:c>
      <x:c r="V344" s="13" t="n">
        <x:v>0.036793442353705325</x:v>
      </x:c>
      <x:c r="W344" s="13" t="n">
        <x:v>0.03951788184153333</x:v>
      </x:c>
      <x:c r="X344" s="13" t="n">
        <x:v>0.028341457884593628</x:v>
      </x:c>
      <x:c r="Y344" s="13" t="n">
        <x:v>0.0038336052060358623</x:v>
      </x:c>
      <x:c r="Z344" s="13" t="n">
        <x:v>0.0026606569314859504</x:v>
      </x:c>
      <x:c r="AA344" s="13" t="n">
        <x:v>0.010028674580652834</x:v>
      </x:c>
      <x:c r="AB344" s="13" t="n">
        <x:v>0.09083212182111924</x:v>
      </x:c>
      <x:c r="AC344" s="13" t="n">
        <x:v>0.13987824517433894</x:v>
      </x:c>
      <x:c r="AD344" s="13" t="n">
        <x:v>0.43631804872891</x:v>
      </x:c>
      <x:c r="AE344" s="13" t="n">
        <x:v>0.5931987372940186</x:v>
      </x:c>
      <x:c r="AF344" s="13" t="n">
        <x:v>0.003730484378880953</x:v>
      </x:c>
      <x:c r="AG344" s="13" t="n">
        <x:v>0.12402852827396875</x:v>
      </x:c>
      <x:c r="AH344" s="13" t="n">
        <x:v>0.6624003494114535</x:v>
      </x:c>
      <x:c r="AI344" s="13" t="n">
        <x:v>0.9705882352941176</x:v>
      </x:c>
      <x:c r="AJ344" s="13" t="n">
        <x:v>0.1490648004058073</x:v>
      </x:c>
      <x:c r="AK344" s="13" t="n">
        <x:v>0</x:v>
      </x:c>
      <x:c r="AL344" s="13" t="n">
        <x:v>0.2035690247599274</x:v>
      </x:c>
      <x:c r="AM344" s="13" t="n">
        <x:v>0.24013595389389705</x:v>
      </x:c>
      <x:c r="AN344" s="13" t="n">
        <x:v>0.8345224228130447</x:v>
      </x:c>
      <x:c r="AO344" s="13" t="n">
        <x:v>0.4301104007154083</x:v>
      </x:c>
      <x:c r="AP344" s="13" t="n">
        <x:v>0.557301686251701</x:v>
      </x:c>
    </x:row>
    <x:row r="345" ht="15" hidden="0" customHeight="1">
      <x:c r="A345" s="2" t="str">
        <x:v>E344</x:v>
      </x:c>
      <x:c r="B345" s="2" t="str">
        <x:v>***机械有限公司</x:v>
      </x:c>
      <x:c r="C345" s="2" t="str">
        <x:v>无信贷记录</x:v>
      </x:c>
      <x:c r="D345" s="2" t="str"/>
      <x:c r="E345" s="2" t="str"/>
      <x:c r="F345" s="13" t="n">
        <x:v>0.008895387255825359</x:v>
      </x:c>
      <x:c r="G345" s="13" t="n">
        <x:v>0.008850826941917214</x:v>
      </x:c>
      <x:c r="H345" s="13" t="n">
        <x:v>0.005454545454545455</x:v>
      </x:c>
      <x:c r="I345" s="13" t="n">
        <x:v>0.013354700854700877</x:v>
      </x:c>
      <x:c r="J345" s="13" t="n">
        <x:v>0.005445850576208808</x:v>
      </x:c>
      <x:c r="K345" s="13" t="n">
        <x:v>0.00622534724095351</x:v>
      </x:c>
      <x:c r="L345" s="13" t="n">
        <x:v>0.031103038144765983</x:v>
      </x:c>
      <x:c r="M345" s="13" t="n">
        <x:v>0.19455576433809477</x:v>
      </x:c>
      <x:c r="N345" s="13" t="n">
        <x:v>0.34919385325284213</x:v>
      </x:c>
      <x:c r="O345" s="13" t="n">
        <x:v>0.2617414555033881</x:v>
      </x:c>
      <x:c r="P345" s="13" t="n">
        <x:v>0.4146648657780394</x:v>
      </x:c>
      <x:c r="Q345" s="13" t="n">
        <x:v>0.005328885232299526</x:v>
      </x:c>
      <x:c r="R345" s="13" t="n">
        <x:v>0.3499824707000692</x:v>
      </x:c>
      <x:c r="S345" s="13" t="n">
        <x:v>0.5844943992570933</x:v>
      </x:c>
      <x:c r="T345" s="13" t="n">
        <x:v>0.8055555555555556</x:v>
      </x:c>
      <x:c r="U345" s="13" t="n">
        <x:v>0.007300239380755193</x:v>
      </x:c>
      <x:c r="V345" s="13" t="n">
        <x:v>0.007584891433775919</x:v>
      </x:c>
      <x:c r="W345" s="13" t="n">
        <x:v>0.006174669037739582</x:v>
      </x:c>
      <x:c r="X345" s="13" t="n">
        <x:v>0.014170728942296814</x:v>
      </x:c>
      <x:c r="Y345" s="13" t="n">
        <x:v>0.0038783575726534032</x:v>
      </x:c>
      <x:c r="Z345" s="13" t="n">
        <x:v>0.0031003444878341894</x:v>
      </x:c>
      <x:c r="AA345" s="13" t="n">
        <x:v>0.019314484377553606</x:v>
      </x:c>
      <x:c r="AB345" s="13" t="n">
        <x:v>0.06607914776301181</x:v>
      </x:c>
      <x:c r="AC345" s="13" t="n">
        <x:v>0.3186998654256245</x:v>
      </x:c>
      <x:c r="AD345" s="13" t="n">
        <x:v>0.10174181623465262</x:v>
      </x:c>
      <x:c r="AE345" s="13" t="n">
        <x:v>0.24397667956585728</x:v>
      </x:c>
      <x:c r="AF345" s="13" t="n">
        <x:v>0.003774579587028835</x:v>
      </x:c>
      <x:c r="AG345" s="13" t="n">
        <x:v>0.2941786266557236</x:v>
      </x:c>
      <x:c r="AH345" s="13" t="n">
        <x:v>0.5289927705046527</x:v>
      </x:c>
      <x:c r="AI345" s="13" t="n">
        <x:v>0.9705882352941176</x:v>
      </x:c>
      <x:c r="AJ345" s="13" t="n">
        <x:v>0.1457109167586151</x:v>
      </x:c>
      <x:c r="AK345" s="13" t="n">
        <x:v>0.02683558206063226</x:v>
      </x:c>
      <x:c r="AL345" s="13" t="n">
        <x:v>0.10173976535369161</x:v>
      </x:c>
      <x:c r="AM345" s="13" t="n">
        <x:v>0.3296623677727868</x:v>
      </x:c>
      <x:c r="AN345" s="13" t="n">
        <x:v>0.19408837841521934</x:v>
      </x:c>
      <x:c r="AO345" s="13" t="n">
        <x:v>0.38664871623081215</x:v>
      </x:c>
      <x:c r="AP345" s="13" t="n">
        <x:v>0.5225877911321132</x:v>
      </x:c>
    </x:row>
    <x:row r="346" ht="15" hidden="0" customHeight="1">
      <x:c r="A346" s="2" t="str">
        <x:v>E345</x:v>
      </x:c>
      <x:c r="B346" s="2" t="str">
        <x:v>***科技有限公司</x:v>
      </x:c>
      <x:c r="C346" s="2" t="str">
        <x:v>无信贷记录</x:v>
      </x:c>
      <x:c r="D346" s="2" t="str"/>
      <x:c r="E346" s="2" t="str"/>
      <x:c r="F346" s="13" t="n">
        <x:v>0.018762539505984582</x:v>
      </x:c>
      <x:c r="G346" s="13" t="n">
        <x:v>0.018846157367703033</x:v>
      </x:c>
      <x:c r="H346" s="13" t="n">
        <x:v>0.007272727272727273</x:v>
      </x:c>
      <x:c r="I346" s="13" t="n">
        <x:v>0</x:v>
      </x:c>
      <x:c r="J346" s="13" t="n">
        <x:v>0.0022595020662699527</x:v>
      </x:c>
      <x:c r="K346" s="13" t="n">
        <x:v>0.0022428251237249707</x:v>
      </x:c>
      <x:c r="L346" s="13" t="n">
        <x:v>0.06469431934111325</x:v>
      </x:c>
      <x:c r="M346" s="13" t="n">
        <x:v>0.12406454537501693</x:v>
      </x:c>
      <x:c r="N346" s="13" t="n">
        <x:v>0</x:v>
      </x:c>
      <x:c r="O346" s="13" t="n">
        <x:v>0.08313357224415409</x:v>
      </x:c>
      <x:c r="P346" s="13" t="n">
        <x:v>0.20820787100457963</x:v>
      </x:c>
      <x:c r="Q346" s="13" t="n">
        <x:v>0.0022690536209658985</x:v>
      </x:c>
      <x:c r="R346" s="13" t="n">
        <x:v>0.1773203682036333</x:v>
      </x:c>
      <x:c r="S346" s="13" t="n">
        <x:v>0.5598770106878997</x:v>
      </x:c>
      <x:c r="T346" s="13" t="n">
        <x:v>0.8888888888888888</x:v>
      </x:c>
      <x:c r="U346" s="13" t="n">
        <x:v>0.006776047946043235</x:v>
      </x:c>
      <x:c r="V346" s="13" t="n">
        <x:v>0.006371756731031246</x:v>
      </x:c>
      <x:c r="W346" s="13" t="n">
        <x:v>0.014819205690574998</x:v>
      </x:c>
      <x:c r="X346" s="13" t="n">
        <x:v>0</x:v>
      </x:c>
      <x:c r="Y346" s="13" t="n">
        <x:v>0.0036622391877366837</x:v>
      </x:c>
      <x:c r="Z346" s="13" t="n">
        <x:v>0.0024162077438081788</x:v>
      </x:c>
      <x:c r="AA346" s="13" t="n">
        <x:v>0.007800080229396648</x:v>
      </x:c>
      <x:c r="AB346" s="13" t="n">
        <x:v>0.16952719288165788</x:v>
      </x:c>
      <x:c r="AC346" s="13" t="n">
        <x:v>0</x:v>
      </x:c>
      <x:c r="AD346" s="13" t="n">
        <x:v>0.20685745348084372</x:v>
      </x:c>
      <x:c r="AE346" s="13" t="n">
        <x:v>0.33255702054236236</x:v>
      </x:c>
      <x:c r="AF346" s="13" t="n">
        <x:v>0.003561634755553676</x:v>
      </x:c>
      <x:c r="AG346" s="13" t="n">
        <x:v>0.3078314555006321</x:v>
      </x:c>
      <x:c r="AH346" s="13" t="n">
        <x:v>0.6541824075452419</x:v>
      </x:c>
      <x:c r="AI346" s="13" t="n">
        <x:v>0.6764705882352942</x:v>
      </x:c>
      <x:c r="AJ346" s="13" t="n">
        <x:v>0.14740066068340307</x:v>
      </x:c>
      <x:c r="AK346" s="13" t="n">
        <x:v>0.012330823747420826</x:v>
      </x:c>
      <x:c r="AL346" s="13" t="n">
        <x:v>0.12909960446362476</x:v>
      </x:c>
      <x:c r="AM346" s="13" t="n">
        <x:v>0</x:v>
      </x:c>
      <x:c r="AN346" s="13" t="n">
        <x:v>0.14928353994932267</x:v>
      </x:c>
      <x:c r="AO346" s="13" t="n">
        <x:v>0.2676108465063171</x:v>
      </x:c>
      <x:c r="AP346" s="13" t="n">
        <x:v>0.5667616874670531</x:v>
      </x:c>
    </x:row>
    <x:row r="347" ht="15" hidden="0" customHeight="1">
      <x:c r="A347" s="2" t="str">
        <x:v>E346</x:v>
      </x:c>
      <x:c r="B347" s="2" t="str">
        <x:v>个体经营E346 </x:v>
      </x:c>
      <x:c r="C347" s="2" t="str">
        <x:v>无信贷记录</x:v>
      </x:c>
      <x:c r="D347" s="2" t="str"/>
      <x:c r="E347" s="2" t="str"/>
      <x:c r="F347" s="13" t="n">
        <x:v>0.03692706978468679</x:v>
      </x:c>
      <x:c r="G347" s="13" t="n">
        <x:v>0.0370056126450849</x:v>
      </x:c>
      <x:c r="H347" s="13" t="n">
        <x:v>0.016363636363636365</x:v>
      </x:c>
      <x:c r="I347" s="13" t="n">
        <x:v>0.04674145299145307</x:v>
      </x:c>
      <x:c r="J347" s="13" t="n">
        <x:v>0.009100842632431726</x:v>
      </x:c>
      <x:c r="K347" s="13" t="n">
        <x:v>0.009496305122907578</x:v>
      </x:c>
      <x:c r="L347" s="13" t="n">
        <x:v>0.056607529423474086</x:v>
      </x:c>
      <x:c r="M347" s="13" t="n">
        <x:v>0.14238657752969436</x:v>
      </x:c>
      <x:c r="N347" s="13" t="n">
        <x:v>0.2961335962903979</x:v>
      </x:c>
      <x:c r="O347" s="13" t="n">
        <x:v>0.09817590926367768</x:v>
      </x:c>
      <x:c r="P347" s="13" t="n">
        <x:v>0.19401320957302576</x:v>
      </x:c>
      <x:c r="Q347" s="13" t="n">
        <x:v>0.009402520710243277</x:v>
      </x:c>
      <x:c r="R347" s="13" t="n">
        <x:v>0.07167552282927354</x:v>
      </x:c>
      <x:c r="S347" s="13" t="n">
        <x:v>0.5670392160293304</x:v>
      </x:c>
      <x:c r="T347" s="13" t="n">
        <x:v>0.9444444444444444</x:v>
      </x:c>
      <x:c r="U347" s="13" t="n">
        <x:v>0.05552585137425527</x:v>
      </x:c>
      <x:c r="V347" s="13" t="n">
        <x:v>0.05583032538139095</x:v>
      </x:c>
      <x:c r="W347" s="13" t="n">
        <x:v>0.04939735230191666</x:v>
      </x:c>
      <x:c r="X347" s="13" t="n">
        <x:v>0.005668291576918725</x:v>
      </x:c>
      <x:c r="Y347" s="13" t="n">
        <x:v>0.004068742427398593</x:v>
      </x:c>
      <x:c r="Z347" s="13" t="n">
        <x:v>0.00269356021844386</x:v>
      </x:c>
      <x:c r="AA347" s="13" t="n">
        <x:v>0.03937183353885927</x:v>
      </x:c>
      <x:c r="AB347" s="13" t="n">
        <x:v>0.07622152858245083</x:v>
      </x:c>
      <x:c r="AC347" s="13" t="n">
        <x:v>0.018542537624763607</x:v>
      </x:c>
      <x:c r="AD347" s="13" t="n">
        <x:v>0.040294284709791524</x:v>
      </x:c>
      <x:c r="AE347" s="13" t="n">
        <x:v>0.09122123724644349</x:v>
      </x:c>
      <x:c r="AF347" s="13" t="n">
        <x:v>0.004076154710970818</x:v>
      </x:c>
      <x:c r="AG347" s="13" t="n">
        <x:v>0.13799941887831393</x:v>
      </x:c>
      <x:c r="AH347" s="13" t="n">
        <x:v>0.5585025340423719</x:v>
      </x:c>
      <x:c r="AI347" s="13" t="n">
        <x:v>0.9411764705882353</x:v>
      </x:c>
      <x:c r="AJ347" s="13" t="n">
        <x:v>0.14368998592695734</x:v>
      </x:c>
      <x:c r="AK347" s="13" t="n">
        <x:v>0.04697552543556413</x:v>
      </x:c>
      <x:c r="AL347" s="13" t="n">
        <x:v>0.11746633210364972</x:v>
      </x:c>
      <x:c r="AM347" s="13" t="n">
        <x:v>0.07995735607675912</x:v>
      </x:c>
      <x:c r="AN347" s="13" t="n">
        <x:v>0.05970210301741314</x:v>
      </x:c>
      <x:c r="AO347" s="13" t="n">
        <x:v>0.10449832787878001</x:v>
      </x:c>
      <x:c r="AP347" s="13" t="n">
        <x:v>0.5252703801155424</x:v>
      </x:c>
    </x:row>
    <x:row r="348" ht="15" hidden="0" customHeight="1">
      <x:c r="A348" s="2" t="str">
        <x:v>E347</x:v>
      </x:c>
      <x:c r="B348" s="2" t="str">
        <x:v>***不锈钢材料有限公司</x:v>
      </x:c>
      <x:c r="C348" s="2" t="str">
        <x:v>无信贷记录</x:v>
      </x:c>
      <x:c r="D348" s="2" t="str"/>
      <x:c r="E348" s="2" t="str"/>
      <x:c r="F348" s="13" t="n">
        <x:v>0.006353848039875256</x:v>
      </x:c>
      <x:c r="G348" s="13" t="n">
        <x:v>0.006332919277406283</x:v>
      </x:c>
      <x:c r="H348" s="13" t="n">
        <x:v>0.0036363636363636364</x:v>
      </x:c>
      <x:c r="I348" s="13" t="n">
        <x:v>0</x:v>
      </x:c>
      <x:c r="J348" s="13" t="n">
        <x:v>0.003840755666427507</x:v>
      </x:c>
      <x:c r="K348" s="13" t="n">
        <x:v>0.0038124078005262094</x:v>
      </x:c>
      <x:c r="L348" s="13" t="n">
        <x:v>0.02052800517554555</x:v>
      </x:c>
      <x:c r="M348" s="13" t="n">
        <x:v>0.180392701033789</x:v>
      </x:c>
      <x:c r="N348" s="13" t="n">
        <x:v>0</x:v>
      </x:c>
      <x:c r="O348" s="13" t="n">
        <x:v>0.07823706273519766</x:v>
      </x:c>
      <x:c r="P348" s="13" t="n">
        <x:v>0.14341464699184833</x:v>
      </x:c>
      <x:c r="Q348" s="13" t="n">
        <x:v>0.003966392525725807</x:v>
      </x:c>
      <x:c r="R348" s="13" t="n">
        <x:v>0.09623077022980885</x:v>
      </x:c>
      <x:c r="S348" s="13" t="n">
        <x:v>0.5140500072015902</x:v>
      </x:c>
      <x:c r="T348" s="13" t="n">
        <x:v>0.9444444444444444</x:v>
      </x:c>
      <x:c r="U348" s="13" t="n">
        <x:v>0.01752197235763836</x:v>
      </x:c>
      <x:c r="V348" s="13" t="n">
        <x:v>0.01523697186647308</x:v>
      </x:c>
      <x:c r="W348" s="13" t="n">
        <x:v>0.04939735230191666</x:v>
      </x:c>
      <x:c r="X348" s="13" t="n">
        <x:v>0</x:v>
      </x:c>
      <x:c r="Y348" s="13" t="n">
        <x:v>0.0035765874519952177</x:v>
      </x:c>
      <x:c r="Z348" s="13" t="n">
        <x:v>0.002359625980198856</x:v>
      </x:c>
      <x:c r="AA348" s="13" t="n">
        <x:v>0.014114430891289173</x:v>
      </x:c>
      <x:c r="AB348" s="13" t="n">
        <x:v>0.23410898064609897</x:v>
      </x:c>
      <x:c r="AC348" s="13" t="n">
        <x:v>0</x:v>
      </x:c>
      <x:c r="AD348" s="13" t="n">
        <x:v>0.05904252925264772</x:v>
      </x:c>
      <x:c r="AE348" s="13" t="n">
        <x:v>0.10499836065205106</x:v>
      </x:c>
      <x:c r="AF348" s="13" t="n">
        <x:v>0.003577756478590403</x:v>
      </x:c>
      <x:c r="AG348" s="13" t="n">
        <x:v>0.21092327074297412</x:v>
      </x:c>
      <x:c r="AH348" s="13" t="n">
        <x:v>0.4579472875138233</x:v>
      </x:c>
      <x:c r="AI348" s="13" t="n">
        <x:v>0.9411764705882353</x:v>
      </x:c>
      <x:c r="AJ348" s="13" t="n">
        <x:v>0.14628489049540044</x:v>
      </x:c>
      <x:c r="AK348" s="13" t="n">
        <x:v>0.0214528535484217</x:v>
      </x:c>
      <x:c r="AL348" s="13" t="n">
        <x:v>0.3959082834238751</x:v>
      </x:c>
      <x:c r="AM348" s="13" t="n">
        <x:v>0</x:v>
      </x:c>
      <x:c r="AN348" s="13" t="n">
        <x:v>0.05885200040478436</x:v>
      </x:c>
      <x:c r="AO348" s="13" t="n">
        <x:v>0.1593581368471345</x:v>
      </x:c>
      <x:c r="AP348" s="13" t="n">
        <x:v>0.4415186979411066</x:v>
      </x:c>
    </x:row>
    <x:row r="349" ht="15" hidden="0" customHeight="1">
      <x:c r="A349" s="2" t="str">
        <x:v>E348</x:v>
      </x:c>
      <x:c r="B349" s="2" t="str">
        <x:v>***酒店管理有限公司</x:v>
      </x:c>
      <x:c r="C349" s="2" t="str">
        <x:v>无信贷记录</x:v>
      </x:c>
      <x:c r="D349" s="2" t="str"/>
      <x:c r="E349" s="2" t="str"/>
      <x:c r="F349" s="13" t="n">
        <x:v>0.014800728375238832</x:v>
      </x:c>
      <x:c r="G349" s="13" t="n">
        <x:v>0.014497044129002334</x:v>
      </x:c>
      <x:c r="H349" s="13" t="n">
        <x:v>0.014545454545454545</x:v>
      </x:c>
      <x:c r="I349" s="13" t="n">
        <x:v>0.026709401709401753</x:v>
      </x:c>
      <x:c r="J349" s="13" t="n">
        <x:v>0.0027094643471293547</x:v>
      </x:c>
      <x:c r="K349" s="13" t="n">
        <x:v>0.0027790507026215837</x:v>
      </x:c>
      <x:c r="L349" s="13" t="n">
        <x:v>0.01990594441265023</x:v>
      </x:c>
      <x:c r="M349" s="13" t="n">
        <x:v>0.31388329979879287</x:v>
      </x:c>
      <x:c r="N349" s="13" t="n">
        <x:v>0.4292174446232851</x:v>
      </x:c>
      <x:c r="O349" s="13" t="n">
        <x:v>0.1413442944592384</x:v>
      </x:c>
      <x:c r="P349" s="13" t="n">
        <x:v>0.27031734081557873</x:v>
      </x:c>
      <x:c r="Q349" s="13" t="n">
        <x:v>0.0031475053079924767</x:v>
      </x:c>
      <x:c r="R349" s="13" t="n">
        <x:v>0.14181803525219192</x:v>
      </x:c>
      <x:c r="S349" s="13" t="n">
        <x:v>0.577642893814336</x:v>
      </x:c>
      <x:c r="T349" s="13" t="n">
        <x:v>0.8333333333333334</x:v>
      </x:c>
      <x:c r="U349" s="13" t="n">
        <x:v>0.3721374779402776</x:v>
      </x:c>
      <x:c r="V349" s="13" t="n">
        <x:v>0.37731102160872904</x:v>
      </x:c>
      <x:c r="W349" s="13" t="n">
        <x:v>0.2704505038529937</x:v>
      </x:c>
      <x:c r="X349" s="13" t="n">
        <x:v>0.0906926652306996</x:v>
      </x:c>
      <x:c r="Y349" s="13" t="n">
        <x:v>0.0033852668466501632</x:v>
      </x:c>
      <x:c r="Z349" s="13" t="n">
        <x:v>0.002287117182955879</x:v>
      </x:c>
      <x:c r="AA349" s="13" t="n">
        <x:v>0.3744038510110391</x:v>
      </x:c>
      <x:c r="AB349" s="13" t="n">
        <x:v>0.06305148758441141</x:v>
      </x:c>
      <x:c r="AC349" s="13" t="n">
        <x:v>0.04431895412536092</x:v>
      </x:c>
      <x:c r="AD349" s="13" t="n">
        <x:v>0.04943617061923696</x:v>
      </x:c>
      <x:c r="AE349" s="13" t="n">
        <x:v>0.16749268889880803</x:v>
      </x:c>
      <x:c r="AF349" s="13" t="n">
        <x:v>0.0035913814569540725</x:v>
      </x:c>
      <x:c r="AG349" s="13" t="n">
        <x:v>0.027061352071297944</x:v>
      </x:c>
      <x:c r="AH349" s="13" t="n">
        <x:v>0.5131812630833199</x:v>
      </x:c>
      <x:c r="AI349" s="13" t="n">
        <x:v>0.8823529411764706</x:v>
      </x:c>
      <x:c r="AJ349" s="13" t="n">
        <x:v>0.14672014646797546</x:v>
      </x:c>
      <x:c r="AK349" s="13" t="n">
        <x:v>0.016119017920621665</x:v>
      </x:c>
      <x:c r="AL349" s="13" t="n">
        <x:v>0.13966259000945178</x:v>
      </x:c>
      <x:c r="AM349" s="13" t="n">
        <x:v>0.08233232704933613</x:v>
      </x:c>
      <x:c r="AN349" s="13" t="n">
        <x:v>0.09098125509487437</x:v>
      </x:c>
      <x:c r="AO349" s="13" t="n">
        <x:v>0.09945950958813692</x:v>
      </x:c>
      <x:c r="AP349" s="13" t="n">
        <x:v>0.5104007460897034</x:v>
      </x:c>
    </x:row>
    <x:row r="350" ht="15" hidden="0" customHeight="1">
      <x:c r="A350" s="2" t="str">
        <x:v>E349</x:v>
      </x:c>
      <x:c r="B350" s="2" t="str">
        <x:v>***营销策划广告有限公司</x:v>
      </x:c>
      <x:c r="C350" s="2" t="str">
        <x:v>无信贷记录</x:v>
      </x:c>
      <x:c r="D350" s="2" t="str"/>
      <x:c r="E350" s="2" t="str"/>
      <x:c r="F350" s="13" t="n">
        <x:v>0.00052325807387208</x:v>
      </x:c>
      <x:c r="G350" s="13" t="n">
        <x:v>0.0005341016258053491</x:v>
      </x:c>
      <x:c r="H350" s="13" t="n">
        <x:v>0</x:v>
      </x:c>
      <x:c r="I350" s="13" t="n">
        <x:v>0</x:v>
      </x:c>
      <x:c r="J350" s="13" t="n">
        <x:v>0.00002356473568971268</x:v>
      </x:c>
      <x:c r="K350" s="13" t="n">
        <x:v>0.000023390808987430977</x:v>
      </x:c>
      <x:c r="L350" s="13" t="n">
        <x:v>0.003732364577371918</x:v>
      </x:c>
      <x:c r="M350" s="13" t="n">
        <x:v>0</x:v>
      </x:c>
      <x:c r="N350" s="13" t="n">
        <x:v>0</x:v>
      </x:c>
      <x:c r="O350" s="13" t="n">
        <x:v>0.24347131018904195</x:v>
      </x:c>
      <x:c r="P350" s="13" t="n">
        <x:v>0.3070811019435488</x:v>
      </x:c>
      <x:c r="Q350" s="13" t="n">
        <x:v>0.00002780675361098944</x:v>
      </x:c>
      <x:c r="R350" s="13" t="n">
        <x:v>0.5160303254526936</x:v>
      </x:c>
      <x:c r="S350" s="13" t="n">
        <x:v>0.732978917990231</x:v>
      </x:c>
      <x:c r="T350" s="13" t="n">
        <x:v>0.1111111111111111</x:v>
      </x:c>
      <x:c r="U350" s="13" t="n">
        <x:v>0.0025825164683475764</x:v>
      </x:c>
      <x:c r="V350" s="13" t="n">
        <x:v>0.0030123067849690778</x:v>
      </x:c>
      <x:c r="W350" s="13" t="n">
        <x:v>0</x:v>
      </x:c>
      <x:c r="X350" s="13" t="n">
        <x:v>0</x:v>
      </x:c>
      <x:c r="Y350" s="13" t="n">
        <x:v>0.0050300411892415615</x:v>
      </x:c>
      <x:c r="Z350" s="13" t="n">
        <x:v>0.003319781370700139</x:v>
      </x:c>
      <x:c r="AA350" s="13" t="n">
        <x:v>0</x:v>
      </x:c>
      <x:c r="AB350" s="13" t="n">
        <x:v>0</x:v>
      </x:c>
      <x:c r="AC350" s="13" t="n">
        <x:v>0</x:v>
      </x:c>
      <x:c r="AD350" s="13" t="n">
        <x:v>0.5187351078148911</x:v>
      </x:c>
      <x:c r="AE350" s="13" t="n">
        <x:v>0.5673559987965033</x:v>
      </x:c>
      <x:c r="AF350" s="13" t="n">
        <x:v>0.007983676440295432</x:v>
      </x:c>
      <x:c r="AG350" s="13" t="n">
        <x:v>0.4806683788339542</x:v>
      </x:c>
      <x:c r="AH350" s="13" t="n">
        <x:v>0.4253181713608916</x:v>
      </x:c>
      <x:c r="AI350" s="13" t="n">
        <x:v>0.058823529411764705</x:v>
      </x:c>
      <x:c r="AJ350" s="13" t="n">
        <x:v>0.15077000540434</x:v>
      </x:c>
      <x:c r="AK350" s="13" t="n">
        <x:v>0.00008674847929557025</x:v>
      </x:c>
      <x:c r="AL350" s="13" t="n">
        <x:v>0</x:v>
      </x:c>
      <x:c r="AM350" s="13" t="n">
        <x:v>0</x:v>
      </x:c>
      <x:c r="AN350" s="13" t="n">
        <x:v>0.42997496883417435</x:v>
      </x:c>
      <x:c r="AO350" s="13" t="n">
        <x:v>0.602264233199834</x:v>
      </x:c>
      <x:c r="AP350" s="13" t="n">
        <x:v>0.5709849347514957</x:v>
      </x:c>
    </x:row>
    <x:row r="351" ht="15" hidden="0" customHeight="1">
      <x:c r="A351" s="2" t="str">
        <x:v>E350</x:v>
      </x:c>
      <x:c r="B351" s="2" t="str">
        <x:v>***演艺设备有限公司</x:v>
      </x:c>
      <x:c r="C351" s="2" t="str">
        <x:v>无信贷记录</x:v>
      </x:c>
      <x:c r="D351" s="2" t="str"/>
      <x:c r="E351" s="2" t="str"/>
      <x:c r="F351" s="13" t="n">
        <x:v>0.0468689731882563</x:v>
      </x:c>
      <x:c r="G351" s="13" t="n">
        <x:v>0.04738244423216026</x:v>
      </x:c>
      <x:c r="H351" s="13" t="n">
        <x:v>0.01090909090909091</x:v>
      </x:c>
      <x:c r="I351" s="13" t="n">
        <x:v>0.006677350427350438</x:v>
      </x:c>
      <x:c r="J351" s="13" t="n">
        <x:v>0.0015130848327300538</x:v>
      </x:c>
      <x:c r="K351" s="13" t="n">
        <x:v>0.0015102936567528591</x:v>
      </x:c>
      <x:c r="L351" s="13" t="n">
        <x:v>0.08646644604244944</x:v>
      </x:c>
      <x:c r="M351" s="13" t="n">
        <x:v>0.07485293317936237</x:v>
      </x:c>
      <x:c r="N351" s="13" t="n">
        <x:v>0.033069722860221</x:v>
      </x:c>
      <x:c r="O351" s="13" t="n">
        <x:v>0.07304747011419337</x:v>
      </x:c>
      <x:c r="P351" s="13" t="n">
        <x:v>0.1443018214121516</x:v>
      </x:c>
      <x:c r="Q351" s="13" t="n">
        <x:v>0.0017565337338353957</x:v>
      </x:c>
      <x:c r="R351" s="13" t="n">
        <x:v>0.24793685855374764</x:v>
      </x:c>
      <x:c r="S351" s="13" t="n">
        <x:v>0.616720815335755</x:v>
      </x:c>
      <x:c r="T351" s="13" t="n">
        <x:v>0.8055555555555556</x:v>
      </x:c>
      <x:c r="U351" s="13" t="n">
        <x:v>0.004417186489839428</x:v>
      </x:c>
      <x:c r="V351" s="13" t="n">
        <x:v>0.0042254414877137495</x:v>
      </x:c>
      <x:c r="W351" s="13" t="n">
        <x:v>0.009879470460383332</x:v>
      </x:c>
      <x:c r="X351" s="13" t="n">
        <x:v>0.0028341457884593626</x:v>
      </x:c>
      <x:c r="Y351" s="13" t="n">
        <x:v>0.0021713332720068148</x:v>
      </x:c>
      <x:c r="Z351" s="13" t="n">
        <x:v>0.0014648876390997523</x:v>
      </x:c>
      <x:c r="AA351" s="13" t="n">
        <x:v>0.011514404148156958</x:v>
      </x:c>
      <x:c r="AB351" s="13" t="n">
        <x:v>0.1638762864522693</x:v>
      </x:c>
      <x:c r="AC351" s="13" t="n">
        <x:v>0.10786764675944215</x:v>
      </x:c>
      <x:c r="AD351" s="13" t="n">
        <x:v>0.13794423008856582</x:v>
      </x:c>
      <x:c r="AE351" s="13" t="n">
        <x:v>0.28684303321336435</x:v>
      </x:c>
      <x:c r="AF351" s="13" t="n">
        <x:v>0.002289734760856456</x:v>
      </x:c>
      <x:c r="AG351" s="13" t="n">
        <x:v>0.4181104833957772</x:v>
      </x:c>
      <x:c r="AH351" s="13" t="n">
        <x:v>0.8067828158277887</x:v>
      </x:c>
      <x:c r="AI351" s="13" t="n">
        <x:v>0.6470588235294118</x:v>
      </x:c>
      <x:c r="AJ351" s="13" t="n">
        <x:v>0.1457266674696934</x:v>
      </x:c>
      <x:c r="AK351" s="13" t="n">
        <x:v>0.013468820313338877</x:v>
      </x:c>
      <x:c r="AL351" s="13" t="n">
        <x:v>0.05348822167996895</x:v>
      </x:c>
      <x:c r="AM351" s="13" t="n">
        <x:v>0.028745163073521304</x:v>
      </x:c>
      <x:c r="AN351" s="13" t="n">
        <x:v>0.10244724115885841</x:v>
      </x:c>
      <x:c r="AO351" s="13" t="n">
        <x:v>0.37499790571414765</x:v>
      </x:c>
      <x:c r="AP351" s="13" t="n">
        <x:v>0.6782242308859986</x:v>
      </x:c>
    </x:row>
    <x:row r="352" ht="15" hidden="0" customHeight="1">
      <x:c r="A352" s="2" t="str">
        <x:v>E351</x:v>
      </x:c>
      <x:c r="B352" s="2" t="str">
        <x:v>***文化传播有限公司</x:v>
      </x:c>
      <x:c r="C352" s="2" t="str">
        <x:v>无信贷记录</x:v>
      </x:c>
      <x:c r="D352" s="2" t="str"/>
      <x:c r="E352" s="2" t="str"/>
      <x:c r="F352" s="13" t="n">
        <x:v>0.007400364187619416</x:v>
      </x:c>
      <x:c r="G352" s="13" t="n">
        <x:v>0.007477422761274888</x:v>
      </x:c>
      <x:c r="H352" s="13" t="n">
        <x:v>0.0018181818181818182</x:v>
      </x:c>
      <x:c r="I352" s="13" t="n">
        <x:v>0.006677350427350438</x:v>
      </x:c>
      <x:c r="J352" s="13" t="n">
        <x:v>0.0010532397048923247</x:v>
      </x:c>
      <x:c r="K352" s="13" t="n">
        <x:v>0.001057687778507676</x:v>
      </x:c>
      <x:c r="L352" s="13" t="n">
        <x:v>0.027992734330289384</x:v>
      </x:c>
      <x:c r="M352" s="13" t="n">
        <x:v>0.07769388608881012</x:v>
      </x:c>
      <x:c r="N352" s="13" t="n">
        <x:v>0.20602437341917687</x:v>
      </x:c>
      <x:c r="O352" s="13" t="n">
        <x:v>0.4786660384078978</x:v>
      </x:c>
      <x:c r="P352" s="13" t="n">
        <x:v>0.6766730524444817</x:v>
      </x:c>
      <x:c r="Q352" s="13" t="n">
        <x:v>0.001348802510691927</x:v>
      </x:c>
      <x:c r="R352" s="13" t="n">
        <x:v>0.747995689620305</x:v>
      </x:c>
      <x:c r="S352" s="13" t="n">
        <x:v>0.7052479557748939</x:v>
      </x:c>
      <x:c r="T352" s="13" t="n">
        <x:v>0.6111111111111112</x:v>
      </x:c>
      <x:c r="U352" s="13" t="n">
        <x:v>0.004417186489839428</x:v>
      </x:c>
      <x:c r="V352" s="13" t="n">
        <x:v>0.0042254414877137495</x:v>
      </x:c>
      <x:c r="W352" s="13" t="n">
        <x:v>0.009879470460383332</x:v>
      </x:c>
      <x:c r="X352" s="13" t="n">
        <x:v>0</x:v>
      </x:c>
      <x:c r="Y352" s="13" t="n">
        <x:v>0.0015324039404040275</x:v>
      </x:c>
      <x:c r="Z352" s="13" t="n">
        <x:v>0.0010092329353217334</x:v>
      </x:c>
      <x:c r="AA352" s="13" t="n">
        <x:v>0.0048286210943884016</x:v>
      </x:c>
      <x:c r="AB352" s="13" t="n">
        <x:v>0.1638762864522693</x:v>
      </x:c>
      <x:c r="AC352" s="13" t="n">
        <x:v>0</x:v>
      </x:c>
      <x:c r="AD352" s="13" t="n">
        <x:v>0.1887781772126383</x:v>
      </x:c>
      <x:c r="AE352" s="13" t="n">
        <x:v>0.3247168178235618</x:v>
      </x:c>
      <x:c r="AF352" s="13" t="n">
        <x:v>0.0016575474234152587</x:v>
      </x:c>
      <x:c r="AG352" s="13" t="n">
        <x:v>0.41164232522124783</x:v>
      </x:c>
      <x:c r="AH352" s="13" t="n">
        <x:v>0.8420904511268823</x:v>
      </x:c>
      <x:c r="AI352" s="13" t="n">
        <x:v>0.5</x:v>
      </x:c>
      <x:c r="AJ352" s="13" t="n">
        <x:v>0.14509714457067427</x:v>
      </x:c>
      <x:c r="AK352" s="13" t="n">
        <x:v>0.013435282961681477</x:v>
      </x:c>
      <x:c r="AL352" s="13" t="n">
        <x:v>0.15410156924032611</x:v>
      </x:c>
      <x:c r="AM352" s="13" t="n">
        <x:v>0.06382560879811473</x:v>
      </x:c>
      <x:c r="AN352" s="13" t="n">
        <x:v>0.37559591830045835</x:v>
      </x:c>
      <x:c r="AO352" s="13" t="n">
        <x:v>0.7365082168990139</x:v>
      </x:c>
      <x:c r="AP352" s="13" t="n">
        <x:v>0.7540169866440986</x:v>
      </x:c>
    </x:row>
    <x:row r="353" ht="15" hidden="0" customHeight="1">
      <x:c r="A353" s="2" t="str">
        <x:v>E352</x:v>
      </x:c>
      <x:c r="B353" s="2" t="str">
        <x:v>***居装饰工程有限公司</x:v>
      </x:c>
      <x:c r="C353" s="2" t="str">
        <x:v>无信贷记录</x:v>
      </x:c>
      <x:c r="D353" s="2" t="str"/>
      <x:c r="E353" s="2" t="str"/>
      <x:c r="F353" s="13" t="n">
        <x:v>0.05539060467703018</x:v>
      </x:c>
      <x:c r="G353" s="13" t="n">
        <x:v>0.05592807024504585</x:v>
      </x:c>
      <x:c r="H353" s="13" t="n">
        <x:v>0.014545454545454545</x:v>
      </x:c>
      <x:c r="I353" s="13" t="n">
        <x:v>0.08012820512820526</x:v>
      </x:c>
      <x:c r="J353" s="13" t="n">
        <x:v>0.050426668374565324</x:v>
      </x:c>
      <x:c r="K353" s="13" t="n">
        <x:v>0.05305001727348685</x:v>
      </x:c>
      <x:c r="L353" s="13" t="n">
        <x:v>0.032347159670556624</x:v>
      </x:c>
      <x:c r="M353" s="13" t="n">
        <x:v>0.08449079402390118</x:v>
      </x:c>
      <x:c r="N353" s="13" t="n">
        <x:v>0.3363663239496765</x:v>
      </x:c>
      <x:c r="O353" s="13" t="n">
        <x:v>0.11235435113479281</x:v>
      </x:c>
      <x:c r="P353" s="13" t="n">
        <x:v>0.1828343205398955</x:v>
      </x:c>
      <x:c r="Q353" s="13" t="n">
        <x:v>0.052111412695716536</x:v>
      </x:c>
      <x:c r="R353" s="13" t="n">
        <x:v>0.09645232231826034</x:v>
      </x:c>
      <x:c r="S353" s="13" t="n">
        <x:v>0.5967002038217302</x:v>
      </x:c>
      <x:c r="T353" s="13" t="n">
        <x:v>0.9444444444444444</x:v>
      </x:c>
      <x:c r="U353" s="13" t="n">
        <x:v>0.003718264576890151</x:v>
      </x:c>
      <x:c r="V353" s="13" t="n">
        <x:v>0.0037588512174273375</x:v>
      </x:c>
      <x:c r="W353" s="13" t="n">
        <x:v>0.006174669037739582</x:v>
      </x:c>
      <x:c r="X353" s="13" t="n">
        <x:v>0</x:v>
      </x:c>
      <x:c r="Y353" s="13" t="n">
        <x:v>0.003984377714983615</x:v>
      </x:c>
      <x:c r="Z353" s="13" t="n">
        <x:v>0.0026290133085799055</x:v>
      </x:c>
      <x:c r="AA353" s="13" t="n">
        <x:v>0.014485863283165205</x:v>
      </x:c>
      <x:c r="AB353" s="13" t="n">
        <x:v>0.11818001426846345</x:v>
      </x:c>
      <x:c r="AC353" s="13" t="n">
        <x:v>0</x:v>
      </x:c>
      <x:c r="AD353" s="13" t="n">
        <x:v>0.030155457513324362</x:v>
      </x:c>
      <x:c r="AE353" s="13" t="n">
        <x:v>0.05021935511679451</x:v>
      </x:c>
      <x:c r="AF353" s="13" t="n">
        <x:v>0.004108778213316206</x:v>
      </x:c>
      <x:c r="AG353" s="13" t="n">
        <x:v>0.22770148630360554</x:v>
      </x:c>
      <x:c r="AH353" s="13" t="n">
        <x:v>0.45586557161901</x:v>
      </x:c>
      <x:c r="AI353" s="13" t="n">
        <x:v>0.5882352941176471</x:v>
      </x:c>
      <x:c r="AJ353" s="13" t="n">
        <x:v>0.11762519822511963</x:v>
      </x:c>
      <x:c r="AK353" s="13" t="n">
        <x:v>0.26873528981917655</x:v>
      </x:c>
      <x:c r="AL353" s="13" t="n">
        <x:v>0.04227044096472671</x:v>
      </x:c>
      <x:c r="AM353" s="13" t="n">
        <x:v>0.14887200824521904</x:v>
      </x:c>
      <x:c r="AN353" s="13" t="n">
        <x:v>0.062196658312593335</x:v>
      </x:c>
      <x:c r="AO353" s="13" t="n">
        <x:v>0.1680204755826388</x:v>
      </x:c>
      <x:c r="AP353" s="13" t="n">
        <x:v>0.49534222247554965</x:v>
      </x:c>
    </x:row>
    <x:row r="354" ht="15" hidden="0" customHeight="1">
      <x:c r="A354" s="2" t="str">
        <x:v>E353</x:v>
      </x:c>
      <x:c r="B354" s="2" t="str">
        <x:v>***税务师事务所有限公司</x:v>
      </x:c>
      <x:c r="C354" s="2" t="str">
        <x:v>无信贷记录</x:v>
      </x:c>
      <x:c r="D354" s="2" t="str"/>
      <x:c r="E354" s="2" t="str"/>
      <x:c r="F354" s="13" t="n">
        <x:v>0.017342267591188936</x:v>
      </x:c>
      <x:c r="G354" s="13" t="n">
        <x:v>0.016938651561255357</x:v>
      </x:c>
      <x:c r="H354" s="13" t="n">
        <x:v>0.01818181818181818</x:v>
      </x:c>
      <x:c r="I354" s="13" t="n">
        <x:v>0.006677350427350438</x:v>
      </x:c>
      <x:c r="J354" s="13" t="n">
        <x:v>0.00113916423142849</x:v>
      </x:c>
      <x:c r="K354" s="13" t="n">
        <x:v>0.0011760565393018295</x:v>
      </x:c>
      <x:c r="L354" s="13" t="n">
        <x:v>0.06469431934111325</x:v>
      </x:c>
      <x:c r="M354" s="13" t="n">
        <x:v>0.3353454057679411</x:v>
      </x:c>
      <x:c r="N354" s="13" t="n">
        <x:v>0.09197516670498966</x:v>
      </x:c>
      <x:c r="O354" s="13" t="n">
        <x:v>0.055757699177320805</x:v>
      </x:c>
      <x:c r="P354" s="13" t="n">
        <x:v>0.17703379066312744</x:v>
      </x:c>
      <x:c r="Q354" s="13" t="n">
        <x:v>0.0013217946555226531</x:v>
      </x:c>
      <x:c r="R354" s="13" t="n">
        <x:v>0.12473686296795283</x:v>
      </x:c>
      <x:c r="S354" s="13" t="n">
        <x:v>0.4542191065276165</x:v>
      </x:c>
      <x:c r="T354" s="13" t="n">
        <x:v>0.8055555555555556</x:v>
      </x:c>
      <x:c r="U354" s="13" t="n">
        <x:v>0.006164491272212619</x:v>
      </x:c>
      <x:c r="V354" s="13" t="n">
        <x:v>0.005718530352630269</x:v>
      </x:c>
      <x:c r="W354" s="13" t="n">
        <x:v>0.014819205690574998</x:v>
      </x:c>
      <x:c r="X354" s="13" t="n">
        <x:v>0.01133658315383745</x:v>
      </x:c>
      <x:c r="Y354" s="13" t="n">
        <x:v>0.0041139943911956255</x:v>
      </x:c>
      <x:c r="Z354" s="13" t="n">
        <x:v>0.003016825036202032</x:v>
      </x:c>
      <x:c r="AA354" s="13" t="n">
        <x:v>0.008542945013148711</x:v>
      </x:c>
      <x:c r="AB354" s="13" t="n">
        <x:v>0.18436082225880296</x:v>
      </x:c>
      <x:c r="AC354" s="13" t="n">
        <x:v>0.3299480959700583</x:v>
      </x:c>
      <x:c r="AD354" s="13" t="n">
        <x:v>0.06058796755433536</x:v>
      </x:c>
      <x:c r="AE354" s="13" t="n">
        <x:v>0.08431788951979838</x:v>
      </x:c>
      <x:c r="AF354" s="13" t="n">
        <x:v>0.004654893958550695</x:v>
      </x:c>
      <x:c r="AG354" s="13" t="n">
        <x:v>0.2897084496832739</x:v>
      </x:c>
      <x:c r="AH354" s="13" t="n">
        <x:v>0.40251120511762434</x:v>
      </x:c>
      <x:c r="AI354" s="13" t="n">
        <x:v>0.4411764705882353</x:v>
      </x:c>
      <x:c r="AJ354" s="13" t="n">
        <x:v>0.14875320387040414</x:v>
      </x:c>
      <x:c r="AK354" s="13" t="n">
        <x:v>0.00520149602023317</x:v>
      </x:c>
      <x:c r="AL354" s="13" t="n">
        <x:v>0.19415051318700302</x:v>
      </x:c>
      <x:c r="AM354" s="13" t="n">
        <x:v>0.166121447556737</x:v>
      </x:c>
      <x:c r="AN354" s="13" t="n">
        <x:v>0.04629653706496625</x:v>
      </x:c>
      <x:c r="AO354" s="13" t="n">
        <x:v>0.2200696979788475</x:v>
      </x:c>
      <x:c r="AP354" s="13" t="n">
        <x:v>0.37503464858827373</x:v>
      </x:c>
    </x:row>
    <x:row r="355" ht="15" hidden="0" customHeight="1">
      <x:c r="A355" s="2" t="str">
        <x:v>E354</x:v>
      </x:c>
      <x:c r="B355" s="2" t="str">
        <x:v>***广告有限公司</x:v>
      </x:c>
      <x:c r="C355" s="2" t="str">
        <x:v>无信贷记录</x:v>
      </x:c>
      <x:c r="D355" s="2" t="str"/>
      <x:c r="E355" s="2" t="str"/>
      <x:c r="F355" s="13" t="n">
        <x:v>0.004858824971669314</x:v>
      </x:c>
      <x:c r="G355" s="13" t="n">
        <x:v>0.0048069146322481425</x:v>
      </x:c>
      <x:c r="H355" s="13" t="n">
        <x:v>0.0036363636363636364</x:v>
      </x:c>
      <x:c r="I355" s="13" t="n">
        <x:v>0</x:v>
      </x:c>
      <x:c r="J355" s="13" t="n">
        <x:v>0.0022692614097432158</x:v>
      </x:c>
      <x:c r="K355" s="13" t="n">
        <x:v>0.0022525124353940545</x:v>
      </x:c>
      <x:c r="L355" s="13" t="n">
        <x:v>0.006220607628953196</x:v>
      </x:c>
      <x:c r="M355" s="13" t="n">
        <x:v>0.23424126850656182</x:v>
      </x:c>
      <x:c r="N355" s="13" t="n">
        <x:v>0</x:v>
      </x:c>
      <x:c r="O355" s="13" t="n">
        <x:v>0.3854795766679083</x:v>
      </x:c>
      <x:c r="P355" s="13" t="n">
        <x:v>0.5698358803800785</x:v>
      </x:c>
      <x:c r="Q355" s="13" t="n">
        <x:v>0.0024093670240210954</x:v>
      </x:c>
      <x:c r="R355" s="13" t="n">
        <x:v>0.2991602689831067</x:v>
      </x:c>
      <x:c r="S355" s="13" t="n">
        <x:v>0.632855352694092</x:v>
      </x:c>
      <x:c r="T355" s="13" t="n">
        <x:v>0.5277777777777778</x:v>
      </x:c>
      <x:c r="U355" s="13" t="n">
        <x:v>0.02739424437804689</x:v>
      </x:c>
      <x:c r="V355" s="13" t="n">
        <x:v>0.026715092515518818</x:v>
      </x:c>
      <x:c r="W355" s="13" t="n">
        <x:v>0.0370480142264375</x:v>
      </x:c>
      <x:c r="X355" s="13" t="n">
        <x:v>0.019839020519215537</x:v>
      </x:c>
      <x:c r="Y355" s="13" t="n">
        <x:v>0.0033177987739488484</x:v>
      </x:c>
      <x:c r="Z355" s="13" t="n">
        <x:v>0.002319557788580429</x:v>
      </x:c>
      <x:c r="AA355" s="13" t="n">
        <x:v>0.023771673080065978</x:v>
      </x:c>
      <x:c r="AB355" s="13" t="n">
        <x:v>0.1141553079001876</x:v>
      </x:c>
      <x:c r="AC355" s="13" t="n">
        <x:v>0.1340062232779418</x:v>
      </x:c>
      <x:c r="AD355" s="13" t="n">
        <x:v>0.1152162613877185</x:v>
      </x:c>
      <x:c r="AE355" s="13" t="n">
        <x:v>0.2894516214937436</x:v>
      </x:c>
      <x:c r="AF355" s="13" t="n">
        <x:v>0.0035190384591508015</x:v>
      </x:c>
      <x:c r="AG355" s="13" t="n">
        <x:v>0.28530662044946803</x:v>
      </x:c>
      <x:c r="AH355" s="13" t="n">
        <x:v>0.4979891745965579</x:v>
      </x:c>
      <x:c r="AI355" s="13" t="n">
        <x:v>0.7941176470588235</x:v>
      </x:c>
      <x:c r="AJ355" s="13" t="n">
        <x:v>0.146899538985584</x:v>
      </x:c>
      <x:c r="AK355" s="13" t="n">
        <x:v>0.012886367811130835</x:v>
      </x:c>
      <x:c r="AL355" s="13" t="n">
        <x:v>0.22804783378544596</x:v>
      </x:c>
      <x:c r="AM355" s="13" t="n">
        <x:v>0.18969398815976002</x:v>
      </x:c>
      <x:c r="AN355" s="13" t="n">
        <x:v>0.2762117987049119</x:v>
      </x:c>
      <x:c r="AO355" s="13" t="n">
        <x:v>0.3450794580564292</x:v>
      </x:c>
      <x:c r="AP355" s="13" t="n">
        <x:v>0.5396859211068714</x:v>
      </x:c>
    </x:row>
    <x:row r="356" ht="15" hidden="0" customHeight="1">
      <x:c r="A356" s="2" t="str">
        <x:v>E355</x:v>
      </x:c>
      <x:c r="B356" s="2" t="str">
        <x:v>***地毯经营部</x:v>
      </x:c>
      <x:c r="C356" s="2" t="str">
        <x:v>无信贷记录</x:v>
      </x:c>
      <x:c r="D356" s="2" t="str"/>
      <x:c r="E356" s="2" t="str"/>
      <x:c r="F356" s="13" t="n">
        <x:v>0.00014950230682059427</x:v>
      </x:c>
      <x:c r="G356" s="13" t="n">
        <x:v>0.00007630023225790702</x:v>
      </x:c>
      <x:c r="H356" s="13" t="n">
        <x:v>0.0018181818181818182</x:v>
      </x:c>
      <x:c r="I356" s="13" t="n">
        <x:v>0</x:v>
      </x:c>
      <x:c r="J356" s="13" t="n">
        <x:v>0.0018137117673481488</x:v>
      </x:c>
      <x:c r="K356" s="13" t="n">
        <x:v>0.0018003251157540851</x:v>
      </x:c>
      <x:c r="L356" s="13" t="n">
        <x:v>0.0006220607628953196</x:v>
      </x:c>
      <x:c r="M356" s="13" t="n">
        <x:v>1</x:v>
      </x:c>
      <x:c r="N356" s="13" t="n">
        <x:v>0</x:v>
      </x:c>
      <x:c r="O356" s="13" t="n">
        <x:v>0.9978687344214263</x:v>
      </x:c>
      <x:c r="P356" s="13" t="n">
        <x:v>0.9988989592965604</x:v>
      </x:c>
      <x:c r="Q356" s="13" t="n">
        <x:v>0.005191280026871559</x:v>
      </x:c>
      <x:c r="R356" s="13" t="n">
        <x:v>0.6946837306222817</x:v>
      </x:c>
      <x:c r="S356" s="13" t="n">
        <x:v>1</x:v>
      </x:c>
      <x:c r="T356" s="13" t="n">
        <x:v>0</x:v>
      </x:c>
      <x:c r="U356" s="13" t="n">
        <x:v>0.02355017385682587</x:v>
      </x:c>
      <x:c r="V356" s="13" t="n">
        <x:v>0.023915550893800347</x:v>
      </x:c>
      <x:c r="W356" s="13" t="n">
        <x:v>0.019758940920766663</x:v>
      </x:c>
      <x:c r="X356" s="13" t="n">
        <x:v>0</x:v>
      </x:c>
      <x:c r="Y356" s="13" t="n">
        <x:v>0.00174310405787282</x:v>
      </x:c>
      <x:c r="Z356" s="13" t="n">
        <x:v>0.0011484219912804002</x:v>
      </x:c>
      <x:c r="AA356" s="13" t="n">
        <x:v>0.03900040114698324</x:v>
      </x:c>
      <x:c r="AB356" s="13" t="n">
        <x:v>0.07048442428054594</x:v>
      </x:c>
      <x:c r="AC356" s="13" t="n">
        <x:v>0</x:v>
      </x:c>
      <x:c r="AD356" s="13" t="n">
        <x:v>0.035712825197042435</x:v>
      </x:c>
      <x:c r="AE356" s="13" t="n">
        <x:v>0.05848645147693696</x:v>
      </x:c>
      <x:c r="AF356" s="13" t="n">
        <x:v>0.002437298767714084</x:v>
      </x:c>
      <x:c r="AG356" s="13" t="n">
        <x:v>0.07314100063460027</x:v>
      </x:c>
      <x:c r="AH356" s="13" t="n">
        <x:v>0.6481391436901546</x:v>
      </x:c>
      <x:c r="AI356" s="13" t="n">
        <x:v>0.6470588235294118</x:v>
      </x:c>
      <x:c r="AJ356" s="13" t="n">
        <x:v>0.14492253197136667</x:v>
      </x:c>
      <x:c r="AK356" s="13" t="n">
        <x:v>0.02024123700620435</x:v>
      </x:c>
      <x:c r="AL356" s="13" t="n">
        <x:v>0.1658932268387762</x:v>
      </x:c>
      <x:c r="AM356" s="13" t="n">
        <x:v>0</x:v>
      </x:c>
      <x:c r="AN356" s="13" t="n">
        <x:v>0.5961114677446082</x:v>
      </x:c>
      <x:c r="AO356" s="13" t="n">
        <x:v>0.5261153065537688</x:v>
      </x:c>
      <x:c r="AP356" s="13" t="n">
        <x:v>1</x:v>
      </x:c>
    </x:row>
    <x:row r="357" ht="15" hidden="0" customHeight="1">
      <x:c r="A357" s="2" t="str">
        <x:v>E356</x:v>
      </x:c>
      <x:c r="B357" s="2" t="str">
        <x:v>***建材装饰部</x:v>
      </x:c>
      <x:c r="C357" s="2" t="str">
        <x:v>无信贷记录</x:v>
      </x:c>
      <x:c r="D357" s="2" t="str"/>
      <x:c r="E357" s="2" t="str"/>
      <x:c r="F357" s="13" t="n">
        <x:v>0.00007475115341029714</x:v>
      </x:c>
      <x:c r="G357" s="13" t="n">
        <x:v>0.00007630023225790702</x:v>
      </x:c>
      <x:c r="H357" s="13" t="n">
        <x:v>0</x:v>
      </x:c>
      <x:c r="I357" s="13" t="n">
        <x:v>0</x:v>
      </x:c>
      <x:c r="J357" s="13" t="n">
        <x:v>0.00005338472371817192</x:v>
      </x:c>
      <x:c r="K357" s="13" t="n">
        <x:v>0.000052990701520308924</x:v>
      </x:c>
      <x:c r="L357" s="13" t="n">
        <x:v>0.0006220607628953196</x:v>
      </x:c>
      <x:c r="M357" s="13" t="n">
        <x:v>0</x:v>
      </x:c>
      <x:c r="N357" s="13" t="n">
        <x:v>0</x:v>
      </x:c>
      <x:c r="O357" s="13" t="n">
        <x:v>0.9323804002500418</x:v>
      </x:c>
      <x:c r="P357" s="13" t="n">
        <x:v>0.9638509804692507</x:v>
      </x:c>
      <x:c r="Q357" s="13" t="n">
        <x:v>0.00012370813041941825</x:v>
      </x:c>
      <x:c r="R357" s="13" t="n">
        <x:v>0.7541960789928219</x:v>
      </x:c>
      <x:c r="S357" s="13" t="n">
        <x:v>0</x:v>
      </x:c>
      <x:c r="T357" s="13" t="n">
        <x:v>0.027777777777777776</x:v>
      </x:c>
      <x:c r="U357" s="13" t="n">
        <x:v>0.01586203281438383</x:v>
      </x:c>
      <x:c r="V357" s="13" t="n">
        <x:v>0.017010014893561447</x:v>
      </x:c>
      <x:c r="W357" s="13" t="n">
        <x:v>0.002469867615095833</x:v>
      </x:c>
      <x:c r="X357" s="13" t="n">
        <x:v>0</x:v>
      </x:c>
      <x:c r="Y357" s="13" t="n">
        <x:v>0.0022264757650530043</x:v>
      </x:c>
      <x:c r="Z357" s="13" t="n">
        <x:v>0.001467738621986617</x:v>
      </x:c>
      <x:c r="AA357" s="13" t="n">
        <x:v>0.0007428647837520618</x:v>
      </x:c>
      <x:c r="AB357" s="13" t="n">
        <x:v>0.012869865428188689</x:v>
      </x:c>
      <x:c r="AC357" s="13" t="n">
        <x:v>0</x:v>
      </x:c>
      <x:c r="AD357" s="13" t="n">
        <x:v>0.8577364462307833</x:v>
      </x:c>
      <x:c r="AE357" s="13" t="n">
        <x:v>0.922514859009521</x:v>
      </x:c>
      <x:c r="AF357" s="13" t="n">
        <x:v>0.002994465568447383</x:v>
      </x:c>
      <x:c r="AG357" s="13" t="n">
        <x:v>0.12180648082994233</x:v>
      </x:c>
      <x:c r="AH357" s="13" t="n">
        <x:v>0.5929644679027072</x:v>
      </x:c>
      <x:c r="AI357" s="13" t="n">
        <x:v>0.6764705882352942</x:v>
      </x:c>
      <x:c r="AJ357" s="13" t="n">
        <x:v>0.1467222839450934</x:v>
      </x:c>
      <x:c r="AK357" s="13" t="n">
        <x:v>0.0004733205076419122</x:v>
      </x:c>
      <x:c r="AL357" s="13" t="n">
        <x:v>0.025182858472160057</x:v>
      </x:c>
      <x:c r="AM357" s="13" t="n">
        <x:v>0</x:v>
      </x:c>
      <x:c r="AN357" s="13" t="n">
        <x:v>1</x:v>
      </x:c>
      <x:c r="AO357" s="13" t="n">
        <x:v>0.5941853801365707</x:v>
      </x:c>
      <x:c r="AP357" s="13" t="n">
        <x:v>0</x:v>
      </x:c>
    </x:row>
    <x:row r="358" ht="15" hidden="0" customHeight="1">
      <x:c r="A358" s="2" t="str">
        <x:v>E357</x:v>
      </x:c>
      <x:c r="B358" s="2" t="str">
        <x:v>***家居经营部</x:v>
      </x:c>
      <x:c r="C358" s="2" t="str">
        <x:v>无信贷记录</x:v>
      </x:c>
      <x:c r="D358" s="2" t="str"/>
      <x:c r="E358" s="2" t="str"/>
      <x:c r="F358" s="13" t="n">
        <x:v>0.0005980092272823771</x:v>
      </x:c>
      <x:c r="G358" s="13" t="n">
        <x:v>0.0006104018580632562</x:v>
      </x:c>
      <x:c r="H358" s="13" t="n">
        <x:v>0</x:v>
      </x:c>
      <x:c r="I358" s="13" t="n">
        <x:v>0.006677350427350438</x:v>
      </x:c>
      <x:c r="J358" s="13" t="n">
        <x:v>0.0002257051365241521</x:v>
      </x:c>
      <x:c r="K358" s="13" t="n">
        <x:v>0.0002259414813951059</x:v>
      </x:c>
      <x:c r="L358" s="13" t="n">
        <x:v>0.0024882430515812785</x:v>
      </x:c>
      <x:c r="M358" s="13" t="n">
        <x:v>0</x:v>
      </x:c>
      <x:c r="N358" s="13" t="n">
        <x:v>1</x:v>
      </x:c>
      <x:c r="O358" s="13" t="n">
        <x:v>0.5796951744929253</x:v>
      </x:c>
      <x:c r="P358" s="13" t="n">
        <x:v>0.7344454941513979</x:v>
      </x:c>
      <x:c r="Q358" s="13" t="n">
        <x:v>0.00027740368258281017</x:v>
      </x:c>
      <x:c r="R358" s="13" t="n">
        <x:v>0.44229536360364785</x:v>
      </x:c>
      <x:c r="S358" s="13" t="n">
        <x:v>0.6416397586229282</x:v>
      </x:c>
      <x:c r="T358" s="13" t="n">
        <x:v>0.16666666666666666</x:v>
      </x:c>
      <x:c r="U358" s="13" t="n">
        <x:v>0.012629518966993426</x:v>
      </x:c>
      <x:c r="V358" s="13" t="n">
        <x:v>0.012810702460983736</x:v>
      </x:c>
      <x:c r="W358" s="13" t="n">
        <x:v>0.012349338075479164</x:v>
      </x:c>
      <x:c r="X358" s="13" t="n">
        <x:v>0</x:v>
      </x:c>
      <x:c r="Y358" s="13" t="n">
        <x:v>0.0019521125709838336</x:v>
      </x:c>
      <x:c r="Z358" s="13" t="n">
        <x:v>0.0012864935689175386</x:v>
      </x:c>
      <x:c r="AA358" s="13" t="n">
        <x:v>0.0048286210943884016</x:v>
      </x:c>
      <x:c r="AB358" s="13" t="n">
        <x:v>0.07980987976571556</x:v>
      </x:c>
      <x:c r="AC358" s="13" t="n">
        <x:v>0</x:v>
      </x:c>
      <x:c r="AD358" s="13" t="n">
        <x:v>0.24155174008057653</x:v>
      </x:c>
      <x:c r="AE358" s="13" t="n">
        <x:v>0.40440806874847</x:v>
      </x:c>
      <x:c r="AF358" s="13" t="n">
        <x:v>0.0021919241662784</x:v>
      </x:c>
      <x:c r="AG358" s="13" t="n">
        <x:v>0.17392408968548786</x:v>
      </x:c>
      <x:c r="AH358" s="13" t="n">
        <x:v>0.7451997113201058</x:v>
      </x:c>
      <x:c r="AI358" s="13" t="n">
        <x:v>0.5882352941176471</x:v>
      </x:c>
      <x:c r="AJ358" s="13" t="n">
        <x:v>0.14621981748102805</x:v>
      </x:c>
      <x:c r="AK358" s="13" t="n">
        <x:v>0.0022843004324310297</x:v>
      </x:c>
      <x:c r="AL358" s="13" t="n">
        <x:v>0.16845212249605218</x:v>
      </x:c>
      <x:c r="AM358" s="13" t="n">
        <x:v>0.06299670478774962</x:v>
      </x:c>
      <x:c r="AN358" s="13" t="n">
        <x:v>0.46737415340596866</x:v>
      </x:c>
      <x:c r="AO358" s="13" t="n">
        <x:v>0.39306273705817885</x:v>
      </x:c>
      <x:c r="AP358" s="13" t="n">
        <x:v>0.6649918117124447</x:v>
      </x:c>
    </x:row>
    <x:row r="359" ht="15" hidden="0" customHeight="1">
      <x:c r="A359" s="2" t="str">
        <x:v>E358</x:v>
      </x:c>
      <x:c r="B359" s="2" t="str">
        <x:v>***五金经营部</x:v>
      </x:c>
      <x:c r="C359" s="2" t="str">
        <x:v>无信贷记录</x:v>
      </x:c>
      <x:c r="D359" s="2" t="str"/>
      <x:c r="E359" s="2" t="str"/>
      <x:c r="F359" s="13" t="n">
        <x:v>0</x:v>
      </x:c>
      <x:c r="G359" s="13" t="n">
        <x:v>0</x:v>
      </x:c>
      <x:c r="H359" s="13" t="n">
        <x:v>0</x:v>
      </x:c>
      <x:c r="I359" s="13" t="n">
        <x:v>0</x:v>
      </x:c>
      <x:c r="J359" s="13" t="n">
        <x:v>0</x:v>
      </x:c>
      <x:c r="K359" s="13" t="n">
        <x:v>0</x:v>
      </x:c>
      <x:c r="L359" s="13" t="n">
        <x:v>0</x:v>
      </x:c>
      <x:c r="M359" s="13" t="n">
        <x:v>0</x:v>
      </x:c>
      <x:c r="N359" s="13" t="n">
        <x:v>0</x:v>
      </x:c>
      <x:c r="O359" s="13" t="n">
        <x:v>1</x:v>
      </x:c>
      <x:c r="P359" s="13" t="n">
        <x:v>1</x:v>
      </x:c>
      <x:c r="Q359" s="13" t="n">
        <x:v>0.000001057932228547414</x:v>
      </x:c>
      <x:c r="R359" s="13" t="n">
        <x:v>0.42325345426815797</x:v>
      </x:c>
      <x:c r="S359" s="13" t="n">
        <x:v>0.5561143088127755</x:v>
      </x:c>
      <x:c r="T359" s="13" t="n">
        <x:v>0</x:v>
      </x:c>
      <x:c r="U359" s="13" t="n">
        <x:v>0.025472209117436383</x:v>
      </x:c>
      <x:c r="V359" s="13" t="n">
        <x:v>0.023542278677571218</x:v>
      </x:c>
      <x:c r="W359" s="13" t="n">
        <x:v>0.05186721991701249</x:v>
      </x:c>
      <x:c r="X359" s="13" t="n">
        <x:v>0.09636095680761833</x:v>
      </x:c>
      <x:c r="Y359" s="13" t="n">
        <x:v>0.0023742511543442873</x:v>
      </x:c>
      <x:c r="Z359" s="13" t="n">
        <x:v>0.002183173873991735</x:v>
      </x:c>
      <x:c r="AA359" s="13" t="n">
        <x:v>0.00891437740502474</x:v>
      </x:c>
      <x:c r="AB359" s="13" t="n">
        <x:v>0.17149843931051437</x:v>
      </x:c>
      <x:c r="AC359" s="13" t="n">
        <x:v>0.7363320442883926</x:v>
      </x:c>
      <x:c r="AD359" s="13" t="n">
        <x:v>0.16174144450415656</x:v>
      </x:c>
      <x:c r="AE359" s="13" t="n">
        <x:v>0.3029581444048402</x:v>
      </x:c>
      <x:c r="AF359" s="13" t="n">
        <x:v>0.0029639765531391505</x:v>
      </x:c>
      <x:c r="AG359" s="13" t="n">
        <x:v>0.12954504308047543</x:v>
      </x:c>
      <x:c r="AH359" s="13" t="n">
        <x:v>0.5511701414440426</x:v>
      </x:c>
      <x:c r="AI359" s="13" t="n">
        <x:v>0.6470588235294118</x:v>
      </x:c>
      <x:c r="AJ359" s="13" t="n">
        <x:v>0.14696816569664886</x:v>
      </x:c>
      <x:c r="AK359" s="13" t="n">
        <x:v>0</x:v>
      </x:c>
      <x:c r="AL359" s="13" t="n">
        <x:v>0.3879899272385571</x:v>
      </x:c>
      <x:c r="AM359" s="13" t="n">
        <x:v>1</x:v>
      </x:c>
      <x:c r="AN359" s="13" t="n">
        <x:v>0.6719898324102843</x:v>
      </x:c>
      <x:c r="AO359" s="13" t="n">
        <x:v>0.3566871344187838</x:v>
      </x:c>
      <x:c r="AP359" s="13" t="n">
        <x:v>0.5144790737063981</x:v>
      </x:c>
    </x:row>
    <x:row r="360" ht="15" hidden="0" customHeight="1">
      <x:c r="A360" s="2" t="str">
        <x:v>E359</x:v>
      </x:c>
      <x:c r="B360" s="2" t="str">
        <x:v>***厨房用品经营部</x:v>
      </x:c>
      <x:c r="C360" s="2" t="str">
        <x:v>无信贷记录</x:v>
      </x:c>
      <x:c r="D360" s="2" t="str"/>
      <x:c r="E360" s="2" t="str"/>
      <x:c r="F360" s="13" t="n">
        <x:v>0</x:v>
      </x:c>
      <x:c r="G360" s="13" t="n">
        <x:v>0</x:v>
      </x:c>
      <x:c r="H360" s="13" t="n">
        <x:v>0</x:v>
      </x:c>
      <x:c r="I360" s="13" t="n">
        <x:v>0</x:v>
      </x:c>
      <x:c r="J360" s="13" t="n">
        <x:v>0</x:v>
      </x:c>
      <x:c r="K360" s="13" t="n">
        <x:v>0</x:v>
      </x:c>
      <x:c r="L360" s="13" t="n">
        <x:v>0</x:v>
      </x:c>
      <x:c r="M360" s="13" t="n">
        <x:v>0</x:v>
      </x:c>
      <x:c r="N360" s="13" t="n">
        <x:v>0</x:v>
      </x:c>
      <x:c r="O360" s="13" t="n">
        <x:v>1</x:v>
      </x:c>
      <x:c r="P360" s="13" t="n">
        <x:v>1</x:v>
      </x:c>
      <x:c r="Q360" s="13" t="n">
        <x:v>6.008912983711593e-7</x:v>
      </x:c>
      <x:c r="R360" s="13" t="n">
        <x:v>0.44741542697102216</x:v>
      </x:c>
      <x:c r="S360" s="13" t="n">
        <x:v>0.5561143088127756</x:v>
      </x:c>
      <x:c r="T360" s="13" t="n">
        <x:v>0</x:v>
      </x:c>
      <x:c r="U360" s="13" t="n">
        <x:v>0.020405025248554125</x:v>
      </x:c>
      <x:c r="V360" s="13" t="n">
        <x:v>0.020276146785566333</x:v>
      </x:c>
      <x:c r="W360" s="13" t="n">
        <x:v>0.023463742343410414</x:v>
      </x:c>
      <x:c r="X360" s="13" t="n">
        <x:v>0.008502437365378089</x:v>
      </x:c>
      <x:c r="Y360" s="13" t="n">
        <x:v>0.0017375762139040768</x:v>
      </x:c>
      <x:c r="Z360" s="13" t="n">
        <x:v>0.0011772859611738835</x:v>
      </x:c>
      <x:c r="AA360" s="13" t="n">
        <x:v>0.01262870132378505</x:v>
      </x:c>
      <x:c r="AB360" s="13" t="n">
        <x:v>0.09610029143805916</x:v>
      </x:c>
      <x:c r="AC360" s="13" t="n">
        <x:v>0.07512211113604006</x:v>
      </x:c>
      <x:c r="AD360" s="13" t="n">
        <x:v>0.09328685212543876</x:v>
      </x:c>
      <x:c r="AE360" s="13" t="n">
        <x:v>0.18749618295703083</x:v>
      </x:c>
      <x:c r="AF360" s="13" t="n">
        <x:v>0.0026437871451763266</x:v>
      </x:c>
      <x:c r="AG360" s="13" t="n">
        <x:v>0.11245078353277646</x:v>
      </x:c>
      <x:c r="AH360" s="13" t="n">
        <x:v>0.5612918673053761</x:v>
      </x:c>
      <x:c r="AI360" s="13" t="n">
        <x:v>0.5882352941176471</x:v>
      </x:c>
      <x:c r="AJ360" s="13" t="n">
        <x:v>0.14605320077984074</x:v>
      </x:c>
      <x:c r="AK360" s="13" t="n">
        <x:v>0.0000056409116417861125</x:v>
      </x:c>
      <x:c r="AL360" s="13" t="n">
        <x:v>0.215322436946204</x:v>
      </x:c>
      <x:c r="AM360" s="13" t="n">
        <x:v>0.12878087438911645</x:v>
      </x:c>
      <x:c r="AN360" s="13" t="n">
        <x:v>0.6314688919765874</x:v>
      </x:c>
      <x:c r="AO360" s="13" t="n">
        <x:v>0.3656521844739537</x:v>
      </x:c>
      <x:c r="AP360" s="13" t="n">
        <x:v>0.5193709659473603</x:v>
      </x:c>
    </x:row>
    <x:row r="361" ht="15" hidden="0" customHeight="1">
      <x:c r="A361" s="2" t="str">
        <x:v>E360</x:v>
      </x:c>
      <x:c r="B361" s="2" t="str">
        <x:v>***建筑劳务有限公司</x:v>
      </x:c>
      <x:c r="C361" s="2" t="str">
        <x:v>无信贷记录</x:v>
      </x:c>
      <x:c r="D361" s="2" t="str"/>
      <x:c r="E361" s="2" t="str"/>
      <x:c r="F361" s="13" t="n">
        <x:v>0.00007475115341029714</x:v>
      </x:c>
      <x:c r="G361" s="13" t="n">
        <x:v>0.00007630023225790702</x:v>
      </x:c>
      <x:c r="H361" s="13" t="n">
        <x:v>0</x:v>
      </x:c>
      <x:c r="I361" s="13" t="n">
        <x:v>0</x:v>
      </x:c>
      <x:c r="J361" s="13" t="n">
        <x:v>9.58187348787701e-7</x:v>
      </x:c>
      <x:c r="K361" s="13" t="n">
        <x:v>9.511151554927243e-7</x:v>
      </x:c>
      <x:c r="L361" s="13" t="n">
        <x:v>0</x:v>
      </x:c>
      <x:c r="M361" s="13" t="n">
        <x:v>0</x:v>
      </x:c>
      <x:c r="N361" s="13" t="n">
        <x:v>0</x:v>
      </x:c>
      <x:c r="O361" s="13" t="n">
        <x:v>1</x:v>
      </x:c>
      <x:c r="P361" s="13" t="n">
        <x:v>1</x:v>
      </x:c>
      <x:c r="Q361" s="13" t="n">
        <x:v>0.000016505915668504848</x:v>
      </x:c>
      <x:c r="R361" s="13" t="n">
        <x:v>0.22340125219916468</x:v>
      </x:c>
      <x:c r="S361" s="13" t="n">
        <x:v>0</x:v>
      </x:c>
      <x:c r="T361" s="13" t="n">
        <x:v>0</x:v>
      </x:c>
      <x:c r="U361" s="13" t="n">
        <x:v>0.0022330555118729384</x:v>
      </x:c>
      <x:c r="V361" s="13" t="n">
        <x:v>0.0020791262443962534</x:v>
      </x:c>
      <x:c r="W361" s="13" t="n">
        <x:v>0.007409602845287499</x:v>
      </x:c>
      <x:c r="X361" s="13" t="n">
        <x:v>0</x:v>
      </x:c>
      <x:c r="Y361" s="13" t="n">
        <x:v>0.003923423136772665</x:v>
      </x:c>
      <x:c r="Z361" s="13" t="n">
        <x:v>0.002588746552683116</x:v>
      </x:c>
      <x:c r="AA361" s="13" t="n">
        <x:v>0</x:v>
      </x:c>
      <x:c r="AB361" s="13" t="n">
        <x:v>0.2106980825814891</x:v>
      </x:c>
      <x:c r="AC361" s="13" t="n">
        <x:v>0</x:v>
      </x:c>
      <x:c r="AD361" s="13" t="n">
        <x:v>0.7060497153592971</x:v>
      </x:c>
      <x:c r="AE361" s="13" t="n">
        <x:v>0.8130882714267603</x:v>
      </x:c>
      <x:c r="AF361" s="13" t="n">
        <x:v>0.006519193785137355</x:v>
      </x:c>
      <x:c r="AG361" s="13" t="n">
        <x:v>0.71139579984081</x:v>
      </x:c>
      <x:c r="AH361" s="13" t="n">
        <x:v>0</x:v>
      </x:c>
      <x:c r="AI361" s="13" t="n">
        <x:v>0.029411764705882353</x:v>
      </x:c>
      <x:c r="AJ361" s="13" t="n">
        <x:v>0.1491938776637683</x:v>
      </x:c>
      <x:c r="AK361" s="13" t="n">
        <x:v>0</x:v>
      </x:c>
      <x:c r="AL361" s="13" t="n">
        <x:v>0.442510488717542</x:v>
      </x:c>
      <x:c r="AM361" s="13" t="n">
        <x:v>0</x:v>
      </x:c>
      <x:c r="AN361" s="13" t="n">
        <x:v>0.9941871058797976</x:v>
      </x:c>
      <x:c r="AO361" s="13" t="n">
        <x:v>0.5056930857659665</x:v>
      </x:c>
      <x:c r="AP361" s="13" t="n">
        <x:v>0</x:v>
      </x:c>
    </x:row>
    <x:row r="362" ht="15" hidden="0" customHeight="1">
      <x:c r="A362" s="2" t="str">
        <x:v>E361</x:v>
      </x:c>
      <x:c r="B362" s="2" t="str">
        <x:v>***勘察设计工程有限公司</x:v>
      </x:c>
      <x:c r="C362" s="2" t="str">
        <x:v>无信贷记录</x:v>
      </x:c>
      <x:c r="D362" s="2" t="str"/>
      <x:c r="E362" s="2" t="str"/>
      <x:c r="F362" s="13" t="n">
        <x:v>0.012857198386571107</x:v>
      </x:c>
      <x:c r="G362" s="13" t="n">
        <x:v>0.012894739251586287</x:v>
      </x:c>
      <x:c r="H362" s="13" t="n">
        <x:v>0.005454545454545455</x:v>
      </x:c>
      <x:c r="I362" s="13" t="n">
        <x:v>0</x:v>
      </x:c>
      <x:c r="J362" s="13" t="n">
        <x:v>0.011419771272747632</x:v>
      </x:c>
      <x:c r="K362" s="13" t="n">
        <x:v>0.0113354841759419</x:v>
      </x:c>
      <x:c r="L362" s="13" t="n">
        <x:v>0.006842668391848516</x:v>
      </x:c>
      <x:c r="M362" s="13" t="n">
        <x:v>0.13529452577534176</x:v>
      </x:c>
      <x:c r="N362" s="13" t="n">
        <x:v>0</x:v>
      </x:c>
      <x:c r="O362" s="13" t="n">
        <x:v>0.21204478601734003</x:v>
      </x:c>
      <x:c r="P362" s="13" t="n">
        <x:v>0.3583814171668204</x:v>
      </x:c>
      <x:c r="Q362" s="13" t="n">
        <x:v>0.01327455043865228</x:v>
      </x:c>
      <x:c r="R362" s="13" t="n">
        <x:v>0.22256374285524813</x:v>
      </x:c>
      <x:c r="S362" s="13" t="n">
        <x:v>0.4646066285833446</x:v>
      </x:c>
      <x:c r="T362" s="13" t="n">
        <x:v>0.5</x:v>
      </x:c>
      <x:c r="U362" s="13" t="n">
        <x:v>0.009484370358721681</x:v>
      </x:c>
      <x:c r="V362" s="13" t="n">
        <x:v>0.007771527541890483</x:v>
      </x:c>
      <x:c r="W362" s="13" t="n">
        <x:v>0.03457814661134166</x:v>
      </x:c>
      <x:c r="X362" s="13" t="n">
        <x:v>0</x:v>
      </x:c>
      <x:c r="Y362" s="13" t="n">
        <x:v>0.007651194982851711</x:v>
      </x:c>
      <x:c r="Z362" s="13" t="n">
        <x:v>0.005051322512859738</x:v>
      </x:c>
      <x:c r="AA362" s="13" t="n">
        <x:v>0.010400106972528864</x:v>
      </x:c>
      <x:c r="AB362" s="13" t="n">
        <x:v>0.29164423860149624</x:v>
      </x:c>
      <x:c r="AC362" s="13" t="n">
        <x:v>0</x:v>
      </x:c>
      <x:c r="AD362" s="13" t="n">
        <x:v>0.11801852161920781</x:v>
      </x:c>
      <x:c r="AE362" s="13" t="n">
        <x:v>0.21668741120620189</x:v>
      </x:c>
      <x:c r="AF362" s="13" t="n">
        <x:v>0.008684724879467151</x:v>
      </x:c>
      <x:c r="AG362" s="13" t="n">
        <x:v>0.428269079067787</x:v>
      </x:c>
      <x:c r="AH362" s="13" t="n">
        <x:v>0.4782906084977075</x:v>
      </x:c>
      <x:c r="AI362" s="13" t="n">
        <x:v>0.5588235294117647</x:v>
      </x:c>
      <x:c r="AJ362" s="13" t="n">
        <x:v>0.14738254672761014</x:v>
      </x:c>
      <x:c r="AK362" s="13" t="n">
        <x:v>0.03023384956944413</x:v>
      </x:c>
      <x:c r="AL362" s="13" t="n">
        <x:v>0.29623248838513383</x:v>
      </x:c>
      <x:c r="AM362" s="13" t="n">
        <x:v>0</x:v>
      </x:c>
      <x:c r="AN362" s="13" t="n">
        <x:v>0.1739435488900523</x:v>
      </x:c>
      <x:c r="AO362" s="13" t="n">
        <x:v>0.3616353711761738</x:v>
      </x:c>
      <x:c r="AP362" s="13" t="n">
        <x:v>0.41855031746918286</x:v>
      </x:c>
    </x:row>
    <x:row r="363" ht="15" hidden="0" customHeight="1">
      <x:c r="A363" s="2" t="str">
        <x:v>E362</x:v>
      </x:c>
      <x:c r="B363" s="2" t="str">
        <x:v>***建材有限公司</x:v>
      </x:c>
      <x:c r="C363" s="2" t="str">
        <x:v>无信贷记录</x:v>
      </x:c>
      <x:c r="D363" s="2" t="str"/>
      <x:c r="E363" s="2" t="str"/>
      <x:c r="F363" s="13" t="n">
        <x:v>0.009269143022876845</x:v>
      </x:c>
      <x:c r="G363" s="13" t="n">
        <x:v>0.009156027870948843</x:v>
      </x:c>
      <x:c r="H363" s="13" t="n">
        <x:v>0.007272727272727273</x:v>
      </x:c>
      <x:c r="I363" s="13" t="n">
        <x:v>0.026709401709401753</x:v>
      </x:c>
      <x:c r="J363" s="13" t="n">
        <x:v>0.0015520540726584122</x:v>
      </x:c>
      <x:c r="K363" s="13" t="n">
        <x:v>0.0016873421464331045</x:v>
      </x:c>
      <x:c r="L363" s="13" t="n">
        <x:v>0.03732364577371918</x:v>
      </x:c>
      <x:c r="M363" s="13" t="n">
        <x:v>0.24911372999904194</x:v>
      </x:c>
      <x:c r="N363" s="13" t="n">
        <x:v>0.675489748915334</x:v>
      </x:c>
      <x:c r="O363" s="13" t="n">
        <x:v>0.1194605241872354</x:v>
      </x:c>
      <x:c r="P363" s="13" t="n">
        <x:v>0.16948107293551212</x:v>
      </x:c>
      <x:c r="Q363" s="13" t="n">
        <x:v>0.0016469792123429774</x:v>
      </x:c>
      <x:c r="R363" s="13" t="n">
        <x:v>0.48649984236806915</x:v>
      </x:c>
      <x:c r="S363" s="13" t="n">
        <x:v>0.36613796952666133</x:v>
      </x:c>
      <x:c r="T363" s="13" t="n">
        <x:v>0.8055555555555556</x:v>
      </x:c>
      <x:c r="U363" s="13" t="n">
        <x:v>0.008348622250179108</x:v>
      </x:c>
      <x:c r="V363" s="13" t="n">
        <x:v>0.008238117812176895</x:v>
      </x:c>
      <x:c r="W363" s="13" t="n">
        <x:v>0.012349338075479164</x:v>
      </x:c>
      <x:c r="X363" s="13" t="n">
        <x:v>0.01133658315383745</x:v>
      </x:c>
      <x:c r="Y363" s="13" t="n">
        <x:v>0.006382811923122882</x:v>
      </x:c>
      <x:c r="Z363" s="13" t="n">
        <x:v>0.00465758634688901</x:v>
      </x:c>
      <x:c r="AA363" s="13" t="n">
        <x:v>0.00445718870251237</x:v>
      </x:c>
      <x:c r="AB363" s="13" t="n">
        <x:v>0.11705449032304949</x:v>
      </x:c>
      <x:c r="AC363" s="13" t="n">
        <x:v>0.23617337395751542</x:v>
      </x:c>
      <x:c r="AD363" s="13" t="n">
        <x:v>0.18355538173354252</x:v>
      </x:c>
      <x:c r="AE363" s="13" t="n">
        <x:v>0.3139930699278701</x:v>
      </x:c>
      <x:c r="AF363" s="13" t="n">
        <x:v>0.00624225770614611</x:v>
      </x:c>
      <x:c r="AG363" s="13" t="n">
        <x:v>0.8047877665285746</x:v>
      </x:c>
      <x:c r="AH363" s="13" t="n">
        <x:v>0.2732051747185857</x:v>
      </x:c>
      <x:c r="AI363" s="13" t="n">
        <x:v>0.38235294117647056</x:v>
      </x:c>
      <x:c r="AJ363" s="13" t="n">
        <x:v>0.15175451507643314</x:v>
      </x:c>
      <x:c r="AK363" s="13" t="n">
        <x:v>0.004867453396371898</x:v>
      </x:c>
      <x:c r="AL363" s="13" t="n">
        <x:v>0.16740714779041135</x:v>
      </x:c>
      <x:c r="AM363" s="13" t="n">
        <x:v>0.35765871105303004</x:v>
      </x:c>
      <x:c r="AN363" s="13" t="n">
        <x:v>0.1572582696617282</x:v>
      </x:c>
      <x:c r="AO363" s="13" t="n">
        <x:v>0.7449378539884476</x:v>
      </x:c>
      <x:c r="AP363" s="13" t="n">
        <x:v>0.25410776739923396</x:v>
      </x:c>
    </x:row>
    <x:row r="364" ht="15" hidden="0" customHeight="1">
      <x:c r="A364" s="2" t="str">
        <x:v>E363</x:v>
      </x:c>
      <x:c r="B364" s="2" t="str">
        <x:v>***建筑工程设计有限公司</x:v>
      </x:c>
      <x:c r="C364" s="2" t="str">
        <x:v>无信贷记录</x:v>
      </x:c>
      <x:c r="D364" s="2" t="str"/>
      <x:c r="E364" s="2" t="str"/>
      <x:c r="F364" s="13" t="n">
        <x:v>0.007250861880798822</x:v>
      </x:c>
      <x:c r="G364" s="13" t="n">
        <x:v>0.006943321135469539</x:v>
      </x:c>
      <x:c r="H364" s="13" t="n">
        <x:v>0.01090909090909091</x:v>
      </x:c>
      <x:c r="I364" s="13" t="n">
        <x:v>0.026709401709401753</x:v>
      </x:c>
      <x:c r="J364" s="13" t="n">
        <x:v>0.0007148948203604578</x:v>
      </x:c>
      <x:c r="K364" s="13" t="n">
        <x:v>0.0007147980947399419</x:v>
      </x:c>
      <x:c r="L364" s="13" t="n">
        <x:v>0.023016248227126827</x:v>
      </x:c>
      <x:c r="M364" s="13" t="n">
        <x:v>0.47558075727089827</x:v>
      </x:c>
      <x:c r="N364" s="13" t="n">
        <x:v>0.8861263372867823</x:v>
      </x:c>
      <x:c r="O364" s="13" t="n">
        <x:v>0.09172884797257089</x:v>
      </x:c>
      <x:c r="P364" s="13" t="n">
        <x:v>0.1224699577766766</x:v>
      </x:c>
      <x:c r="Q364" s="13" t="n">
        <x:v>0.0008840775672690575</x:v>
      </x:c>
      <x:c r="R364" s="13" t="n">
        <x:v>0.32687461408113805</x:v>
      </x:c>
      <x:c r="S364" s="13" t="n">
        <x:v>0.5946552354060621</x:v>
      </x:c>
      <x:c r="T364" s="13" t="n">
        <x:v>0.6388888888888888</x:v>
      </x:c>
      <x:c r="U364" s="13" t="n">
        <x:v>0.0025825164683475764</x:v>
      </x:c>
      <x:c r="V364" s="13" t="n">
        <x:v>0.0021724442984535357</x:v>
      </x:c>
      <x:c r="W364" s="13" t="n">
        <x:v>0.011114404267931248</x:v>
      </x:c>
      <x:c r="X364" s="13" t="n">
        <x:v>0</x:v>
      </x:c>
      <x:c r="Y364" s="13" t="n">
        <x:v>0.0015558617172235882</x:v>
      </x:c>
      <x:c r="Z364" s="13" t="n">
        <x:v>0.0010247292048522303</x:v>
      </x:c>
      <x:c r="AA364" s="13" t="n">
        <x:v>0.003342891526884278</x:v>
      </x:c>
      <x:c r="AB364" s="13" t="n">
        <x:v>0.28363203424431227</x:v>
      </x:c>
      <x:c r="AC364" s="13" t="n">
        <x:v>0</x:v>
      </x:c>
      <x:c r="AD364" s="13" t="n">
        <x:v>0.31838610521665195</x:v>
      </x:c>
      <x:c r="AE364" s="13" t="n">
        <x:v>0.5089692888622485</x:v>
      </x:c>
      <x:c r="AF364" s="13" t="n">
        <x:v>0.0020889706931831674</x:v>
      </x:c>
      <x:c r="AG364" s="13" t="n">
        <x:v>0.38553254721604807</x:v>
      </x:c>
      <x:c r="AH364" s="13" t="n">
        <x:v>0.9112026758090722</x:v>
      </x:c>
      <x:c r="AI364" s="13" t="n">
        <x:v>0.20588235294117646</x:v>
      </x:c>
      <x:c r="AJ364" s="13" t="n">
        <x:v>0.1453432620365766</x:v>
      </x:c>
      <x:c r="AK364" s="13" t="n">
        <x:v>0.008953407709170975</x:v>
      </x:c>
      <x:c r="AL364" s="13" t="n">
        <x:v>0.3033901605722824</x:v>
      </x:c>
      <x:c r="AM364" s="13" t="n">
        <x:v>0.31549569227035584</x:v>
      </x:c>
      <x:c r="AN364" s="13" t="n">
        <x:v>0.2204522259904649</x:v>
      </x:c>
      <x:c r="AO364" s="13" t="n">
        <x:v>0.41607644889561174</x:v>
      </x:c>
      <x:c r="AP364" s="13" t="n">
        <x:v>0.7140528205834278</x:v>
      </x:c>
    </x:row>
    <x:row r="365" ht="15" hidden="0" customHeight="1">
      <x:c r="A365" s="2" t="str">
        <x:v>E364</x:v>
      </x:c>
      <x:c r="B365" s="2" t="str">
        <x:v>***电子有限公司</x:v>
      </x:c>
      <x:c r="C365" s="2" t="str">
        <x:v>无信贷记录</x:v>
      </x:c>
      <x:c r="D365" s="2" t="str"/>
      <x:c r="E365" s="2" t="str"/>
      <x:c r="F365" s="13" t="n">
        <x:v>0.010315659170621005</x:v>
      </x:c>
      <x:c r="G365" s="13" t="n">
        <x:v>0.010529432051591169</x:v>
      </x:c>
      <x:c r="H365" s="13" t="n">
        <x:v>0</x:v>
      </x:c>
      <x:c r="I365" s="13" t="n">
        <x:v>0.03338675213675219</x:v>
      </x:c>
      <x:c r="J365" s="13" t="n">
        <x:v>0.0016204794289695278</x:v>
      </x:c>
      <x:c r="K365" s="13" t="n">
        <x:v>0.0017334887251996827</x:v>
      </x:c>
      <x:c r="L365" s="13" t="n">
        <x:v>0.013685336783697032</x:v>
      </x:c>
      <x:c r="M365" s="13" t="n">
        <x:v>0</x:v>
      </x:c>
      <x:c r="N365" s="13" t="n">
        <x:v>0.7358013336399173</x:v>
      </x:c>
      <x:c r="O365" s="13" t="n">
        <x:v>0.17344857067341746</x:v>
      </x:c>
      <x:c r="P365" s="13" t="n">
        <x:v>0.2783698253132159</x:v>
      </x:c>
      <x:c r="Q365" s="13" t="n">
        <x:v>0.0015835625008991266</x:v>
      </x:c>
      <x:c r="R365" s="13" t="n">
        <x:v>0.29852366152951815</x:v>
      </x:c>
      <x:c r="S365" s="13" t="n">
        <x:v>0.5706042488542047</x:v>
      </x:c>
      <x:c r="T365" s="13" t="n">
        <x:v>1</x:v>
      </x:c>
      <x:c r="U365" s="13" t="n">
        <x:v>0.028442627247470806</x:v>
      </x:c>
      <x:c r="V365" s="13" t="n">
        <x:v>0.028114863326378057</x:v>
      </x:c>
      <x:c r="W365" s="13" t="n">
        <x:v>0.033343212803793744</x:v>
      </x:c>
      <x:c r="X365" s="13" t="n">
        <x:v>0.017004874730756177</x:v>
      </x:c>
      <x:c r="Y365" s="13" t="n">
        <x:v>0.003416697742993172</x:v>
      </x:c>
      <x:c r="Z365" s="13" t="n">
        <x:v>0.002342852991834144</x:v>
      </x:c>
      <x:c r="AA365" s="13" t="n">
        <x:v>0.0204287815531817</x:v>
      </x:c>
      <x:c r="AB365" s="13" t="n">
        <x:v>0.09905954628831204</x:v>
      </x:c>
      <x:c r="AC365" s="13" t="n">
        <x:v>0.10926852528878554</x:v>
      </x:c>
      <x:c r="AD365" s="13" t="n">
        <x:v>0.03897779784268374</x:v>
      </x:c>
      <x:c r="AE365" s="13" t="n">
        <x:v>0.09708224127902712</x:v>
      </x:c>
      <x:c r="AF365" s="13" t="n">
        <x:v>0.0033196989221389354</x:v>
      </x:c>
      <x:c r="AG365" s="13" t="n">
        <x:v>0.20790266796059279</x:v>
      </x:c>
      <x:c r="AH365" s="13" t="n">
        <x:v>0.5075920263801633</x:v>
      </x:c>
      <x:c r="AI365" s="13" t="n">
        <x:v>0.8235294117647058</x:v>
      </x:c>
      <x:c r="AJ365" s="13" t="n">
        <x:v>0.147448959266313</x:v>
      </x:c>
      <x:c r="AK365" s="13" t="n">
        <x:v>0.009820062838611124</x:v>
      </x:c>
      <x:c r="AL365" s="13" t="n">
        <x:v>0.15676380542011578</x:v>
      </x:c>
      <x:c r="AM365" s="13" t="n">
        <x:v>0.2382062899786782</x:v>
      </x:c>
      <x:c r="AN365" s="13" t="n">
        <x:v>0.10402832429680223</x:v>
      </x:c>
      <x:c r="AO365" s="13" t="n">
        <x:v>0.3053981812655465</x:v>
      </x:c>
      <x:c r="AP365" s="13" t="n">
        <x:v>0.5030300400333179</x:v>
      </x:c>
    </x:row>
    <x:row r="366" ht="15" hidden="0" customHeight="1">
      <x:c r="A366" s="2" t="str">
        <x:v>E365</x:v>
      </x:c>
      <x:c r="B366" s="2" t="str">
        <x:v>***信息技术有限公司</x:v>
      </x:c>
      <x:c r="C366" s="2" t="str">
        <x:v>无信贷记录</x:v>
      </x:c>
      <x:c r="D366" s="2" t="str"/>
      <x:c r="E366" s="2" t="str"/>
      <x:c r="F366" s="13" t="n">
        <x:v>0.009568147636518034</x:v>
      </x:c>
      <x:c r="G366" s="13" t="n">
        <x:v>0.009461228799980471</x:v>
      </x:c>
      <x:c r="H366" s="13" t="n">
        <x:v>0.007272727272727273</x:v>
      </x:c>
      <x:c r="I366" s="13" t="n">
        <x:v>0.006677350427350438</x:v>
      </x:c>
      <x:c r="J366" s="13" t="n">
        <x:v>0.007093730707035012</x:v>
      </x:c>
      <x:c r="K366" s="13" t="n">
        <x:v>0.007109310065818215</x:v>
      </x:c>
      <x:c r="L366" s="13" t="n">
        <x:v>0.02052800517554555</x:v>
      </x:c>
      <x:c r="M366" s="13" t="n">
        <x:v>0.2414486921529176</x:v>
      </x:c>
      <x:c r="N366" s="13" t="n">
        <x:v>0.1635114074755372</x:v>
      </x:c>
      <x:c r="O366" s="13" t="n">
        <x:v>0.5792074281057541</x:v>
      </x:c>
      <x:c r="P366" s="13" t="n">
        <x:v>0.7486705999671163</x:v>
      </x:c>
      <x:c r="Q366" s="13" t="n">
        <x:v>0.006942282383857118</x:v>
      </x:c>
      <x:c r="R366" s="13" t="n">
        <x:v>0.9666105685771811</x:v>
      </x:c>
      <x:c r="S366" s="13" t="n">
        <x:v>0.7905326999495998</x:v>
      </x:c>
      <x:c r="T366" s="13" t="n">
        <x:v>0.7777777777777778</x:v>
      </x:c>
      <x:c r="U366" s="13" t="n">
        <x:v>0.006863413185161895</x:v>
      </x:c>
      <x:c r="V366" s="13" t="n">
        <x:v>0.006465074785088528</x:v>
      </x:c>
      <x:c r="W366" s="13" t="n">
        <x:v>0.014819205690574998</x:v>
      </x:c>
      <x:c r="X366" s="13" t="n">
        <x:v>0</x:v>
      </x:c>
      <x:c r="Y366" s="13" t="n">
        <x:v>0.005580454711972371</x:v>
      </x:c>
      <x:c r="Z366" s="13" t="n">
        <x:v>0.0036833860024210146</x:v>
      </x:c>
      <x:c r="AA366" s="13" t="n">
        <x:v>0.005571485878140463</x:v>
      </x:c>
      <x:c r="AB366" s="13" t="n">
        <x:v>0.1676007475080027</x:v>
      </x:c>
      <x:c r="AC366" s="13" t="n">
        <x:v>0</x:v>
      </x:c>
      <x:c r="AD366" s="13" t="n">
        <x:v>0.25082924544673096</x:v>
      </x:c>
      <x:c r="AE366" s="13" t="n">
        <x:v>0.44446770366301996</x:v>
      </x:c>
      <x:c r="AF366" s="13" t="n">
        <x:v>0.0056070438986333205</x:v>
      </x:c>
      <x:c r="AG366" s="13" t="n">
        <x:v>0.8446951784301827</x:v>
      </x:c>
      <x:c r="AH366" s="13" t="n">
        <x:v>0.8106542087370084</x:v>
      </x:c>
      <x:c r="AI366" s="13" t="n">
        <x:v>0.5882352941176471</x:v>
      </x:c>
      <x:c r="AJ366" s="13" t="n">
        <x:v>0.14712249184532913</x:v>
      </x:c>
      <x:c r="AK366" s="13" t="n">
        <x:v>0.025879539332442796</x:v>
      </x:c>
      <x:c r="AL366" s="13" t="n">
        <x:v>0.2035690247599274</x:v>
      </x:c>
      <x:c r="AM366" s="13" t="n">
        <x:v>0.048027190778779406</x:v>
      </x:c>
      <x:c r="AN366" s="13" t="n">
        <x:v>0.4725735989247955</x:v>
      </x:c>
      <x:c r="AO366" s="13" t="n">
        <x:v>1</x:v>
      </x:c>
      <x:c r="AP366" s="13" t="n">
        <x:v>0.7954010309271494</x:v>
      </x:c>
    </x:row>
    <x:row r="367" ht="15" hidden="0" customHeight="1">
      <x:c r="A367" s="2" t="str">
        <x:v>E366</x:v>
      </x:c>
      <x:c r="B367" s="2" t="str">
        <x:v>***房地产经纪有限公司</x:v>
      </x:c>
      <x:c r="C367" s="2" t="str">
        <x:v>无信贷记录</x:v>
      </x:c>
      <x:c r="D367" s="2" t="str"/>
      <x:c r="E367" s="2" t="str"/>
      <x:c r="F367" s="13" t="n">
        <x:v>0.0014202719147956456</x:v>
      </x:c>
      <x:c r="G367" s="13" t="n">
        <x:v>0.0014497044129002333</x:v>
      </x:c>
      <x:c r="H367" s="13" t="n">
        <x:v>0</x:v>
      </x:c>
      <x:c r="I367" s="13" t="n">
        <x:v>0</x:v>
      </x:c>
      <x:c r="J367" s="13" t="n">
        <x:v>0.0012986905503227124</x:v>
      </x:c>
      <x:c r="K367" s="13" t="n">
        <x:v>0.0012891051695369377</x:v>
      </x:c>
      <x:c r="L367" s="13" t="n">
        <x:v>0.003110303814476598</x:v>
      </x:c>
      <x:c r="M367" s="13" t="n">
        <x:v>0</x:v>
      </x:c>
      <x:c r="N367" s="13" t="n">
        <x:v>0</x:v>
      </x:c>
      <x:c r="O367" s="13" t="n">
        <x:v>0.9782962321808332</x:v>
      </x:c>
      <x:c r="P367" s="13" t="n">
        <x:v>0.9887101640250556</x:v>
      </x:c>
      <x:c r="Q367" s="13" t="n">
        <x:v>0.001787296138551558</x:v>
      </x:c>
      <x:c r="R367" s="13" t="n">
        <x:v>0.5477980590104147</x:v>
      </x:c>
      <x:c r="S367" s="13" t="n">
        <x:v>0.9878616608859458</x:v>
      </x:c>
      <x:c r="T367" s="13" t="n">
        <x:v>0.25</x:v>
      </x:c>
      <x:c r="U367" s="13" t="n">
        <x:v>0.0009225769250930448</x:v>
      </x:c>
      <x:c r="V367" s="13" t="n">
        <x:v>0.0011459457038234286</x:v>
      </x:c>
      <x:c r="W367" s="13" t="n">
        <x:v>0.0012349338075479165</x:v>
      </x:c>
      <x:c r="X367" s="13" t="n">
        <x:v>0</x:v>
      </x:c>
      <x:c r="Y367" s="13" t="n">
        <x:v>0.002149039756932712</x:v>
      </x:c>
      <x:c r="Z367" s="13" t="n">
        <x:v>0.0014165841898156548</x:v>
      </x:c>
      <x:c r="AA367" s="13" t="n">
        <x:v>0.0011142971756280926</x:v>
      </x:c>
      <x:c r="AB367" s="13" t="n">
        <x:v>0.06145360741960099</x:v>
      </x:c>
      <x:c r="AC367" s="13" t="n">
        <x:v>0</x:v>
      </x:c>
      <x:c r="AD367" s="13" t="n">
        <x:v>0.3158256333081355</x:v>
      </x:c>
      <x:c r="AE367" s="13" t="n">
        <x:v>0.44924872710714814</x:v>
      </x:c>
      <x:c r="AF367" s="13" t="n">
        <x:v>0.002197054547058607</x:v>
      </x:c>
      <x:c r="AG367" s="13" t="n">
        <x:v>0.32422824740925704</x:v>
      </x:c>
      <x:c r="AH367" s="13" t="n">
        <x:v>0.573182616294903</x:v>
      </x:c>
      <x:c r="AI367" s="13" t="n">
        <x:v>0.3235294117647059</x:v>
      </x:c>
      <x:c r="AJ367" s="13" t="n">
        <x:v>0.14582922202990203</x:v>
      </x:c>
      <x:c r="AK367" s="13" t="n">
        <x:v>0.01187145991436299</x:v>
      </x:c>
      <x:c r="AL367" s="13" t="n">
        <x:v>0.06499962663760898</x:v>
      </x:c>
      <x:c r="AM367" s="13" t="n">
        <x:v>0</x:v>
      </x:c>
      <x:c r="AN367" s="13" t="n">
        <x:v>0.7501927577147446</x:v>
      </x:c>
      <x:c r="AO367" s="13" t="n">
        <x:v>0.5461777170925144</x:v>
      </x:c>
      <x:c r="AP367" s="13" t="n">
        <x:v>0.8115363680307365</x:v>
      </x:c>
    </x:row>
    <x:row r="368" ht="15" hidden="0" customHeight="1">
      <x:c r="A368" s="2" t="str">
        <x:v>E367</x:v>
      </x:c>
      <x:c r="B368" s="2" t="str">
        <x:v>***电子商务有限公司</x:v>
      </x:c>
      <x:c r="C368" s="2" t="str">
        <x:v>无信贷记录</x:v>
      </x:c>
      <x:c r="D368" s="2" t="str"/>
      <x:c r="E368" s="2" t="str"/>
      <x:c r="F368" s="13" t="n">
        <x:v>0.001719276528436834</x:v>
      </x:c>
      <x:c r="G368" s="13" t="n">
        <x:v>0.0016023048774160475</x:v>
      </x:c>
      <x:c r="H368" s="13" t="n">
        <x:v>0.0036363636363636364</x:v>
      </x:c>
      <x:c r="I368" s="13" t="n">
        <x:v>0</x:v>
      </x:c>
      <x:c r="J368" s="13" t="n">
        <x:v>0.0008188999315165258</x:v>
      </x:c>
      <x:c r="K368" s="13" t="n">
        <x:v>0.0008128557913885481</x:v>
      </x:c>
      <x:c r="L368" s="13" t="n">
        <x:v>0.009330911443429795</x:v>
      </x:c>
      <x:c r="M368" s="13" t="n">
        <x:v>0.6277665995975857</x:v>
      </x:c>
      <x:c r="N368" s="13" t="n">
        <x:v>0</x:v>
      </x:c>
      <x:c r="O368" s="13" t="n">
        <x:v>0.8641850933222854</x:v>
      </x:c>
      <x:c r="P368" s="13" t="n">
        <x:v>0.9266849204358786</x:v>
      </x:c>
      <x:c r="Q368" s="13" t="n">
        <x:v>0.0009205202475755935</x:v>
      </x:c>
      <x:c r="R368" s="13" t="n">
        <x:v>1</x:v>
      </x:c>
      <x:c r="S368" s="13" t="n">
        <x:v>0.7247865634901024</x:v>
      </x:c>
      <x:c r="T368" s="13" t="n">
        <x:v>0.25</x:v>
      </x:c>
      <x:c r="U368" s="13" t="n">
        <x:v>0.01795879855323166</x:v>
      </x:c>
      <x:c r="V368" s="13" t="n">
        <x:v>0.017849877380076987</x:v>
      </x:c>
      <x:c r="W368" s="13" t="n">
        <x:v>0.02099387472831458</x:v>
      </x:c>
      <x:c r="X368" s="13" t="n">
        <x:v>0.028341457884593628</x:v>
      </x:c>
      <x:c r="Y368" s="13" t="n">
        <x:v>0.002998546309881832</x:v>
      </x:c>
      <x:c r="Z368" s="13" t="n">
        <x:v>0.0021752780825352804</x:v>
      </x:c>
      <x:c r="AA368" s="13" t="n">
        <x:v>0.006314350661892525</x:v>
      </x:c>
      <x:c r="AB368" s="13" t="n">
        <x:v>0.09718244894262482</x:v>
      </x:c>
      <x:c r="AC368" s="13" t="n">
        <x:v>0.2832887692672218</x:v>
      </x:c>
      <x:c r="AD368" s="13" t="n">
        <x:v>0.2087426002487048</x:v>
      </x:c>
      <x:c r="AE368" s="13" t="n">
        <x:v>0.30486410253666457</x:v>
      </x:c>
      <x:c r="AF368" s="13" t="n">
        <x:v>0.003277265088604761</x:v>
      </x:c>
      <x:c r="AG368" s="13" t="n">
        <x:v>0.2982056127361068</x:v>
      </x:c>
      <x:c r="AH368" s="13" t="n">
        <x:v>0.4096614090896641</x:v>
      </x:c>
      <x:c r="AI368" s="13" t="n">
        <x:v>0.5</x:v>
      </x:c>
      <x:c r="AJ368" s="13" t="n">
        <x:v>0.1473512502342864</x:v>
      </x:c>
      <x:c r="AK368" s="13" t="n">
        <x:v>0.004947569650316604</x:v>
      </x:c>
      <x:c r="AL368" s="13" t="n">
        <x:v>0.21989100238122253</x:v>
      </x:c>
      <x:c r="AM368" s="13" t="n">
        <x:v>0.4389815627743638</x:v>
      </x:c>
      <x:c r="AN368" s="13" t="n">
        <x:v>0.6184275262062959</x:v>
      </x:c>
      <x:c r="AO368" s="13" t="n">
        <x:v>0.9338939684533936</x:v>
      </x:c>
      <x:c r="AP368" s="13" t="n">
        <x:v>0.5579831679964836</x:v>
      </x:c>
    </x:row>
    <x:row r="369" ht="15" hidden="0" customHeight="1">
      <x:c r="A369" s="2" t="str">
        <x:v>E368</x:v>
      </x:c>
      <x:c r="B369" s="2" t="str">
        <x:v>***通信科技有限责任公司</x:v>
      </x:c>
      <x:c r="C369" s="2" t="str">
        <x:v>无信贷记录</x:v>
      </x:c>
      <x:c r="D369" s="2" t="str"/>
      <x:c r="E369" s="2" t="str"/>
      <x:c r="F369" s="13" t="n">
        <x:v>0.006353848039875256</x:v>
      </x:c>
      <x:c r="G369" s="13" t="n">
        <x:v>0.006180318812890468</x:v>
      </x:c>
      <x:c r="H369" s="13" t="n">
        <x:v>0.007272727272727273</x:v>
      </x:c>
      <x:c r="I369" s="13" t="n">
        <x:v>0</x:v>
      </x:c>
      <x:c r="J369" s="13" t="n">
        <x:v>0.001120990771077708</x:v>
      </x:c>
      <x:c r="K369" s="13" t="n">
        <x:v>0.001112716957584995</x:v>
      </x:c>
      <x:c r="L369" s="13" t="n">
        <x:v>0.023016248227126827</x:v>
      </x:c>
      <x:c r="M369" s="13" t="n">
        <x:v>0.360785402067578</x:v>
      </x:c>
      <x:c r="N369" s="13" t="n">
        <x:v>0</x:v>
      </x:c>
      <x:c r="O369" s="13" t="n">
        <x:v>0.2474979156129602</x:v>
      </x:c>
      <x:c r="P369" s="13" t="n">
        <x:v>0.40191065416801036</x:v>
      </x:c>
      <x:c r="Q369" s="13" t="n">
        <x:v>0.0011556042824083126</x:v>
      </x:c>
      <x:c r="R369" s="13" t="n">
        <x:v>0.5772427298577257</x:v>
      </x:c>
      <x:c r="S369" s="13" t="n">
        <x:v>0.5327013258896546</x:v>
      </x:c>
      <x:c r="T369" s="13" t="n">
        <x:v>0.4722222222222222</x:v>
      </x:c>
      <x:c r="U369" s="13" t="n">
        <x:v>0.0019709597945169596</x:v>
      </x:c>
      <x:c r="V369" s="13" t="n">
        <x:v>0.001425899865995276</x:v>
      </x:c>
      <x:c r="W369" s="13" t="n">
        <x:v>0.012349338075479164</x:v>
      </x:c>
      <x:c r="X369" s="13" t="n">
        <x:v>0.0028341457884593626</x:v>
      </x:c>
      <x:c r="Y369" s="13" t="n">
        <x:v>0.0012434369018877226</x:v>
      </x:c>
      <x:c r="Z369" s="13" t="n">
        <x:v>0.0010313722548986434</x:v>
      </x:c>
      <x:c r="AA369" s="13" t="n">
        <x:v>0.0011142971756280926</x:v>
      </x:c>
      <x:c r="AB369" s="13" t="n">
        <x:v>0.3840850463725062</x:v>
      </x:c>
      <x:c r="AC369" s="13" t="n">
        <x:v>0.2549598923404996</x:v>
      </x:c>
      <x:c r="AD369" s="13" t="n">
        <x:v>0.32236649032494985</x:v>
      </x:c>
      <x:c r="AE369" s="13" t="n">
        <x:v>0.3807288516041122</x:v>
      </x:c>
      <x:c r="AF369" s="13" t="n">
        <x:v>0.0013845503546372603</x:v>
      </x:c>
      <x:c r="AG369" s="13" t="n">
        <x:v>0.8469394496626175</x:v>
      </x:c>
      <x:c r="AH369" s="13" t="n">
        <x:v>0.6335557221868819</x:v>
      </x:c>
      <x:c r="AI369" s="13" t="n">
        <x:v>0.3235294117647059</x:v>
      </x:c>
      <x:c r="AJ369" s="13" t="n">
        <x:v>0.14463933753241154</x:v>
      </x:c>
      <x:c r="AK369" s="13" t="n">
        <x:v>0.01384848536797248</x:v>
      </x:c>
      <x:c r="AL369" s="13" t="n">
        <x:v>0.3287020670610916</x:v>
      </x:c>
      <x:c r="AM369" s="13" t="n">
        <x:v>0.09239516702203278</x:v>
      </x:c>
      <x:c r="AN369" s="13" t="n">
        <x:v>0.31614958851381997</x:v>
      </x:c>
      <x:c r="AO369" s="13" t="n">
        <x:v>0.8324900331108545</x:v>
      </x:c>
      <x:c r="AP369" s="13" t="n">
        <x:v>0.5387645021562365</x:v>
      </x:c>
    </x:row>
    <x:row r="370" ht="15" hidden="0" customHeight="1">
      <x:c r="A370" s="2" t="str">
        <x:v>E369</x:v>
      </x:c>
      <x:c r="B370" s="2" t="str">
        <x:v>***网络技术有限公司</x:v>
      </x:c>
      <x:c r="C370" s="2" t="str">
        <x:v>无信贷记录</x:v>
      </x:c>
      <x:c r="D370" s="2" t="str"/>
      <x:c r="E370" s="2" t="str"/>
      <x:c r="F370" s="13" t="n">
        <x:v>0.011885433392237245</x:v>
      </x:c>
      <x:c r="G370" s="13" t="n">
        <x:v>0.011445034838686053</x:v>
      </x:c>
      <x:c r="H370" s="13" t="n">
        <x:v>0.016363636363636365</x:v>
      </x:c>
      <x:c r="I370" s="13" t="n">
        <x:v>0</x:v>
      </x:c>
      <x:c r="J370" s="13" t="n">
        <x:v>0.0025283627290283396</x:v>
      </x:c>
      <x:c r="K370" s="13" t="n">
        <x:v>0.0025097013785501405</x:v>
      </x:c>
      <x:c r="L370" s="13" t="n">
        <x:v>0.01866182288685959</x:v>
      </x:c>
      <x:c r="M370" s="13" t="n">
        <x:v>0.4386567854330956</x:v>
      </x:c>
      <x:c r="N370" s="13" t="n">
        <x:v>0</x:v>
      </x:c>
      <x:c r="O370" s="13" t="n">
        <x:v>0.10640851568639743</x:v>
      </x:c>
      <x:c r="P370" s="13" t="n">
        <x:v>0.13293356540961865</x:v>
      </x:c>
      <x:c r="Q370" s="13" t="n">
        <x:v>0.002539402644918163</x:v>
      </x:c>
      <x:c r="R370" s="13" t="n">
        <x:v>0.21407707887102387</x:v>
      </x:c>
      <x:c r="S370" s="13" t="n">
        <x:v>0.4859182742733726</x:v>
      </x:c>
      <x:c r="T370" s="13" t="n">
        <x:v>0.9444444444444444</x:v>
      </x:c>
      <x:c r="U370" s="13" t="n">
        <x:v>0.017871433314113</x:v>
      </x:c>
      <x:c r="V370" s="13" t="n">
        <x:v>0.018036513488191554</x:v>
      </x:c>
      <x:c r="W370" s="13" t="n">
        <x:v>0.01728907330567083</x:v>
      </x:c>
      <x:c r="X370" s="13" t="n">
        <x:v>0.005668291576918725</x:v>
      </x:c>
      <x:c r="Y370" s="13" t="n">
        <x:v>0.002359055791022368</x:v>
      </x:c>
      <x:c r="Z370" s="13" t="n">
        <x:v>0.0015756251210601176</x:v>
      </x:c>
      <x:c r="AA370" s="13" t="n">
        <x:v>0.006314350661892525</x:v>
      </x:c>
      <x:c r="AB370" s="13" t="n">
        <x:v>0.08040658914714147</x:v>
      </x:c>
      <x:c r="AC370" s="13" t="n">
        <x:v>0.05609117631490991</x:v>
      </x:c>
      <x:c r="AD370" s="13" t="n">
        <x:v>0.2413422444511839</x:v>
      </x:c>
      <x:c r="AE370" s="13" t="n">
        <x:v>0.33287719615814554</x:v>
      </x:c>
      <x:c r="AF370" s="13" t="n">
        <x:v>0.0022775877324302525</x:v>
      </x:c>
      <x:c r="AG370" s="13" t="n">
        <x:v>0.2094076886934216</x:v>
      </x:c>
      <x:c r="AH370" s="13" t="n">
        <x:v>0.4747628751236093</x:v>
      </x:c>
      <x:c r="AI370" s="13" t="n">
        <x:v>0.8235294117647058</x:v>
      </x:c>
      <x:c r="AJ370" s="13" t="n">
        <x:v>0.14535907165475836</x:v>
      </x:c>
      <x:c r="AK370" s="13" t="n">
        <x:v>0.020870092222320513</x:v>
      </x:c>
      <x:c r="AL370" s="13" t="n">
        <x:v>0.16946365801111252</x:v>
      </x:c>
      <x:c r="AM370" s="13" t="n">
        <x:v>0.055122116689280916</x:v>
      </x:c>
      <x:c r="AN370" s="13" t="n">
        <x:v>0.18364343374489214</x:v>
      </x:c>
      <x:c r="AO370" s="13" t="n">
        <x:v>0.24455784997954297</x:v>
      </x:c>
      <x:c r="AP370" s="13" t="n">
        <x:v>0.4309833565630776</x:v>
      </x:c>
    </x:row>
    <x:row r="371" ht="15" hidden="0" customHeight="1">
      <x:c r="A371" s="2" t="str">
        <x:v>E370</x:v>
      </x:c>
      <x:c r="B371" s="2" t="str">
        <x:v>***设计服务部</x:v>
      </x:c>
      <x:c r="C371" s="2" t="str">
        <x:v>无信贷记录</x:v>
      </x:c>
      <x:c r="D371" s="2" t="str"/>
      <x:c r="E371" s="2" t="str"/>
      <x:c r="F371" s="13" t="n">
        <x:v>0.00014950230682059427</x:v>
      </x:c>
      <x:c r="G371" s="13" t="n">
        <x:v>0.00007630023225790702</x:v>
      </x:c>
      <x:c r="H371" s="13" t="n">
        <x:v>0.0018181818181818182</x:v>
      </x:c>
      <x:c r="I371" s="13" t="n">
        <x:v>0</x:v>
      </x:c>
      <x:c r="J371" s="13" t="n">
        <x:v>9.58187348787701e-7</x:v>
      </x:c>
      <x:c r="K371" s="13" t="n">
        <x:v>9.511151554927243e-7</x:v>
      </x:c>
      <x:c r="L371" s="13" t="n">
        <x:v>0.0012441215257906393</x:v>
      </x:c>
      <x:c r="M371" s="13" t="n">
        <x:v>1</x:v>
      </x:c>
      <x:c r="N371" s="13" t="n">
        <x:v>0</x:v>
      </x:c>
      <x:c r="O371" s="13" t="n">
        <x:v>0.5508099066833878</x:v>
      </x:c>
      <x:c r="P371" s="13" t="n">
        <x:v>0.6522808597518397</x:v>
      </x:c>
      <x:c r="Q371" s="13" t="n">
        <x:v>0.000002246238647005679</x:v>
      </x:c>
      <x:c r="R371" s="13" t="n">
        <x:v>0.3709914684832653</x:v>
      </x:c>
      <x:c r="S371" s="13" t="n">
        <x:v>0.602035055402477</x:v>
      </x:c>
      <x:c r="T371" s="13" t="n">
        <x:v>0.027777777777777776</x:v>
      </x:c>
      <x:c r="U371" s="13" t="n">
        <x:v>0.04268316122381231</x:v>
      </x:c>
      <x:c r="V371" s="13" t="n">
        <x:v>0.04323238808365781</x:v>
      </x:c>
      <x:c r="W371" s="13" t="n">
        <x:v>0.03457814661134166</x:v>
      </x:c>
      <x:c r="X371" s="13" t="n">
        <x:v>0.025507312096134264</x:v>
      </x:c>
      <x:c r="Y371" s="13" t="n">
        <x:v>0.0030161249700060276</x:v>
      </x:c>
      <x:c r="Z371" s="13" t="n">
        <x:v>0.0020932917343693</x:v>
      </x:c>
      <x:c r="AA371" s="13" t="n">
        <x:v>0.03231461809321469</x:v>
      </x:c>
      <x:c r="AB371" s="13" t="n">
        <x:v>0.0691044581425232</x:v>
      </x:c>
      <x:c r="AC371" s="13" t="n">
        <x:v>0.107408635496636</x:v>
      </x:c>
      <x:c r="AD371" s="13" t="n">
        <x:v>0.07977882440591773</x:v>
      </x:c>
      <x:c r="AE371" s="13" t="n">
        <x:v>0.20309706199402014</x:v>
      </x:c>
      <x:c r="AF371" s="13" t="n">
        <x:v>0.003770893387267347</x:v>
      </x:c>
      <x:c r="AG371" s="13" t="n">
        <x:v>0.17420238190576623</x:v>
      </x:c>
      <x:c r="AH371" s="13" t="n">
        <x:v>0.45376869374296064</x:v>
      </x:c>
      <x:c r="AI371" s="13" t="n">
        <x:v>0.7058823529411765</x:v>
      </x:c>
      <x:c r="AJ371" s="13" t="n">
        <x:v>0.14789000038048486</x:v>
      </x:c>
      <x:c r="AK371" s="13" t="n">
        <x:v>0.0000027965528683755085</x:v>
      </x:c>
      <x:c r="AL371" s="13" t="n">
        <x:v>0.15938457305826034</x:v>
      </x:c>
      <x:c r="AM371" s="13" t="n">
        <x:v>0.18459499542456864</x:v>
      </x:c>
      <x:c r="AN371" s="13" t="n">
        <x:v>0.3543055945019939</x:v>
      </x:c>
      <x:c r="AO371" s="13" t="n">
        <x:v>0.34118832714870895</x:v>
      </x:c>
      <x:c r="AP371" s="13" t="n">
        <x:v>0.49786789615668686</x:v>
      </x:c>
    </x:row>
    <x:row r="372" ht="15" hidden="0" customHeight="1">
      <x:c r="A372" s="2" t="str">
        <x:v>E371</x:v>
      </x:c>
      <x:c r="B372" s="2" t="str">
        <x:v>***自动化科技有限公司</x:v>
      </x:c>
      <x:c r="C372" s="2" t="str">
        <x:v>无信贷记录</x:v>
      </x:c>
      <x:c r="D372" s="2" t="str"/>
      <x:c r="E372" s="2" t="str"/>
      <x:c r="F372" s="13" t="n">
        <x:v>0.005905341119413474</x:v>
      </x:c>
      <x:c r="G372" s="13" t="n">
        <x:v>0.005951418116116747</x:v>
      </x:c>
      <x:c r="H372" s="13" t="n">
        <x:v>0.0018181818181818182</x:v>
      </x:c>
      <x:c r="I372" s="13" t="n">
        <x:v>0</x:v>
      </x:c>
      <x:c r="J372" s="13" t="n">
        <x:v>0.0006991603574640615</x:v>
      </x:c>
      <x:c r="K372" s="13" t="n">
        <x:v>0.0006939999916979856</x:v>
      </x:c>
      <x:c r="L372" s="13" t="n">
        <x:v>0.01866182288685959</x:v>
      </x:c>
      <x:c r="M372" s="13" t="n">
        <x:v>0.09687756166629409</x:v>
      </x:c>
      <x:c r="N372" s="13" t="n">
        <x:v>0</x:v>
      </x:c>
      <x:c r="O372" s="13" t="n">
        <x:v>0.11762290263285942</x:v>
      </x:c>
      <x:c r="P372" s="13" t="n">
        <x:v>0.1987060657080966</x:v>
      </x:c>
      <x:c r="Q372" s="13" t="n">
        <x:v>0.0008365175961584514</x:v>
      </x:c>
      <x:c r="R372" s="13" t="n">
        <x:v>0.6181224071973349</x:v>
      </x:c>
      <x:c r="S372" s="13" t="n">
        <x:v>0.34646124527343936</x:v>
      </x:c>
      <x:c r="T372" s="13" t="n">
        <x:v>0.3888888888888889</x:v>
      </x:c>
      <x:c r="U372" s="13" t="n">
        <x:v>0.0019709597945169596</x:v>
      </x:c>
      <x:c r="V372" s="13" t="n">
        <x:v>0.0017991720822244058</x:v>
      </x:c>
      <x:c r="W372" s="13" t="n">
        <x:v>0.007409602845287499</x:v>
      </x:c>
      <x:c r="X372" s="13" t="n">
        <x:v>0</x:v>
      </x:c>
      <x:c r="Y372" s="13" t="n">
        <x:v>0.0019161103454994248</x:v>
      </x:c>
      <x:c r="Z372" s="13" t="n">
        <x:v>0.0012627104033560476</x:v>
      </x:c>
      <x:c r="AA372" s="13" t="n">
        <x:v>0.002600026743132216</x:v>
      </x:c>
      <x:c r="AB372" s="13" t="n">
        <x:v>0.2304510278235037</x:v>
      </x:c>
      <x:c r="AC372" s="13" t="n">
        <x:v>0</x:v>
      </x:c>
      <x:c r="AD372" s="13" t="n">
        <x:v>0.21797555877909106</x:v>
      </x:c>
      <x:c r="AE372" s="13" t="n">
        <x:v>0.3188941744443076</x:v>
      </x:c>
      <x:c r="AF372" s="13" t="n">
        <x:v>0.00230372340248663</x:v>
      </x:c>
      <x:c r="AG372" s="13" t="n">
        <x:v>0.5409690262910328</x:v>
      </x:c>
      <x:c r="AH372" s="13" t="n">
        <x:v>0.3644976981763018</x:v>
      </x:c>
      <x:c r="AI372" s="13" t="n">
        <x:v>0.4117647058823529</x:v>
      </x:c>
      <x:c r="AJ372" s="13" t="n">
        <x:v>0.1458708527669604</x:v>
      </x:c>
      <x:c r="AK372" s="13" t="n">
        <x:v>0.00713392042573956</x:v>
      </x:c>
      <x:c r="AL372" s="13" t="n">
        <x:v>0.1711986489347719</x:v>
      </x:c>
      <x:c r="AM372" s="13" t="n">
        <x:v>0</x:v>
      </x:c>
      <x:c r="AN372" s="13" t="n">
        <x:v>0.17653175892251863</x:v>
      </x:c>
      <x:c r="AO372" s="13" t="n">
        <x:v>0.7072907364341663</x:v>
      </x:c>
      <x:c r="AP372" s="13" t="n">
        <x:v>0.28517658689268094</x:v>
      </x:c>
    </x:row>
    <x:row r="373" ht="15" hidden="0" customHeight="1">
      <x:c r="A373" s="2" t="str">
        <x:v>E372</x:v>
      </x:c>
      <x:c r="B373" s="2" t="str">
        <x:v>***汽车维修有限责任公司</x:v>
      </x:c>
      <x:c r="C373" s="2" t="str">
        <x:v>无信贷记录</x:v>
      </x:c>
      <x:c r="D373" s="2" t="str"/>
      <x:c r="E373" s="2" t="str"/>
      <x:c r="F373" s="13" t="n">
        <x:v>0.02406987139811568</x:v>
      </x:c>
      <x:c r="G373" s="13" t="n">
        <x:v>0.024492374554788154</x:v>
      </x:c>
      <x:c r="H373" s="13" t="n">
        <x:v>0.0018181818181818182</x:v>
      </x:c>
      <x:c r="I373" s="13" t="n">
        <x:v>0</x:v>
      </x:c>
      <x:c r="J373" s="13" t="n">
        <x:v>0.002144846600069179</x:v>
      </x:c>
      <x:c r="K373" s="13" t="n">
        <x:v>0.002129015907081054</x:v>
      </x:c>
      <x:c r="L373" s="13" t="n">
        <x:v>0.03296922043345194</x:v>
      </x:c>
      <x:c r="M373" s="13" t="n">
        <x:v>0.024219390416573523</x:v>
      </x:c>
      <x:c r="N373" s="13" t="n">
        <x:v>0</x:v>
      </x:c>
      <x:c r="O373" s="13" t="n">
        <x:v>0.08437139223739434</x:v>
      </x:c>
      <x:c r="P373" s="13" t="n">
        <x:v>0.15665887646460047</x:v>
      </x:c>
      <x:c r="Q373" s="13" t="n">
        <x:v>0.002096956942883399</x:v>
      </x:c>
      <x:c r="R373" s="13" t="n">
        <x:v>0.20023135647386361</x:v>
      </x:c>
      <x:c r="S373" s="13" t="n">
        <x:v>0.4240700545977749</x:v>
      </x:c>
      <x:c r="T373" s="13" t="n">
        <x:v>0.9444444444444444</x:v>
      </x:c>
      <x:c r="U373" s="13" t="n">
        <x:v>0.05037130226625435</x:v>
      </x:c>
      <x:c r="V373" s="13" t="n">
        <x:v>0.04939137965143846</x:v>
      </x:c>
      <x:c r="W373" s="13" t="n">
        <x:v>0.06174669037739582</x:v>
      </x:c>
      <x:c r="X373" s="13" t="n">
        <x:v>0.05951706155764661</x:v>
      </x:c>
      <x:c r="Y373" s="13" t="n">
        <x:v>0.003214074252255212</x:v>
      </x:c>
      <x:c r="Z373" s="13" t="n">
        <x:v>0.002321189665603685</x:v>
      </x:c>
      <x:c r="AA373" s="13" t="n">
        <x:v>0.05497199399765257</x:v>
      </x:c>
      <x:c r="AB373" s="13" t="n">
        <x:v>0.10486963723481398</x:v>
      </x:c>
      <x:c r="AC373" s="13" t="n">
        <x:v>0.21976020571140079</x:v>
      </x:c>
      <x:c r="AD373" s="13" t="n">
        <x:v>0.13252984182754796</x:v>
      </x:c>
      <x:c r="AE373" s="13" t="n">
        <x:v>0.2803663350717379</x:v>
      </x:c>
      <x:c r="AF373" s="13" t="n">
        <x:v>0.003120050821378186</x:v>
      </x:c>
      <x:c r="AG373" s="13" t="n">
        <x:v>0.07299840081945515</x:v>
      </x:c>
      <x:c r="AH373" s="13" t="n">
        <x:v>0.4526961179039755</x:v>
      </x:c>
      <x:c r="AI373" s="13" t="n">
        <x:v>0.9705882352941176</x:v>
      </x:c>
      <x:c r="AJ373" s="13" t="n">
        <x:v>0.14682858177029529</x:v>
      </x:c>
      <x:c r="AK373" s="13" t="n">
        <x:v>0.012171284442142707</x:v>
      </x:c>
      <x:c r="AL373" s="13" t="n">
        <x:v>0.15450687763308255</x:v>
      </x:c>
      <x:c r="AM373" s="13" t="n">
        <x:v>0.23717269299602126</x:v>
      </x:c>
      <x:c r="AN373" s="13" t="n">
        <x:v>0.10602786721810298</x:v>
      </x:c>
      <x:c r="AO373" s="13" t="n">
        <x:v>0.16534548930484377</x:v>
      </x:c>
      <x:c r="AP373" s="13" t="n">
        <x:v>0.3792886299238457</x:v>
      </x:c>
    </x:row>
    <x:row r="374" ht="15" hidden="0" customHeight="1">
      <x:c r="A374" s="2" t="str">
        <x:v>E373</x:v>
      </x:c>
      <x:c r="B374" s="2" t="str">
        <x:v>个体经营E373 </x:v>
      </x:c>
      <x:c r="C374" s="2" t="str">
        <x:v>无信贷记录</x:v>
      </x:c>
      <x:c r="D374" s="2" t="str"/>
      <x:c r="E374" s="2" t="str"/>
      <x:c r="F374" s="13" t="n">
        <x:v>0.06570626384765119</x:v>
      </x:c>
      <x:c r="G374" s="13" t="n">
        <x:v>0.06607600113534748</x:v>
      </x:c>
      <x:c r="H374" s="13" t="n">
        <x:v>0.023636363636363636</x:v>
      </x:c>
      <x:c r="I374" s="13" t="n">
        <x:v>0.013354700854700877</x:v>
      </x:c>
      <x:c r="J374" s="13" t="n">
        <x:v>0.07782068923573218</x:v>
      </x:c>
      <x:c r="K374" s="13" t="n">
        <x:v>0.07860504589515431</x:v>
      </x:c>
      <x:c r="L374" s="13" t="n">
        <x:v>0.06469431934111325</x:v>
      </x:c>
      <x:c r="M374" s="13" t="n">
        <x:v>0.11579122864314152</x:v>
      </x:c>
      <x:c r="N374" s="13" t="n">
        <x:v>0.047471053783220474</x:v>
      </x:c>
      <x:c r="O374" s="13" t="n">
        <x:v>0.11778950902495611</x:v>
      </x:c>
      <x:c r="P374" s="13" t="n">
        <x:v>0.22065722616002895</x:v>
      </x:c>
      <x:c r="Q374" s="13" t="n">
        <x:v>0.08042223908567879</x:v>
      </x:c>
      <x:c r="R374" s="13" t="n">
        <x:v>0.10754550891378623</x:v>
      </x:c>
      <x:c r="S374" s="13" t="n">
        <x:v>0.639059150829391</x:v>
      </x:c>
      <x:c r="T374" s="13" t="n">
        <x:v>0.9444444444444444</x:v>
      </x:c>
      <x:c r="U374" s="13" t="n">
        <x:v>0.008960178924009724</x:v>
      </x:c>
      <x:c r="V374" s="13" t="n">
        <x:v>0.00954457056897885</x:v>
      </x:c>
      <x:c r="W374" s="13" t="n">
        <x:v>0.0037048014226437496</x:v>
      </x:c>
      <x:c r="X374" s="13" t="n">
        <x:v>0</x:v>
      </x:c>
      <x:c r="Y374" s="13" t="n">
        <x:v>0.0021542599644455377</x:v>
      </x:c>
      <x:c r="Z374" s="13" t="n">
        <x:v>0.0014200326727322632</x:v>
      </x:c>
      <x:c r="AA374" s="13" t="n">
        <x:v>0.0059429182700164946</x:v>
      </x:c>
      <x:c r="AB374" s="13" t="n">
        <x:v>0.03292157540335767</x:v>
      </x:c>
      <x:c r="AC374" s="13" t="n">
        <x:v>0</x:v>
      </x:c>
      <x:c r="AD374" s="13" t="n">
        <x:v>0.298194970469699</x:v>
      </x:c>
      <x:c r="AE374" s="13" t="n">
        <x:v>0.4655663106208253</x:v>
      </x:c>
      <x:c r="AF374" s="13" t="n">
        <x:v>0.0021373859833417694</x:v>
      </x:c>
      <x:c r="AG374" s="13" t="n">
        <x:v>0.8319635197592947</x:v>
      </x:c>
      <x:c r="AH374" s="13" t="n">
        <x:v>0.874443659730596</x:v>
      </x:c>
      <x:c r="AI374" s="13" t="n">
        <x:v>0.9117647058823529</x:v>
      </x:c>
      <x:c r="AJ374" s="13" t="n">
        <x:v>0.09779770592402884</x:v>
      </x:c>
      <x:c r="AK374" s="13" t="n">
        <x:v>0.7220641093273366</x:v>
      </x:c>
      <x:c r="AL374" s="13" t="n">
        <x:v>0.041593456040566114</x:v>
      </x:c>
      <x:c r="AM374" s="13" t="n">
        <x:v>0.01985975954414215</x:v>
      </x:c>
      <x:c r="AN374" s="13" t="n">
        <x:v>0.22411658954891028</x:v>
      </x:c>
      <x:c r="AO374" s="13" t="n">
        <x:v>0.48226348933211977</x:v>
      </x:c>
      <x:c r="AP374" s="13" t="n">
        <x:v>0.7257442460511758</x:v>
      </x:c>
    </x:row>
    <x:row r="375" ht="15" hidden="0" customHeight="1">
      <x:c r="A375" s="2" t="str">
        <x:v>E374</x:v>
      </x:c>
      <x:c r="B375" s="2" t="str">
        <x:v>***建材经营部</x:v>
      </x:c>
      <x:c r="C375" s="2" t="str">
        <x:v>无信贷记录</x:v>
      </x:c>
      <x:c r="D375" s="2" t="str"/>
      <x:c r="E375" s="2" t="str"/>
      <x:c r="F375" s="13" t="n">
        <x:v>0.00007475115341029714</x:v>
      </x:c>
      <x:c r="G375" s="13" t="n">
        <x:v>0.00007630023225790702</x:v>
      </x:c>
      <x:c r="H375" s="13" t="n">
        <x:v>0</x:v>
      </x:c>
      <x:c r="I375" s="13" t="n">
        <x:v>0</x:v>
      </x:c>
      <x:c r="J375" s="13" t="n">
        <x:v>0.00016426068836360592</x:v>
      </x:c>
      <x:c r="K375" s="13" t="n">
        <x:v>0.0001630483123701813</x:v>
      </x:c>
      <x:c r="L375" s="13" t="n">
        <x:v>0.0006220607628953196</x:v>
      </x:c>
      <x:c r="M375" s="13" t="n">
        <x:v>0</x:v>
      </x:c>
      <x:c r="N375" s="13" t="n">
        <x:v>0</x:v>
      </x:c>
      <x:c r="O375" s="13" t="n">
        <x:v>0.9769582960906829</x:v>
      </x:c>
      <x:c r="P375" s="13" t="n">
        <x:v>0.9879701780144787</x:v>
      </x:c>
      <x:c r="Q375" s="13" t="n">
        <x:v>0.0004367298670775825</x:v>
      </x:c>
      <x:c r="R375" s="13" t="n">
        <x:v>0.716548230150238</x:v>
      </x:c>
      <x:c r="S375" s="13" t="n">
        <x:v>1</x:v>
      </x:c>
      <x:c r="T375" s="13" t="n">
        <x:v>0.027777777777777776</x:v>
      </x:c>
      <x:c r="U375" s="13" t="n">
        <x:v>0.020929216683266083</x:v>
      </x:c>
      <x:c r="V375" s="13" t="n">
        <x:v>0.018409785704420683</x:v>
      </x:c>
      <x:c r="W375" s="13" t="n">
        <x:v>0.05557202133965624</x:v>
      </x:c>
      <x:c r="X375" s="13" t="n">
        <x:v>0</x:v>
      </x:c>
      <x:c r="Y375" s="13" t="n">
        <x:v>0.0018570333975978285</x:v>
      </x:c>
      <x:c r="Z375" s="13" t="n">
        <x:v>0.0012236840150173678</x:v>
      </x:c>
      <x:c r="AA375" s="13" t="n">
        <x:v>0.019685916769429636</x:v>
      </x:c>
      <x:c r="AB375" s="13" t="n">
        <x:v>0.22212147260096743</x:v>
      </x:c>
      <x:c r="AC375" s="13" t="n">
        <x:v>0</x:v>
      </x:c>
      <x:c r="AD375" s="13" t="n">
        <x:v>0.06918103416275971</x:v>
      </x:c>
      <x:c r="AE375" s="13" t="n">
        <x:v>0.12226904649080474</x:v>
      </x:c>
      <x:c r="AF375" s="13" t="n">
        <x:v>0.0028252459909879875</x:v>
      </x:c>
      <x:c r="AG375" s="13" t="n">
        <x:v>0.25617671969382977</x:v>
      </x:c>
      <x:c r="AH375" s="13" t="n">
        <x:v>0.35190799644467996</x:v>
      </x:c>
      <x:c r="AI375" s="13" t="n">
        <x:v>0.5588235294117647</x:v>
      </x:c>
      <x:c r="AJ375" s="13" t="n">
        <x:v>0.14612175292250443</x:v>
      </x:c>
      <x:c r="AK375" s="13" t="n">
        <x:v>0.0017305928742935078</x:v>
      </x:c>
      <x:c r="AL375" s="13" t="n">
        <x:v>0.5009780020410481</x:v>
      </x:c>
      <x:c r="AM375" s="13" t="n">
        <x:v>0</x:v>
      </x:c>
      <x:c r="AN375" s="13" t="n">
        <x:v>0.6033924804061522</x:v>
      </x:c>
      <x:c r="AO375" s="13" t="n">
        <x:v>0.6348006583825615</x:v>
      </x:c>
      <x:c r="AP375" s="13" t="n">
        <x:v>1</x:v>
      </x:c>
    </x:row>
    <x:row r="376" ht="15" hidden="0" customHeight="1">
      <x:c r="A376" s="2" t="str">
        <x:v>E375</x:v>
      </x:c>
      <x:c r="B376" s="2" t="str">
        <x:v>***电器经营部</x:v>
      </x:c>
      <x:c r="C376" s="2" t="str">
        <x:v>无信贷记录</x:v>
      </x:c>
      <x:c r="D376" s="2" t="str"/>
      <x:c r="E376" s="2" t="str"/>
      <x:c r="F376" s="13" t="n">
        <x:v>0</x:v>
      </x:c>
      <x:c r="G376" s="13" t="n">
        <x:v>0</x:v>
      </x:c>
      <x:c r="H376" s="13" t="n">
        <x:v>0</x:v>
      </x:c>
      <x:c r="I376" s="13" t="n">
        <x:v>0</x:v>
      </x:c>
      <x:c r="J376" s="13" t="n">
        <x:v>0</x:v>
      </x:c>
      <x:c r="K376" s="13" t="n">
        <x:v>0</x:v>
      </x:c>
      <x:c r="L376" s="13" t="n">
        <x:v>0</x:v>
      </x:c>
      <x:c r="M376" s="13" t="n">
        <x:v>0</x:v>
      </x:c>
      <x:c r="N376" s="13" t="n">
        <x:v>0</x:v>
      </x:c>
      <x:c r="O376" s="13" t="n">
        <x:v>1</x:v>
      </x:c>
      <x:c r="P376" s="13" t="n">
        <x:v>1</x:v>
      </x:c>
      <x:c r="Q376" s="13" t="n">
        <x:v>0.000001057932228547414</x:v>
      </x:c>
      <x:c r="R376" s="13" t="n">
        <x:v>0.42325345426815797</x:v>
      </x:c>
      <x:c r="S376" s="13" t="n">
        <x:v>0.5561143088127755</x:v>
      </x:c>
      <x:c r="T376" s="13" t="n">
        <x:v>0</x:v>
      </x:c>
      <x:c r="U376" s="13" t="n">
        <x:v>0.032111967290454506</x:v>
      </x:c>
      <x:c r="V376" s="13" t="n">
        <x:v>0.0326874479751849</x:v>
      </x:c>
      <x:c r="W376" s="13" t="n">
        <x:v>0.02469867615095833</x:v>
      </x:c>
      <x:c r="X376" s="13" t="n">
        <x:v>0</x:v>
      </x:c>
      <x:c r="Y376" s="13" t="n">
        <x:v>0.0014222671292740399</x:v>
      </x:c>
      <x:c r="Z376" s="13" t="n">
        <x:v>0.0009364762660248996</x:v>
      </x:c>
      <x:c r="AA376" s="13" t="n">
        <x:v>0.08431515295585901</x:v>
      </x:c>
      <x:c r="AB376" s="13" t="n">
        <x:v>0.06520276649294535</x:v>
      </x:c>
      <x:c r="AC376" s="13" t="n">
        <x:v>0</x:v>
      </x:c>
      <x:c r="AD376" s="13" t="n">
        <x:v>0.023609641560092216</x:v>
      </x:c>
      <x:c r="AE376" s="13" t="n">
        <x:v>0.056762352306788756</x:v>
      </x:c>
      <x:c r="AF376" s="13" t="n">
        <x:v>0.0016440804152607013</x:v>
      </x:c>
      <x:c r="AG376" s="13" t="n">
        <x:v>0.13152666689569326</x:v>
      </x:c>
      <x:c r="AH376" s="13" t="n">
        <x:v>0.5122871803677155</x:v>
      </x:c>
      <x:c r="AI376" s="13" t="n">
        <x:v>0.7941176470588235</x:v>
      </x:c>
      <x:c r="AJ376" s="13" t="n">
        <x:v>0.14560007041132347</x:v>
      </x:c>
      <x:c r="AK376" s="13" t="n">
        <x:v>0.000010655460705669376</x:v>
      </x:c>
      <x:c r="AL376" s="13" t="n">
        <x:v>0.1452503754037892</x:v>
      </x:c>
      <x:c r="AM376" s="13" t="n">
        <x:v>0</x:v>
      </x:c>
      <x:c r="AN376" s="13" t="n">
        <x:v>0.5902242362012013</x:v>
      </x:c>
      <x:c r="AO376" s="13" t="n">
        <x:v>0.35769112837778433</x:v>
      </x:c>
      <x:c r="AP376" s="13" t="n">
        <x:v>0.4956866999352851</x:v>
      </x:c>
    </x:row>
    <x:row r="377" ht="15" hidden="0" customHeight="1">
      <x:c r="A377" s="2" t="str">
        <x:v>E376</x:v>
      </x:c>
      <x:c r="B377" s="2" t="str">
        <x:v>***建筑装饰设计有限责任公司</x:v>
      </x:c>
      <x:c r="C377" s="2" t="str">
        <x:v>无信贷记录</x:v>
      </x:c>
      <x:c r="D377" s="2" t="str"/>
      <x:c r="E377" s="2" t="str"/>
      <x:c r="F377" s="13" t="n">
        <x:v>0.00007475115341029714</x:v>
      </x:c>
      <x:c r="G377" s="13" t="n">
        <x:v>0.00007630023225790702</x:v>
      </x:c>
      <x:c r="H377" s="13" t="n">
        <x:v>0</x:v>
      </x:c>
      <x:c r="I377" s="13" t="n">
        <x:v>0</x:v>
      </x:c>
      <x:c r="J377" s="13" t="n">
        <x:v>0.00002053258604545074</x:v>
      </x:c>
      <x:c r="K377" s="13" t="n">
        <x:v>0.00002038103904627266</x:v>
      </x:c>
      <x:c r="L377" s="13" t="n">
        <x:v>0.0006220607628953196</x:v>
      </x:c>
      <x:c r="M377" s="13" t="n">
        <x:v>0</x:v>
      </x:c>
      <x:c r="N377" s="13" t="n">
        <x:v>0</x:v>
      </x:c>
      <x:c r="O377" s="13" t="n">
        <x:v>0.8421755509428175</x:v>
      </x:c>
      <x:c r="P377" s="13" t="n">
        <x:v>0.9109499762779102</x:v>
      </x:c>
      <x:c r="Q377" s="13" t="n">
        <x:v>0.00003907480298448662</x:v>
      </x:c>
      <x:c r="R377" s="13" t="n">
        <x:v>0.784606859001229</x:v>
      </x:c>
      <x:c r="S377" s="13" t="n">
        <x:v>0</x:v>
      </x:c>
      <x:c r="T377" s="13" t="n">
        <x:v>0.027777777777777776</x:v>
      </x:c>
      <x:c r="U377" s="13" t="n">
        <x:v>0.0038056298160088105</x:v>
      </x:c>
      <x:c r="V377" s="13" t="n">
        <x:v>0.0035722151093127725</x:v>
      </x:c>
      <x:c r="W377" s="13" t="n">
        <x:v>0.009879470460383332</x:v>
      </x:c>
      <x:c r="X377" s="13" t="n">
        <x:v>0</x:v>
      </x:c>
      <x:c r="Y377" s="13" t="n">
        <x:v>0.0007764350449236516</x:v>
      </x:c>
      <x:c r="Z377" s="13" t="n">
        <x:v>0.00050983787963737</x:v>
      </x:c>
      <x:c r="AA377" s="13" t="n">
        <x:v>0.00408575631063634</x:v>
      </x:c>
      <x:c r="AB377" s="13" t="n">
        <x:v>0.18552032428558787</x:v>
      </x:c>
      <x:c r="AC377" s="13" t="n">
        <x:v>0</x:v>
      </x:c>
      <x:c r="AD377" s="13" t="n">
        <x:v>0.23306951835670758</x:v>
      </x:c>
      <x:c r="AE377" s="13" t="n">
        <x:v>0.33490159657622764</x:v>
      </x:c>
      <x:c r="AF377" s="13" t="n">
        <x:v>0.001183786483915292</x:v>
      </x:c>
      <x:c r="AG377" s="13" t="n">
        <x:v>0.5965464428599192</x:v>
      </x:c>
      <x:c r="AH377" s="13" t="n">
        <x:v>0.7183851031249642</x:v>
      </x:c>
      <x:c r="AI377" s="13" t="n">
        <x:v>0.23529411764705882</x:v>
      </x:c>
      <x:c r="AJ377" s="13" t="n">
        <x:v>0.144659055815218</x:v>
      </x:c>
      <x:c r="AK377" s="13" t="n">
        <x:v>0.000512753025111538</x:v>
      </x:c>
      <x:c r="AL377" s="13" t="n">
        <x:v>0.39998866084590123</x:v>
      </x:c>
      <x:c r="AM377" s="13" t="n">
        <x:v>0</x:v>
      </x:c>
      <x:c r="AN377" s="13" t="n">
        <x:v>0.6196388384989123</x:v>
      </x:c>
      <x:c r="AO377" s="13" t="n">
        <x:v>0.856897730345769</x:v>
      </x:c>
      <x:c r="AP377" s="13" t="n">
        <x:v>0.13690549865710963</x:v>
      </x:c>
    </x:row>
    <x:row r="378" ht="15" hidden="0" customHeight="1">
      <x:c r="A378" s="2" t="str">
        <x:v>E377</x:v>
      </x:c>
      <x:c r="B378" s="2" t="str">
        <x:v>***文化传播有限公司</x:v>
      </x:c>
      <x:c r="C378" s="2" t="str">
        <x:v>无信贷记录</x:v>
      </x:c>
      <x:c r="D378" s="2" t="str"/>
      <x:c r="E378" s="2" t="str"/>
      <x:c r="F378" s="13" t="n">
        <x:v>0.008073124568312091</x:v>
      </x:c>
      <x:c r="G378" s="13" t="n">
        <x:v>0.008087824619338144</x:v>
      </x:c>
      <x:c r="H378" s="13" t="n">
        <x:v>0.0036363636363636364</x:v>
      </x:c>
      <x:c r="I378" s="13" t="n">
        <x:v>0</x:v>
      </x:c>
      <x:c r="J378" s="13" t="n">
        <x:v>0.000869938293964354</x:v>
      </x:c>
      <x:c r="K378" s="13" t="n">
        <x:v>0.0008635174496718443</x:v>
      </x:c>
      <x:c r="L378" s="13" t="n">
        <x:v>0.01741770136106895</x:v>
      </x:c>
      <x:c r="M378" s="13" t="n">
        <x:v>0.1426742271812695</x:v>
      </x:c>
      <x:c r="N378" s="13" t="n">
        <x:v>0</x:v>
      </x:c>
      <x:c r="O378" s="13" t="n">
        <x:v>0.22492136566322582</x:v>
      </x:c>
      <x:c r="P378" s="13" t="n">
        <x:v>0.3507310123471426</x:v>
      </x:c>
      <x:c r="Q378" s="13" t="n">
        <x:v>0.0012427010272383807</x:v>
      </x:c>
      <x:c r="R378" s="13" t="n">
        <x:v>0.4341449761095717</x:v>
      </x:c>
      <x:c r="S378" s="13" t="n">
        <x:v>0.5147290118921094</x:v>
      </x:c>
      <x:c r="T378" s="13" t="n">
        <x:v>0.6666666666666666</x:v>
      </x:c>
      <x:c r="U378" s="13" t="n">
        <x:v>0.006776047946043235</x:v>
      </x:c>
      <x:c r="V378" s="13" t="n">
        <x:v>0.004785349812057444</x:v>
      </x:c>
      <x:c r="W378" s="13" t="n">
        <x:v>0.03581308041888958</x:v>
      </x:c>
      <x:c r="X378" s="13" t="n">
        <x:v>0.005668291576918725</x:v>
      </x:c>
      <x:c r="Y378" s="13" t="n">
        <x:v>0.0011057028029932672</x:v>
      </x:c>
      <x:c r="Z378" s="13" t="n">
        <x:v>0.0007702615620281118</x:v>
      </x:c>
      <x:c r="AA378" s="13" t="n">
        <x:v>0.009657242188776803</x:v>
      </x:c>
      <x:c r="AB378" s="13" t="n">
        <x:v>0.4096907161306732</x:v>
      </x:c>
      <x:c r="AC378" s="13" t="n">
        <x:v>0.19341784936175832</x:v>
      </x:c>
      <x:c r="AD378" s="13" t="n">
        <x:v>0.09871492909274147</x:v>
      </x:c>
      <x:c r="AE378" s="13" t="n">
        <x:v>0.16393625489092647</x:v>
      </x:c>
      <x:c r="AF378" s="13" t="n">
        <x:v>0.0013692503084559724</x:v>
      </x:c>
      <x:c r="AG378" s="13" t="n">
        <x:v>0.40195183385432837</x:v>
      </x:c>
      <x:c r="AH378" s="13" t="n">
        <x:v>0.6575160954052444</x:v>
      </x:c>
      <x:c r="AI378" s="13" t="n">
        <x:v>0.5588235294117647</x:v>
      </x:c>
      <x:c r="AJ378" s="13" t="n">
        <x:v>0.14459900584521868</x:v>
      </x:c>
      <x:c r="AK378" s="13" t="n">
        <x:v>0.014108135954755473</x:v>
      </x:c>
      <x:c r="AL378" s="13" t="n">
        <x:v>0.44099956082362585</x:v>
      </x:c>
      <x:c r="AM378" s="13" t="n">
        <x:v>0.11688545225678844</x:v>
      </x:c>
      <x:c r="AN378" s="13" t="n">
        <x:v>0.17023300994506624</x:v>
      </x:c>
      <x:c r="AO378" s="13" t="n">
        <x:v>0.5026478650057378</x:v>
      </x:c>
      <x:c r="AP378" s="13" t="n">
        <x:v>0.5384219753706861</x:v>
      </x:c>
    </x:row>
    <x:row r="379" ht="15" hidden="0" customHeight="1">
      <x:c r="A379" s="2" t="str">
        <x:v>E378</x:v>
      </x:c>
      <x:c r="B379" s="2" t="str">
        <x:v>***商贸有限公司</x:v>
      </x:c>
      <x:c r="C379" s="2" t="str">
        <x:v>无信贷记录</x:v>
      </x:c>
      <x:c r="D379" s="2" t="str"/>
      <x:c r="E379" s="2" t="str"/>
      <x:c r="F379" s="13" t="n">
        <x:v>0.05157829585310502</x:v>
      </x:c>
      <x:c r="G379" s="13" t="n">
        <x:v>0.052113058632150495</x:v>
      </x:c>
      <x:c r="H379" s="13" t="n">
        <x:v>0.012727272727272728</x:v>
      </x:c>
      <x:c r="I379" s="13" t="n">
        <x:v>0.026709401709401753</x:v>
      </x:c>
      <x:c r="J379" s="13" t="n">
        <x:v>0.004509814191898659</x:v>
      </x:c>
      <x:c r="K379" s="13" t="n">
        <x:v>0.004477634690508628</x:v>
      </x:c>
      <x:c r="L379" s="13" t="n">
        <x:v>0.03732364577371918</x:v>
      </x:c>
      <x:c r="M379" s="13" t="n">
        <x:v>0.07937800211674675</x:v>
      </x:c>
      <x:c r="N379" s="13" t="n">
        <x:v>0.12030620345645364</x:v>
      </x:c>
      <x:c r="O379" s="13" t="n">
        <x:v>0.24575271343211236</x:v>
      </x:c>
      <x:c r="P379" s="13" t="n">
        <x:v>0.4359311428755399</x:v>
      </x:c>
      <x:c r="Q379" s="13" t="n">
        <x:v>0.005240683457126521</x:v>
      </x:c>
      <x:c r="R379" s="13" t="n">
        <x:v>0.21708271502434662</x:v>
      </x:c>
      <x:c r="S379" s="13" t="n">
        <x:v>0.7884365307615135</x:v>
      </x:c>
      <x:c r="T379" s="13" t="n">
        <x:v>0.8055555555555556</x:v>
      </x:c>
      <x:c r="U379" s="13" t="n">
        <x:v>0.030801488703674614</x:v>
      </x:c>
      <x:c r="V379" s="13" t="n">
        <x:v>0.027181682785805232</x:v>
      </x:c>
      <x:c r="W379" s="13" t="n">
        <x:v>0.07903576368306665</x:v>
      </x:c>
      <x:c r="X379" s="13" t="n">
        <x:v>0.025507312096134264</x:v>
      </x:c>
      <x:c r="Y379" s="13" t="n">
        <x:v>0.0013785094872501731</x:v>
      </x:c>
      <x:c r="Z379" s="13" t="n">
        <x:v>0.001102599533872418</x:v>
      </x:c>
      <x:c r="AA379" s="13" t="n">
        <x:v>0.027485996998826284</x:v>
      </x:c>
      <x:c r="AB379" s="13" t="n">
        <x:v>0.21729452347262226</x:v>
      </x:c>
      <x:c r="AC379" s="13" t="n">
        <x:v>0.16940288148798296</x:v>
      </x:c>
      <x:c r="AD379" s="13" t="n">
        <x:v>0.12384976838617409</x:v>
      </x:c>
      <x:c r="AE379" s="13" t="n">
        <x:v>0.22341385561124857</x:v>
      </x:c>
      <x:c r="AF379" s="13" t="n">
        <x:v>0.0013114400930666612</x:v>
      </x:c>
      <x:c r="AG379" s="13" t="n">
        <x:v>0.5636741043348276</x:v>
      </x:c>
      <x:c r="AH379" s="13" t="n">
        <x:v>0.8940325491729684</x:v>
      </x:c>
      <x:c r="AI379" s="13" t="n">
        <x:v>0.8235294117647058</x:v>
      </x:c>
      <x:c r="AJ379" s="13" t="n">
        <x:v>0.14270601297119</x:v>
      </x:c>
      <x:c r="AK379" s="13" t="n">
        <x:v>0.05230688153249419</x:v>
      </x:c>
      <x:c r="AL379" s="13" t="n">
        <x:v>0.18651214074838005</x:v>
      </x:c>
      <x:c r="AM379" s="13" t="n">
        <x:v>0.12830051168369758</x:v>
      </x:c>
      <x:c r="AN379" s="13" t="n">
        <x:v>0.19759403161116704</x:v>
      </x:c>
      <x:c r="AO379" s="13" t="n">
        <x:v>0.42624026831803513</x:v>
      </x:c>
      <x:c r="AP379" s="13" t="n">
        <x:v>0.834307708968479</x:v>
      </x:c>
    </x:row>
    <x:row r="380" ht="15" hidden="0" customHeight="1">
      <x:c r="A380" s="2" t="str">
        <x:v>E379</x:v>
      </x:c>
      <x:c r="B380" s="2" t="str">
        <x:v>***药业有限公司</x:v>
      </x:c>
      <x:c r="C380" s="2" t="str">
        <x:v>无信贷记录</x:v>
      </x:c>
      <x:c r="D380" s="2" t="str"/>
      <x:c r="E380" s="2" t="str"/>
      <x:c r="F380" s="13" t="n">
        <x:v>0.028629691756143803</x:v>
      </x:c>
      <x:c r="G380" s="13" t="n">
        <x:v>0.028002185238651875</x:v>
      </x:c>
      <x:c r="H380" s="13" t="n">
        <x:v>0.02909090909090909</x:v>
      </x:c>
      <x:c r="I380" s="13" t="n">
        <x:v>0.020032051282051315</x:v>
      </x:c>
      <x:c r="J380" s="13" t="n">
        <x:v>0.004884903063125232</x:v>
      </x:c>
      <x:c r="K380" s="13" t="n">
        <x:v>0.004860105676871762</x:v>
      </x:c>
      <x:c r="L380" s="13" t="n">
        <x:v>0.058473711712160044</x:v>
      </x:c>
      <x:c r="M380" s="13" t="n">
        <x:v>0.3261125192714731</x:v>
      </x:c>
      <x:c r="N380" s="13" t="n">
        <x:v>0.16749949058469665</x:v>
      </x:c>
      <x:c r="O380" s="13" t="n">
        <x:v>0.21750049627734508</x:v>
      </x:c>
      <x:c r="P380" s="13" t="n">
        <x:v>0.3674948980998804</x:v>
      </x:c>
      <x:c r="Q380" s="13" t="n">
        <x:v>0.004779675916128818</x:v>
      </x:c>
      <x:c r="R380" s="13" t="n">
        <x:v>0.1965540780969974</x:v>
      </x:c>
      <x:c r="S380" s="13" t="n">
        <x:v>0.399224094871933</x:v>
      </x:c>
      <x:c r="T380" s="13" t="n">
        <x:v>1</x:v>
      </x:c>
      <x:c r="U380" s="13" t="n">
        <x:v>0.020055564292079487</x:v>
      </x:c>
      <x:c r="V380" s="13" t="n">
        <x:v>0.013837201055613844</x:v>
      </x:c>
      <x:c r="W380" s="13" t="n">
        <x:v>0.10373443983402499</x:v>
      </x:c>
      <x:c r="X380" s="13" t="n">
        <x:v>0</x:v>
      </x:c>
      <x:c r="Y380" s="13" t="n">
        <x:v>0.003617873403496811</x:v>
      </x:c>
      <x:c r="Z380" s="13" t="n">
        <x:v>0.00238689958916926</x:v>
      </x:c>
      <x:c r="AA380" s="13" t="n">
        <x:v>0.018200187201925514</x:v>
      </x:c>
      <x:c r="AB380" s="13" t="n">
        <x:v>0.431975148388827</x:v>
      </x:c>
      <x:c r="AC380" s="13" t="n">
        <x:v>0</x:v>
      </x:c>
      <x:c r="AD380" s="13" t="n">
        <x:v>0.3157945349934544</x:v>
      </x:c>
      <x:c r="AE380" s="13" t="n">
        <x:v>0.5337705185536308</x:v>
      </x:c>
      <x:c r="AF380" s="13" t="n">
        <x:v>0.0035179204530806888</x:v>
      </x:c>
      <x:c r="AG380" s="13" t="n">
        <x:v>0.2174477101174153</x:v>
      </x:c>
      <x:c r="AH380" s="13" t="n">
        <x:v>0.33724639645617793</x:v>
      </x:c>
      <x:c r="AI380" s="13" t="n">
        <x:v>0.7941176470588235</x:v>
      </x:c>
      <x:c r="AJ380" s="13" t="n">
        <x:v>0.14568872712732137</x:v>
      </x:c>
      <x:c r="AK380" s="13" t="n">
        <x:v>0.02704540173740282</x:v>
      </x:c>
      <x:c r="AL380" s="13" t="n">
        <x:v>0.44918859629994723</x:v>
      </x:c>
      <x:c r="AM380" s="13" t="n">
        <x:v>0.05554289620599298</x:v>
      </x:c>
      <x:c r="AN380" s="13" t="n">
        <x:v>0.2942840925978153</x:v>
      </x:c>
      <x:c r="AO380" s="13" t="n">
        <x:v>0.23584850775040872</x:v>
      </x:c>
      <x:c r="AP380" s="13" t="n">
        <x:v>0.30700841444210086</x:v>
      </x:c>
    </x:row>
    <x:row r="381" ht="15" hidden="0" customHeight="1">
      <x:c r="A381" s="2" t="str">
        <x:v>E380</x:v>
      </x:c>
      <x:c r="B381" s="2" t="str">
        <x:v>***建材有限公司</x:v>
      </x:c>
      <x:c r="C381" s="2" t="str">
        <x:v>无信贷记录</x:v>
      </x:c>
      <x:c r="D381" s="2" t="str"/>
      <x:c r="E381" s="2" t="str"/>
      <x:c r="F381" s="13" t="n">
        <x:v>0</x:v>
      </x:c>
      <x:c r="G381" s="13" t="n">
        <x:v>0</x:v>
      </x:c>
      <x:c r="H381" s="13" t="n">
        <x:v>0</x:v>
      </x:c>
      <x:c r="I381" s="13" t="n">
        <x:v>0</x:v>
      </x:c>
      <x:c r="J381" s="13" t="n">
        <x:v>0</x:v>
      </x:c>
      <x:c r="K381" s="13" t="n">
        <x:v>0</x:v>
      </x:c>
      <x:c r="L381" s="13" t="n">
        <x:v>0.0006220607628953196</x:v>
      </x:c>
      <x:c r="M381" s="13" t="n">
        <x:v>0</x:v>
      </x:c>
      <x:c r="N381" s="13" t="n">
        <x:v>0</x:v>
      </x:c>
      <x:c r="O381" s="13" t="n">
        <x:v>0.4946611450188113</x:v>
      </x:c>
      <x:c r="P381" s="13" t="n">
        <x:v>0.4784212896277597</x:v>
      </x:c>
      <x:c r="Q381" s="13" t="n">
        <x:v>0</x:v>
      </x:c>
      <x:c r="R381" s="13" t="n">
        <x:v>0.5543930762540453</x:v>
      </x:c>
      <x:c r="S381" s="13" t="n">
        <x:v>0.5561143088127759</x:v>
      </x:c>
      <x:c r="T381" s="13" t="n">
        <x:v>0</x:v>
      </x:c>
      <x:c r="U381" s="13" t="n">
        <x:v>0.01559993709702785</x:v>
      </x:c>
      <x:c r="V381" s="13" t="n">
        <x:v>0.01486369965024395</x:v>
      </x:c>
      <x:c r="W381" s="13" t="n">
        <x:v>0.027168543766054164</x:v>
      </x:c>
      <x:c r="X381" s="13" t="n">
        <x:v>0.0453463326153498</x:v>
      </x:c>
      <x:c r="Y381" s="13" t="n">
        <x:v>0.001792739530973936</x:v>
      </x:c>
      <x:c r="Z381" s="13" t="n">
        <x:v>0.001451994707536018</x:v>
      </x:c>
      <x:c r="AA381" s="13" t="n">
        <x:v>0.0014857295675041236</x:v>
      </x:c>
      <x:c r="AB381" s="13" t="n">
        <x:v>0.1438275918331087</x:v>
      </x:c>
      <x:c r="AC381" s="13" t="n">
        <x:v>0.5406378439991317</x:v>
      </x:c>
      <x:c r="AD381" s="13" t="n">
        <x:v>0.9106422654228695</x:v>
      </x:c>
      <x:c r="AE381" s="13" t="n">
        <x:v>0.9524229368354935</x:v>
      </x:c>
      <x:c r="AF381" s="13" t="n">
        <x:v>0.0017195874465955863</x:v>
      </x:c>
      <x:c r="AG381" s="13" t="n">
        <x:v>0.5836414091999402</x:v>
      </x:c>
      <x:c r="AH381" s="13" t="n">
        <x:v>0.617709244822999</x:v>
      </x:c>
      <x:c r="AI381" s="13" t="n">
        <x:v>0.3235294117647059</x:v>
      </x:c>
      <x:c r="AJ381" s="13" t="n">
        <x:v>0.1461324759273419</x:v>
      </x:c>
      <x:c r="AK381" s="13" t="n">
        <x:v>0.000001862598271656082</x:v>
      </x:c>
      <x:c r="AL381" s="13" t="n">
        <x:v>0.3234493706769478</x:v>
      </x:c>
      <x:c r="AM381" s="13" t="n">
        <x:v>0.9239516702203276</x:v>
      </x:c>
      <x:c r="AN381" s="13" t="n">
        <x:v>0.8124801170806981</x:v>
      </x:c>
      <x:c r="AO381" s="13" t="n">
        <x:v>0.6824209448185086</x:v>
      </x:c>
      <x:c r="AP381" s="13" t="n">
        <x:v>0.5466378308195075</x:v>
      </x:c>
    </x:row>
    <x:row r="382" ht="15" hidden="0" customHeight="1">
      <x:c r="A382" s="2" t="str">
        <x:v>E381</x:v>
      </x:c>
      <x:c r="B382" s="2" t="str">
        <x:v>***通信网络工程有限公司</x:v>
      </x:c>
      <x:c r="C382" s="2" t="str">
        <x:v>无信贷记录</x:v>
      </x:c>
      <x:c r="D382" s="2" t="str"/>
      <x:c r="E382" s="2" t="str"/>
      <x:c r="F382" s="13" t="n">
        <x:v>0.1361218503601511</x:v>
      </x:c>
      <x:c r="G382" s="13" t="n">
        <x:v>0.13459360970294798</x:v>
      </x:c>
      <x:c r="H382" s="13" t="n">
        <x:v>0.10363636363636364</x:v>
      </x:c>
      <x:c r="I382" s="13" t="n">
        <x:v>0.026709401709401753</x:v>
      </x:c>
      <x:c r="J382" s="13" t="n">
        <x:v>0.3332876605426212</x:v>
      </x:c>
      <x:c r="K382" s="13" t="n">
        <x:v>0.331608278504924</x:v>
      </x:c>
      <x:c r="L382" s="13" t="n">
        <x:v>0.120679788001692</x:v>
      </x:c>
      <x:c r="M382" s="13" t="n">
        <x:v>0.24535584323273718</x:v>
      </x:c>
      <x:c r="N382" s="13" t="n">
        <x:v>0.046664637241036665</x:v>
      </x:c>
      <x:c r="O382" s="13" t="n">
        <x:v>0.045327274835709044</x:v>
      </x:c>
      <x:c r="P382" s="13" t="n">
        <x:v>0.12977076787590083</x:v>
      </x:c>
      <x:c r="Q382" s="13" t="n">
        <x:v>0.33512972065435964</x:v>
      </x:c>
      <x:c r="R382" s="13" t="n">
        <x:v>0.15067998156685816</x:v>
      </x:c>
      <x:c r="S382" s="13" t="n">
        <x:v>0.4142242327979918</x:v>
      </x:c>
      <x:c r="T382" s="13" t="n">
        <x:v>0.9722222222222222</x:v>
      </x:c>
      <x:c r="U382" s="13" t="n">
        <x:v>0.006339221750449938</x:v>
      </x:c>
      <x:c r="V382" s="13" t="n">
        <x:v>0.0068383470013176585</x:v>
      </x:c>
      <x:c r="W382" s="13" t="n">
        <x:v>0.002469867615095833</x:v>
      </x:c>
      <x:c r="X382" s="13" t="n">
        <x:v>0.048180478403809165</x:v>
      </x:c>
      <x:c r="Y382" s="13" t="n">
        <x:v>0.0024733709955707473</x:v>
      </x:c>
      <x:c r="Z382" s="13" t="n">
        <x:v>0.0020496520520931157</x:v>
      </x:c>
      <x:c r="AA382" s="13" t="n">
        <x:v>0.00445718870251237</x:v>
      </x:c>
      <x:c r="AB382" s="13" t="n">
        <x:v>0.029977369472976093</x:v>
      </x:c>
      <x:c r="AC382" s="13" t="n">
        <x:v>1</x:v>
      </x:c>
      <x:c r="AD382" s="13" t="n">
        <x:v>0.17504761324791746</x:v>
      </x:c>
      <x:c r="AE382" s="13" t="n">
        <x:v>0.27602050758756086</x:v>
      </x:c>
      <x:c r="AF382" s="13" t="n">
        <x:v>0.0023902242949188327</x:v>
      </x:c>
      <x:c r="AG382" s="13" t="n">
        <x:v>0.49691128600201967</x:v>
      </x:c>
      <x:c r="AH382" s="13" t="n">
        <x:v>0.46405181868504564</x:v>
      </x:c>
      <x:c r="AI382" s="13" t="n">
        <x:v>0.29411764705882354</x:v>
      </x:c>
      <x:c r="AJ382" s="13" t="n">
        <x:v>0</x:v>
      </x:c>
      <x:c r="AK382" s="13" t="n">
        <x:v>1</x:v>
      </x:c>
      <x:c r="AL382" s="13" t="n">
        <x:v>0.08360840454530445</x:v>
      </x:c>
      <x:c r="AM382" s="13" t="n">
        <x:v>0.11036367458482245</x:v>
      </x:c>
      <x:c r="AN382" s="13" t="n">
        <x:v>0.10779945668821941</x:v>
      </x:c>
      <x:c r="AO382" s="13" t="n">
        <x:v>0.3439746793892565</x:v>
      </x:c>
      <x:c r="AP382" s="13" t="n">
        <x:v>0.3782452523708449</x:v>
      </x:c>
    </x:row>
    <x:row r="383" ht="15" hidden="0" customHeight="1">
      <x:c r="A383" s="2" t="str">
        <x:v>E382</x:v>
      </x:c>
      <x:c r="B383" s="2" t="str">
        <x:v>***教育信息咨询有限公司***分公司</x:v>
      </x:c>
      <x:c r="C383" s="2" t="str">
        <x:v>无信贷记录</x:v>
      </x:c>
      <x:c r="D383" s="2" t="str"/>
      <x:c r="E383" s="2" t="str"/>
      <x:c r="F383" s="13" t="n">
        <x:v>0</x:v>
      </x:c>
      <x:c r="G383" s="13" t="n">
        <x:v>0</x:v>
      </x:c>
      <x:c r="H383" s="13" t="n">
        <x:v>0</x:v>
      </x:c>
      <x:c r="I383" s="13" t="n">
        <x:v>0</x:v>
      </x:c>
      <x:c r="J383" s="13" t="n">
        <x:v>6.84419534848358e-7</x:v>
      </x:c>
      <x:c r="K383" s="13" t="n">
        <x:v>6.793679682090888e-7</x:v>
      </x:c>
      <x:c r="L383" s="13" t="n">
        <x:v>0.0006220607628953196</x:v>
      </x:c>
      <x:c r="M383" s="13" t="n">
        <x:v>0</x:v>
      </x:c>
      <x:c r="N383" s="13" t="n">
        <x:v>0</x:v>
      </x:c>
      <x:c r="O383" s="13" t="n">
        <x:v>0.529656910599226</x:v>
      </x:c>
      <x:c r="P383" s="13" t="n">
        <x:v>0.6156788449888755</x:v>
      </x:c>
      <x:c r="Q383" s="13" t="n">
        <x:v>0.000002559638141983682</x:v>
      </x:c>
      <x:c r="R383" s="13" t="n">
        <x:v>0.4682439547169766</x:v>
      </x:c>
      <x:c r="S383" s="13" t="n">
        <x:v>0.2660885408776028</x:v>
      </x:c>
      <x:c r="T383" s="13" t="n">
        <x:v>0</x:v>
      </x:c>
      <x:c r="U383" s="13" t="n">
        <x:v>0.006863413185161895</x:v>
      </x:c>
      <x:c r="V383" s="13" t="n">
        <x:v>0.007584891433775919</x:v>
      </x:c>
      <x:c r="W383" s="13" t="n">
        <x:v>0</x:v>
      </x:c>
      <x:c r="X383" s="13" t="n">
        <x:v>0</x:v>
      </x:c>
      <x:c r="Y383" s="13" t="n">
        <x:v>0.0006993035190101783</x:v>
      </x:c>
      <x:c r="Z383" s="13" t="n">
        <x:v>0.0004588845892191152</x:v>
      </x:c>
      <x:c r="AA383" s="13" t="n">
        <x:v>0.027857429390702317</x:v>
      </x:c>
      <x:c r="AB383" s="13" t="n">
        <x:v>0</x:v>
      </x:c>
      <x:c r="AC383" s="13" t="n">
        <x:v>0</x:v>
      </x:c>
      <x:c r="AD383" s="13" t="n">
        <x:v>0.010804090840695344</x:v>
      </x:c>
      <x:c r="AE383" s="13" t="n">
        <x:v>0</x:v>
      </x:c>
      <x:c r="AF383" s="13" t="n">
        <x:v>0.0009737025349016495</x:v>
      </x:c>
      <x:c r="AG383" s="13" t="n">
        <x:v>0.18051881995134023</x:v>
      </x:c>
      <x:c r="AH383" s="13" t="n">
        <x:v>0.6462344903997265</x:v>
      </x:c>
      <x:c r="AI383" s="13" t="n">
        <x:v>0.47058823529411764</x:v>
      </x:c>
      <x:c r="AJ383" s="13" t="n">
        <x:v>0.1445606704686314</x:v>
      </x:c>
      <x:c r="AK383" s="13" t="n">
        <x:v>0.00005186016131465557</x:v>
      </x:c>
      <x:c r="AL383" s="13" t="n">
        <x:v>0</x:v>
      </x:c>
      <x:c r="AM383" s="13" t="n">
        <x:v>0</x:v>
      </x:c>
      <x:c r="AN383" s="13" t="n">
        <x:v>0.3008012905373033</x:v>
      </x:c>
      <x:c r="AO383" s="13" t="n">
        <x:v>0.4153331831248573</x:v>
      </x:c>
      <x:c r="AP383" s="13" t="n">
        <x:v>0.3680229517023419</x:v>
      </x:c>
    </x:row>
    <x:row r="384" ht="15" hidden="0" customHeight="1">
      <x:c r="A384" s="2" t="str">
        <x:v>E383</x:v>
      </x:c>
      <x:c r="B384" s="2" t="str">
        <x:v>***通讯器材经营部</x:v>
      </x:c>
      <x:c r="C384" s="2" t="str">
        <x:v>无信贷记录</x:v>
      </x:c>
      <x:c r="D384" s="2" t="str"/>
      <x:c r="E384" s="2" t="str"/>
      <x:c r="F384" s="13" t="n">
        <x:v>0.0008222626875132685</x:v>
      </x:c>
      <x:c r="G384" s="13" t="n">
        <x:v>0.0008393025548369772</x:v>
      </x:c>
      <x:c r="H384" s="13" t="n">
        <x:v>0</x:v>
      </x:c>
      <x:c r="I384" s="13" t="n">
        <x:v>0</x:v>
      </x:c>
      <x:c r="J384" s="13" t="n">
        <x:v>0.0008007366347958365</x:v>
      </x:c>
      <x:c r="K384" s="13" t="n">
        <x:v>0.0007948265544062234</x:v>
      </x:c>
      <x:c r="L384" s="13" t="n">
        <x:v>0.003732364577371918</x:v>
      </x:c>
      <x:c r="M384" s="13" t="n">
        <x:v>0</x:v>
      </x:c>
      <x:c r="N384" s="13" t="n">
        <x:v>0</x:v>
      </x:c>
      <x:c r="O384" s="13" t="n">
        <x:v>0.8681730701627514</x:v>
      </x:c>
      <x:c r="P384" s="13" t="n">
        <x:v>0.9280397055312484</x:v>
      </x:c>
      <x:c r="Q384" s="13" t="n">
        <x:v>0.0010248600101709332</x:v>
      </x:c>
      <x:c r="R384" s="13" t="n">
        <x:v>1</x:v>
      </x:c>
      <x:c r="S384" s="13" t="n">
        <x:v>0.8011241536784107</x:v>
      </x:c>
      <x:c r="T384" s="13" t="n">
        <x:v>0.1388888888888889</x:v>
      </x:c>
      <x:c r="U384" s="13" t="n">
        <x:v>0.010183292271670958</x:v>
      </x:c>
      <x:c r="V384" s="13" t="n">
        <x:v>0.009731206677093415</x:v>
      </x:c>
      <x:c r="W384" s="13" t="n">
        <x:v>0.01852400711321875</x:v>
      </x:c>
      <x:c r="X384" s="13" t="n">
        <x:v>0.019839020519215537</x:v>
      </x:c>
      <x:c r="Y384" s="13" t="n">
        <x:v>0.0011548682780296543</x:v>
      </x:c>
      <x:c r="Z384" s="13" t="n">
        <x:v>0.000884261672241596</x:v>
      </x:c>
      <x:c r="AA384" s="13" t="n">
        <x:v>0.0029714591350082473</x:v>
      </x:c>
      <x:c r="AB384" s="13" t="n">
        <x:v>0.14631811290381186</x:v>
      </x:c>
      <x:c r="AC384" s="13" t="n">
        <x:v>0.35372813892285526</x:v>
      </x:c>
      <x:c r="AD384" s="13" t="n">
        <x:v>0.7720514018678012</x:v>
      </x:c>
      <x:c r="AE384" s="13" t="n">
        <x:v>0.8703983900397209</x:v>
      </x:c>
      <x:c r="AF384" s="13" t="n">
        <x:v>0.0020300604939499666</x:v>
      </x:c>
      <x:c r="AG384" s="13" t="n">
        <x:v>0.3329699193223883</x:v>
      </x:c>
      <x:c r="AH384" s="13" t="n">
        <x:v>0.21252233718232616</x:v>
      </x:c>
      <x:c r="AI384" s="13" t="n">
        <x:v>0.3235294117647059</x:v>
      </x:c>
      <x:c r="AJ384" s="13" t="n">
        <x:v>0.14471310495167353</x:v>
      </x:c>
      <x:c r="AK384" s="13" t="n">
        <x:v>0.011427977239297457</x:v>
      </x:c>
      <x:c r="AL384" s="13" t="n">
        <x:v>0.3011789457197143</x:v>
      </x:c>
      <x:c r="AM384" s="13" t="n">
        <x:v>0.5476649012999523</x:v>
      </x:c>
      <x:c r="AN384" s="13" t="n">
        <x:v>0.9542616623252489</x:v>
      </x:c>
      <x:c r="AO384" s="13" t="n">
        <x:v>0.893388080674122</x:v>
      </x:c>
      <x:c r="AP384" s="13" t="n">
        <x:v>0.5133465308439797</x:v>
      </x:c>
    </x:row>
    <x:row r="385" ht="15" hidden="0" customHeight="1">
      <x:c r="A385" s="2" t="str">
        <x:v>E384</x:v>
      </x:c>
      <x:c r="B385" s="2" t="str">
        <x:v>个体经营E384 </x:v>
      </x:c>
      <x:c r="C385" s="2" t="str">
        <x:v>无信贷记录</x:v>
      </x:c>
      <x:c r="D385" s="2" t="str"/>
      <x:c r="E385" s="2" t="str"/>
      <x:c r="F385" s="13" t="n">
        <x:v>0.018314032585522798</x:v>
      </x:c>
      <x:c r="G385" s="13" t="n">
        <x:v>0.017854254348350244</x:v>
      </x:c>
      <x:c r="H385" s="13" t="n">
        <x:v>0.02</x:v>
      </x:c>
      <x:c r="I385" s="13" t="n">
        <x:v>0.020032051282051315</x:v>
      </x:c>
      <x:c r="J385" s="13" t="n">
        <x:v>0.009987150462178861</x:v>
      </x:c>
      <x:c r="K385" s="13" t="n">
        <x:v>0.010080561779377785</x:v>
      </x:c>
      <x:c r="L385" s="13" t="n">
        <x:v>0.04789867874293961</x:v>
      </x:c>
      <x:c r="M385" s="13" t="n">
        <x:v>0.3494652123265912</x:v>
      </x:c>
      <x:c r="N385" s="13" t="n">
        <x:v>0.26189538993963163</x:v>
      </x:c>
      <x:c r="O385" s="13" t="n">
        <x:v>0.0698024510155282</x:v>
      </x:c>
      <x:c r="P385" s="13" t="n">
        <x:v>0.15338894206807152</x:v>
      </x:c>
      <x:c r="Q385" s="13" t="n">
        <x:v>0.010318490922254224</x:v>
      </x:c>
      <x:c r="R385" s="13" t="n">
        <x:v>0.13669951017421847</x:v>
      </x:c>
      <x:c r="S385" s="13" t="n">
        <x:v>0.5546973015269329</x:v>
      </x:c>
      <x:c r="T385" s="13" t="n">
        <x:v>0.9166666666666666</x:v>
      </x:c>
      <x:c r="U385" s="13" t="n">
        <x:v>0.0019709597945169596</x:v>
      </x:c>
      <x:c r="V385" s="13" t="n">
        <x:v>0.0018924901362816883</x:v>
      </x:c>
      <x:c r="W385" s="13" t="n">
        <x:v>0.006174669037739582</x:v>
      </x:c>
      <x:c r="X385" s="13" t="n">
        <x:v>0</x:v>
      </x:c>
      <x:c r="Y385" s="13" t="n">
        <x:v>0.003343601832141976</x:v>
      </x:c>
      <x:c r="Z385" s="13" t="n">
        <x:v>0.0022057150623080732</x:v>
      </x:c>
      <x:c r="AA385" s="13" t="n">
        <x:v>0.0007428647837520618</x:v>
      </x:c>
      <x:c r="AB385" s="13" t="n">
        <x:v>0.1920425231862531</x:v>
      </x:c>
      <x:c r="AC385" s="13" t="n">
        <x:v>0</x:v>
      </x:c>
      <x:c r="AD385" s="13" t="n">
        <x:v>0.6488839013484051</x:v>
      </x:c>
      <x:c r="AE385" s="13" t="n">
        <x:v>0.763578027239459</x:v>
      </x:c>
      <x:c r="AF385" s="13" t="n">
        <x:v>0.0039036121607881305</x:v>
      </x:c>
      <x:c r="AG385" s="13" t="n">
        <x:v>0.6156768556686883</x:v>
      </x:c>
      <x:c r="AH385" s="13" t="n">
        <x:v>0.7868721880314714</x:v>
      </x:c>
      <x:c r="AI385" s="13" t="n">
        <x:v>0.11764705882352941</x:v>
      </x:c>
      <x:c r="AJ385" s="13" t="n">
        <x:v>0.14209148034023655</x:v>
      </x:c>
      <x:c r="AK385" s="13" t="n">
        <x:v>0.060575873848305775</x:v>
      </x:c>
      <x:c r="AL385" s="13" t="n">
        <x:v>0.15819339232132007</x:v>
      </x:c>
      <x:c r="AM385" s="13" t="n">
        <x:v>0.11066341297315711</x:v>
      </x:c>
      <x:c r="AN385" s="13" t="n">
        <x:v>0.40294783344059454</x:v>
      </x:c>
      <x:c r="AO385" s="13" t="n">
        <x:v>0.39394891004125215</x:v>
      </x:c>
      <x:c r="AP385" s="13" t="n">
        <x:v>0.6274552857857804</x:v>
      </x:c>
    </x:row>
    <x:row r="386" ht="15" hidden="0" customHeight="1">
      <x:c r="A386" s="2" t="str">
        <x:v>E385</x:v>
      </x:c>
      <x:c r="B386" s="2" t="str">
        <x:v>***装饰工程有限公司</x:v>
      </x:c>
      <x:c r="C386" s="2" t="str">
        <x:v>无信贷记录</x:v>
      </x:c>
      <x:c r="D386" s="2" t="str"/>
      <x:c r="E386" s="2" t="str"/>
      <x:c r="F386" s="13" t="n">
        <x:v>0.002167783448898617</x:v>
      </x:c>
      <x:c r="G386" s="13" t="n">
        <x:v>0.0020601062709634894</x:v>
      </x:c>
      <x:c r="H386" s="13" t="n">
        <x:v>0.0036363636363636364</x:v>
      </x:c>
      <x:c r="I386" s="13" t="n">
        <x:v>0</x:v>
      </x:c>
      <x:c r="J386" s="13" t="n">
        <x:v>0.000047991497783566864</x:v>
      </x:c>
      <x:c r="K386" s="13" t="n">
        <x:v>0.000047637281930821304</x:v>
      </x:c>
      <x:c r="L386" s="13" t="n">
        <x:v>0.003732364577371918</x:v>
      </x:c>
      <x:c r="M386" s="13" t="n">
        <x:v>0.5062633867722466</x:v>
      </x:c>
      <x:c r="N386" s="13" t="n">
        <x:v>0</x:v>
      </x:c>
      <x:c r="O386" s="13" t="n">
        <x:v>0.2668256066157088</x:v>
      </x:c>
      <x:c r="P386" s="13" t="n">
        <x:v>0.360257818764493</x:v>
      </x:c>
      <x:c r="Q386" s="13" t="n">
        <x:v>0.00005314182694472259</x:v>
      </x:c>
      <x:c r="R386" s="13" t="n">
        <x:v>0.3082681501823404</x:v>
      </x:c>
      <x:c r="S386" s="13" t="n">
        <x:v>0.6094303991992444</x:v>
      </x:c>
      <x:c r="T386" s="13" t="n">
        <x:v>0.3611111111111111</x:v>
      </x:c>
      <x:c r="U386" s="13" t="n">
        <x:v>0.0016214988380423214</x:v>
      </x:c>
      <x:c r="V386" s="13" t="n">
        <x:v>0.0004927193254224513</x:v>
      </x:c>
      <x:c r="W386" s="13" t="n">
        <x:v>0.019758940920766663</x:v>
      </x:c>
      <x:c r="X386" s="13" t="n">
        <x:v>0.0028341457884593626</x:v>
      </x:c>
      <x:c r="Y386" s="13" t="n">
        <x:v>0.0006306075464666643</x:v>
      </x:c>
      <x:c r="Z386" s="13" t="n">
        <x:v>0.0005292749099335875</x:v>
      </x:c>
      <x:c r="AA386" s="13" t="n">
        <x:v>0.002228594351256185</x:v>
      </x:c>
      <x:c r="AB386" s="13" t="n">
        <x:v>0.7023269419382969</x:v>
      </x:c>
      <x:c r="AC386" s="13" t="n">
        <x:v>0.4674264692909159</x:v>
      </x:c>
      <x:c r="AD386" s="13" t="n">
        <x:v>0.2501045070189324</x:v>
      </x:c>
      <x:c r="AE386" s="13" t="n">
        <x:v>0.26882703482437975</x:v>
      </x:c>
      <x:c r="AF386" s="13" t="n">
        <x:v>0.0011829894957447627</x:v>
      </x:c>
      <x:c r="AG386" s="13" t="n">
        <x:v>0.4270937957366061</x:v>
      </x:c>
      <x:c r="AH386" s="13" t="n">
        <x:v>0.7417028891018579</x:v>
      </x:c>
      <x:c r="AI386" s="13" t="n">
        <x:v>0.14705882352941177</x:v>
      </x:c>
      <x:c r="AJ386" s="13" t="n">
        <x:v>0.14443224909464866</x:v>
      </x:c>
      <x:c r="AK386" s="13" t="n">
        <x:v>0.0011202826552457433</x:v>
      </x:c>
      <x:c r="AL386" s="13" t="n">
        <x:v>0.858719905596738</x:v>
      </x:c>
      <x:c r="AM386" s="13" t="n">
        <x:v>0.23662176920276684</x:v>
      </x:c>
      <x:c r="AN386" s="13" t="n">
        <x:v>0.2849566024665922</x:v>
      </x:c>
      <x:c r="AO386" s="13" t="n">
        <x:v>0.42356033388607306</x:v>
      </x:c>
      <x:c r="AP386" s="13" t="n">
        <x:v>0.6419342857128643</x:v>
      </x:c>
    </x:row>
    <x:row r="387" ht="15" hidden="0" customHeight="1">
      <x:c r="A387" s="2" t="str">
        <x:v>E386</x:v>
      </x:c>
      <x:c r="B387" s="2" t="str">
        <x:v>个体经营E386 </x:v>
      </x:c>
      <x:c r="C387" s="2" t="str">
        <x:v>无信贷记录</x:v>
      </x:c>
      <x:c r="D387" s="2" t="str"/>
      <x:c r="E387" s="2" t="str"/>
      <x:c r="F387" s="13" t="n">
        <x:v>0.029825710210708557</x:v>
      </x:c>
      <x:c r="G387" s="13" t="n">
        <x:v>0.03021489197413118</x:v>
      </x:c>
      <x:c r="H387" s="13" t="n">
        <x:v>0.005454545454545455</x:v>
      </x:c>
      <x:c r="I387" s="13" t="n">
        <x:v>0</x:v>
      </x:c>
      <x:c r="J387" s="13" t="n">
        <x:v>0.0006730833572087577</x:v>
      </x:c>
      <x:c r="K387" s="13" t="n">
        <x:v>0.000668115460678048</x:v>
      </x:c>
      <x:c r="L387" s="13" t="n">
        <x:v>0.0696708054442758</x:v>
      </x:c>
      <x:c r="M387" s="13" t="n">
        <x:v>0.058706352830198164</x:v>
      </x:c>
      <x:c r="N387" s="13" t="n">
        <x:v>0</x:v>
      </x:c>
      <x:c r="O387" s="13" t="n">
        <x:v>0.03828732411332414</x:v>
      </x:c>
      <x:c r="P387" s="13" t="n">
        <x:v>0.1299270558544729</x:v>
      </x:c>
      <x:c r="Q387" s="13" t="n">
        <x:v>0.0008920180732687097</x:v>
      </x:c>
      <x:c r="R387" s="13" t="n">
        <x:v>0.19225519679228598</x:v>
      </x:c>
      <x:c r="S387" s="13" t="n">
        <x:v>0.32013647997087125</x:v>
      </x:c>
      <x:c r="T387" s="13" t="n">
        <x:v>0.5</x:v>
      </x:c>
      <x:c r="U387" s="13" t="n">
        <x:v>0.0049413779245513845</x:v>
      </x:c>
      <x:c r="V387" s="13" t="n">
        <x:v>0.004412077595828315</x:v>
      </x:c>
      <x:c r="W387" s="13" t="n">
        <x:v>0.014819205690574998</x:v>
      </x:c>
      <x:c r="X387" s="13" t="n">
        <x:v>0.01133658315383745</x:v>
      </x:c>
      <x:c r="Y387" s="13" t="n">
        <x:v>0.006287336839153344</x:v>
      </x:c>
      <x:c r="Z387" s="13" t="n">
        <x:v>0.004742877046791278</x:v>
      </x:c>
      <x:c r="AA387" s="13" t="n">
        <x:v>0.0018571619593801545</x:v>
      </x:c>
      <x:c r="AB387" s="13" t="n">
        <x:v>0.2234676633440036</x:v>
      </x:c>
      <x:c r="AC387" s="13" t="n">
        <x:v>0.41549019492525857</x:v>
      </x:c>
      <x:c r="AD387" s="13" t="n">
        <x:v>0.39178859051397963</x:v>
      </x:c>
      <x:c r="AE387" s="13" t="n">
        <x:v>0.436303434279064</x:v>
      </x:c>
      <x:c r="AF387" s="13" t="n">
        <x:v>0.00847763268023019</x:v>
      </x:c>
      <x:c r="AG387" s="13" t="n">
        <x:v>0.36266869498841675</x:v>
      </x:c>
      <x:c r="AH387" s="13" t="n">
        <x:v>0.2681397022898938</x:v>
      </x:c>
      <x:c r="AI387" s="13" t="n">
        <x:v>0.2647058823529412</x:v>
      </x:c>
      <x:c r="AJ387" s="13" t="n">
        <x:v>0.15216910859833538</x:v>
      </x:c>
      <x:c r="AK387" s="13" t="n">
        <x:v>0.0018870716314738725</x:v>
      </x:c>
      <x:c r="AL387" s="13" t="n">
        <x:v>0.086856827761163</x:v>
      </x:c>
      <x:c r="AM387" s="13" t="n">
        <x:v>0.08585391625941098</x:v>
      </x:c>
      <x:c r="AN387" s="13" t="n">
        <x:v>0.23187834906187044</x:v>
      </x:c>
      <x:c r="AO387" s="13" t="n">
        <x:v>0.3062890447820349</x:v>
      </x:c>
      <x:c r="AP387" s="13" t="n">
        <x:v>0.22114248907175035</x:v>
      </x:c>
    </x:row>
    <x:row r="388" ht="15" hidden="0" customHeight="1">
      <x:c r="A388" s="2" t="str">
        <x:v>E387</x:v>
      </x:c>
      <x:c r="B388" s="2" t="str">
        <x:v>***农副产品经营部</x:v>
      </x:c>
      <x:c r="C388" s="2" t="str">
        <x:v>无信贷记录</x:v>
      </x:c>
      <x:c r="D388" s="2" t="str"/>
      <x:c r="E388" s="2" t="str"/>
      <x:c r="F388" s="13" t="n">
        <x:v>0.00007475115341029714</x:v>
      </x:c>
      <x:c r="G388" s="13" t="n">
        <x:v>0.00007630023225790702</x:v>
      </x:c>
      <x:c r="H388" s="13" t="n">
        <x:v>0</x:v>
      </x:c>
      <x:c r="I388" s="13" t="n">
        <x:v>0</x:v>
      </x:c>
      <x:c r="J388" s="13" t="n">
        <x:v>0.000002806120092878268</x:v>
      </x:c>
      <x:c r="K388" s="13" t="n">
        <x:v>0.0000027854086696572637</x:v>
      </x:c>
      <x:c r="L388" s="13" t="n">
        <x:v>0</x:v>
      </x:c>
      <x:c r="M388" s="13" t="n">
        <x:v>0</x:v>
      </x:c>
      <x:c r="N388" s="13" t="n">
        <x:v>0</x:v>
      </x:c>
      <x:c r="O388" s="13" t="n">
        <x:v>1</x:v>
      </x:c>
      <x:c r="P388" s="13" t="n">
        <x:v>1</x:v>
      </x:c>
      <x:c r="Q388" s="13" t="n">
        <x:v>0.000002144383811137828</x:v>
      </x:c>
      <x:c r="R388" s="13" t="n">
        <x:v>0.6242767775578358</x:v>
      </x:c>
      <x:c r="S388" s="13" t="n">
        <x:v>0.32389969729568535</x:v>
      </x:c>
      <x:c r="T388" s="13" t="n">
        <x:v>0.027777777777777776</x:v>
      </x:c>
      <x:c r="U388" s="13" t="n">
        <x:v>0.007387604619873853</x:v>
      </x:c>
      <x:c r="V388" s="13" t="n">
        <x:v>0.007398255325661353</x:v>
      </x:c>
      <x:c r="W388" s="13" t="n">
        <x:v>0.009879470460383332</x:v>
      </x:c>
      <x:c r="X388" s="13" t="n">
        <x:v>0</x:v>
      </x:c>
      <x:c r="Y388" s="13" t="n">
        <x:v>0.0011746144753483577</x:v>
      </x:c>
      <x:c r="Z388" s="13" t="n">
        <x:v>0.0007728762665579812</x:v>
      </x:c>
      <x:c r="AA388" s="13" t="n">
        <x:v>0.002228594351256185</x:v>
      </x:c>
      <x:c r="AB388" s="13" t="n">
        <x:v>0.1046018849695336</x:v>
      </x:c>
      <x:c r="AC388" s="13" t="n">
        <x:v>0</x:v>
      </x:c>
      <x:c r="AD388" s="13" t="n">
        <x:v>0.569915805288454</x:v>
      </x:c>
      <x:c r="AE388" s="13" t="n">
        <x:v>0.738909469661928</x:v>
      </x:c>
      <x:c r="AF388" s="13" t="n">
        <x:v>0.001455881024859199</x:v>
      </x:c>
      <x:c r="AG388" s="13" t="n">
        <x:v>0</x:v>
      </x:c>
      <x:c r="AH388" s="13" t="n">
        <x:v>0.5041999200690389</x:v>
      </x:c>
      <x:c r="AI388" s="13" t="n">
        <x:v>0.7058823529411765</x:v>
      </x:c>
      <x:c r="AJ388" s="13" t="n">
        <x:v>0.14524240740389585</x:v>
      </x:c>
      <x:c r="AK388" s="13" t="n">
        <x:v>0.000061019105631584906</x:v>
      </x:c>
      <x:c r="AL388" s="13" t="n">
        <x:v>0.22924379532008582</x:v>
      </x:c>
      <x:c r="AM388" s="13" t="n">
        <x:v>0</x:v>
      </x:c>
      <x:c r="AN388" s="13" t="n">
        <x:v>0.9136041403065209</x:v>
      </x:c>
      <x:c r="AO388" s="13" t="n">
        <x:v>0.42625191840823895</x:v>
      </x:c>
      <x:c r="AP388" s="13" t="n">
        <x:v>0.3377283365388992</x:v>
      </x:c>
    </x:row>
    <x:row r="389" ht="15" hidden="0" customHeight="1">
      <x:c r="A389" s="2" t="str">
        <x:v>E388</x:v>
      </x:c>
      <x:c r="B389" s="2" t="str">
        <x:v>***商贸有限公司</x:v>
      </x:c>
      <x:c r="C389" s="2" t="str">
        <x:v>无信贷记录</x:v>
      </x:c>
      <x:c r="D389" s="2" t="str"/>
      <x:c r="E389" s="2" t="str"/>
      <x:c r="F389" s="13" t="n">
        <x:v>0.021677834488986168</x:v>
      </x:c>
      <x:c r="G389" s="13" t="n">
        <x:v>0.02205076712253513</x:v>
      </x:c>
      <x:c r="H389" s="13" t="n">
        <x:v>0.0018181818181818182</x:v>
      </x:c>
      <x:c r="I389" s="13" t="n">
        <x:v>0.006677350427350438</x:v>
      </x:c>
      <x:c r="J389" s="13" t="n">
        <x:v>0.00035897051741308044</x:v>
      </x:c>
      <x:c r="K389" s="13" t="n">
        <x:v>0.00035886865615880083</x:v>
      </x:c>
      <x:c r="L389" s="13" t="n">
        <x:v>0.03421334195924258</x:v>
      </x:c>
      <x:c r="M389" s="13" t="n">
        <x:v>0.026873570188252812</x:v>
      </x:c>
      <x:c r="N389" s="13" t="n">
        <x:v>0.07079875375229445</x:v>
      </x:c>
      <x:c r="O389" s="13" t="n">
        <x:v>0.3027870852598974</x:v>
      </x:c>
      <x:c r="P389" s="13" t="n">
        <x:v>0.5291538133279854</x:v>
      </x:c>
      <x:c r="Q389" s="13" t="n">
        <x:v>0.0004924028311540654</x:v>
      </x:c>
      <x:c r="R389" s="13" t="n">
        <x:v>0.09335348465715299</x:v>
      </x:c>
      <x:c r="S389" s="13" t="n">
        <x:v>0.5503701975324122</x:v>
      </x:c>
      <x:c r="T389" s="13" t="n">
        <x:v>0.6666666666666666</x:v>
      </x:c>
      <x:c r="U389" s="13" t="n">
        <x:v>0.030102566790725337</x:v>
      </x:c>
      <x:c r="V389" s="13" t="n">
        <x:v>0.029141361921008163</x:v>
      </x:c>
      <x:c r="W389" s="13" t="n">
        <x:v>0.043222683264177074</x:v>
      </x:c>
      <x:c r="X389" s="13" t="n">
        <x:v>0</x:v>
      </x:c>
      <x:c r="Y389" s="13" t="n">
        <x:v>0.0014923557401671738</x:v>
      </x:c>
      <x:c r="Z389" s="13" t="n">
        <x:v>0.0009827769881168775</x:v>
      </x:c>
      <x:c r="AA389" s="13" t="n">
        <x:v>0.034171780052594844</x:v>
      </x:c>
      <x:c r="AB389" s="13" t="n">
        <x:v>0.12151843275062342</x:v>
      </x:c>
      <x:c r="AC389" s="13" t="n">
        <x:v>0</x:v>
      </x:c>
      <x:c r="AD389" s="13" t="n">
        <x:v>0.08103528371388848</x:v>
      </x:c>
      <x:c r="AE389" s="13" t="n">
        <x:v>0.20357992084489404</x:v>
      </x:c>
      <x:c r="AF389" s="13" t="n">
        <x:v>0.0014236145901638474</x:v>
      </x:c>
      <x:c r="AG389" s="13" t="n">
        <x:v>0.13950732076594752</x:v>
      </x:c>
      <x:c r="AH389" s="13" t="n">
        <x:v>0.5186214986808515</x:v>
      </x:c>
      <x:c r="AI389" s="13" t="n">
        <x:v>0.9117647058823529</x:v>
      </x:c>
      <x:c r="AJ389" s="13" t="n">
        <x:v>0.14547543999517484</x:v>
      </x:c>
      <x:c r="AK389" s="13" t="n">
        <x:v>0.004679889676355116</x:v>
      </x:c>
      <x:c r="AL389" s="13" t="n">
        <x:v>0.15361218758962947</x:v>
      </x:c>
      <x:c r="AM389" s="13" t="n">
        <x:v>0.015904086126743346</x:v>
      </x:c>
      <x:c r="AN389" s="13" t="n">
        <x:v>0.20642707372264382</x:v>
      </x:c>
      <x:c r="AO389" s="13" t="n">
        <x:v>0.12107614433656894</x:v>
      </x:c>
      <x:c r="AP389" s="13" t="n">
        <x:v>0.4949375068687237</x:v>
      </x:c>
    </x:row>
    <x:row r="390" ht="15" hidden="0" customHeight="1">
      <x:c r="A390" s="2" t="str">
        <x:v>E389</x:v>
      </x:c>
      <x:c r="B390" s="2" t="str">
        <x:v>***清洁服务有限公司</x:v>
      </x:c>
      <x:c r="C390" s="2" t="str">
        <x:v>无信贷记录</x:v>
      </x:c>
      <x:c r="D390" s="2" t="str"/>
      <x:c r="E390" s="2" t="str"/>
      <x:c r="F390" s="13" t="n">
        <x:v>0</x:v>
      </x:c>
      <x:c r="G390" s="13" t="n">
        <x:v>0</x:v>
      </x:c>
      <x:c r="H390" s="13" t="n">
        <x:v>0</x:v>
      </x:c>
      <x:c r="I390" s="13" t="n">
        <x:v>0</x:v>
      </x:c>
      <x:c r="J390" s="13" t="n">
        <x:v>0.000007939266604240952</x:v>
      </x:c>
      <x:c r="K390" s="13" t="n">
        <x:v>0.000007880668431225429</x:v>
      </x:c>
      <x:c r="L390" s="13" t="n">
        <x:v>0.0006220607628953196</x:v>
      </x:c>
      <x:c r="M390" s="13" t="n">
        <x:v>0</x:v>
      </x:c>
      <x:c r="N390" s="13" t="n">
        <x:v>0</x:v>
      </x:c>
      <x:c r="O390" s="13" t="n">
        <x:v>0.7192561916771175</x:v>
      </x:c>
      <x:c r="P390" s="13" t="n">
        <x:v>0.82614042987592</x:v>
      </x:c>
      <x:c r="Q390" s="13" t="n">
        <x:v>0.000040951076276789147</x:v>
      </x:c>
      <x:c r="R390" s="13" t="n">
        <x:v>0.4121277046749528</x:v>
      </x:c>
      <x:c r="S390" s="13" t="n">
        <x:v>1</x:v>
      </x:c>
      <x:c r="T390" s="13" t="n">
        <x:v>0</x:v>
      </x:c>
      <x:c r="U390" s="13" t="n">
        <x:v>0.004766647446314066</x:v>
      </x:c>
      <x:c r="V390" s="13" t="n">
        <x:v>0.005251940082343857</x:v>
      </x:c>
      <x:c r="W390" s="13" t="n">
        <x:v>0.0012349338075479165</x:v>
      </x:c>
      <x:c r="X390" s="13" t="n">
        <x:v>0</x:v>
      </x:c>
      <x:c r="Y390" s="13" t="n">
        <x:v>0.0006148712966950624</x:v>
      </x:c>
      <x:c r="Z390" s="13" t="n">
        <x:v>0.0004031084394109695</x:v>
      </x:c>
      <x:c r="AA390" s="13" t="n">
        <x:v>0</x:v>
      </x:c>
      <x:c r="AB390" s="13" t="n">
        <x:v>0.019204252318625308</x:v>
      </x:c>
      <x:c r="AC390" s="13" t="n">
        <x:v>0</x:v>
      </x:c>
      <x:c r="AD390" s="13" t="n">
        <x:v>1</x:v>
      </x:c>
      <x:c r="AE390" s="13" t="n">
        <x:v>1</x:v>
      </x:c>
      <x:c r="AF390" s="13" t="n">
        <x:v>0.0013829455316066678</x:v>
      </x:c>
      <x:c r="AG390" s="13" t="n">
        <x:v>0.2521315205132147</x:v>
      </x:c>
      <x:c r="AH390" s="13" t="n">
        <x:v>0.34689333156455315</x:v>
      </x:c>
      <x:c r="AI390" s="13" t="n">
        <x:v>0.20588235294117646</x:v>
      </x:c>
      <x:c r="AJ390" s="13" t="n">
        <x:v>0.14443477855535866</x:v>
      </x:c>
      <x:c r="AK390" s="13" t="n">
        <x:v>0.0002692500935855737</x:v>
      </x:c>
      <x:c r="AL390" s="13" t="n">
        <x:v>0.038875258996587975</x:v>
      </x:c>
      <x:c r="AM390" s="13" t="n">
        <x:v>0</x:v>
      </x:c>
      <x:c r="AN390" s="13" t="n">
        <x:v>1</x:v>
      </x:c>
      <x:c r="AO390" s="13" t="n">
        <x:v>0.41067972434626465</x:v>
      </x:c>
      <x:c r="AP390" s="13" t="n">
        <x:v>1</x:v>
      </x:c>
    </x:row>
    <x:row r="391" ht="15" hidden="0" customHeight="1">
      <x:c r="A391" s="2" t="str">
        <x:v>E390</x:v>
      </x:c>
      <x:c r="B391" s="2" t="str">
        <x:v>***建筑工程有限公司</x:v>
      </x:c>
      <x:c r="C391" s="2" t="str">
        <x:v>无信贷记录</x:v>
      </x:c>
      <x:c r="D391" s="2" t="str"/>
      <x:c r="E391" s="2" t="str"/>
      <x:c r="F391" s="13" t="n">
        <x:v>0.00104651614774416</x:v>
      </x:c>
      <x:c r="G391" s="13" t="n">
        <x:v>0.0010682032516106982</x:v>
      </x:c>
      <x:c r="H391" s="13" t="n">
        <x:v>0</x:v>
      </x:c>
      <x:c r="I391" s="13" t="n">
        <x:v>0</x:v>
      </x:c>
      <x:c r="J391" s="13" t="n">
        <x:v>0.00002299238985369574</x:v>
      </x:c>
      <x:c r="K391" s="13" t="n">
        <x:v>0.00002282268752401613</x:v>
      </x:c>
      <x:c r="L391" s="13" t="n">
        <x:v>0.008086789917639156</x:v>
      </x:c>
      <x:c r="M391" s="13" t="n">
        <x:v>0</x:v>
      </x:c>
      <x:c r="N391" s="13" t="n">
        <x:v>0</x:v>
      </x:c>
      <x:c r="O391" s="13" t="n">
        <x:v>0.14308061679237924</x:v>
      </x:c>
      <x:c r="P391" s="13" t="n">
        <x:v>0.2814498713896965</x:v>
      </x:c>
      <x:c r="Q391" s="13" t="n">
        <x:v>0.00002821376528424339</x:v>
      </x:c>
      <x:c r="R391" s="13" t="n">
        <x:v>0.4534446011390136</x:v>
      </x:c>
      <x:c r="S391" s="13" t="n">
        <x:v>0.43744625785664665</x:v>
      </x:c>
      <x:c r="T391" s="13" t="n">
        <x:v>0.19444444444444445</x:v>
      </x:c>
      <x:c r="U391" s="13" t="n">
        <x:v>0.0003983854903810875</x:v>
      </x:c>
      <x:c r="V391" s="13" t="n">
        <x:v>0.0006793554335370163</x:v>
      </x:c>
      <x:c r="W391" s="13" t="n">
        <x:v>0</x:v>
      </x:c>
      <x:c r="X391" s="13" t="n">
        <x:v>0</x:v>
      </x:c>
      <x:c r="Y391" s="13" t="n">
        <x:v>0.001126784428655429</x:v>
      </x:c>
      <x:c r="Z391" s="13" t="n">
        <x:v>0.0007412796109622207</x:v>
      </x:c>
      <x:c r="AA391" s="13" t="n">
        <x:v>0</x:v>
      </x:c>
      <x:c r="AB391" s="13" t="n">
        <x:v>0</x:v>
      </x:c>
      <x:c r="AC391" s="13" t="n">
        <x:v>0</x:v>
      </x:c>
      <x:c r="AD391" s="13" t="n">
        <x:v>1</x:v>
      </x:c>
      <x:c r="AE391" s="13" t="n">
        <x:v>1</x:v>
      </x:c>
      <x:c r="AF391" s="13" t="n">
        <x:v>0.0023350778894427027</x:v>
      </x:c>
      <x:c r="AG391" s="13" t="n">
        <x:v>0.48248371564190284</x:v>
      </x:c>
      <x:c r="AH391" s="13" t="n">
        <x:v>0.46664049361155924</x:v>
      </x:c>
      <x:c r="AI391" s="13" t="n">
        <x:v>0.029411764705882353</x:v>
      </x:c>
      <x:c r="AJ391" s="13" t="n">
        <x:v>0.14516099834549823</x:v>
      </x:c>
      <x:c r="AK391" s="13" t="n">
        <x:v>0.00040273786285562</x:v>
      </x:c>
      <x:c r="AL391" s="13" t="n">
        <x:v>0</x:v>
      </x:c>
      <x:c r="AM391" s="13" t="n">
        <x:v>0</x:v>
      </x:c>
      <x:c r="AN391" s="13" t="n">
        <x:v>0.6654256231157666</x:v>
      </x:c>
      <x:c r="AO391" s="13" t="n">
        <x:v>0.5575283799469462</x:v>
      </x:c>
      <x:c r="AP391" s="13" t="n">
        <x:v>0.39490172303083204</x:v>
      </x:c>
    </x:row>
    <x:row r="392" ht="15" hidden="0" customHeight="1">
      <x:c r="A392" s="2" t="str">
        <x:v>E391</x:v>
      </x:c>
      <x:c r="B392" s="2" t="str">
        <x:v>***五金店</x:v>
      </x:c>
      <x:c r="C392" s="2" t="str">
        <x:v>无信贷记录</x:v>
      </x:c>
      <x:c r="D392" s="2" t="str"/>
      <x:c r="E392" s="2" t="str"/>
      <x:c r="F392" s="13" t="n">
        <x:v>0.00007475115341029714</x:v>
      </x:c>
      <x:c r="G392" s="13" t="n">
        <x:v>0.00007630023225790702</x:v>
      </x:c>
      <x:c r="H392" s="13" t="n">
        <x:v>0</x:v>
      </x:c>
      <x:c r="I392" s="13" t="n">
        <x:v>0</x:v>
      </x:c>
      <x:c r="J392" s="13" t="n">
        <x:v>0.0000011292922324997906</x:v>
      </x:c>
      <x:c r="K392" s="13" t="n">
        <x:v>0.0000011209571475449965</x:v>
      </x:c>
      <x:c r="L392" s="13" t="n">
        <x:v>0.0006220607628953196</x:v>
      </x:c>
      <x:c r="M392" s="13" t="n">
        <x:v>0</x:v>
      </x:c>
      <x:c r="N392" s="13" t="n">
        <x:v>0</x:v>
      </x:c>
      <x:c r="O392" s="13" t="n">
        <x:v>0.5284099462162672</x:v>
      </x:c>
      <x:c r="P392" s="13" t="n">
        <x:v>0.6132112934318218</x:v>
      </x:c>
      <x:c r="Q392" s="13" t="n">
        <x:v>0</x:v>
      </x:c>
      <x:c r="R392" s="13" t="n">
        <x:v>0.5298814602630665</x:v>
      </x:c>
      <x:c r="S392" s="13" t="n">
        <x:v>0.5227751323780705</x:v>
      </x:c>
      <x:c r="T392" s="13" t="n">
        <x:v>0.027777777777777776</x:v>
      </x:c>
      <x:c r="U392" s="13" t="n">
        <x:v>0.029753105834250698</x:v>
      </x:c>
      <x:c r="V392" s="13" t="n">
        <x:v>0.02904804386695088</x:v>
      </x:c>
      <x:c r="W392" s="13" t="n">
        <x:v>0.03951788184153333</x:v>
      </x:c>
      <x:c r="X392" s="13" t="n">
        <x:v>0.008502437365378089</x:v>
      </x:c>
      <x:c r="Y392" s="13" t="n">
        <x:v>0.0019287807847396398</x:v>
      </x:c>
      <x:c r="Z392" s="13" t="n">
        <x:v>0.0012901268992088122</x:v>
      </x:c>
      <x:c r="AA392" s="13" t="n">
        <x:v>0.03714323918760309</x:v>
      </x:c>
      <x:c r="AB392" s="13" t="n">
        <x:v>0.11237231071012752</x:v>
      </x:c>
      <x:c r="AC392" s="13" t="n">
        <x:v>0.05291620407066973</x:v>
      </x:c>
      <x:c r="AD392" s="13" t="n">
        <x:v>0.052011515523429974</x:v>
      </x:c>
      <x:c r="AE392" s="13" t="n">
        <x:v>0.10576682940633865</x:v>
      </x:c>
      <x:c r="AF392" s="13" t="n">
        <x:v>0.0018011321783088087</x:v>
      </x:c>
      <x:c r="AG392" s="13" t="n">
        <x:v>0.11587864269989316</x:v>
      </x:c>
      <x:c r="AH392" s="13" t="n">
        <x:v>0.4789229736149807</x:v>
      </x:c>
      <x:c r="AI392" s="13" t="n">
        <x:v>1</x:v>
      </x:c>
      <x:c r="AJ392" s="13" t="n">
        <x:v>0.14632727172872134</x:v>
      </x:c>
      <x:c r="AK392" s="13" t="n">
        <x:v>0.000015186833774235761</x:v>
      </x:c>
      <x:c r="AL392" s="13" t="n">
        <x:v>0.2523668476541284</x:v>
      </x:c>
      <x:c r="AM392" s="13" t="n">
        <x:v>0.0906681545543312</x:v>
      </x:c>
      <x:c r="AN392" s="13" t="n">
        <x:v>0.324446354558554</x:v>
      </x:c>
      <x:c r="AO392" s="13" t="n">
        <x:v>0.42754698096844684</x:v>
      </x:c>
      <x:c r="AP392" s="13" t="n">
        <x:v>0.45744457001358285</x:v>
      </x:c>
    </x:row>
    <x:row r="393" ht="15" hidden="0" customHeight="1">
      <x:c r="A393" s="2" t="str">
        <x:v>E392</x:v>
      </x:c>
      <x:c r="B393" s="2" t="str">
        <x:v>***科技有限公司</x:v>
      </x:c>
      <x:c r="C393" s="2" t="str">
        <x:v>无信贷记录</x:v>
      </x:c>
      <x:c r="D393" s="2" t="str"/>
      <x:c r="E393" s="2" t="str"/>
      <x:c r="F393" s="13" t="n">
        <x:v>0.013230954153622593</x:v>
      </x:c>
      <x:c r="G393" s="13" t="n">
        <x:v>0.013505141109649543</x:v>
      </x:c>
      <x:c r="H393" s="13" t="n">
        <x:v>0</x:v>
      </x:c>
      <x:c r="I393" s="13" t="n">
        <x:v>0</x:v>
      </x:c>
      <x:c r="J393" s="13" t="n">
        <x:v>0.000319588880493999</x:v>
      </x:c>
      <x:c r="K393" s="13" t="n">
        <x:v>0.00031723005751367215</x:v>
      </x:c>
      <x:c r="L393" s="13" t="n">
        <x:v>0.01866182288685959</x:v>
      </x:c>
      <x:c r="M393" s="13" t="n">
        <x:v>0</x:v>
      </x:c>
      <x:c r="N393" s="13" t="n">
        <x:v>0</x:v>
      </x:c>
      <x:c r="O393" s="13" t="n">
        <x:v>0.16553281683352608</x:v>
      </x:c>
      <x:c r="P393" s="13" t="n">
        <x:v>0.32924906429358525</x:v>
      </x:c>
      <x:c r="Q393" s="13" t="n">
        <x:v>0.00040758352878384293</x:v>
      </x:c>
      <x:c r="R393" s="13" t="n">
        <x:v>0.21244512669471977</x:v>
      </x:c>
      <x:c r="S393" s="13" t="n">
        <x:v>0.6030666193437368</x:v>
      </x:c>
      <x:c r="T393" s="13" t="n">
        <x:v>0.75</x:v>
      </x:c>
      <x:c r="U393" s="13" t="n">
        <x:v>0.02189023431357134</x:v>
      </x:c>
      <x:c r="V393" s="13" t="n">
        <x:v>0.02055610094773818</x:v>
      </x:c>
      <x:c r="W393" s="13" t="n">
        <x:v>0.040752815649081245</x:v>
      </x:c>
      <x:c r="X393" s="13" t="n">
        <x:v>0.005668291576918725</x:v>
      </x:c>
      <x:c r="Y393" s="13" t="n">
        <x:v>0.0014585522056930137</x:v>
      </x:c>
      <x:c r="Z393" s="13" t="n">
        <x:v>0.0009689391110066324</x:v>
      </x:c>
      <x:c r="AA393" s="13" t="n">
        <x:v>0.06091491226766906</x:v>
      </x:c>
      <x:c r="AB393" s="13" t="n">
        <x:v>0.15599761883437172</x:v>
      </x:c>
      <x:c r="AC393" s="13" t="n">
        <x:v>0.04941953860344486</x:v>
      </x:c>
      <x:c r="AD393" s="13" t="n">
        <x:v>0.03192045086911417</x:v>
      </x:c>
      <x:c r="AE393" s="13" t="n">
        <x:v>0.099118294914678</x:v>
      </x:c>
      <x:c r="AF393" s="13" t="n">
        <x:v>0.0014778293018274631</x:v>
      </x:c>
      <x:c r="AG393" s="13" t="n">
        <x:v>0.2853765023837836</x:v>
      </x:c>
      <x:c r="AH393" s="13" t="n">
        <x:v>0.545687405922558</x:v>
      </x:c>
      <x:c r="AI393" s="13" t="n">
        <x:v>0.8235294117647058</x:v>
      </x:c>
      <x:c r="AJ393" s="13" t="n">
        <x:v>0.14545158399320796</x:v>
      </x:c>
      <x:c r="AK393" s="13" t="n">
        <x:v>0.0041935065134394624</x:v>
      </x:c>
      <x:c r="AL393" s="13" t="n">
        <x:v>0.20859200509564554</x:v>
      </x:c>
      <x:c r="AM393" s="13" t="n">
        <x:v>0.04779060363208591</x:v>
      </x:c>
      <x:c r="AN393" s="13" t="n">
        <x:v>0.09510746274859114</x:v>
      </x:c>
      <x:c r="AO393" s="13" t="n">
        <x:v>0.28185712131858526</x:v>
      </x:c>
      <x:c r="AP393" s="13" t="n">
        <x:v>0.5429771071511542</x:v>
      </x:c>
    </x:row>
    <x:row r="394" ht="15" hidden="0" customHeight="1">
      <x:c r="A394" s="2" t="str">
        <x:v>E393</x:v>
      </x:c>
      <x:c r="B394" s="2" t="str">
        <x:v>***商贸有限责任公司</x:v>
      </x:c>
      <x:c r="C394" s="2" t="str">
        <x:v>无信贷记录</x:v>
      </x:c>
      <x:c r="D394" s="2" t="str"/>
      <x:c r="E394" s="2" t="str"/>
      <x:c r="F394" s="13" t="n">
        <x:v>0.001644525375026537</x:v>
      </x:c>
      <x:c r="G394" s="13" t="n">
        <x:v>0.0016023048774160475</x:v>
      </x:c>
      <x:c r="H394" s="13" t="n">
        <x:v>0.0018181818181818182</x:v>
      </x:c>
      <x:c r="I394" s="13" t="n">
        <x:v>0</x:v>
      </x:c>
      <x:c r="J394" s="13" t="n">
        <x:v>0.0014601003917768377</x:v>
      </x:c>
      <x:c r="K394" s="13" t="n">
        <x:v>0.0014493236765407392</x:v>
      </x:c>
      <x:c r="L394" s="13" t="n">
        <x:v>0.003110303814476598</x:v>
      </x:c>
      <x:c r="M394" s="13" t="n">
        <x:v>0.32696177062374254</x:v>
      </x:c>
      <x:c r="N394" s="13" t="n">
        <x:v>0</x:v>
      </x:c>
      <x:c r="O394" s="13" t="n">
        <x:v>0.5252712526805297</x:v>
      </x:c>
      <x:c r="P394" s="13" t="n">
        <x:v>0.6217524861527475</x:v>
      </x:c>
      <x:c r="Q394" s="13" t="n">
        <x:v>0.0018082523277742123</x:v>
      </x:c>
      <x:c r="R394" s="13" t="n">
        <x:v>0.21616724777534585</x:v>
      </x:c>
      <x:c r="S394" s="13" t="n">
        <x:v>0.7665810860400682</x:v>
      </x:c>
      <x:c r="T394" s="13" t="n">
        <x:v>0.3888888888888889</x:v>
      </x:c>
      <x:c r="U394" s="13" t="n">
        <x:v>0.0522059722877462</x:v>
      </x:c>
      <x:c r="V394" s="13" t="n">
        <x:v>0.050137924083896716</x:v>
      </x:c>
      <x:c r="W394" s="13" t="n">
        <x:v>0.07780082987551874</x:v>
      </x:c>
      <x:c r="X394" s="13" t="n">
        <x:v>0.028341457884593628</x:v>
      </x:c>
      <x:c r="Y394" s="13" t="n">
        <x:v>0.00128031260023861</x:v>
      </x:c>
      <x:c r="Z394" s="13" t="n">
        <x:v>0.0009041433711769</x:v>
      </x:c>
      <x:c r="AA394" s="13" t="n">
        <x:v>0.0612863446595451</x:v>
      </x:c>
      <x:c r="AB394" s="13" t="n">
        <x:v>0.12756432512141228</x:v>
      </x:c>
      <x:c r="AC394" s="13" t="n">
        <x:v>0.10310877999064322</x:v>
      </x:c>
      <x:c r="AD394" s="13" t="n">
        <x:v>0.062247876415124095</x:v>
      </x:c>
      <x:c r="AE394" s="13" t="n">
        <x:v>0.14321908306290573</x:v>
      </x:c>
      <x:c r="AF394" s="13" t="n">
        <x:v>0.0012523521153873596</x:v>
      </x:c>
      <x:c r="AG394" s="13" t="n">
        <x:v>0</x:v>
      </x:c>
      <x:c r="AH394" s="13" t="n">
        <x:v>0.5120149452132364</x:v>
      </x:c>
      <x:c r="AI394" s="13" t="n">
        <x:v>0.9411764705882353</x:v>
      </x:c>
      <x:c r="AJ394" s="13" t="n">
        <x:v>0.14447944515657068</x:v>
      </x:c>
      <x:c r="AK394" s="13" t="n">
        <x:v>0.02040139020778631</x:v>
      </x:c>
      <x:c r="AL394" s="13" t="n">
        <x:v>0.28283462319955016</x:v>
      </x:c>
      <x:c r="AM394" s="13" t="n">
        <x:v>0.1711021611519125</x:v>
      </x:c>
      <x:c r="AN394" s="13" t="n">
        <x:v>0.32862486174381456</x:v>
      </x:c>
      <x:c r="AO394" s="13" t="n">
        <x:v>0.13897740514955897</x:v>
      </x:c>
      <x:c r="AP394" s="13" t="n">
        <x:v>0.6351774887494198</x:v>
      </x:c>
    </x:row>
    <x:row r="395" ht="15" hidden="0" customHeight="1">
      <x:c r="A395" s="2" t="str">
        <x:v>E394</x:v>
      </x:c>
      <x:c r="B395" s="2" t="str">
        <x:v>***环保设计研究院（有限合伙）</x:v>
      </x:c>
      <x:c r="C395" s="2" t="str">
        <x:v>无信贷记录</x:v>
      </x:c>
      <x:c r="D395" s="2" t="str"/>
      <x:c r="E395" s="2" t="str"/>
      <x:c r="F395" s="13" t="n">
        <x:v>0.04103838322225313</x:v>
      </x:c>
      <x:c r="G395" s="13" t="n">
        <x:v>0.04051542332894863</x:v>
      </x:c>
      <x:c r="H395" s="13" t="n">
        <x:v>0.03272727272727273</x:v>
      </x:c>
      <x:c r="I395" s="13" t="n">
        <x:v>0.026709401709401753</x:v>
      </x:c>
      <x:c r="J395" s="13" t="n">
        <x:v>0.0026333686668702167</x:v>
      </x:c>
      <x:c r="K395" s="13" t="n">
        <x:v>0.0027300165722113274</x:v>
      </x:c>
      <x:c r="L395" s="13" t="n">
        <x:v>0.08086789917639155</x:v>
      </x:c>
      <x:c r="M395" s="13" t="n">
        <x:v>0.2563475225217001</x:v>
      </x:c>
      <x:c r="N395" s="13" t="n">
        <x:v>0.15461491438587383</x:v>
      </x:c>
      <x:c r="O395" s="13" t="n">
        <x:v>0.06530050015953633</x:v>
      </x:c>
      <x:c r="P395" s="13" t="n">
        <x:v>0.09951821633503413</x:v>
      </x:c>
      <x:c r="Q395" s="13" t="n">
        <x:v>0.0026449898755434727</x:v>
      </x:c>
      <x:c r="R395" s="13" t="n">
        <x:v>0.17586755771442208</x:v>
      </x:c>
      <x:c r="S395" s="13" t="n">
        <x:v>0.49528759588836024</x:v>
      </x:c>
      <x:c r="T395" s="13" t="n">
        <x:v>0.9166666666666666</x:v>
      </x:c>
      <x:c r="U395" s="13" t="n">
        <x:v>0.006077126033093959</x:v>
      </x:c>
      <x:c r="V395" s="13" t="n">
        <x:v>0.0013325818119379934</x:v>
      </x:c>
      <x:c r="W395" s="13" t="n">
        <x:v>0.07162616083777916</x:v>
      </x:c>
      <x:c r="X395" s="13" t="n">
        <x:v>0</x:v>
      </x:c>
      <x:c r="Y395" s="13" t="n">
        <x:v>0.0015546910273875503</x:v>
      </x:c>
      <x:c r="Z395" s="13" t="n">
        <x:v>0.001023955844044196</x:v>
      </x:c>
      <x:c r="AA395" s="13" t="n">
        <x:v>0.003714323918760309</x:v>
      </x:c>
      <x:c r="AB395" s="13" t="n">
        <x:v>0.9023567671738879</x:v>
      </x:c>
      <x:c r="AC395" s="13" t="n">
        <x:v>0</x:v>
      </x:c>
      <x:c r="AD395" s="13" t="n">
        <x:v>0.18626274417556113</x:v>
      </x:c>
      <x:c r="AE395" s="13" t="n">
        <x:v>0.24833879126037295</x:v>
      </x:c>
      <x:c r="AF395" s="13" t="n">
        <x:v>0.0021731097858502767</x:v>
      </x:c>
      <x:c r="AG395" s="13" t="n">
        <x:v>0.5422310955276594</x:v>
      </x:c>
      <x:c r="AH395" s="13" t="n">
        <x:v>0.9563935195009632</x:v>
      </x:c>
      <x:c r="AI395" s="13" t="n">
        <x:v>0.17647058823529413</x:v>
      </x:c>
      <x:c r="AJ395" s="13" t="n">
        <x:v>0.14413719918220141</x:v>
      </x:c>
      <x:c r="AK395" s="13" t="n">
        <x:v>0.03419571413194053</x:v>
      </x:c>
      <x:c r="AL395" s="13" t="n">
        <x:v>0.3371508485466987</x:v>
      </x:c>
      <x:c r="AM395" s="13" t="n">
        <x:v>0.07004687752572882</x:v>
      </x:c>
      <x:c r="AN395" s="13" t="n">
        <x:v>0.12640664945207217</x:v>
      </x:c>
      <x:c r="AO395" s="13" t="n">
        <x:v>0.38531011792826575</x:v>
      </x:c>
      <x:c r="AP395" s="13" t="n">
        <x:v>0.669973953642872</x:v>
      </x:c>
    </x:row>
    <x:row r="396" ht="15" hidden="0" customHeight="1">
      <x:c r="A396" s="2" t="str">
        <x:v>E395</x:v>
      </x:c>
      <x:c r="B396" s="2" t="str">
        <x:v>***网络科技有限公司</x:v>
      </x:c>
      <x:c r="C396" s="2" t="str">
        <x:v>无信贷记录</x:v>
      </x:c>
      <x:c r="D396" s="2" t="str"/>
      <x:c r="E396" s="2" t="str"/>
      <x:c r="F396" s="13" t="n">
        <x:v>0.010091405710390113</x:v>
      </x:c>
      <x:c r="G396" s="13" t="n">
        <x:v>0.00999533042578582</x:v>
      </x:c>
      <x:c r="H396" s="13" t="n">
        <x:v>0.007272727272727273</x:v>
      </x:c>
      <x:c r="I396" s="13" t="n">
        <x:v>0.020032051282051315</x:v>
      </x:c>
      <x:c r="J396" s="13" t="n">
        <x:v>0.000903077956283665</x:v>
      </x:c>
      <x:c r="K396" s="13" t="n">
        <x:v>0.0009154959608563186</x:v>
      </x:c>
      <x:c r="L396" s="13" t="n">
        <x:v>0.022394187464231507</x:v>
      </x:c>
      <x:c r="M396" s="13" t="n">
        <x:v>0.22911189766335244</x:v>
      </x:c>
      <x:c r="N396" s="13" t="n">
        <x:v>0.4647166317725794</x:v>
      </x:c>
      <x:c r="O396" s="13" t="n">
        <x:v>0.20446948255895697</x:v>
      </x:c>
      <x:c r="P396" s="13" t="n">
        <x:v>0.3031299985320039</x:v>
      </x:c>
      <x:c r="Q396" s="13" t="n">
        <x:v>0.0010154241467788766</x:v>
      </x:c>
      <x:c r="R396" s="13" t="n">
        <x:v>0.1827567626387408</x:v>
      </x:c>
      <x:c r="S396" s="13" t="n">
        <x:v>0.42886977753647326</x:v>
      </x:c>
      <x:c r="T396" s="13" t="n">
        <x:v>0.8055555555555556</x:v>
      </x:c>
      <x:c r="U396" s="13" t="n">
        <x:v>0.011319040380213533</x:v>
      </x:c>
      <x:c r="V396" s="13" t="n">
        <x:v>0.008144799758119613</x:v>
      </x:c>
      <x:c r="W396" s="13" t="n">
        <x:v>0.05557202133965624</x:v>
      </x:c>
      <x:c r="X396" s="13" t="n">
        <x:v>0.008502437365378089</x:v>
      </x:c>
      <x:c r="Y396" s="13" t="n">
        <x:v>0.0032177338838147544</x:v>
      </x:c>
      <x:c r="Z396" s="13" t="n">
        <x:v>0.0021228626235099265</x:v>
      </x:c>
      <x:c r="AA396" s="13" t="n">
        <x:v>0.007057215445644587</x:v>
      </x:c>
      <x:c r="AB396" s="13" t="n">
        <x:v>0.3979010552348265</x:v>
      </x:c>
      <x:c r="AC396" s="13" t="n">
        <x:v>0.17901439249439333</x:v>
      </x:c>
      <x:c r="AD396" s="13" t="n">
        <x:v>0.20649604151461562</x:v>
      </x:c>
      <x:c r="AE396" s="13" t="n">
        <x:v>0.2948768075199472</x:v>
      </x:c>
      <x:c r="AF396" s="13" t="n">
        <x:v>0.003755588693265663</x:v>
      </x:c>
      <x:c r="AG396" s="13" t="n">
        <x:v>0.3508896068371393</x:v>
      </x:c>
      <x:c r="AH396" s="13" t="n">
        <x:v>0.2184258825350724</x:v>
      </x:c>
      <x:c r="AI396" s="13" t="n">
        <x:v>0.7058823529411765</x:v>
      </x:c>
      <x:c r="AJ396" s="13" t="n">
        <x:v>0.1476133991545303</x:v>
      </x:c>
      <x:c r="AK396" s="13" t="n">
        <x:v>0.00570655271252081</x:v>
      </x:c>
      <x:c r="AL396" s="13" t="n">
        <x:v>0.49805077476002946</x:v>
      </x:c>
      <x:c r="AM396" s="13" t="n">
        <x:v>0.2564271155237033</x:v>
      </x:c>
      <x:c r="AN396" s="13" t="n">
        <x:v>0.22177750484654699</x:v>
      </x:c>
      <x:c r="AO396" s="13" t="n">
        <x:v>0.29339214124231333</x:v>
      </x:c>
      <x:c r="AP396" s="13" t="n">
        <x:v>0.26924849369316156</x:v>
      </x:c>
    </x:row>
    <x:row r="397" ht="15" hidden="0" customHeight="1">
      <x:c r="A397" s="2" t="str">
        <x:v>E396</x:v>
      </x:c>
      <x:c r="B397" s="2" t="str">
        <x:v>***文化传播有限公司</x:v>
      </x:c>
      <x:c r="C397" s="2" t="str">
        <x:v>无信贷记录</x:v>
      </x:c>
      <x:c r="D397" s="2" t="str"/>
      <x:c r="E397" s="2" t="str"/>
      <x:c r="F397" s="13" t="n">
        <x:v>0.015622991062752101</x:v>
      </x:c>
      <x:c r="G397" s="13" t="n">
        <x:v>0.014954845522549776</x:v>
      </x:c>
      <x:c r="H397" s="13" t="n">
        <x:v>0.023636363636363636</x:v>
      </x:c>
      <x:c r="I397" s="13" t="n">
        <x:v>0</x:v>
      </x:c>
      <x:c r="J397" s="13" t="n">
        <x:v>0.0017047391049871744</x:v>
      </x:c>
      <x:c r="K397" s="13" t="n">
        <x:v>0.0016921567592870054</x:v>
      </x:c>
      <x:c r="L397" s="13" t="n">
        <x:v>0.05909577247505537</x:v>
      </x:c>
      <x:c r="M397" s="13" t="n">
        <x:v>0.48346953760477573</x:v>
      </x:c>
      <x:c r="N397" s="13" t="n">
        <x:v>0</x:v>
      </x:c>
      <x:c r="O397" s="13" t="n">
        <x:v>0.07434209718228249</x:v>
      </x:c>
      <x:c r="P397" s="13" t="n">
        <x:v>0.141272768104221</x:v>
      </x:c>
      <x:c r="Q397" s="13" t="n">
        <x:v>0.001758889131335622</x:v>
      </x:c>
      <x:c r="R397" s="13" t="n">
        <x:v>0.23455753278908473</x:v>
      </x:c>
      <x:c r="S397" s="13" t="n">
        <x:v>0.5216715432479277</x:v>
      </x:c>
      <x:c r="T397" s="13" t="n">
        <x:v>0.8055555555555556</x:v>
      </x:c>
      <x:c r="U397" s="13" t="n">
        <x:v>0.005290838881026023</x:v>
      </x:c>
      <x:c r="V397" s="13" t="n">
        <x:v>0.005438576190458422</x:v>
      </x:c>
      <x:c r="W397" s="13" t="n">
        <x:v>0.006174669037739582</x:v>
      </x:c>
      <x:c r="X397" s="13" t="n">
        <x:v>0.008502437365378089</x:v>
      </x:c>
      <x:c r="Y397" s="13" t="n">
        <x:v>0.0008835822258701486</x:v>
      </x:c>
      <x:c r="Z397" s="13" t="n">
        <x:v>0.0006256651525261025</x:v>
      </x:c>
      <x:c r="AA397" s="13" t="n">
        <x:v>0.00445718870251237</x:v>
      </x:c>
      <x:c r="AB397" s="13" t="n">
        <x:v>0.08779086774228712</x:v>
      </x:c>
      <x:c r="AC397" s="13" t="n">
        <x:v>0.25888235222266115</x:v>
      </x:c>
      <x:c r="AD397" s="13" t="n">
        <x:v>0.20857986739478404</x:v>
      </x:c>
      <x:c r="AE397" s="13" t="n">
        <x:v>0.36858618863822457</x:v>
      </x:c>
      <x:c r="AF397" s="13" t="n">
        <x:v>0.0009745782699687335</x:v>
      </x:c>
      <x:c r="AG397" s="13" t="n">
        <x:v>0.5762309615288949</x:v>
      </x:c>
      <x:c r="AH397" s="13" t="n">
        <x:v>0.31689502955698234</x:v>
      </x:c>
      <x:c r="AI397" s="13" t="n">
        <x:v>0.29411764705882354</x:v>
      </x:c>
      <x:c r="AJ397" s="13" t="n">
        <x:v>0.1437557249224409</x:v>
      </x:c>
      <x:c r="AK397" s="13" t="n">
        <x:v>0.033407308602879375</x:v>
      </x:c>
      <x:c r="AL397" s="13" t="n">
        <x:v>0.1771652034046518</x:v>
      </x:c>
      <x:c r="AM397" s="13" t="n">
        <x:v>0.11066341297315711</x:v>
      </x:c>
      <x:c r="AN397" s="13" t="n">
        <x:v>0.14503500410875717</x:v>
      </x:c>
      <x:c r="AO397" s="13" t="n">
        <x:v>0.44534991432930787</x:v>
      </x:c>
      <x:c r="AP397" s="13" t="n">
        <x:v>0.37840335582099005</x:v>
      </x:c>
    </x:row>
    <x:row r="398" ht="15" hidden="0" customHeight="1">
      <x:c r="A398" s="2" t="str">
        <x:v>E397</x:v>
      </x:c>
      <x:c r="B398" s="2" t="str">
        <x:v>***大闸蟹经营部</x:v>
      </x:c>
      <x:c r="C398" s="2" t="str">
        <x:v>无信贷记录</x:v>
      </x:c>
      <x:c r="D398" s="2" t="str"/>
      <x:c r="E398" s="2" t="str"/>
      <x:c r="F398" s="13" t="n">
        <x:v>0.0012707696079750513</x:v>
      </x:c>
      <x:c r="G398" s="13" t="n">
        <x:v>0.0012971039483844194</x:v>
      </x:c>
      <x:c r="H398" s="13" t="n">
        <x:v>0</x:v>
      </x:c>
      <x:c r="I398" s="13" t="n">
        <x:v>0</x:v>
      </x:c>
      <x:c r="J398" s="13" t="n">
        <x:v>0.0015128409398288106</x:v>
      </x:c>
      <x:c r="K398" s="13" t="n">
        <x:v>0.0015016749569293697</x:v>
      </x:c>
      <x:c r="L398" s="13" t="n">
        <x:v>0.001866182288685959</x:v>
      </x:c>
      <x:c r="M398" s="13" t="n">
        <x:v>0</x:v>
      </x:c>
      <x:c r="N398" s="13" t="n">
        <x:v>0</x:v>
      </x:c>
      <x:c r="O398" s="13" t="n">
        <x:v>0.880964604509285</x:v>
      </x:c>
      <x:c r="P398" s="13" t="n">
        <x:v>0.9348615780106239</x:v>
      </x:c>
      <x:c r="Q398" s="13" t="n">
        <x:v>0.002007840710339188</x:v>
      </x:c>
      <x:c r="R398" s="13" t="n">
        <x:v>1</x:v>
      </x:c>
      <x:c r="S398" s="13" t="n">
        <x:v>0.6197750712837303</x:v>
      </x:c>
      <x:c r="T398" s="13" t="n">
        <x:v>0.19444444444444445</x:v>
      </x:c>
      <x:c r="U398" s="13" t="n">
        <x:v>0.015163110901434552</x:v>
      </x:c>
      <x:c r="V398" s="13" t="n">
        <x:v>0.011690885812296346</x:v>
      </x:c>
      <x:c r="W398" s="13" t="n">
        <x:v>0.06298162418494374</x:v>
      </x:c>
      <x:c r="X398" s="13" t="n">
        <x:v>0</x:v>
      </x:c>
      <x:c r="Y398" s="13" t="n">
        <x:v>0.0009052632784534139</x:v>
      </x:c>
      <x:c r="Z398" s="13" t="n">
        <x:v>0.0005949421521040722</x:v>
      </x:c>
      <x:c r="AA398" s="13" t="n">
        <x:v>0.034543212444470874</x:v>
      </x:c>
      <x:c r="AB398" s="13" t="n">
        <x:v>0.34252830365023496</x:v>
      </x:c>
      <x:c r="AC398" s="13" t="n">
        <x:v>0</x:v>
      </x:c>
      <x:c r="AD398" s="13" t="n">
        <x:v>0.06825068227123324</x:v>
      </x:c>
      <x:c r="AE398" s="13" t="n">
        <x:v>0.1435010846272878</x:v>
      </x:c>
      <x:c r="AF398" s="13" t="n">
        <x:v>0.001117272392190428</x:v>
      </x:c>
      <x:c r="AG398" s="13" t="n">
        <x:v>0.3635532346033062</x:v>
      </x:c>
      <x:c r="AH398" s="13" t="n">
        <x:v>0.4890184166384388</x:v>
      </x:c>
      <x:c r="AI398" s="13" t="n">
        <x:v>0.29411764705882354</x:v>
      </x:c>
      <x:c r="AJ398" s="13" t="n">
        <x:v>0.14390735266604152</x:v>
      </x:c>
      <x:c r="AK398" s="13" t="n">
        <x:v>0.031027251089238227</x:v>
      </x:c>
      <x:c r="AL398" s="13" t="n">
        <x:v>0.7099559457022927</x:v>
      </x:c>
      <x:c r="AM398" s="13" t="n">
        <x:v>0</x:v>
      </x:c>
      <x:c r="AN398" s="13" t="n">
        <x:v>0.5453196421800414</x:v>
      </x:c>
      <x:c r="AO398" s="13" t="n">
        <x:v>0.8992405359757133</x:v>
      </x:c>
      <x:c r="AP398" s="13" t="n">
        <x:v>0.5266729207176266</x:v>
      </x:c>
    </x:row>
    <x:row r="399" ht="15" hidden="0" customHeight="1">
      <x:c r="A399" s="2" t="str">
        <x:v>E398</x:v>
      </x:c>
      <x:c r="B399" s="2" t="str">
        <x:v>***医疗管理咨询有限公司</x:v>
      </x:c>
      <x:c r="C399" s="2" t="str">
        <x:v>无信贷记录</x:v>
      </x:c>
      <x:c r="D399" s="2" t="str"/>
      <x:c r="E399" s="2" t="str"/>
      <x:c r="F399" s="13" t="n">
        <x:v>0.005382083045541394</x:v>
      </x:c>
      <x:c r="G399" s="13" t="n">
        <x:v>0.005417316490311398</x:v>
      </x:c>
      <x:c r="H399" s="13" t="n">
        <x:v>0.0018181818181818182</x:v>
      </x:c>
      <x:c r="I399" s="13" t="n">
        <x:v>0</x:v>
      </x:c>
      <x:c r="J399" s="13" t="n">
        <x:v>0.0002746260418150663</x:v>
      </x:c>
      <x:c r="K399" s="13" t="n">
        <x:v>0.0002725990807473713</x:v>
      </x:c>
      <x:c r="L399" s="13" t="n">
        <x:v>0.011819154495011074</x:v>
      </x:c>
      <x:c r="M399" s="13" t="n">
        <x:v>0.10604165533743003</x:v>
      </x:c>
      <x:c r="N399" s="13" t="n">
        <x:v>0</x:v>
      </x:c>
      <x:c r="O399" s="13" t="n">
        <x:v>0.21124619324450988</x:v>
      </x:c>
      <x:c r="P399" s="13" t="n">
        <x:v>0.35466880131022094</x:v>
      </x:c>
      <x:c r="Q399" s="13" t="n">
        <x:v>0.00032701034174115103</x:v>
      </x:c>
      <x:c r="R399" s="13" t="n">
        <x:v>0.20205681576137685</x:v>
      </x:c>
      <x:c r="S399" s="13" t="n">
        <x:v>0.5500794793172645</x:v>
      </x:c>
      <x:c r="T399" s="13" t="n">
        <x:v>0.8055555555555556</x:v>
      </x:c>
      <x:c r="U399" s="13" t="n">
        <x:v>0.006950778424280555</x:v>
      </x:c>
      <x:c r="V399" s="13" t="n">
        <x:v>0.007678209487833201</x:v>
      </x:c>
      <x:c r="W399" s="13" t="n">
        <x:v>0</x:v>
      </x:c>
      <x:c r="X399" s="13" t="n">
        <x:v>0</x:v>
      </x:c>
      <x:c r="Y399" s="13" t="n">
        <x:v>0.0008569955684862784</x:v>
      </x:c>
      <x:c r="Z399" s="13" t="n">
        <x:v>0.0005630563749895558</x:v>
      </x:c>
      <x:c r="AA399" s="13" t="n">
        <x:v>0.00817151262127268</x:v>
      </x:c>
      <x:c r="AB399" s="13" t="n">
        <x:v>0</x:v>
      </x:c>
      <x:c r="AC399" s="13" t="n">
        <x:v>0</x:v>
      </x:c>
      <x:c r="AD399" s="13" t="n">
        <x:v>0.660651637097815</x:v>
      </x:c>
      <x:c r="AE399" s="13" t="n">
        <x:v>0.8036689337204025</x:v>
      </x:c>
      <x:c r="AF399" s="13" t="n">
        <x:v>0.0009113914606749559</x:v>
      </x:c>
      <x:c r="AG399" s="13" t="n">
        <x:v>0.6624814656758623</x:v>
      </x:c>
      <x:c r="AH399" s="13" t="n">
        <x:v>0.652160368868129</x:v>
      </x:c>
      <x:c r="AI399" s="13" t="n">
        <x:v>0.47058823529411764</x:v>
      </x:c>
      <x:c r="AJ399" s="13" t="n">
        <x:v>0.14461531434770247</x:v>
      </x:c>
      <x:c r="AK399" s="13" t="n">
        <x:v>0.005939112217056411</x:v>
      </x:c>
      <x:c r="AL399" s="13" t="n">
        <x:v>0.013379158356504404</x:v>
      </x:c>
      <x:c r="AM399" s="13" t="n">
        <x:v>0</x:v>
      </x:c>
      <x:c r="AN399" s="13" t="n">
        <x:v>0.49467069331582236</x:v>
      </x:c>
      <x:c r="AO399" s="13" t="n">
        <x:v>0.46534000175359375</x:v>
      </x:c>
      <x:c r="AP399" s="13" t="n">
        <x:v>0.5592848018875186</x:v>
      </x:c>
    </x:row>
    <x:row r="400" ht="15" hidden="0" customHeight="1">
      <x:c r="A400" s="2" t="str">
        <x:v>E399</x:v>
      </x:c>
      <x:c r="B400" s="2" t="str">
        <x:v>***装饰工程有限公司</x:v>
      </x:c>
      <x:c r="C400" s="2" t="str">
        <x:v>无信贷记录</x:v>
      </x:c>
      <x:c r="D400" s="2" t="str"/>
      <x:c r="E400" s="2" t="str"/>
      <x:c r="F400" s="13" t="n">
        <x:v>0.0037375576705148566</x:v>
      </x:c>
      <x:c r="G400" s="13" t="n">
        <x:v>0.003815011612895351</x:v>
      </x:c>
      <x:c r="H400" s="13" t="n">
        <x:v>0</x:v>
      </x:c>
      <x:c r="I400" s="13" t="n">
        <x:v>0</x:v>
      </x:c>
      <x:c r="J400" s="13" t="n">
        <x:v>0.0000671114419090906</x:v>
      </x:c>
      <x:c r="K400" s="13" t="n">
        <x:v>0.0000666161054907104</x:v>
      </x:c>
      <x:c r="L400" s="13" t="n">
        <x:v>0.007464729154743836</x:v>
      </x:c>
      <x:c r="M400" s="13" t="n">
        <x:v>0</x:v>
      </x:c>
      <x:c r="N400" s="13" t="n">
        <x:v>0</x:v>
      </x:c>
      <x:c r="O400" s="13" t="n">
        <x:v>0.31209346189533044</x:v>
      </x:c>
      <x:c r="P400" s="13" t="n">
        <x:v>0.4649960265583703</x:v>
      </x:c>
      <x:c r="Q400" s="13" t="n">
        <x:v>0.00009784311339913613</x:v>
      </x:c>
      <x:c r="R400" s="13" t="n">
        <x:v>0.23257883062774695</x:v>
      </x:c>
      <x:c r="S400" s="13" t="n">
        <x:v>0.4440436019328747</x:v>
      </x:c>
      <x:c r="T400" s="13" t="n">
        <x:v>0.6111111111111112</x:v>
      </x:c>
      <x:c r="U400" s="13" t="n">
        <x:v>0.0008352116859743852</x:v>
      </x:c>
      <x:c r="V400" s="13" t="n">
        <x:v>0.0007726734875942987</x:v>
      </x:c>
      <x:c r="W400" s="13" t="n">
        <x:v>0.004939735230191666</x:v>
      </x:c>
      <x:c r="X400" s="13" t="n">
        <x:v>0</x:v>
      </x:c>
      <x:c r="Y400" s="13" t="n">
        <x:v>0.0005849101159924417</x:v>
      </x:c>
      <x:c r="Z400" s="13" t="n">
        <x:v>0.0003833160040411958</x:v>
      </x:c>
      <x:c r="AA400" s="13" t="n">
        <x:v>0.002600026743132216</x:v>
      </x:c>
      <x:c r="AB400" s="13" t="n">
        <x:v>0.2587520312404252</x:v>
      </x:c>
      <x:c r="AC400" s="13" t="n">
        <x:v>0</x:v>
      </x:c>
      <x:c r="AD400" s="13" t="n">
        <x:v>0.2510339252184013</x:v>
      </x:c>
      <x:c r="AE400" s="13" t="n">
        <x:v>0.324530868700534</x:v>
      </x:c>
      <x:c r="AF400" s="13" t="n">
        <x:v>0.0008514874967800281</x:v>
      </x:c>
      <x:c r="AG400" s="13" t="n">
        <x:v>0.6381338728620378</x:v>
      </x:c>
      <x:c r="AH400" s="13" t="n">
        <x:v>0.31152282269317205</x:v>
      </x:c>
      <x:c r="AI400" s="13" t="n">
        <x:v>0.08823529411764706</x:v>
      </x:c>
      <x:c r="AJ400" s="13" t="n">
        <x:v>0.14435457423530787</x:v>
      </x:c>
      <x:c r="AK400" s="13" t="n">
        <x:v>0.0020650053050275305</x:v>
      </x:c>
      <x:c r="AL400" s="13" t="n">
        <x:v>0.15533842583793966</x:v>
      </x:c>
      <x:c r="AM400" s="13" t="n">
        <x:v>0</x:v>
      </x:c>
      <x:c r="AN400" s="13" t="n">
        <x:v>0.31263253659543017</x:v>
      </x:c>
      <x:c r="AO400" s="13" t="n">
        <x:v>0.4752697157500248</x:v>
      </x:c>
      <x:c r="AP400" s="13" t="n">
        <x:v>0.32430903785073073</x:v>
      </x:c>
    </x:row>
    <x:row r="401" ht="15" hidden="0" customHeight="1">
      <x:c r="A401" s="2" t="str">
        <x:v>E400</x:v>
      </x:c>
      <x:c r="B401" s="2" t="str">
        <x:v>***办公用品经营部</x:v>
      </x:c>
      <x:c r="C401" s="2" t="str">
        <x:v>无信贷记录</x:v>
      </x:c>
      <x:c r="D401" s="2" t="str"/>
      <x:c r="E401" s="2" t="str"/>
      <x:c r="F401" s="13" t="n">
        <x:v>0.00104651614774416</x:v>
      </x:c>
      <x:c r="G401" s="13" t="n">
        <x:v>0.0010682032516106982</x:v>
      </x:c>
      <x:c r="H401" s="13" t="n">
        <x:v>0</x:v>
      </x:c>
      <x:c r="I401" s="13" t="n">
        <x:v>0</x:v>
      </x:c>
      <x:c r="J401" s="13" t="n">
        <x:v>0.0002432551933416174</x:v>
      </x:c>
      <x:c r="K401" s="13" t="n">
        <x:v>0.00024145977436692992</x:v>
      </x:c>
      <x:c r="L401" s="13" t="n">
        <x:v>0.001866182288685959</x:v>
      </x:c>
      <x:c r="M401" s="13" t="n">
        <x:v>0</x:v>
      </x:c>
      <x:c r="N401" s="13" t="n">
        <x:v>0</x:v>
      </x:c>
      <x:c r="O401" s="13" t="n">
        <x:v>0.5700396686145642</x:v>
      </x:c>
      <x:c r="P401" s="13" t="n">
        <x:v>0.6893161091213462</x:v>
      </x:c>
      <x:c r="Q401" s="13" t="n">
        <x:v>0.0002633977314496303</x:v>
      </x:c>
      <x:c r="R401" s="13" t="n">
        <x:v>0.8617189240928099</x:v>
      </x:c>
      <x:c r="S401" s="13" t="n">
        <x:v>0.7731159920242521</x:v>
      </x:c>
      <x:c r="T401" s="13" t="n">
        <x:v>0.25</x:v>
      </x:c>
      <x:c r="U401" s="13" t="n">
        <x:v>0.010882214184620235</x:v>
      </x:c>
      <x:c r="V401" s="13" t="n">
        <x:v>0.010757705271723522</x:v>
      </x:c>
      <x:c r="W401" s="13" t="n">
        <x:v>0.014819205690574998</x:v>
      </x:c>
      <x:c r="X401" s="13" t="n">
        <x:v>0</x:v>
      </x:c>
      <x:c r="Y401" s="13" t="n">
        <x:v>0.0011603033033602327</x:v>
      </x:c>
      <x:c r="Z401" s="13" t="n">
        <x:v>0.0007634222684177842</x:v>
      </x:c>
      <x:c r="AA401" s="13" t="n">
        <x:v>0.007428647837520618</x:v>
      </x:c>
      <x:c r="AB401" s="13" t="n">
        <x:v>0.11006616254256893</x:v>
      </x:c>
      <x:c r="AC401" s="13" t="n">
        <x:v>0</x:v>
      </x:c>
      <x:c r="AD401" s="13" t="n">
        <x:v>0.10374234538253284</x:v>
      </x:c>
      <x:c r="AE401" s="13" t="n">
        <x:v>0.14606592037260635</x:v>
      </x:c>
      <x:c r="AF401" s="13" t="n">
        <x:v>0.0011308204344684036</x:v>
      </x:c>
      <x:c r="AG401" s="13" t="n">
        <x:v>0.2845041694205651</x:v>
      </x:c>
      <x:c r="AH401" s="13" t="n">
        <x:v>0.4229794367871866</x:v>
      </x:c>
      <x:c r="AI401" s="13" t="n">
        <x:v>0.5</x:v>
      </x:c>
      <x:c r="AJ401" s="13" t="n">
        <x:v>0.14507089159527198</x:v>
      </x:c>
      <x:c r="AK401" s="13" t="n">
        <x:v>0.003989080717761714</x:v>
      </x:c>
      <x:c r="AL401" s="13" t="n">
        <x:v>0.22224742034244266</x:v>
      </x:c>
      <x:c r="AM401" s="13" t="n">
        <x:v>0</x:v>
      </x:c>
      <x:c r="AN401" s="13" t="n">
        <x:v>0.38001355182490576</x:v>
      </x:c>
      <x:c r="AO401" s="13" t="n">
        <x:v>0.7550532461667149</x:v>
      </x:c>
      <x:c r="AP401" s="13" t="n">
        <x:v>0.5964812973018854</x:v>
      </x:c>
    </x:row>
    <x:row r="402" ht="15" hidden="0" customHeight="1">
      <x:c r="A402" s="2" t="str">
        <x:v>E401</x:v>
      </x:c>
      <x:c r="B402" s="2" t="str">
        <x:v>***遮阳技术发展中心</x:v>
      </x:c>
      <x:c r="C402" s="2" t="str">
        <x:v>无信贷记录</x:v>
      </x:c>
      <x:c r="D402" s="2" t="str"/>
      <x:c r="E402" s="2" t="str"/>
      <x:c r="F402" s="13" t="n">
        <x:v>0.0019435299886677254</x:v>
      </x:c>
      <x:c r="G402" s="13" t="n">
        <x:v>0.0019838060387055824</x:v>
      </x:c>
      <x:c r="H402" s="13" t="n">
        <x:v>0</x:v>
      </x:c>
      <x:c r="I402" s="13" t="n">
        <x:v>0</x:v>
      </x:c>
      <x:c r="J402" s="13" t="n">
        <x:v>0.0006382583460058593</x:v>
      </x:c>
      <x:c r="K402" s="13" t="n">
        <x:v>0.0006335474860672506</x:v>
      </x:c>
      <x:c r="L402" s="13" t="n">
        <x:v>0.005598546866057877</x:v>
      </x:c>
      <x:c r="M402" s="13" t="n">
        <x:v>0</x:v>
      </x:c>
      <x:c r="N402" s="13" t="n">
        <x:v>0</x:v>
      </x:c>
      <x:c r="O402" s="13" t="n">
        <x:v>0.30130541506176844</x:v>
      </x:c>
      <x:c r="P402" s="13" t="n">
        <x:v>0.44169232816137555</x:v>
      </x:c>
      <x:c r="Q402" s="13" t="n">
        <x:v>0.0008164125519642482</x:v>
      </x:c>
      <x:c r="R402" s="13" t="n">
        <x:v>0.41215113735771397</x:v>
      </x:c>
      <x:c r="S402" s="13" t="n">
        <x:v>0.7235307250897451</x:v>
      </x:c>
      <x:c r="T402" s="13" t="n">
        <x:v>0.4444444444444444</x:v>
      </x:c>
      <x:c r="U402" s="13" t="n">
        <x:v>0.00590239555485664</x:v>
      </x:c>
      <x:c r="V402" s="13" t="n">
        <x:v>0.0030123067849690778</x:v>
      </x:c>
      <x:c r="W402" s="13" t="n">
        <x:v>0.04692748468682083</x:v>
      </x:c>
      <x:c r="X402" s="13" t="n">
        <x:v>0</x:v>
      </x:c>
      <x:c r="Y402" s="13" t="n">
        <x:v>0.00044269711791950666</x:v>
      </x:c>
      <x:c r="Z402" s="13" t="n">
        <x:v>0.0002893697206474272</x:v>
      </x:c>
      <x:c r="AA402" s="13" t="n">
        <x:v>0.0048286210943884016</x:v>
      </x:c>
      <x:c r="AB402" s="13" t="n">
        <x:v>0.6065550862194383</x:v>
      </x:c>
      <x:c r="AC402" s="13" t="n">
        <x:v>0</x:v>
      </x:c>
      <x:c r="AD402" s="13" t="n">
        <x:v>0.2427817056485741</x:v>
      </x:c>
      <x:c r="AE402" s="13" t="n">
        <x:v>0.4282946743004193</x:v>
      </x:c>
      <x:c r="AF402" s="13" t="n">
        <x:v>0.0005131982592472425</x:v>
      </x:c>
      <x:c r="AG402" s="13" t="n">
        <x:v>0.7036016369608007</x:v>
      </x:c>
      <x:c r="AH402" s="13" t="n">
        <x:v>0.7374407367577209</x:v>
      </x:c>
      <x:c r="AI402" s="13" t="n">
        <x:v>0.38235294117647056</x:v>
      </x:c>
      <x:c r="AJ402" s="13" t="n">
        <x:v>0.14379164519371992</x:v>
      </x:c>
      <x:c r="AK402" s="13" t="n">
        <x:v>0.024371314439316512</x:v>
      </x:c>
      <x:c r="AL402" s="13" t="n">
        <x:v>1</x:v>
      </x:c>
      <x:c r="AM402" s="13" t="n">
        <x:v>0</x:v>
      </x:c>
      <x:c r="AN402" s="13" t="n">
        <x:v>0.3012832244507976</x:v>
      </x:c>
      <x:c r="AO402" s="13" t="n">
        <x:v>0.6394351216874475</x:v>
      </x:c>
      <x:c r="AP402" s="13" t="n">
        <x:v>0.7155678136826605</x:v>
      </x:c>
    </x:row>
    <x:row r="403" ht="15" hidden="0" customHeight="1">
      <x:c r="A403" s="2" t="str">
        <x:v>E402</x:v>
      </x:c>
      <x:c r="B403" s="2" t="str">
        <x:v>***商贸有限公司</x:v>
      </x:c>
      <x:c r="C403" s="2" t="str">
        <x:v>无信贷记录</x:v>
      </x:c>
      <x:c r="D403" s="2" t="str"/>
      <x:c r="E403" s="2" t="str"/>
      <x:c r="F403" s="13" t="n">
        <x:v>0.004111313437566343</x:v>
      </x:c>
      <x:c r="G403" s="13" t="n">
        <x:v>0.004196512774184886</x:v>
      </x:c>
      <x:c r="H403" s="13" t="n">
        <x:v>0</x:v>
      </x:c>
      <x:c r="I403" s="13" t="n">
        <x:v>0</x:v>
      </x:c>
      <x:c r="J403" s="13" t="n">
        <x:v>0.0016482465006032096</x:v>
      </x:c>
      <x:c r="K403" s="13" t="n">
        <x:v>0.0016360811157598559</x:v>
      </x:c>
      <x:c r="L403" s="13" t="n">
        <x:v>0.0024882430515812785</x:v>
      </x:c>
      <x:c r="M403" s="13" t="n">
        <x:v>0</x:v>
      </x:c>
      <x:c r="N403" s="13" t="n">
        <x:v>0</x:v>
      </x:c>
      <x:c r="O403" s="13" t="n">
        <x:v>0.9944442940240187</x:v>
      </x:c>
      <x:c r="P403" s="13" t="n">
        <x:v>0.9971271462631298</x:v>
      </x:c>
      <x:c r="Q403" s="13" t="n">
        <x:v>0.0018008228962452563</x:v>
      </x:c>
      <x:c r="R403" s="13" t="n">
        <x:v>0.34100721056675</x:v>
      </x:c>
      <x:c r="S403" s="13" t="n">
        <x:v>0.43039996597879443</x:v>
      </x:c>
      <x:c r="T403" s="13" t="n">
        <x:v>0.3333333333333333</x:v>
      </x:c>
      <x:c r="U403" s="13" t="n">
        <x:v>0.0013594031206863426</x:v>
      </x:c>
      <x:c r="V403" s="13" t="n">
        <x:v>0.001425899865995276</x:v>
      </x:c>
      <x:c r="W403" s="13" t="n">
        <x:v>0.0037048014226437496</x:v>
      </x:c>
      <x:c r="X403" s="13" t="n">
        <x:v>0.005668291576918725</x:v>
      </x:c>
      <x:c r="Y403" s="13" t="n">
        <x:v>0.0007242494735442342</x:v>
      </x:c>
      <x:c r="Z403" s="13" t="n">
        <x:v>0.0005741177592090414</x:v>
      </x:c>
      <x:c r="AA403" s="13" t="n">
        <x:v>0.0007428647837520618</x:v>
      </x:c>
      <x:c r="AB403" s="13" t="n">
        <x:v>0.14748865780704237</x:v>
      </x:c>
      <x:c r="AC403" s="13" t="n">
        <x:v>0.5099197846809992</x:v>
      </x:c>
      <x:c r="AD403" s="13" t="n">
        <x:v>0.3598412844716694</x:v>
      </x:c>
      <x:c r="AE403" s="13" t="n">
        <x:v>0.3971752026588822</x:v>
      </x:c>
      <x:c r="AF403" s="13" t="n">
        <x:v>0.0010086812532684151</x:v>
      </x:c>
      <x:c r="AG403" s="13" t="n">
        <x:v>0.4473291391513165</x:v>
      </x:c>
      <x:c r="AH403" s="13" t="n">
        <x:v>0.5142123710977582</x:v>
      </x:c>
      <x:c r="AI403" s="13" t="n">
        <x:v>0.20588235294117646</x:v>
      </x:c>
      <x:c r="AJ403" s="13" t="n">
        <x:v>0.14356221293929444</x:v>
      </x:c>
      <x:c r="AK403" s="13" t="n">
        <x:v>0.03490157658969737</x:v>
      </x:c>
      <x:c r="AL403" s="13" t="n">
        <x:v>0.09948379192375671</x:v>
      </x:c>
      <x:c r="AM403" s="13" t="n">
        <x:v>0.2456074060079352</x:v>
      </x:c>
      <x:c r="AN403" s="13" t="n">
        <x:v>0.7859237106027029</x:v>
      </x:c>
      <x:c r="AO403" s="13" t="n">
        <x:v>0.4576953985293346</x:v>
      </x:c>
      <x:c r="AP403" s="13" t="n">
        <x:v>0.41321903687343475</x:v>
      </x:c>
    </x:row>
    <x:row r="404" ht="15" hidden="0" customHeight="1">
      <x:c r="A404" s="2" t="str">
        <x:v>E403</x:v>
      </x:c>
      <x:c r="B404" s="2" t="str">
        <x:v>***机械有限公司</x:v>
      </x:c>
      <x:c r="C404" s="2" t="str">
        <x:v>无信贷记录</x:v>
      </x:c>
      <x:c r="D404" s="2" t="str"/>
      <x:c r="E404" s="2" t="str"/>
      <x:c r="F404" s="13" t="n">
        <x:v>0.008073124568312091</x:v>
      </x:c>
      <x:c r="G404" s="13" t="n">
        <x:v>0.008087824619338144</x:v>
      </x:c>
      <x:c r="H404" s="13" t="n">
        <x:v>0.0036363636363636364</x:v>
      </x:c>
      <x:c r="I404" s="13" t="n">
        <x:v>0</x:v>
      </x:c>
      <x:c r="J404" s="13" t="n">
        <x:v>0.00034046969919878056</x:v>
      </x:c>
      <x:c r="K404" s="13" t="n">
        <x:v>0.0003379567589821696</x:v>
      </x:c>
      <x:c r="L404" s="13" t="n">
        <x:v>0.032347159670556624</x:v>
      </x:c>
      <x:c r="M404" s="13" t="n">
        <x:v>0.1426742271812695</x:v>
      </x:c>
      <x:c r="N404" s="13" t="n">
        <x:v>0</x:v>
      </x:c>
      <x:c r="O404" s="13" t="n">
        <x:v>0.04612882604146559</x:v>
      </x:c>
      <x:c r="P404" s="13" t="n">
        <x:v>0.0746743082541767</x:v>
      </x:c>
      <x:c r="Q404" s="13" t="n">
        <x:v>0.00036977563351600005</x:v>
      </x:c>
      <x:c r="R404" s="13" t="n">
        <x:v>0.19195078023651976</x:v>
      </x:c>
      <x:c r="S404" s="13" t="n">
        <x:v>0.5128229647122062</x:v>
      </x:c>
      <x:c r="T404" s="13" t="n">
        <x:v>0.7777777777777778</x:v>
      </x:c>
      <x:c r="U404" s="13" t="n">
        <x:v>0.005290838881026023</x:v>
      </x:c>
      <x:c r="V404" s="13" t="n">
        <x:v>0.005065303974229292</x:v>
      </x:c>
      <x:c r="W404" s="13" t="n">
        <x:v>0.011114404267931248</x:v>
      </x:c>
      <x:c r="X404" s="13" t="n">
        <x:v>0</x:v>
      </x:c>
      <x:c r="Y404" s="13" t="n">
        <x:v>0.0017618589838279044</x:v>
      </x:c>
      <x:c r="Z404" s="13" t="n">
        <x:v>0.0011608115450671916</x:v>
      </x:c>
      <x:c r="AA404" s="13" t="n">
        <x:v>0.003342891526884278</x:v>
      </x:c>
      <x:c r="AB404" s="13" t="n">
        <x:v>0.1580235619361168</x:v>
      </x:c>
      <x:c r="AC404" s="13" t="n">
        <x:v>0</x:v>
      </x:c>
      <x:c r="AD404" s="13" t="n">
        <x:v>0.3153972153559431</x:v>
      </x:c>
      <x:c r="AE404" s="13" t="n">
        <x:v>0.46281460764850424</x:v>
      </x:c>
      <x:c r="AF404" s="13" t="n">
        <x:v>0.001640989687447907</x:v>
      </x:c>
      <x:c r="AG404" s="13" t="n">
        <x:v>0.30539992653193365</x:v>
      </x:c>
      <x:c r="AH404" s="13" t="n">
        <x:v>0.41455908423511506</x:v>
      </x:c>
      <x:c r="AI404" s="13" t="n">
        <x:v>0.9705882352941176</x:v>
      </x:c>
      <x:c r="AJ404" s="13" t="n">
        <x:v>0.14587435728846695</x:v>
      </x:c>
      <x:c r="AK404" s="13" t="n">
        <x:v>0.0037661034002444507</x:v>
      </x:c>
      <x:c r="AL404" s="13" t="n">
        <x:v>0.1688352798881205</x:v>
      </x:c>
      <x:c r="AM404" s="13" t="n">
        <x:v>0</x:v>
      </x:c>
      <x:c r="AN404" s="13" t="n">
        <x:v>0.19135816671834854</x:v>
      </x:c>
      <x:c r="AO404" s="13" t="n">
        <x:v>0.2770516318022843</x:v>
      </x:c>
      <x:c r="AP404" s="13" t="n">
        <x:v>0.41973490053979823</x:v>
      </x:c>
    </x:row>
    <x:row r="405" ht="15" hidden="0" customHeight="1">
      <x:c r="A405" s="2" t="str">
        <x:v>E404</x:v>
      </x:c>
      <x:c r="B405" s="2" t="str">
        <x:v>个体经营E404 </x:v>
      </x:c>
      <x:c r="C405" s="2" t="str">
        <x:v>无信贷记录</x:v>
      </x:c>
      <x:c r="D405" s="2" t="str"/>
      <x:c r="E405" s="2" t="str"/>
      <x:c r="F405" s="13" t="n">
        <x:v>0.0020182811420780228</x:v>
      </x:c>
      <x:c r="G405" s="13" t="n">
        <x:v>0.0017549053419318615</x:v>
      </x:c>
      <x:c r="H405" s="13" t="n">
        <x:v>0.007272727272727273</x:v>
      </x:c>
      <x:c r="I405" s="13" t="n">
        <x:v>0</x:v>
      </x:c>
      <x:c r="J405" s="13" t="n">
        <x:v>0.003204537814601868</x:v>
      </x:c>
      <x:c r="K405" s="13" t="n">
        <x:v>0.0031808857481509796</x:v>
      </x:c>
      <x:c r="L405" s="13" t="n">
        <x:v>0.006842668391848516</x:v>
      </x:c>
      <x:c r="M405" s="13" t="n">
        <x:v>1</x:v>
      </x:c>
      <x:c r="N405" s="13" t="n">
        <x:v>0</x:v>
      </x:c>
      <x:c r="O405" s="13" t="n">
        <x:v>0.22681761536877335</x:v>
      </x:c>
      <x:c r="P405" s="13" t="n">
        <x:v>0.3072577920703727</x:v>
      </x:c>
      <x:c r="Q405" s="13" t="n">
        <x:v>0.003403561163909063</x:v>
      </x:c>
      <x:c r="R405" s="13" t="n">
        <x:v>0.4697506457271077</x:v>
      </x:c>
      <x:c r="S405" s="13" t="n">
        <x:v>0.7107102844328973</x:v>
      </x:c>
      <x:c r="T405" s="13" t="n">
        <x:v>0.3333333333333333</x:v>
      </x:c>
      <x:c r="U405" s="13" t="n">
        <x:v>0.0010099421642117043</x:v>
      </x:c>
      <x:c r="V405" s="13" t="n">
        <x:v>0.0007726734875942987</x:v>
      </x:c>
      <x:c r="W405" s="13" t="n">
        <x:v>0.007409602845287499</x:v>
      </x:c>
      <x:c r="X405" s="13" t="n">
        <x:v>0</x:v>
      </x:c>
      <x:c r="Y405" s="13" t="n">
        <x:v>0.0012735756772789236</x:v>
      </x:c>
      <x:c r="Z405" s="13" t="n">
        <x:v>0.0008382502988021285</x:v>
      </x:c>
      <x:c r="AA405" s="13" t="n">
        <x:v>0.0011142971756280926</x:v>
      </x:c>
      <x:c r="AB405" s="13" t="n">
        <x:v>0.35116347096914846</x:v>
      </x:c>
      <x:c r="AC405" s="13" t="n">
        <x:v>0</x:v>
      </x:c>
      <x:c r="AD405" s="13" t="n">
        <x:v>0.4650126642403007</x:v>
      </x:c>
      <x:c r="AE405" s="13" t="n">
        <x:v>0.5311788920473411</x:v>
      </x:c>
      <x:c r="AF405" s="13" t="n">
        <x:v>0.0012851541568928864</x:v>
      </x:c>
      <x:c r="AG405" s="13" t="n">
        <x:v>1</x:v>
      </x:c>
      <x:c r="AH405" s="13" t="n">
        <x:v>0.3542230238017963</x:v>
      </x:c>
      <x:c r="AI405" s="13" t="n">
        <x:v>0.058823529411764705</x:v>
      </x:c>
      <x:c r="AJ405" s="13" t="n">
        <x:v>0.14337463974603215</x:v>
      </x:c>
      <x:c r="AK405" s="13" t="n">
        <x:v>0.0480233134332076</x:v>
      </x:c>
      <x:c r="AL405" s="13" t="n">
        <x:v>0.5615716067581363</x:v>
      </x:c>
      <x:c r="AM405" s="13" t="n">
        <x:v>0</x:v>
      </x:c>
      <x:c r="AN405" s="13" t="n">
        <x:v>0.38819519777415734</x:v>
      </x:c>
      <x:c r="AO405" s="13" t="n">
        <x:v>0.8455224452709071</x:v>
      </x:c>
      <x:c r="AP405" s="13" t="n">
        <x:v>0.5218513393823557</x:v>
      </x:c>
    </x:row>
    <x:row r="406" ht="15" hidden="0" customHeight="1">
      <x:c r="A406" s="2" t="str">
        <x:v>E405</x:v>
      </x:c>
      <x:c r="B406" s="2" t="str">
        <x:v>***职业技能服务有限公司</x:v>
      </x:c>
      <x:c r="C406" s="2" t="str">
        <x:v>无信贷记录</x:v>
      </x:c>
      <x:c r="D406" s="2" t="str"/>
      <x:c r="E406" s="2" t="str"/>
      <x:c r="F406" s="13" t="n">
        <x:v>0.0011960184545647542</x:v>
      </x:c>
      <x:c r="G406" s="13" t="n">
        <x:v>0.0011445034838686054</x:v>
      </x:c>
      <x:c r="H406" s="13" t="n">
        <x:v>0.0018181818181818182</x:v>
      </x:c>
      <x:c r="I406" s="13" t="n">
        <x:v>0</x:v>
      </x:c>
      <x:c r="J406" s="13" t="n">
        <x:v>0.0003106550154217163</x:v>
      </x:c>
      <x:c r="K406" s="13" t="n">
        <x:v>0.00030836213155104524</x:v>
      </x:c>
      <x:c r="L406" s="13" t="n">
        <x:v>0.0024882430515812785</x:v>
      </x:c>
      <x:c r="M406" s="13" t="n">
        <x:v>0.43594902749832337</x:v>
      </x:c>
      <x:c r="N406" s="13" t="n">
        <x:v>0</x:v>
      </x:c>
      <x:c r="O406" s="13" t="n">
        <x:v>0.8895995005795708</x:v>
      </x:c>
      <x:c r="P406" s="13" t="n">
        <x:v>0.9406794720352317</x:v>
      </x:c>
      <x:c r="Q406" s="13" t="n">
        <x:v>0.000548886107035897</x:v>
      </x:c>
      <x:c r="R406" s="13" t="n">
        <x:v>0.8597732724170112</x:v>
      </x:c>
      <x:c r="S406" s="13" t="n">
        <x:v>0</x:v>
      </x:c>
      <x:c r="T406" s="13" t="n">
        <x:v>0.08333333333333333</x:v>
      </x:c>
      <x:c r="U406" s="13" t="n">
        <x:v>0.003106707903059534</x:v>
      </x:c>
      <x:c r="V406" s="13" t="n">
        <x:v>0.0017058540281671235</x:v>
      </x:c>
      <x:c r="W406" s="13" t="n">
        <x:v>0.02469867615095833</x:v>
      </x:c>
      <x:c r="X406" s="13" t="n">
        <x:v>0</x:v>
      </x:c>
      <x:c r="Y406" s="13" t="n">
        <x:v>0.0008147535207306828</x:v>
      </x:c>
      <x:c r="Z406" s="13" t="n">
        <x:v>0.000535151166300087</x:v>
      </x:c>
      <x:c r="AA406" s="13" t="n">
        <x:v>0.011142971756280927</x:v>
      </x:c>
      <x:c r="AB406" s="13" t="n">
        <x:v>0.5462542881742309</x:v>
      </x:c>
      <x:c r="AC406" s="13" t="n">
        <x:v>0</x:v>
      </x:c>
      <x:c r="AD406" s="13" t="n">
        <x:v>0.2973223359883144</x:v>
      </x:c>
      <x:c r="AE406" s="13" t="n">
        <x:v>0.47020293669669555</x:v>
      </x:c>
      <x:c r="AF406" s="13" t="n">
        <x:v>0.0010034901418831117</x:v>
      </x:c>
      <x:c r="AG406" s="13" t="n">
        <x:v>0.7597387838696684</x:v>
      </x:c>
      <x:c r="AH406" s="13" t="n">
        <x:v>0.4872290739945106</x:v>
      </x:c>
      <x:c r="AI406" s="13" t="n">
        <x:v>0.3235294117647059</x:v>
      </x:c>
      <x:c r="AJ406" s="13" t="n">
        <x:v>0.1445319900565287</x:v>
      </x:c>
      <x:c r="AK406" s="13" t="n">
        <x:v>0.0070270519639361135</x:v>
      </x:c>
      <x:c r="AL406" s="13" t="n">
        <x:v>0.9385984805533514</x:v>
      </x:c>
      <x:c r="AM406" s="13" t="n">
        <x:v>0</x:v>
      </x:c>
      <x:c r="AN406" s="13" t="n">
        <x:v>0.6860903525624039</x:v>
      </x:c>
      <x:c r="AO406" s="13" t="n">
        <x:v>0.9944125520416894</x:v>
      </x:c>
      <x:c r="AP406" s="13" t="n">
        <x:v>0.07564452235255895</x:v>
      </x:c>
    </x:row>
    <x:row r="407" ht="15" hidden="0" customHeight="1">
      <x:c r="A407" s="2" t="str">
        <x:v>E406</x:v>
      </x:c>
      <x:c r="B407" s="2" t="str">
        <x:v>***招投标代理有限公司</x:v>
      </x:c>
      <x:c r="C407" s="2" t="str">
        <x:v>无信贷记录</x:v>
      </x:c>
      <x:c r="D407" s="2" t="str"/>
      <x:c r="E407" s="2" t="str"/>
      <x:c r="F407" s="13" t="n">
        <x:v>0.0037375576705148566</x:v>
      </x:c>
      <x:c r="G407" s="13" t="n">
        <x:v>0.003815011612895351</x:v>
      </x:c>
      <x:c r="H407" s="13" t="n">
        <x:v>0</x:v>
      </x:c>
      <x:c r="I407" s="13" t="n">
        <x:v>0</x:v>
      </x:c>
      <x:c r="J407" s="13" t="n">
        <x:v>0.0006757403765059693</x:v>
      </x:c>
      <x:c r="K407" s="13" t="n">
        <x:v>0.0006707528690358309</x:v>
      </x:c>
      <x:c r="L407" s="13" t="n">
        <x:v>0.02052800517554555</x:v>
      </x:c>
      <x:c r="M407" s="13" t="n">
        <x:v>0</x:v>
      </x:c>
      <x:c r="N407" s="13" t="n">
        <x:v>0</x:v>
      </x:c>
      <x:c r="O407" s="13" t="n">
        <x:v>0.14212684327268166</x:v>
      </x:c>
      <x:c r="P407" s="13" t="n">
        <x:v>0.17275022371901175</x:v>
      </x:c>
      <x:c r="Q407" s="13" t="n">
        <x:v>0.0009648125841929793</x:v>
      </x:c>
      <x:c r="R407" s="13" t="n">
        <x:v>0.32104064059893844</x:v>
      </x:c>
      <x:c r="S407" s="13" t="n">
        <x:v>0.7324404405236471</x:v>
      </x:c>
      <x:c r="T407" s="13" t="n">
        <x:v>0.5</x:v>
      </x:c>
      <x:c r="U407" s="13" t="n">
        <x:v>0.0018835945553983</x:v>
      </x:c>
      <x:c r="V407" s="13" t="n">
        <x:v>0.001612535974109841</x:v>
      </x:c>
      <x:c r="W407" s="13" t="n">
        <x:v>0.008644536652835415</x:v>
      </x:c>
      <x:c r="X407" s="13" t="n">
        <x:v>0.0028341457884593626</x:v>
      </x:c>
      <x:c r="Y407" s="13" t="n">
        <x:v>0.001184807408886681</x:v>
      </x:c>
      <x:c r="Z407" s="13" t="n">
        <x:v>0.0008391385399130515</x:v>
      </x:c>
      <x:c r="AA407" s="13" t="n">
        <x:v>0.0011142971756280926</x:v>
      </x:c>
      <x:c r="AB407" s="13" t="n">
        <x:v>0.2775324206046496</x:v>
      </x:c>
      <x:c r="AC407" s="13" t="n">
        <x:v>0.23371323464545796</x:v>
      </x:c>
      <x:c r="AD407" s="13" t="n">
        <x:v>0.32252336045545205</x:v>
      </x:c>
      <x:c r="AE407" s="13" t="n">
        <x:v>0.45227699184577375</x:v>
      </x:c>
      <x:c r="AF407" s="13" t="n">
        <x:v>0.0013648225765830308</x:v>
      </x:c>
      <x:c r="AG407" s="13" t="n">
        <x:v>0.7140452128242897</x:v>
      </x:c>
      <x:c r="AH407" s="13" t="n">
        <x:v>0.7537401230429717</x:v>
      </x:c>
      <x:c r="AI407" s="13" t="n">
        <x:v>0.23529411764705882</x:v>
      </x:c>
      <x:c r="AJ407" s="13" t="n">
        <x:v>0.1448346006591817</x:v>
      </x:c>
      <x:c r="AK407" s="13" t="n">
        <x:v>0.010127337734529049</x:v>
      </x:c>
      <x:c r="AL407" s="13" t="n">
        <x:v>0.23451214997192554</x:v>
      </x:c>
      <x:c r="AM407" s="13" t="n">
        <x:v>0.12765121759622947</x:v>
      </x:c>
      <x:c r="AN407" s="13" t="n">
        <x:v>0.2531011284030596</x:v>
      </x:c>
      <x:c r="AO407" s="13" t="n">
        <x:v>0.5782622764989562</x:v>
      </x:c>
      <x:c r="AP407" s="13" t="n">
        <x:v>0.7293560573867758</x:v>
      </x:c>
    </x:row>
    <x:row r="408" ht="15" hidden="0" customHeight="1">
      <x:c r="A408" s="2" t="str">
        <x:v>E407</x:v>
      </x:c>
      <x:c r="B408" s="2" t="str">
        <x:v>***装饰工程有限公司</x:v>
      </x:c>
      <x:c r="C408" s="2" t="str">
        <x:v>无信贷记录</x:v>
      </x:c>
      <x:c r="D408" s="2" t="str"/>
      <x:c r="E408" s="2" t="str"/>
      <x:c r="F408" s="13" t="n">
        <x:v>0.010988419551313678</x:v>
      </x:c>
      <x:c r="G408" s="13" t="n">
        <x:v>0.011139833909654425</x:v>
      </x:c>
      <x:c r="H408" s="13" t="n">
        <x:v>0.0018181818181818182</x:v>
      </x:c>
      <x:c r="I408" s="13" t="n">
        <x:v>0.013354700854700877</x:v>
      </x:c>
      <x:c r="J408" s="13" t="n">
        <x:v>0.0014054013772258965</x:v>
      </x:c>
      <x:c r="K408" s="13" t="n">
        <x:v>0.001404362900594271</x:v>
      </x:c>
      <x:c r="L408" s="13" t="n">
        <x:v>0.03296922043345194</x:v>
      </x:c>
      <x:c r="M408" s="13" t="n">
        <x:v>0.052664983187716924</x:v>
      </x:c>
      <x:c r="N408" s="13" t="n">
        <x:v>0.2784113154313201</x:v>
      </x:c>
      <x:c r="O408" s="13" t="n">
        <x:v>0.20338628575510778</x:v>
      </x:c>
      <x:c r="P408" s="13" t="n">
        <x:v>0.40435044745781196</x:v>
      </x:c>
      <x:c r="Q408" s="13" t="n">
        <x:v>0.0016841167410842023</x:v>
      </x:c>
      <x:c r="R408" s="13" t="n">
        <x:v>0.5721756190487153</x:v>
      </x:c>
      <x:c r="S408" s="13" t="n">
        <x:v>0.8456948275071979</x:v>
      </x:c>
      <x:c r="T408" s="13" t="n">
        <x:v>0.6944444444444444</x:v>
      </x:c>
      <x:c r="U408" s="13" t="n">
        <x:v>0.0030193426639408744</x:v>
      </x:c>
      <x:c r="V408" s="13" t="n">
        <x:v>0.002265762352510818</x:v>
      </x:c>
      <x:c r="W408" s="13" t="n">
        <x:v>0.016054139498122913</x:v>
      </x:c>
      <x:c r="X408" s="13" t="n">
        <x:v>0.005668291576918725</x:v>
      </x:c>
      <x:c r="Y408" s="13" t="n">
        <x:v>0.0027510095110770674</x:v>
      </x:c>
      <x:c r="Z408" s="13" t="n">
        <x:v>0.0021895114686398274</x:v>
      </x:c>
      <x:c r="AA408" s="13" t="n">
        <x:v>0.0011142971756280926</x:v>
      </x:c>
      <x:c r="AB408" s="13" t="n">
        <x:v>0.36313495293400583</x:v>
      </x:c>
      <x:c r="AC408" s="13" t="n">
        <x:v>0.3618785568703865</x:v>
      </x:c>
      <x:c r="AD408" s="13" t="n">
        <x:v>0.3550334241549791</x:v>
      </x:c>
      <x:c r="AE408" s="13" t="n">
        <x:v>0.49259309387947425</x:v>
      </x:c>
      <x:c r="AF408" s="13" t="n">
        <x:v>0.003702715895838</x:v>
      </x:c>
      <x:c r="AG408" s="13" t="n">
        <x:v>0.4366091660061663</x:v>
      </x:c>
      <x:c r="AH408" s="13" t="n">
        <x:v>0.922042591410423</x:v>
      </x:c>
      <x:c r="AI408" s="13" t="n">
        <x:v>0.2647058823529412</x:v>
      </x:c>
      <x:c r="AJ408" s="13" t="n">
        <x:v>0.1466273211828534</x:v>
      </x:c>
      <x:c r="AK408" s="13" t="n">
        <x:v>0.0084964841185937</x:v>
      </x:c>
      <x:c r="AL408" s="13" t="n">
        <x:v>0.20114954346685546</x:v>
      </x:c>
      <x:c r="AM408" s="13" t="n">
        <x:v>0.21679312932544</x:v>
      </x:c>
      <x:c r="AN408" s="13" t="n">
        <x:v>0.3090534870444134</x:v>
      </x:c>
      <x:c r="AO408" s="13" t="n">
        <x:v>0.6208989126282292</x:v>
      </x:c>
      <x:c r="AP408" s="13" t="n">
        <x:v>0.8858299351811739</x:v>
      </x:c>
    </x:row>
    <x:row r="409" ht="15" hidden="0" customHeight="1">
      <x:c r="A409" s="2" t="str">
        <x:v>E408</x:v>
      </x:c>
      <x:c r="B409" s="2" t="str">
        <x:v>***空调制冷有限责任公司</x:v>
      </x:c>
      <x:c r="C409" s="2" t="str">
        <x:v>无信贷记录</x:v>
      </x:c>
      <x:c r="D409" s="2" t="str"/>
      <x:c r="E409" s="2" t="str"/>
      <x:c r="F409" s="13" t="n">
        <x:v>0.002840543829591291</x:v>
      </x:c>
      <x:c r="G409" s="13" t="n">
        <x:v>0.0028231085935425597</x:v>
      </x:c>
      <x:c r="H409" s="13" t="n">
        <x:v>0.0018181818181818182</x:v>
      </x:c>
      <x:c r="I409" s="13" t="n">
        <x:v>0</x:v>
      </x:c>
      <x:c r="J409" s="13" t="n">
        <x:v>0.00023001335217016206</x:v>
      </x:c>
      <x:c r="K409" s="13" t="n">
        <x:v>0.0002283156686336062</x:v>
      </x:c>
      <x:c r="L409" s="13" t="n">
        <x:v>0.006842668391848516</x:v>
      </x:c>
      <x:c r="M409" s="13" t="n">
        <x:v>0.19617706237424554</x:v>
      </x:c>
      <x:c r="N409" s="13" t="n">
        <x:v>0</x:v>
      </x:c>
      <x:c r="O409" s="13" t="n">
        <x:v>0.22393691688954037</x:v>
      </x:c>
      <x:c r="P409" s="13" t="n">
        <x:v>0.3493339422852123</x:v>
      </x:c>
      <x:c r="Q409" s="13" t="n">
        <x:v>0.00027346817053080326</x:v>
      </x:c>
      <x:c r="R409" s="13" t="n">
        <x:v>0.30737147974475065</x:v>
      </x:c>
      <x:c r="S409" s="13" t="n">
        <x:v>0.4463113904751812</x:v>
      </x:c>
      <x:c r="T409" s="13" t="n">
        <x:v>0.4444444444444444</x:v>
      </x:c>
      <x:c r="U409" s="13" t="n">
        <x:v>0.0019709597945169596</x:v>
      </x:c>
      <x:c r="V409" s="13" t="n">
        <x:v>0.0017991720822244058</x:v>
      </x:c>
      <x:c r="W409" s="13" t="n">
        <x:v>0.007409602845287499</x:v>
      </x:c>
      <x:c r="X409" s="13" t="n">
        <x:v>0</x:v>
      </x:c>
      <x:c r="Y409" s="13" t="n">
        <x:v>0.0007080920642472634</x:v>
      </x:c>
      <x:c r="Z409" s="13" t="n">
        <x:v>0.00046469032549252326</x:v>
      </x:c>
      <x:c r="AA409" s="13" t="n">
        <x:v>0.0029714591350082473</x:v>
      </x:c>
      <x:c r="AB409" s="13" t="n">
        <x:v>0.2304510278235037</x:v>
      </x:c>
      <x:c r="AC409" s="13" t="n">
        <x:v>0</x:v>
      </x:c>
      <x:c r="AD409" s="13" t="n">
        <x:v>0.2752614211732917</x:v>
      </x:c>
      <x:c r="AE409" s="13" t="n">
        <x:v>0.43199995961825305</x:v>
      </x:c>
      <x:c r="AF409" s="13" t="n">
        <x:v>0.0007207666365225675</x:v>
      </x:c>
      <x:c r="AG409" s="13" t="n">
        <x:v>0.3811839263260121</x:v>
      </x:c>
      <x:c r="AH409" s="13" t="n">
        <x:v>0.4666879203511684</x:v>
      </x:c>
      <x:c r="AI409" s="13" t="n">
        <x:v>0.3235294117647059</x:v>
      </x:c>
      <x:c r="AJ409" s="13" t="n">
        <x:v>0.14442933224776458</x:v>
      </x:c>
      <x:c r="AK409" s="13" t="n">
        <x:v>0.005903403348991521</x:v>
      </x:c>
      <x:c r="AL409" s="13" t="n">
        <x:v>0.2709467248743246</x:v>
      </x:c>
      <x:c r="AM409" s="13" t="n">
        <x:v>0</x:v>
      </x:c>
      <x:c r="AN409" s="13" t="n">
        <x:v>0.2741478479470018</x:v>
      </x:c>
      <x:c r="AO409" s="13" t="n">
        <x:v>0.3996458887937974</x:v>
      </x:c>
      <x:c r="AP409" s="13" t="n">
        <x:v>0.40080571895923756</x:v>
      </x:c>
    </x:row>
    <x:row r="410" ht="15" hidden="0" customHeight="1">
      <x:c r="A410" s="2" t="str">
        <x:v>E409</x:v>
      </x:c>
      <x:c r="B410" s="2" t="str">
        <x:v>***塑胶有限公司</x:v>
      </x:c>
      <x:c r="C410" s="2" t="str">
        <x:v>无信贷记录</x:v>
      </x:c>
      <x:c r="D410" s="2" t="str"/>
      <x:c r="E410" s="2" t="str"/>
      <x:c r="F410" s="13" t="n">
        <x:v>0.0009717649943338627</x:v>
      </x:c>
      <x:c r="G410" s="13" t="n">
        <x:v>0.0009919030193527912</x:v>
      </x:c>
      <x:c r="H410" s="13" t="n">
        <x:v>0</x:v>
      </x:c>
      <x:c r="I410" s="13" t="n">
        <x:v>0</x:v>
      </x:c>
      <x:c r="J410" s="13" t="n">
        <x:v>0.00016815845761456732</x:v>
      </x:c>
      <x:c r="K410" s="13" t="n">
        <x:v>0.00016691731294913206</x:v>
      </x:c>
      <x:c r="L410" s="13" t="n">
        <x:v>0.0024882430515812785</x:v>
      </x:c>
      <x:c r="M410" s="13" t="n">
        <x:v>0</x:v>
      </x:c>
      <x:c r="N410" s="13" t="n">
        <x:v>0</x:v>
      </x:c>
      <x:c r="O410" s="13" t="n">
        <x:v>0.4275495412041594</x:v>
      </x:c>
      <x:c r="P410" s="13" t="n">
        <x:v>0.5697361321587736</x:v>
      </x:c>
      <x:c r="Q410" s="13" t="n">
        <x:v>0.000248220574526073</x:v>
      </x:c>
      <x:c r="R410" s="13" t="n">
        <x:v>0.45930996025124926</x:v>
      </x:c>
      <x:c r="S410" s="13" t="n">
        <x:v>0.6984346706322221</x:v>
      </x:c>
      <x:c r="T410" s="13" t="n">
        <x:v>0.2222222222222222</x:v>
      </x:c>
      <x:c r="U410" s="13" t="n">
        <x:v>0.00799916129370447</x:v>
      </x:c>
      <x:c r="V410" s="13" t="n">
        <x:v>0.007771527541890483</x:v>
      </x:c>
      <x:c r="W410" s="13" t="n">
        <x:v>0.013584271883027082</x:v>
      </x:c>
      <x:c r="X410" s="13" t="n">
        <x:v>0</x:v>
      </x:c>
      <x:c r="Y410" s="13" t="n">
        <x:v>0.00023734261552604</x:v>
      </x:c>
      <x:c r="Z410" s="13" t="n">
        <x:v>0.00015371199217348875</x:v>
      </x:c>
      <x:c r="AA410" s="13" t="n">
        <x:v>0.014485863283165205</x:v>
      </x:c>
      <x:c r="AB410" s="13" t="n">
        <x:v>0.13385934289418036</x:v>
      </x:c>
      <x:c r="AC410" s="13" t="n">
        <x:v>0</x:v>
      </x:c>
      <x:c r="AD410" s="13" t="n">
        <x:v>0.08324282984133749</x:v>
      </x:c>
      <x:c r="AE410" s="13" t="n">
        <x:v>0.10913714510619614</x:v>
      </x:c>
      <x:c r="AF410" s="13" t="n">
        <x:v>0.00029257338546860416</x:v>
      </x:c>
      <x:c r="AG410" s="13" t="n">
        <x:v>0.30819109213932405</x:v>
      </x:c>
      <x:c r="AH410" s="13" t="n">
        <x:v>0.6037660177513127</x:v>
      </x:c>
      <x:c r="AI410" s="13" t="n">
        <x:v>0.6470588235294118</x:v>
      </x:c>
      <x:c r="AJ410" s="13" t="n">
        <x:v>0.14379164998448726</x:v>
      </x:c>
      <x:c r="AK410" s="13" t="n">
        <x:v>0.01045585517123927</x:v>
      </x:c>
      <x:c r="AL410" s="13" t="n">
        <x:v>0.2641754088938071</x:v>
      </x:c>
      <x:c r="AM410" s="13" t="n">
        <x:v>0</x:v>
      </x:c>
      <x:c r="AN410" s="13" t="n">
        <x:v>0.282494987768284</x:v>
      </x:c>
      <x:c r="AO410" s="13" t="n">
        <x:v>0.47350136314001984</x:v>
      </x:c>
      <x:c r="AP410" s="13" t="n">
        <x:v>0.6343134337044809</x:v>
      </x:c>
    </x:row>
    <x:row r="411" ht="15" hidden="0" customHeight="1">
      <x:c r="A411" s="2" t="str">
        <x:v>E410</x:v>
      </x:c>
      <x:c r="B411" s="2" t="str">
        <x:v>***网络科技有限公司</x:v>
      </x:c>
      <x:c r="C411" s="2" t="str">
        <x:v>无信贷记录</x:v>
      </x:c>
      <x:c r="D411" s="2" t="str"/>
      <x:c r="E411" s="2" t="str"/>
      <x:c r="F411" s="13" t="n">
        <x:v>0.007699368801260605</x:v>
      </x:c>
      <x:c r="G411" s="13" t="n">
        <x:v>0.007858923922564423</x:v>
      </x:c>
      <x:c r="H411" s="13" t="n">
        <x:v>0</x:v>
      </x:c>
      <x:c r="I411" s="13" t="n">
        <x:v>0.026709401709401753</x:v>
      </x:c>
      <x:c r="J411" s="13" t="n">
        <x:v>0.00006267972275801724</x:v>
      </x:c>
      <x:c r="K411" s="13" t="n">
        <x:v>0.00006464474948895968</x:v>
      </x:c>
      <x:c r="L411" s="13" t="n">
        <x:v>0.005598546866057877</x:v>
      </x:c>
      <x:c r="M411" s="13" t="n">
        <x:v>0</x:v>
      </x:c>
      <x:c r="N411" s="13" t="n">
        <x:v>0.7848547558825786</x:v>
      </x:c>
      <x:c r="O411" s="13" t="n">
        <x:v>0.38148531262670005</x:v>
      </x:c>
      <x:c r="P411" s="13" t="n">
        <x:v>0.5763042404756841</x:v>
      </x:c>
      <x:c r="Q411" s="13" t="n">
        <x:v>0.000077988348289862</x:v>
      </x:c>
      <x:c r="R411" s="13" t="n">
        <x:v>0.33655458948533307</x:v>
      </x:c>
      <x:c r="S411" s="13" t="n">
        <x:v>0.8461707005509147</x:v>
      </x:c>
      <x:c r="T411" s="13" t="n">
        <x:v>0.4444444444444444</x:v>
      </x:c>
      <x:c r="U411" s="13" t="n">
        <x:v>0.0049413779245513845</x:v>
      </x:c>
      <x:c r="V411" s="13" t="n">
        <x:v>0.005438576190458422</x:v>
      </x:c>
      <x:c r="W411" s="13" t="n">
        <x:v>0.0012349338075479165</x:v>
      </x:c>
      <x:c r="X411" s="13" t="n">
        <x:v>0.0028341457884593626</x:v>
      </x:c>
      <x:c r="Y411" s="13" t="n">
        <x:v>0.0005212768029463532</x:v>
      </x:c>
      <x:c r="Z411" s="13" t="n">
        <x:v>0.0003589961016669883</x:v>
      </x:c>
      <x:c r="AA411" s="13" t="n">
        <x:v>0.014485863283165205</x:v>
      </x:c>
      <x:c r="AB411" s="13" t="n">
        <x:v>0.018622305278666967</x:v>
      </x:c>
      <x:c r="AC411" s="13" t="n">
        <x:v>0.08629411740755372</x:v>
      </x:c>
      <x:c r="AD411" s="13" t="n">
        <x:v>0.07562316655918276</x:v>
      </x:c>
      <x:c r="AE411" s="13" t="n">
        <x:v>0.12183932863336268</x:v>
      </x:c>
      <x:c r="AF411" s="13" t="n">
        <x:v>0.000561814119821837</x:v>
      </x:c>
      <x:c r="AG411" s="13" t="n">
        <x:v>0.3339447877885503</x:v>
      </x:c>
      <x:c r="AH411" s="13" t="n">
        <x:v>0.4664186840822189</x:v>
      </x:c>
      <x:c r="AI411" s="13" t="n">
        <x:v>0.6470588235294118</x:v>
      </x:c>
      <x:c r="AJ411" s="13" t="n">
        <x:v>0.14426590901193836</x:v>
      </x:c>
      <x:c r="AK411" s="13" t="n">
        <x:v>0.002120651122518235</x:v>
      </x:c>
      <x:c r="AL411" s="13" t="n">
        <x:v>0.012567562459840502</x:v>
      </x:c>
      <x:c r="AM411" s="13" t="n">
        <x:v>0.28533801580333645</x:v>
      </x:c>
      <x:c r="AN411" s="13" t="n">
        <x:v>0.25038162756706894</x:v>
      </x:c>
      <x:c r="AO411" s="13" t="n">
        <x:v>0.39700083545540626</x:v>
      </x:c>
      <x:c r="AP411" s="13" t="n">
        <x:v>0.6659397951654001</x:v>
      </x:c>
    </x:row>
    <x:row r="412" ht="15" hidden="0" customHeight="1">
      <x:c r="A412" s="2" t="str">
        <x:v>E411</x:v>
      </x:c>
      <x:c r="B412" s="2" t="str">
        <x:v>***机电设备有限公司</x:v>
      </x:c>
      <x:c r="C412" s="2" t="str">
        <x:v>无信贷记录</x:v>
      </x:c>
      <x:c r="D412" s="2" t="str"/>
      <x:c r="E412" s="2" t="str"/>
      <x:c r="F412" s="13" t="n">
        <x:v>0.007998373414901793</x:v>
      </x:c>
      <x:c r="G412" s="13" t="n">
        <x:v>0.00816412485159605</x:v>
      </x:c>
      <x:c r="H412" s="13" t="n">
        <x:v>0</x:v>
      </x:c>
      <x:c r="I412" s="13" t="n">
        <x:v>0</x:v>
      </x:c>
      <x:c r="J412" s="13" t="n">
        <x:v>0.0008594291346696877</x:v>
      </x:c>
      <x:c r="K412" s="13" t="n">
        <x:v>0.0008530858564251891</x:v>
      </x:c>
      <x:c r="L412" s="13" t="n">
        <x:v>0.01990594441265023</x:v>
      </x:c>
      <x:c r="M412" s="13" t="n">
        <x:v>0</x:v>
      </x:c>
      <x:c r="N412" s="13" t="n">
        <x:v>0</x:v>
      </x:c>
      <x:c r="O412" s="13" t="n">
        <x:v>0.6375379837237505</x:v>
      </x:c>
      <x:c r="P412" s="13" t="n">
        <x:v>0.7898731058673517</x:v>
      </x:c>
      <x:c r="Q412" s="13" t="n">
        <x:v>0.0009965604274182521</x:v>
      </x:c>
      <x:c r="R412" s="13" t="n">
        <x:v>0.5318350012651749</x:v>
      </x:c>
      <x:c r="S412" s="13" t="n">
        <x:v>0.6801408693648017</x:v>
      </x:c>
      <x:c r="T412" s="13" t="n">
        <x:v>0.6388888888888888</x:v>
      </x:c>
      <x:c r="U412" s="13" t="n">
        <x:v>0.0076497003372298315</x:v>
      </x:c>
      <x:c r="V412" s="13" t="n">
        <x:v>0.005625212298572987</x:v>
      </x:c>
      <x:c r="W412" s="13" t="n">
        <x:v>0.0370480142264375</x:v>
      </x:c>
      <x:c r="X412" s="13" t="n">
        <x:v>0.01133658315383745</x:v>
      </x:c>
      <x:c r="Y412" s="13" t="n">
        <x:v>0.00030518084160142435</x:v>
      </x:c>
      <x:c r="Z412" s="13" t="n">
        <x:v>0.00023950103340857732</x:v>
      </x:c>
      <x:c r="AA412" s="13" t="n">
        <x:v>0.011514404148156958</x:v>
      </x:c>
      <x:c r="AB412" s="13" t="n">
        <x:v>0.3801254067191814</x:v>
      </x:c>
      <x:c r="AC412" s="13" t="n">
        <x:v>0.3348726944173726</x:v>
      </x:c>
      <x:c r="AD412" s="13" t="n">
        <x:v>0.09544258365258575</x:v>
      </x:c>
      <x:c r="AE412" s="13" t="n">
        <x:v>0.1553596447605373</x:v>
      </x:c>
      <x:c r="AF412" s="13" t="n">
        <x:v>0.0002764552861887863</x:v>
      </x:c>
      <x:c r="AG412" s="13" t="n">
        <x:v>0.40375287507744</x:v>
      </x:c>
      <x:c r="AH412" s="13" t="n">
        <x:v>0.5854252607723984</x:v>
      </x:c>
      <x:c r="AI412" s="13" t="n">
        <x:v>0.6470588235294118</x:v>
      </x:c>
      <x:c r="AJ412" s="13" t="n">
        <x:v>0.14345517398453214</x:v>
      </x:c>
      <x:c r="AK412" s="13" t="n">
        <x:v>0.0381449691787904</x:v>
      </x:c>
      <x:c r="AL412" s="13" t="n">
        <x:v>0.40783249317173786</x:v>
      </x:c>
      <x:c r="AM412" s="13" t="n">
        <x:v>0.22048846675712366</x:v>
      </x:c>
      <x:c r="AN412" s="13" t="n">
        <x:v>0.41554749310929</x:v>
      </x:c>
      <x:c r="AO412" s="13" t="n">
        <x:v>0.5748241653219895</x:v>
      </x:c>
      <x:c r="AP412" s="13" t="n">
        <x:v>0.6133132383575218</x:v>
      </x:c>
    </x:row>
    <x:row r="413" ht="15" hidden="0" customHeight="1">
      <x:c r="A413" s="2" t="str">
        <x:v>E412</x:v>
      </x:c>
      <x:c r="B413" s="2" t="str">
        <x:v>***汽车贸易有限公司</x:v>
      </x:c>
      <x:c r="C413" s="2" t="str">
        <x:v>无信贷记录</x:v>
      </x:c>
      <x:c r="D413" s="2" t="str"/>
      <x:c r="E413" s="2" t="str"/>
      <x:c r="F413" s="13" t="n">
        <x:v>0.006279096886464959</x:v>
      </x:c>
      <x:c r="G413" s="13" t="n">
        <x:v>0.006180318812890468</x:v>
      </x:c>
      <x:c r="H413" s="13" t="n">
        <x:v>0.005454545454545455</x:v>
      </x:c>
      <x:c r="I413" s="13" t="n">
        <x:v>0</x:v>
      </x:c>
      <x:c r="J413" s="13" t="n">
        <x:v>0.0002372210427336036</x:v>
      </x:c>
      <x:c r="K413" s="13" t="n">
        <x:v>0.00023547016064361293</x:v>
      </x:c>
      <x:c r="L413" s="13" t="n">
        <x:v>0.011197093732115753</x:v>
      </x:c>
      <x:c r="M413" s="13" t="n">
        <x:v>0.27373543587104027</x:v>
      </x:c>
      <x:c r="N413" s="13" t="n">
        <x:v>0</x:v>
      </x:c>
      <x:c r="O413" s="13" t="n">
        <x:v>0.15512333614984103</x:v>
      </x:c>
      <x:c r="P413" s="13" t="n">
        <x:v>0.23126516142011408</x:v>
      </x:c>
      <x:c r="Q413" s="13" t="n">
        <x:v>0.00024931827864291164</x:v>
      </x:c>
      <x:c r="R413" s="13" t="n">
        <x:v>0.2590423925553722</x:v>
      </x:c>
      <x:c r="S413" s="13" t="n">
        <x:v>0.686094775265387</x:v>
      </x:c>
      <x:c r="T413" s="13" t="n">
        <x:v>0.5</x:v>
      </x:c>
      <x:c r="U413" s="13" t="n">
        <x:v>0.012192692771400128</x:v>
      </x:c>
      <x:c r="V413" s="13" t="n">
        <x:v>0.012157476082582759</x:v>
      </x:c>
      <x:c r="W413" s="13" t="n">
        <x:v>0.014819205690574998</x:v>
      </x:c>
      <x:c r="X413" s="13" t="n">
        <x:v>0</x:v>
      </x:c>
      <x:c r="Y413" s="13" t="n">
        <x:v>0.00039905787235469366</x:v>
      </x:c>
      <x:c r="Z413" s="13" t="n">
        <x:v>0.00026054151938259204</x:v>
      </x:c>
      <x:c r="AA413" s="13" t="n">
        <x:v>0.03194318570133865</x:v>
      </x:c>
      <x:c r="AB413" s="13" t="n">
        <x:v>0.09898567638056534</x:v>
      </x:c>
      <x:c r="AC413" s="13" t="n">
        <x:v>0</x:v>
      </x:c>
      <x:c r="AD413" s="13" t="n">
        <x:v>0.028055372457379116</x:v>
      </x:c>
      <x:c r="AE413" s="13" t="n">
        <x:v>0.0525248313105209</x:v>
      </x:c>
      <x:c r="AF413" s="13" t="n">
        <x:v>0.00035991818582230235</x:v>
      </x:c>
      <x:c r="AG413" s="13" t="n">
        <x:v>0.2565293776432208</x:v>
      </x:c>
      <x:c r="AH413" s="13" t="n">
        <x:v>0.46941426431422084</x:v>
      </x:c>
      <x:c r="AI413" s="13" t="n">
        <x:v>0.8529411764705882</x:v>
      </x:c>
      <x:c r="AJ413" s="13" t="n">
        <x:v>0.14398069467375632</x:v>
      </x:c>
      <x:c r="AK413" s="13" t="n">
        <x:v>0.009897522241277353</x:v>
      </x:c>
      <x:c r="AL413" s="13" t="n">
        <x:v>0.17652288458429952</x:v>
      </x:c>
      <x:c r="AM413" s="13" t="n">
        <x:v>0</x:v>
      </x:c>
      <x:c r="AN413" s="13" t="n">
        <x:v>0.08658191790344365</x:v>
      </x:c>
      <x:c r="AO413" s="13" t="n">
        <x:v>0.3012338566052759</x:v>
      </x:c>
      <x:c r="AP413" s="13" t="n">
        <x:v>0.561194196083594</x:v>
      </x:c>
    </x:row>
    <x:row r="414" ht="15" hidden="0" customHeight="1">
      <x:c r="A414" s="2" t="str">
        <x:v>E413</x:v>
      </x:c>
      <x:c r="B414" s="2" t="str">
        <x:v>***石材工艺品有限公司</x:v>
      </x:c>
      <x:c r="C414" s="2" t="str">
        <x:v>无信贷记录</x:v>
      </x:c>
      <x:c r="D414" s="2" t="str"/>
      <x:c r="E414" s="2" t="str"/>
      <x:c r="F414" s="13" t="n">
        <x:v>0.004485069204617828</x:v>
      </x:c>
      <x:c r="G414" s="13" t="n">
        <x:v>0.004578013935474422</x:v>
      </x:c>
      <x:c r="H414" s="13" t="n">
        <x:v>0</x:v>
      </x:c>
      <x:c r="I414" s="13" t="n">
        <x:v>0</x:v>
      </x:c>
      <x:c r="J414" s="13" t="n">
        <x:v>0.00009131491212970048</x:v>
      </x:c>
      <x:c r="K414" s="13" t="n">
        <x:v>0.00009064093463447249</x:v>
      </x:c>
      <x:c r="L414" s="13" t="n">
        <x:v>0.004976486103162557</x:v>
      </x:c>
      <x:c r="M414" s="13" t="n">
        <x:v>0</x:v>
      </x:c>
      <x:c r="N414" s="13" t="n">
        <x:v>0</x:v>
      </x:c>
      <x:c r="O414" s="13" t="n">
        <x:v>0.24326213163266194</x:v>
      </x:c>
      <x:c r="P414" s="13" t="n">
        <x:v>0.3194517704060509</x:v>
      </x:c>
      <x:c r="Q414" s="13" t="n">
        <x:v>0.0001685490853175156</x:v>
      </x:c>
      <x:c r="R414" s="13" t="n">
        <x:v>0.2637876025734582</x:v>
      </x:c>
      <x:c r="S414" s="13" t="n">
        <x:v>0.6256778258321788</x:v>
      </x:c>
      <x:c r="T414" s="13" t="n">
        <x:v>0.4166666666666667</x:v>
      </x:c>
      <x:c r="U414" s="13" t="n">
        <x:v>0.002669881707466236</x:v>
      </x:c>
      <x:c r="V414" s="13" t="n">
        <x:v>0.002452398460625383</x:v>
      </x:c>
      <x:c r="W414" s="13" t="n">
        <x:v>0.008644536652835415</x:v>
      </x:c>
      <x:c r="X414" s="13" t="n">
        <x:v>0</x:v>
      </x:c>
      <x:c r="Y414" s="13" t="n">
        <x:v>0.0003459697821088049</x:v>
      </x:c>
      <x:c r="Z414" s="13" t="n">
        <x:v>0.00022547138628184422</x:v>
      </x:c>
      <x:c r="AA414" s="13" t="n">
        <x:v>0.002228594351256185</x:v>
      </x:c>
      <x:c r="AB414" s="13" t="n">
        <x:v>0.21508762596860345</x:v>
      </x:c>
      <x:c r="AC414" s="13" t="n">
        <x:v>0</x:v>
      </x:c>
      <x:c r="AD414" s="13" t="n">
        <x:v>0.4546372130572299</x:v>
      </x:c>
      <x:c r="AE414" s="13" t="n">
        <x:v>0.6323455552409506</x:v>
      </x:c>
      <x:c r="AF414" s="13" t="n">
        <x:v>0.00036209187198229885</x:v>
      </x:c>
      <x:c r="AG414" s="13" t="n">
        <x:v>0.9741429609882197</x:v>
      </x:c>
      <x:c r="AH414" s="13" t="n">
        <x:v>0.9893111228293404</x:v>
      </x:c>
      <x:c r="AI414" s="13" t="n">
        <x:v>0.08823529411764706</x:v>
      </x:c>
      <x:c r="AJ414" s="13" t="n">
        <x:v>0.1439959988552412</x:v>
      </x:c>
      <x:c r="AK414" s="13" t="n">
        <x:v>0.004313703131747679</x:v>
      </x:c>
      <x:c r="AL414" s="13" t="n">
        <x:v>0.19008924581285078</x:v>
      </x:c>
      <x:c r="AM414" s="13" t="n">
        <x:v>0</x:v>
      </x:c>
      <x:c r="AN414" s="13" t="n">
        <x:v>0.39190758178381924</x:v>
      </x:c>
      <x:c r="AO414" s="13" t="n">
        <x:v>0.6682758972891292</x:v>
      </x:c>
      <x:c r="AP414" s="13" t="n">
        <x:v>0.7723833076207002</x:v>
      </x:c>
    </x:row>
    <x:row r="415" ht="15" hidden="0" customHeight="1">
      <x:c r="A415" s="2" t="str">
        <x:v>E414</x:v>
      </x:c>
      <x:c r="B415" s="2" t="str">
        <x:v>***物流有限责任公司***分公司</x:v>
      </x:c>
      <x:c r="C415" s="2" t="str">
        <x:v>无信贷记录</x:v>
      </x:c>
      <x:c r="D415" s="2" t="str"/>
      <x:c r="E415" s="2" t="str"/>
      <x:c r="F415" s="13" t="n">
        <x:v>0.00029900461364118855</x:v>
      </x:c>
      <x:c r="G415" s="13" t="n">
        <x:v>0.0003052009290316281</x:v>
      </x:c>
      <x:c r="H415" s="13" t="n">
        <x:v>0</x:v>
      </x:c>
      <x:c r="I415" s="13" t="n">
        <x:v>0</x:v>
      </x:c>
      <x:c r="J415" s="13" t="n">
        <x:v>0.000033270762881211183</x:v>
      </x:c>
      <x:c r="K415" s="13" t="n">
        <x:v>0.00003302519789179135</x:v>
      </x:c>
      <x:c r="L415" s="13" t="n">
        <x:v>0.001866182288685959</x:v>
      </x:c>
      <x:c r="M415" s="13" t="n">
        <x:v>0</x:v>
      </x:c>
      <x:c r="N415" s="13" t="n">
        <x:v>0</x:v>
      </x:c>
      <x:c r="O415" s="13" t="n">
        <x:v>0.44061209694935155</x:v>
      </x:c>
      <x:c r="P415" s="13" t="n">
        <x:v>0.5343377851890412</x:v>
      </x:c>
      <x:c r="Q415" s="13" t="n">
        <x:v>0.00004360274432556548</x:v>
      </x:c>
      <x:c r="R415" s="13" t="n">
        <x:v>0.610581109729061</x:v>
      </x:c>
      <x:c r="S415" s="13" t="n">
        <x:v>0.44089185806160025</x:v>
      </x:c>
      <x:c r="T415" s="13" t="n">
        <x:v>0.08333333333333333</x:v>
      </x:c>
      <x:c r="U415" s="13" t="n">
        <x:v>0.0003983854903810875</x:v>
      </x:c>
      <x:c r="V415" s="13" t="n">
        <x:v>0.00039940127136516885</x:v>
      </x:c>
      <x:c r="W415" s="13" t="n">
        <x:v>0.0037048014226437496</x:v>
      </x:c>
      <x:c r="X415" s="13" t="n">
        <x:v>0</x:v>
      </x:c>
      <x:c r="Y415" s="13" t="n">
        <x:v>0.00048471442168957017</x:v>
      </x:c>
      <x:c r="Z415" s="13" t="n">
        <x:v>0.00031712646286447834</x:v>
      </x:c>
      <x:c r="AA415" s="13" t="n">
        <x:v>0.0014857295675041236</x:v>
      </x:c>
      <x:c r="AB415" s="13" t="n">
        <x:v>0.26337260322686135</x:v>
      </x:c>
      <x:c r="AC415" s="13" t="n">
        <x:v>0</x:v>
      </x:c>
      <x:c r="AD415" s="13" t="n">
        <x:v>0.33219658767332927</x:v>
      </x:c>
      <x:c r="AE415" s="13" t="n">
        <x:v>0.4498720215612575</x:v>
      </x:c>
      <x:c r="AF415" s="13" t="n">
        <x:v>0.0013706401471053373</x:v>
      </x:c>
      <x:c r="AG415" s="13" t="n">
        <x:v>0.5397373604879486</x:v>
      </x:c>
      <x:c r="AH415" s="13" t="n">
        <x:v>0</x:v>
      </x:c>
      <x:c r="AI415" s="13" t="n">
        <x:v>0.08823529411764706</x:v>
      </x:c>
      <x:c r="AJ415" s="13" t="n">
        <x:v>0.14423182762192358</x:v>
      </x:c>
      <x:c r="AK415" s="13" t="n">
        <x:v>0.00122816134678075</x:v>
      </x:c>
      <x:c r="AL415" s="13" t="n">
        <x:v>0.4201865290849306</x:v>
      </x:c>
      <x:c r="AM415" s="13" t="n">
        <x:v>0</x:v>
      </x:c>
      <x:c r="AN415" s="13" t="n">
        <x:v>0.43768786876732907</x:v>
      </x:c>
      <x:c r="AO415" s="13" t="n">
        <x:v>0.7011654167508447</x:v>
      </x:c>
      <x:c r="AP415" s="13" t="n">
        <x:v>0</x:v>
      </x:c>
    </x:row>
    <x:row r="416" ht="15" hidden="0" customHeight="1">
      <x:c r="A416" s="2" t="str">
        <x:v>E415</x:v>
      </x:c>
      <x:c r="B416" s="2" t="str">
        <x:v>***广告设计服务部</x:v>
      </x:c>
      <x:c r="C416" s="2" t="str">
        <x:v>无信贷记录</x:v>
      </x:c>
      <x:c r="D416" s="2" t="str"/>
      <x:c r="E416" s="2" t="str"/>
      <x:c r="F416" s="13" t="n">
        <x:v>0</x:v>
      </x:c>
      <x:c r="G416" s="13" t="n">
        <x:v>0</x:v>
      </x:c>
      <x:c r="H416" s="13" t="n">
        <x:v>0</x:v>
      </x:c>
      <x:c r="I416" s="13" t="n">
        <x:v>0</x:v>
      </x:c>
      <x:c r="J416" s="13" t="n">
        <x:v>0.00005968138343877682</x:v>
      </x:c>
      <x:c r="K416" s="13" t="n">
        <x:v>0.00005924088682783254</x:v>
      </x:c>
      <x:c r="L416" s="13" t="n">
        <x:v>0</x:v>
      </x:c>
      <x:c r="M416" s="13" t="n">
        <x:v>0</x:v>
      </x:c>
      <x:c r="N416" s="13" t="n">
        <x:v>0</x:v>
      </x:c>
      <x:c r="O416" s="13" t="n">
        <x:v>1</x:v>
      </x:c>
      <x:c r="P416" s="13" t="n">
        <x:v>1</x:v>
      </x:c>
      <x:c r="Q416" s="13" t="n">
        <x:v>0.0003225069439972065</x:v>
      </x:c>
      <x:c r="R416" s="13" t="n">
        <x:v>0.27826175249584323</x:v>
      </x:c>
      <x:c r="S416" s="13" t="n">
        <x:v>0.5561143088127756</x:v>
      </x:c>
      <x:c r="T416" s="13" t="n">
        <x:v>0</x:v>
      </x:c>
      <x:c r="U416" s="13" t="n">
        <x:v>0.01734724187940104</x:v>
      </x:c>
      <x:c r="V416" s="13" t="n">
        <x:v>0.018783057920649812</x:v>
      </x:c>
      <x:c r="W416" s="13" t="n">
        <x:v>0</x:v>
      </x:c>
      <x:c r="X416" s="13" t="n">
        <x:v>0.019839020519215537</x:v>
      </x:c>
      <x:c r="Y416" s="13" t="n">
        <x:v>0.00003548536813425717</x:v>
      </x:c>
      <x:c r="Z416" s="13" t="n">
        <x:v>0.000027273375911420936</x:v>
      </x:c>
      <x:c r="AA416" s="13" t="n">
        <x:v>0.06797212771331365</x:v>
      </x:c>
      <x:c r="AB416" s="13" t="n">
        <x:v>0</x:v>
      </x:c>
      <x:c r="AC416" s="13" t="n">
        <x:v>0.18876838182902372</x:v>
      </x:c>
      <x:c r="AD416" s="13" t="n">
        <x:v>0.006307278658592478</x:v>
      </x:c>
      <x:c r="AE416" s="13" t="n">
        <x:v>0.025301903495020324</x:v>
      </x:c>
      <x:c r="AF416" s="13" t="n">
        <x:v>0.00006694068073032156</x:v>
      </x:c>
      <x:c r="AG416" s="13" t="n">
        <x:v>0.15609787413244616</x:v>
      </x:c>
      <x:c r="AH416" s="13" t="n">
        <x:v>0.5467328389346662</x:v>
      </x:c>
      <x:c r="AI416" s="13" t="n">
        <x:v>0.5588235294117647</x:v>
      </x:c>
      <x:c r="AJ416" s="13" t="n">
        <x:v>0.14356966092830958</x:v>
      </x:c>
      <x:c r="AK416" s="13" t="n">
        <x:v>0.008894309637432153</x:v>
      </x:c>
      <x:c r="AL416" s="13" t="n">
        <x:v>0</x:v>
      </x:c>
      <x:c r="AM416" s="13" t="n">
        <x:v>0.3233830845771147</x:v>
      </x:c>
      <x:c r="AN416" s="13" t="n">
        <x:v>0.5799822934457018</x:v>
      </x:c>
      <x:c r="AO416" s="13" t="n">
        <x:v>0.2643703314964327</x:v>
      </x:c>
      <x:c r="AP416" s="13" t="n">
        <x:v>0.5123344981652502</x:v>
      </x:c>
    </x:row>
    <x:row r="417" ht="15" hidden="0" customHeight="1">
      <x:c r="A417" s="2" t="str">
        <x:v>E416</x:v>
      </x:c>
      <x:c r="B417" s="2" t="str">
        <x:v>***科技有限公司</x:v>
      </x:c>
      <x:c r="C417" s="2" t="str">
        <x:v>无信贷记录</x:v>
      </x:c>
      <x:c r="D417" s="2" t="str"/>
      <x:c r="E417" s="2" t="str"/>
      <x:c r="F417" s="13" t="n">
        <x:v>0.0004485069204617828</x:v>
      </x:c>
      <x:c r="G417" s="13" t="n">
        <x:v>0.0003815011612895351</x:v>
      </x:c>
      <x:c r="H417" s="13" t="n">
        <x:v>0.0018181818181818182</x:v>
      </x:c>
      <x:c r="I417" s="13" t="n">
        <x:v>0</x:v>
      </x:c>
      <x:c r="J417" s="13" t="n">
        <x:v>0.0003805294589929898</x:v>
      </x:c>
      <x:c r="K417" s="13" t="n">
        <x:v>0.00037772084552941575</x:v>
      </x:c>
      <x:c r="L417" s="13" t="n">
        <x:v>0.0024882430515812785</x:v>
      </x:c>
      <x:c r="M417" s="13" t="n">
        <x:v>0.9808853118712277</x:v>
      </x:c>
      <x:c r="N417" s="13" t="n">
        <x:v>0</x:v>
      </x:c>
      <x:c r="O417" s="13" t="n">
        <x:v>0.969945451258081</x:v>
      </x:c>
      <x:c r="P417" s="13" t="n">
        <x:v>0.9843401851363556</x:v>
      </x:c>
      <x:c r="Q417" s="13" t="n">
        <x:v>0.0004541109254413075</x:v>
      </x:c>
      <x:c r="R417" s="13" t="n">
        <x:v>0.8029519276427675</x:v>
      </x:c>
      <x:c r="S417" s="13" t="n">
        <x:v>0.9688459567640877</x:v>
      </x:c>
      <x:c r="T417" s="13" t="n">
        <x:v>0.1388888888888889</x:v>
      </x:c>
      <x:c r="U417" s="13" t="n">
        <x:v>0.0013594031206863426</x:v>
      </x:c>
      <x:c r="V417" s="13" t="n">
        <x:v>0.0015192179200525585</x:v>
      </x:c>
      <x:c r="W417" s="13" t="n">
        <x:v>0.002469867615095833</x:v>
      </x:c>
      <x:c r="X417" s="13" t="n">
        <x:v>0</x:v>
      </x:c>
      <x:c r="Y417" s="13" t="n">
        <x:v>0.00022653958144644112</x:v>
      </x:c>
      <x:c r="Z417" s="13" t="n">
        <x:v>0.0001465754792322874</x:v>
      </x:c>
      <x:c r="AA417" s="13" t="n">
        <x:v>0.0011142971756280926</x:v>
      </x:c>
      <x:c r="AB417" s="13" t="n">
        <x:v>0.09832577187136159</x:v>
      </x:c>
      <x:c r="AC417" s="13" t="n">
        <x:v>0</x:v>
      </x:c>
      <x:c r="AD417" s="13" t="n">
        <x:v>0.40875818616640736</x:v>
      </x:c>
      <x:c r="AE417" s="13" t="n">
        <x:v>0.5456229344574549</x:v>
      </x:c>
      <x:c r="AF417" s="13" t="n">
        <x:v>0.00021489654954527147</x:v>
      </x:c>
      <x:c r="AG417" s="13" t="n">
        <x:v>0.5805559619360615</x:v>
      </x:c>
      <x:c r="AH417" s="13" t="n">
        <x:v>0.7763153909620991</x:v>
      </x:c>
      <x:c r="AI417" s="13" t="n">
        <x:v>0.11764705882352941</x:v>
      </x:c>
      <x:c r="AJ417" s="13" t="n">
        <x:v>0.1436428025831262</x:v>
      </x:c>
      <x:c r="AK417" s="13" t="n">
        <x:v>0.024319906612428603</x:v>
      </x:c>
      <x:c r="AL417" s="13" t="n">
        <x:v>0.25309507365296025</x:v>
      </x:c>
      <x:c r="AM417" s="13" t="n">
        <x:v>0</x:v>
      </x:c>
      <x:c r="AN417" s="13" t="n">
        <x:v>0.8001991333014734</x:v>
      </x:c>
      <x:c r="AO417" s="13" t="n">
        <x:v>0.862178644673686</x:v>
      </x:c>
      <x:c r="AP417" s="13" t="n">
        <x:v>0.8970967841423296</x:v>
      </x:c>
    </x:row>
    <x:row r="418" ht="15" hidden="0" customHeight="1">
      <x:c r="A418" s="2" t="str">
        <x:v>E417</x:v>
      </x:c>
      <x:c r="B418" s="2" t="str">
        <x:v>***园林景观工程有限公司</x:v>
      </x:c>
      <x:c r="C418" s="2" t="str">
        <x:v>无信贷记录</x:v>
      </x:c>
      <x:c r="D418" s="2" t="str"/>
      <x:c r="E418" s="2" t="str"/>
      <x:c r="F418" s="13" t="n">
        <x:v>0.00941864532969744</x:v>
      </x:c>
      <x:c r="G418" s="13" t="n">
        <x:v>0.009537529032238378</x:v>
      </x:c>
      <x:c r="H418" s="13" t="n">
        <x:v>0.0018181818181818182</x:v>
      </x:c>
      <x:c r="I418" s="13" t="n">
        <x:v>0</x:v>
      </x:c>
      <x:c r="J418" s="13" t="n">
        <x:v>0.0005929073730087142</x:v>
      </x:c>
      <x:c r="K418" s="13" t="n">
        <x:v>0.0005885312397261785</x:v>
      </x:c>
      <x:c r="L418" s="13" t="n">
        <x:v>0.013685336783697032</x:v>
      </x:c>
      <x:c r="M418" s="13" t="n">
        <x:v>0.061305331991951734</x:v>
      </x:c>
      <x:c r="N418" s="13" t="n">
        <x:v>0</x:v>
      </x:c>
      <x:c r="O418" s="13" t="n">
        <x:v>0.31515056295520183</x:v>
      </x:c>
      <x:c r="P418" s="13" t="n">
        <x:v>0.5077728499778772</x:v>
      </x:c>
      <x:c r="Q418" s="13" t="n">
        <x:v>0.0006460079705076776</x:v>
      </x:c>
      <x:c r="R418" s="13" t="n">
        <x:v>0.6178424870170321</x:v>
      </x:c>
      <x:c r="S418" s="13" t="n">
        <x:v>0.29253385840270707</x:v>
      </x:c>
      <x:c r="T418" s="13" t="n">
        <x:v>0.8055555555555556</x:v>
      </x:c>
      <x:c r="U418" s="13" t="n">
        <x:v>0</x:v>
      </x:c>
      <x:c r="V418" s="13" t="n">
        <x:v>0</x:v>
      </x:c>
      <x:c r="W418" s="13" t="n">
        <x:v>0</x:v>
      </x:c>
      <x:c r="X418" s="13" t="n">
        <x:v>0</x:v>
      </x:c>
      <x:c r="Y418" s="13" t="n">
        <x:v>0.0001530249477646778</x:v>
      </x:c>
      <x:c r="Z418" s="13" t="n">
        <x:v>0.00009801151740712422</x:v>
      </x:c>
      <x:c r="AA418" s="13" t="n">
        <x:v>0</x:v>
      </x:c>
      <x:c r="AB418" s="13" t="n">
        <x:v>0</x:v>
      </x:c>
      <x:c r="AC418" s="13" t="n">
        <x:v>0</x:v>
      </x:c>
      <x:c r="AD418" s="13" t="n">
        <x:v>0.5237464538088562</x:v>
      </x:c>
      <x:c r="AE418" s="13" t="n">
        <x:v>0.5825231342657422</x:v>
      </x:c>
      <x:c r="AF418" s="13" t="n">
        <x:v>0.00039251115076898113</x:v>
      </x:c>
      <x:c r="AG418" s="13" t="n">
        <x:v>0.7087089308033487</x:v>
      </x:c>
      <x:c r="AH418" s="13" t="n">
        <x:v>0.09559805692867564</x:v>
      </x:c>
      <x:c r="AI418" s="13" t="n">
        <x:v>0</x:v>
      </x:c>
      <x:c r="AJ418" s="13" t="n">
        <x:v>0.14340382806540686</x:v>
      </x:c>
      <x:c r="AK418" s="13" t="n">
        <x:v>0.049011121380873976</x:v>
      </x:c>
      <x:c r="AL418" s="13" t="n">
        <x:v>0.017133546464299446</x:v>
      </x:c>
      <x:c r="AM418" s="13" t="n">
        <x:v>0</x:v>
      </x:c>
      <x:c r="AN418" s="13" t="n">
        <x:v>0.4758936091549961</x:v>
      </x:c>
      <x:c r="AO418" s="13" t="n">
        <x:v>0.7920723203708779</x:v>
      </x:c>
      <x:c r="AP418" s="13" t="n">
        <x:v>0.11944064384250934</x:v>
      </x:c>
    </x:row>
    <x:row r="419" ht="15" hidden="0" customHeight="1">
      <x:c r="A419" s="2" t="str">
        <x:v>E418</x:v>
      </x:c>
      <x:c r="B419" s="2" t="str">
        <x:v>***营销策划有限公司</x:v>
      </x:c>
      <x:c r="C419" s="2" t="str">
        <x:v>无信贷记录</x:v>
      </x:c>
      <x:c r="D419" s="2" t="str"/>
      <x:c r="E419" s="2" t="str"/>
      <x:c r="F419" s="13" t="n">
        <x:v>0.005157829585310502</x:v>
      </x:c>
      <x:c r="G419" s="13" t="n">
        <x:v>0.005264716025795584</x:v>
      </x:c>
      <x:c r="H419" s="13" t="n">
        <x:v>0</x:v>
      </x:c>
      <x:c r="I419" s="13" t="n">
        <x:v>0</x:v>
      </x:c>
      <x:c r="J419" s="13" t="n">
        <x:v>0.00016575080657487776</x:v>
      </x:c>
      <x:c r="K419" s="13" t="n">
        <x:v>0.00016452743231056612</x:v>
      </x:c>
      <x:c r="L419" s="13" t="n">
        <x:v>0.01866182288685959</x:v>
      </x:c>
      <x:c r="M419" s="13" t="n">
        <x:v>0</x:v>
      </x:c>
      <x:c r="N419" s="13" t="n">
        <x:v>0</x:v>
      </x:c>
      <x:c r="O419" s="13" t="n">
        <x:v>0.14992348332496042</x:v>
      </x:c>
      <x:c r="P419" s="13" t="n">
        <x:v>0.28844847621440545</x:v>
      </x:c>
      <x:c r="Q419" s="13" t="n">
        <x:v>0.00019634311382468966</x:v>
      </x:c>
      <x:c r="R419" s="13" t="n">
        <x:v>0.41813373105050705</x:v>
      </x:c>
      <x:c r="S419" s="13" t="n">
        <x:v>0.44154323805808954</x:v>
      </x:c>
      <x:c r="T419" s="13" t="n">
        <x:v>0.4722222222222222</x:v>
      </x:c>
      <x:c r="U419" s="13" t="n">
        <x:v>0.0011846726424490236</x:v>
      </x:c>
      <x:c r="V419" s="13" t="n">
        <x:v>0.0012392637578807109</x:v>
      </x:c>
      <x:c r="W419" s="13" t="n">
        <x:v>0.0037048014226437496</x:v>
      </x:c>
      <x:c r="X419" s="13" t="n">
        <x:v>0</x:v>
      </x:c>
      <x:c r="Y419" s="13" t="n">
        <x:v>0.0005601939582220946</x:v>
      </x:c>
      <x:c r="Z419" s="13" t="n">
        <x:v>0.0003669884447198793</x:v>
      </x:c>
      <x:c r="AA419" s="13" t="n">
        <x:v>0.00408575631063634</x:v>
      </x:c>
      <x:c r="AB419" s="13" t="n">
        <x:v>0.16031375848591561</x:v>
      </x:c>
      <x:c r="AC419" s="13" t="n">
        <x:v>0</x:v>
      </x:c>
      <x:c r="AD419" s="13" t="n">
        <x:v>0.3681921233340452</x:v>
      </x:c>
      <x:c r="AE419" s="13" t="n">
        <x:v>0.5696372782934099</x:v>
      </x:c>
      <x:c r="AF419" s="13" t="n">
        <x:v>0.0008553101479042315</x:v>
      </x:c>
      <x:c r="AG419" s="13" t="n">
        <x:v>0.8674531714746118</x:v>
      </x:c>
      <x:c r="AH419" s="13" t="n">
        <x:v>0.00409429521877885</x:v>
      </x:c>
      <x:c r="AI419" s="13" t="n">
        <x:v>0.14705882352941177</x:v>
      </x:c>
      <x:c r="AJ419" s="13" t="n">
        <x:v>0.14425713080084507</x:v>
      </x:c>
      <x:c r="AK419" s="13" t="n">
        <x:v>0.005227987547013596</x:v>
      </x:c>
      <x:c r="AL419" s="13" t="n">
        <x:v>0.08627709032480652</x:v>
      </x:c>
      <x:c r="AM419" s="13" t="n">
        <x:v>0</x:v>
      </x:c>
      <x:c r="AN419" s="13" t="n">
        <x:v>0.28480621510667664</x:v>
      </x:c>
      <x:c r="AO419" s="13" t="n">
        <x:v>0.7268150896117481</x:v>
      </x:c>
      <x:c r="AP419" s="13" t="n">
        <x:v>0.174068217402503</x:v>
      </x:c>
    </x:row>
    <x:row r="420" ht="15" hidden="0" customHeight="1">
      <x:c r="A420" s="2" t="str">
        <x:v>E419</x:v>
      </x:c>
      <x:c r="B420" s="2" t="str">
        <x:v>***科技有限公司</x:v>
      </x:c>
      <x:c r="C420" s="2" t="str">
        <x:v>无信贷记录</x:v>
      </x:c>
      <x:c r="D420" s="2" t="str"/>
      <x:c r="E420" s="2" t="str"/>
      <x:c r="F420" s="13" t="n">
        <x:v>0.09732600174020686</x:v>
      </x:c>
      <x:c r="G420" s="13" t="n">
        <x:v>0.09735909636108936</x:v>
      </x:c>
      <x:c r="H420" s="13" t="n">
        <x:v>0.04727272727272727</x:v>
      </x:c>
      <x:c r="I420" s="13" t="n">
        <x:v>0.08680555555555569</x:v>
      </x:c>
      <x:c r="J420" s="13" t="n">
        <x:v>0.04075389644384556</x:v>
      </x:c>
      <x:c r="K420" s="13" t="n">
        <x:v>0.040755454118981696</x:v>
      </x:c>
      <x:c r="L420" s="13" t="n">
        <x:v>0.1200577272387967</x:v>
      </x:c>
      <x:c r="M420" s="13" t="n">
        <x:v>0.15646023379541055</x:v>
      </x:c>
      <x:c r="N420" s="13" t="n">
        <x:v>0.20957095887709695</x:v>
      </x:c>
      <x:c r="O420" s="13" t="n">
        <x:v>0.5510213979683828</x:v>
      </x:c>
      <x:c r="P420" s="13" t="n">
        <x:v>0.7290061818183907</x:v>
      </x:c>
      <x:c r="Q420" s="13" t="n">
        <x:v>0.039898086938341515</x:v>
      </x:c>
      <x:c r="R420" s="13" t="n">
        <x:v>0.12507105002297675</x:v>
      </x:c>
      <x:c r="S420" s="13" t="n">
        <x:v>0.7356228695912559</x:v>
      </x:c>
      <x:c r="T420" s="13" t="n">
        <x:v>1</x:v>
      </x:c>
      <x:c r="U420" s="13" t="n">
        <x:v>0</x:v>
      </x:c>
      <x:c r="V420" s="13" t="n">
        <x:v>0</x:v>
      </x:c>
      <x:c r="W420" s="13" t="n">
        <x:v>0</x:v>
      </x:c>
      <x:c r="X420" s="13" t="n">
        <x:v>0</x:v>
      </x:c>
      <x:c r="Y420" s="13" t="n">
        <x:v>0</x:v>
      </x:c>
      <x:c r="Z420" s="13" t="n">
        <x:v>0</x:v>
      </x:c>
      <x:c r="AA420" s="13" t="n">
        <x:v>0</x:v>
      </x:c>
      <x:c r="AB420" s="13" t="n">
        <x:v>0</x:v>
      </x:c>
      <x:c r="AC420" s="13" t="n">
        <x:v>0</x:v>
      </x:c>
      <x:c r="AD420" s="13" t="n">
        <x:v>0.6098199400508607</x:v>
      </x:c>
      <x:c r="AE420" s="13" t="n">
        <x:v>0.7215327502169868</x:v>
      </x:c>
      <x:c r="AF420" s="13" t="n">
        <x:v>0.000017009526513780944</x:v>
      </x:c>
      <x:c r="AG420" s="13" t="n">
        <x:v>0.554070838847388</x:v>
      </x:c>
      <x:c r="AH420" s="13" t="n">
        <x:v>0.7567075559296119</x:v>
      </x:c>
      <x:c r="AI420" s="13" t="n">
        <x:v>0</x:v>
      </x:c>
      <x:c r="AJ420" s="13" t="n">
        <x:v>0.11795239087805029</x:v>
      </x:c>
      <x:c r="AK420" s="13" t="n">
        <x:v>1</x:v>
      </x:c>
      <x:c r="AL420" s="13" t="n">
        <x:v>0.052239430920104774</x:v>
      </x:c>
      <x:c r="AM420" s="13" t="n">
        <x:v>0.09837706941113473</x:v>
      </x:c>
      <x:c r="AN420" s="13" t="n">
        <x:v>0.6681843144509674</x:v>
      </x:c>
      <x:c r="AO420" s="13" t="n">
        <x:v>0.35425325561241966</x:v>
      </x:c>
      <x:c r="AP420" s="13" t="n">
        <x:v>0.732901439728909</x:v>
      </x:c>
    </x:row>
    <x:row r="421" ht="15" hidden="0" customHeight="1">
      <x:c r="A421" s="2" t="str">
        <x:v>E420</x:v>
      </x:c>
      <x:c r="B421" s="2" t="str">
        <x:v>***康药房</x:v>
      </x:c>
      <x:c r="C421" s="2" t="str">
        <x:v>无信贷记录</x:v>
      </x:c>
      <x:c r="D421" s="2" t="str"/>
      <x:c r="E421" s="2" t="str"/>
      <x:c r="F421" s="13" t="n">
        <x:v>0.011287424164954867</x:v>
      </x:c>
      <x:c r="G421" s="13" t="n">
        <x:v>0.011368734606428146</x:v>
      </x:c>
      <x:c r="H421" s="13" t="n">
        <x:v>0.0036363636363636364</x:v>
      </x:c>
      <x:c r="I421" s="13" t="n">
        <x:v>0</x:v>
      </x:c>
      <x:c r="J421" s="13" t="n">
        <x:v>0.007313123202642422</x:v>
      </x:c>
      <x:c r="K421" s="13" t="n">
        <x:v>0.007259146471531848</x:v>
      </x:c>
      <x:c r="L421" s="13" t="n">
        <x:v>0.011819154495011074</x:v>
      </x:c>
      <x:c r="M421" s="13" t="n">
        <x:v>0.10257624176431139</x:v>
      </x:c>
      <x:c r="N421" s="13" t="n">
        <x:v>0</x:v>
      </x:c>
      <x:c r="O421" s="13" t="n">
        <x:v>0.2398970497955071</x:v>
      </x:c>
      <x:c r="P421" s="13" t="n">
        <x:v>0.35095562193945246</x:v>
      </x:c>
      <x:c r="Q421" s="13" t="n">
        <x:v>0.008242230544669027</x:v>
      </x:c>
      <x:c r="R421" s="13" t="n">
        <x:v>0.051567353886812856</x:v>
      </x:c>
      <x:c r="S421" s="13" t="n">
        <x:v>0.5419080281981418</x:v>
      </x:c>
      <x:c r="T421" s="13" t="n">
        <x:v>0.8333333333333334</x:v>
      </x:c>
      <x:c r="U421" s="13" t="n">
        <x:v>0.010183292271670958</x:v>
      </x:c>
      <x:c r="V421" s="13" t="n">
        <x:v>0.010011160839265261</x:v>
      </x:c>
      <x:c r="W421" s="13" t="n">
        <x:v>0.014819205690574998</x:v>
      </x:c>
      <x:c r="X421" s="13" t="n">
        <x:v>0</x:v>
      </x:c>
      <x:c r="Y421" s="13" t="n">
        <x:v>0.00002715655096602067</x:v>
      </x:c>
      <x:c r="Z421" s="13" t="n">
        <x:v>0.000014862520928606208</x:v>
      </x:c>
      <x:c r="AA421" s="13" t="n">
        <x:v>0.026743132215074225</x:v>
      </x:c>
      <x:c r="AB421" s="13" t="n">
        <x:v>0.11705449032304949</x:v>
      </x:c>
      <x:c r="AC421" s="13" t="n">
        <x:v>0</x:v>
      </x:c>
      <x:c r="AD421" s="13" t="n">
        <x:v>0.023459319447830036</x:v>
      </x:c>
      <x:c r="AE421" s="13" t="n">
        <x:v>0.033262809377312484</x:v>
      </x:c>
      <x:c r="AF421" s="13" t="n">
        <x:v>0</x:v>
      </x:c>
      <x:c r="AG421" s="13" t="n">
        <x:v>0.2181343118059579</x:v>
      </x:c>
      <x:c r="AH421" s="13" t="n">
        <x:v>0.4086417112478827</x:v>
      </x:c>
      <x:c r="AI421" s="13" t="n">
        <x:v>0.7647058823529411</x:v>
      </x:c>
      <x:c r="AJ421" s="13" t="n">
        <x:v>0.13900412231225126</x:v>
      </x:c>
      <x:c r="AK421" s="13" t="n">
        <x:v>1</x:v>
      </x:c>
      <x:c r="AL421" s="13" t="n">
        <x:v>0.13792313028931924</x:v>
      </x:c>
      <x:c r="AM421" s="13" t="n">
        <x:v>0</x:v>
      </x:c>
      <x:c r="AN421" s="13" t="n">
        <x:v>0.13466013459819723</x:v>
      </x:c>
      <x:c r="AO421" s="13" t="n">
        <x:v>0.1304301552830306</x:v>
      </x:c>
      <x:c r="AP421" s="13" t="n">
        <x:v>0.43616984955487303</x:v>
      </x:c>
    </x:row>
    <x:row r="422" ht="15" hidden="0" customHeight="1">
      <x:c r="A422" s="2" t="str">
        <x:v>E421</x:v>
      </x:c>
      <x:c r="B422" s="2" t="str">
        <x:v>***保温材料有限公司</x:v>
      </x:c>
      <x:c r="C422" s="2" t="str">
        <x:v>无信贷记录</x:v>
      </x:c>
      <x:c r="D422" s="2" t="str"/>
      <x:c r="E422" s="2" t="str"/>
      <x:c r="F422" s="13" t="n">
        <x:v>0.0012707696079750513</x:v>
      </x:c>
      <x:c r="G422" s="13" t="n">
        <x:v>0.0012971039483844194</x:v>
      </x:c>
      <x:c r="H422" s="13" t="n">
        <x:v>0</x:v>
      </x:c>
      <x:c r="I422" s="13" t="n">
        <x:v>0</x:v>
      </x:c>
      <x:c r="J422" s="13" t="n">
        <x:v>0.00010817250748278298</x:v>
      </x:c>
      <x:c r="K422" s="13" t="n">
        <x:v>0.00010737410737544647</x:v>
      </x:c>
      <x:c r="L422" s="13" t="n">
        <x:v>0.0024882430515812785</x:v>
      </x:c>
      <x:c r="M422" s="13" t="n">
        <x:v>0</x:v>
      </x:c>
      <x:c r="N422" s="13" t="n">
        <x:v>0</x:v>
      </x:c>
      <x:c r="O422" s="13" t="n">
        <x:v>0.8524640035343322</x:v>
      </x:c>
      <x:c r="P422" s="13" t="n">
        <x:v>0.9199067818079307</x:v>
      </x:c>
      <x:c r="Q422" s="13" t="n">
        <x:v>0.0001413963139696835</x:v>
      </x:c>
      <x:c r="R422" s="13" t="n">
        <x:v>0.30381208815915367</x:v>
      </x:c>
      <x:c r="S422" s="13" t="n">
        <x:v>0.6854156574374654</x:v>
      </x:c>
      <x:c r="T422" s="13" t="n">
        <x:v>0.3055555555555556</x:v>
      </x:c>
      <x:c r="U422" s="13" t="n">
        <x:v>0.0017088640771609808</x:v>
      </x:c>
      <x:c r="V422" s="13" t="n">
        <x:v>0.0019858081903389706</x:v>
      </x:c>
      <x:c r="W422" s="13" t="n">
        <x:v>0.0012349338075479165</x:v>
      </x:c>
      <x:c r="X422" s="13" t="n">
        <x:v>0</x:v>
      </x:c>
      <x:c r="Y422" s="13" t="n">
        <x:v>0.0002824116926715496</x:v>
      </x:c>
      <x:c r="Z422" s="13" t="n">
        <x:v>0.0001834847439696093</x:v>
      </x:c>
      <x:c r="AA422" s="13" t="n">
        <x:v>0.0014857295675041236</x:v>
      </x:c>
      <x:c r="AB422" s="13" t="n">
        <x:v>0.04238179822041447</x:v>
      </x:c>
      <x:c r="AC422" s="13" t="n">
        <x:v>0</x:v>
      </x:c>
      <x:c r="AD422" s="13" t="n">
        <x:v>0.4542786549176985</x:v>
      </x:c>
      <x:c r="AE422" s="13" t="n">
        <x:v>0.6249491082249925</x:v>
      </x:c>
      <x:c r="AF422" s="13" t="n">
        <x:v>0.0003035854247361973</x:v>
      </x:c>
      <x:c r="AG422" s="13" t="n">
        <x:v>1</x:v>
      </x:c>
      <x:c r="AH422" s="13" t="n">
        <x:v>0.5564645521843115</x:v>
      </x:c>
      <x:c r="AI422" s="13" t="n">
        <x:v>0.029411764705882353</x:v>
      </x:c>
      <x:c r="AJ422" s="13" t="n">
        <x:v>0.14389407671928905</x:v>
      </x:c>
      <x:c r="AK422" s="13" t="n">
        <x:v>0.005955211930890529</x:v>
      </x:c>
      <x:c r="AL422" s="13" t="n">
        <x:v>0.05494174509581589</x:v>
      </x:c>
      <x:c r="AM422" s="13" t="n">
        <x:v>0</x:v>
      </x:c>
      <x:c r="AN422" s="13" t="n">
        <x:v>0.7567462763205643</x:v>
      </x:c>
      <x:c r="AO422" s="13" t="n">
        <x:v>0.7407453564141537</x:v>
      </x:c>
      <x:c r="AP422" s="13" t="n">
        <x:v>0.6028156119912409</x:v>
      </x:c>
    </x:row>
    <x:row r="423" ht="15" hidden="0" customHeight="1">
      <x:c r="A423" s="2" t="str">
        <x:v>E422</x:v>
      </x:c>
      <x:c r="B423" s="2" t="str">
        <x:v>***童装店</x:v>
      </x:c>
      <x:c r="C423" s="2" t="str">
        <x:v>无信贷记录</x:v>
      </x:c>
      <x:c r="D423" s="2" t="str"/>
      <x:c r="E423" s="2" t="str"/>
      <x:c r="F423" s="13" t="n">
        <x:v>0.00007475115341029714</x:v>
      </x:c>
      <x:c r="G423" s="13" t="n">
        <x:v>0.00007630023225790702</x:v>
      </x:c>
      <x:c r="H423" s="13" t="n">
        <x:v>0</x:v>
      </x:c>
      <x:c r="I423" s="13" t="n">
        <x:v>0</x:v>
      </x:c>
      <x:c r="J423" s="13" t="n">
        <x:v>0.000001368839069696716</x:v>
      </x:c>
      <x:c r="K423" s="13" t="n">
        <x:v>0.0000013587359364181775</x:v>
      </x:c>
      <x:c r="L423" s="13" t="n">
        <x:v>0.0006220607628953196</x:v>
      </x:c>
      <x:c r="M423" s="13" t="n">
        <x:v>0</x:v>
      </x:c>
      <x:c r="N423" s="13" t="n">
        <x:v>0</x:v>
      </x:c>
      <x:c r="O423" s="13" t="n">
        <x:v>0.6666167276165769</x:v>
      </x:c>
      <x:c r="P423" s="13" t="n">
        <x:v>0.7826755373448998</x:v>
      </x:c>
      <x:c r="Q423" s="13" t="n">
        <x:v>0.000003846814639214769</x:v>
      </x:c>
      <x:c r="R423" s="13" t="n">
        <x:v>0.3872210533709726</x:v>
      </x:c>
      <x:c r="S423" s="13" t="n">
        <x:v>0.42423934424704834</x:v>
      </x:c>
      <x:c r="T423" s="13" t="n">
        <x:v>0.027777777777777776</x:v>
      </x:c>
      <x:c r="U423" s="13" t="n">
        <x:v>0.0017962293162796404</x:v>
      </x:c>
      <x:c r="V423" s="13" t="n">
        <x:v>0.0018924901362816883</x:v>
      </x:c>
      <x:c r="W423" s="13" t="n">
        <x:v>0.0037048014226437496</x:v>
      </x:c>
      <x:c r="X423" s="13" t="n">
        <x:v>0</x:v>
      </x:c>
      <x:c r="Y423" s="13" t="n">
        <x:v>0</x:v>
      </x:c>
      <x:c r="Z423" s="13" t="n">
        <x:v>0</x:v>
      </x:c>
      <x:c r="AA423" s="13" t="n">
        <x:v>0.006685783053768556</x:v>
      </x:c>
      <x:c r="AB423" s="13" t="n">
        <x:v>0.12290721483920199</x:v>
      </x:c>
      <x:c r="AC423" s="13" t="n">
        <x:v>0</x:v>
      </x:c>
      <x:c r="AD423" s="13" t="n">
        <x:v>0.13013878672329945</x:v>
      </x:c>
      <x:c r="AE423" s="13" t="n">
        <x:v>0.2774358846725689</x:v>
      </x:c>
      <x:c r="AF423" s="13" t="n">
        <x:v>0</x:v>
      </x:c>
      <x:c r="AG423" s="13" t="n">
        <x:v>0.5398286370097803</x:v>
      </x:c>
      <x:c r="AH423" s="13" t="n">
        <x:v>0.9775482453788709</x:v>
      </x:c>
      <x:c r="AI423" s="13" t="n">
        <x:v>0.2647058823529412</x:v>
      </x:c>
      <x:c r="AJ423" s="13" t="n">
        <x:v>0.14347729022900405</x:v>
      </x:c>
      <x:c r="AK423" s="13" t="n">
        <x:v>0.0016033701492120039</x:v>
      </x:c>
      <x:c r="AL423" s="13" t="n">
        <x:v>0.25309507365296025</x:v>
      </x:c>
      <x:c r="AM423" s="13" t="n">
        <x:v>0</x:v>
      </x:c>
      <x:c r="AN423" s="13" t="n">
        <x:v>0.45351033084182396</x:v>
      </x:c>
      <x:c r="AO423" s="13" t="n">
        <x:v>0.5382729576909536</x:v>
      </x:c>
      <x:c r="AP423" s="13" t="n">
        <x:v>0.6330651906445132</x:v>
      </x:c>
    </x:row>
    <x:row r="424" ht="15" hidden="0" customHeight="1">
      <x:c r="A424" s="2" t="str">
        <x:v>E423</x:v>
      </x:c>
      <x:c r="B424" s="2" t="str">
        <x:v>***通风设备有限公司</x:v>
      </x:c>
      <x:c r="C424" s="2" t="str">
        <x:v>无信贷记录</x:v>
      </x:c>
      <x:c r="D424" s="2" t="str"/>
      <x:c r="E424" s="2" t="str"/>
      <x:c r="F424" s="13" t="n">
        <x:v>0.0014202719147956456</x:v>
      </x:c>
      <x:c r="G424" s="13" t="n">
        <x:v>0.0014497044129002333</x:v>
      </x:c>
      <x:c r="H424" s="13" t="n">
        <x:v>0</x:v>
      </x:c>
      <x:c r="I424" s="13" t="n">
        <x:v>0.006677350427350438</x:v>
      </x:c>
      <x:c r="J424" s="13" t="n">
        <x:v>0.0002343852872748664</x:v>
      </x:c>
      <x:c r="K424" s="13" t="n">
        <x:v>0.0003011356265364083</x:v>
      </x:c>
      <x:c r="L424" s="13" t="n">
        <x:v>0.0043544253402672374</x:v>
      </x:c>
      <x:c r="M424" s="13" t="n">
        <x:v>0</x:v>
      </x:c>
      <x:c r="N424" s="13" t="n">
        <x:v>0.9810684448532231</x:v>
      </x:c>
      <x:c r="O424" s="13" t="n">
        <x:v>0.5008124354733422</x:v>
      </x:c>
      <x:c r="P424" s="13" t="n">
        <x:v>0.6710778373429044</x:v>
      </x:c>
      <x:c r="Q424" s="13" t="n">
        <x:v>0.0003773582245871313</x:v>
      </x:c>
      <x:c r="R424" s="13" t="n">
        <x:v>0.2619544634886325</x:v>
      </x:c>
      <x:c r="S424" s="13" t="n">
        <x:v>0.3913082717460118</x:v>
      </x:c>
      <x:c r="T424" s="13" t="n">
        <x:v>0.25</x:v>
      </x:c>
      <x:c r="U424" s="13" t="n">
        <x:v>0</x:v>
      </x:c>
      <x:c r="V424" s="13" t="n">
        <x:v>0</x:v>
      </x:c>
      <x:c r="W424" s="13" t="n">
        <x:v>0.0012349338075479165</x:v>
      </x:c>
      <x:c r="X424" s="13" t="n">
        <x:v>0</x:v>
      </x:c>
      <x:c r="Y424" s="13" t="n">
        <x:v>0.000016166414603401897</x:v>
      </x:c>
      <x:c r="Z424" s="13" t="n">
        <x:v>0.000007602407723417834</x:v>
      </x:c>
      <x:c r="AA424" s="13" t="n">
        <x:v>0.0003714323918760309</x:v>
      </x:c>
      <x:c r="AB424" s="13" t="n">
        <x:v>0.17558173548457423</x:v>
      </x:c>
      <x:c r="AC424" s="13" t="n">
        <x:v>0</x:v>
      </x:c>
      <x:c r="AD424" s="13" t="n">
        <x:v>0.39411852529928754</x:v>
      </x:c>
      <x:c r="AE424" s="13" t="n">
        <x:v>0.515807986766937</x:v>
      </x:c>
      <x:c r="AF424" s="13" t="n">
        <x:v>0</x:v>
      </x:c>
      <x:c r="AG424" s="13" t="n">
        <x:v>0.7883216202123534</x:v>
      </x:c>
      <x:c r="AH424" s="13" t="n">
        <x:v>0.3778767646031907</x:v>
      </x:c>
      <x:c r="AI424" s="13" t="n">
        <x:v>0.058823529411764705</x:v>
      </x:c>
      <x:c r="AJ424" s="13" t="n">
        <x:v>0.14343222197673222</x:v>
      </x:c>
      <x:c r="AK424" s="13" t="n">
        <x:v>0.05587480697425502</x:v>
      </x:c>
      <x:c r="AL424" s="13" t="n">
        <x:v>0.09702063726046045</x:v>
      </x:c>
      <x:c r="AM424" s="13" t="n">
        <x:v>0.3593145384190163</x:v>
      </x:c>
      <x:c r="AN424" s="13" t="n">
        <x:v>0.5104156166091783</x:v>
      </x:c>
      <x:c r="AO424" s="13" t="n">
        <x:v>0.5727918613689721</x:v>
      </x:c>
      <x:c r="AP424" s="13" t="n">
        <x:v>0.3213940125444312</x:v>
      </x:c>
    </x:row>
    <x:row r="425" ht="15" hidden="0" customHeight="1">
      <x:c r="A425" s="2" t="str">
        <x:v>E424</x:v>
      </x:c>
      <x:c r="B425" s="2" t="str">
        <x:v>***贸易有限公司</x:v>
      </x:c>
      <x:c r="C425" s="2" t="str">
        <x:v>无信贷记录</x:v>
      </x:c>
      <x:c r="D425" s="2" t="str"/>
      <x:c r="E425" s="2" t="str"/>
      <x:c r="F425" s="13" t="n">
        <x:v>0.001719276528436834</x:v>
      </x:c>
      <x:c r="G425" s="13" t="n">
        <x:v>0.0017549053419318615</x:v>
      </x:c>
      <x:c r="H425" s="13" t="n">
        <x:v>0</x:v>
      </x:c>
      <x:c r="I425" s="13" t="n">
        <x:v>0</x:v>
      </x:c>
      <x:c r="J425" s="13" t="n">
        <x:v>0.0009288921052166102</x:v>
      </x:c>
      <x:c r="K425" s="13" t="n">
        <x:v>0.0009220361343810722</x:v>
      </x:c>
      <x:c r="L425" s="13" t="n">
        <x:v>0.007464729154743836</x:v>
      </x:c>
      <x:c r="M425" s="13" t="n">
        <x:v>0</x:v>
      </x:c>
      <x:c r="N425" s="13" t="n">
        <x:v>0</x:v>
      </x:c>
      <x:c r="O425" s="13" t="n">
        <x:v>0.7109258790663668</x:v>
      </x:c>
      <x:c r="P425" s="13" t="n">
        <x:v>0.8316938046352607</x:v>
      </x:c>
      <x:c r="Q425" s="13" t="n">
        <x:v>0.0015692330606252138</x:v>
      </x:c>
      <x:c r="R425" s="13" t="n">
        <x:v>0.26750739457761064</x:v>
      </x:c>
      <x:c r="S425" s="13" t="n">
        <x:v>0.4449749551547804</x:v>
      </x:c>
      <x:c r="T425" s="13" t="n">
        <x:v>0.2777777777777778</x:v>
      </x:c>
      <x:c r="U425" s="13" t="n">
        <x:v>0.002931977424822215</x:v>
      </x:c>
      <x:c r="V425" s="13" t="n">
        <x:v>0.0028256706768545127</x:v>
      </x:c>
      <x:c r="W425" s="13" t="n">
        <x:v>0.007409602845287499</x:v>
      </x:c>
      <x:c r="X425" s="13" t="n">
        <x:v>0.005668291576918725</x:v>
      </x:c>
      <x:c r="Y425" s="13" t="n">
        <x:v>0.00002249479503411331</x:v>
      </x:c>
      <x:c r="Z425" s="13" t="n">
        <x:v>0.000014252370536273292</x:v>
      </x:c>
      <x:c r="AA425" s="13" t="n">
        <x:v>0.007057215445644587</x:v>
      </x:c>
      <x:c r="AB425" s="13" t="n">
        <x:v>0.17149843931051437</x:v>
      </x:c>
      <x:c r="AC425" s="13" t="n">
        <x:v>0.3031955476481617</x:v>
      </x:c>
      <x:c r="AD425" s="13" t="n">
        <x:v>0.6950568575883046</x:v>
      </x:c>
      <x:c r="AE425" s="13" t="n">
        <x:v>0.8219203082623444</x:v>
      </x:c>
      <x:c r="AF425" s="13" t="n">
        <x:v>0.000024694882706603057</x:v>
      </x:c>
      <x:c r="AG425" s="13" t="n">
        <x:v>1</x:v>
      </x:c>
      <x:c r="AH425" s="13" t="n">
        <x:v>0.07169169799941037</x:v>
      </x:c>
      <x:c r="AI425" s="13" t="n">
        <x:v>0.2647058823529412</x:v>
      </x:c>
      <x:c r="AJ425" s="13" t="n">
        <x:v>0.14300531865332047</x:v>
      </x:c>
      <x:c r="AK425" s="13" t="n">
        <x:v>0.15634467874979807</x:v>
      </x:c>
      <x:c r="AL425" s="13" t="n">
        <x:v>0.2455343743121471</x:v>
      </x:c>
      <x:c r="AM425" s="13" t="n">
        <x:v>0.3129513721714013</x:v>
      </x:c>
      <x:c r="AN425" s="13" t="n">
        <x:v>0.814458640875863</x:v>
      </x:c>
      <x:c r="AO425" s="13" t="n">
        <x:v>0.8110841477042092</x:v>
      </x:c>
      <x:c r="AP425" s="13" t="n">
        <x:v>0.20901503706599694</x:v>
      </x:c>
    </x:row>
    <x:row r="426" ht="15" hidden="0" customHeight="1">
      <x:c r="A426" s="2" t="str">
        <x:v>E425</x:v>
      </x:c>
      <x:c r="B426" s="2" t="str">
        <x:v>***商贸有限公司</x:v>
      </x:c>
      <x:c r="C426" s="2" t="str">
        <x:v>无信贷记录</x:v>
      </x:c>
      <x:c r="D426" s="2" t="str"/>
      <x:c r="E426" s="2" t="str"/>
      <x:c r="F426" s="13" t="n">
        <x:v>0.008671133795594468</x:v>
      </x:c>
      <x:c r="G426" s="13" t="n">
        <x:v>0.0086982264774014</x:v>
      </x:c>
      <x:c r="H426" s="13" t="n">
        <x:v>0.0036363636363636364</x:v>
      </x:c>
      <x:c r="I426" s="13" t="n">
        <x:v>0.020032051282051315</x:v>
      </x:c>
      <x:c r="J426" s="13" t="n">
        <x:v>0.00021053223985609883</x:v>
      </x:c>
      <x:c r="K426" s="13" t="n">
        <x:v>0.0002127386443009305</x:v>
      </x:c>
      <x:c r="L426" s="13" t="n">
        <x:v>0.01679564059817363</x:v>
      </x:c>
      <x:c r="M426" s="13" t="n">
        <x:v>0.13300139821982748</x:v>
      </x:c>
      <x:c r="N426" s="13" t="n">
        <x:v>0.5328216553944229</x:v>
      </x:c>
      <x:c r="O426" s="13" t="n">
        <x:v>0.07500513688101267</x:v>
      </x:c>
      <x:c r="P426" s="13" t="n">
        <x:v>0.135136382295957</x:v>
      </x:c>
      <x:c r="Q426" s="13" t="n">
        <x:v>0.00032445446302409043</x:v>
      </x:c>
      <x:c r="R426" s="13" t="n">
        <x:v>0.20293645302635702</x:v>
      </x:c>
      <x:c r="S426" s="13" t="n">
        <x:v>0.45322074154003406</x:v>
      </x:c>
      <x:c r="T426" s="13" t="n">
        <x:v>0.5277777777777778</x:v>
      </x:c>
      <x:c r="U426" s="13" t="n">
        <x:v>0.0007478464468557257</x:v>
      </x:c>
      <x:c r="V426" s="13" t="n">
        <x:v>0.0003060832173078864</x:v>
      </x:c>
      <x:c r="W426" s="13" t="n">
        <x:v>0.009879470460383332</x:v>
      </x:c>
      <x:c r="X426" s="13" t="n">
        <x:v>0</x:v>
      </x:c>
      <x:c r="Y426" s="13" t="n">
        <x:v>0.00003516665443387505</x:v>
      </x:c>
      <x:c r="Z426" s="13" t="n">
        <x:v>0.00002015401650637696</x:v>
      </x:c>
      <x:c r="AA426" s="13" t="n">
        <x:v>0</x:v>
      </x:c>
      <x:c r="AB426" s="13" t="n">
        <x:v>0.5462542881742309</x:v>
      </x:c>
      <x:c r="AC426" s="13" t="n">
        <x:v>0</x:v>
      </x:c>
      <x:c r="AD426" s="13" t="n">
        <x:v>0.908089615741085</x:v>
      </x:c>
      <x:c r="AE426" s="13" t="n">
        <x:v>0.949740169981043</x:v>
      </x:c>
      <x:c r="AF426" s="13" t="n">
        <x:v>0.0001573307923960152</x:v>
      </x:c>
      <x:c r="AG426" s="13" t="n">
        <x:v>0.723330600442147</x:v>
      </x:c>
      <x:c r="AH426" s="13" t="n">
        <x:v>0</x:v>
      </x:c>
      <x:c r="AI426" s="13" t="n">
        <x:v>0</x:v>
      </x:c>
      <x:c r="AJ426" s="13" t="n">
        <x:v>0.14347450168015854</x:v>
      </x:c>
      <x:c r="AK426" s="13" t="n">
        <x:v>0.03383306850565026</x:v>
      </x:c>
      <x:c r="AL426" s="13" t="n">
        <x:v>0.20395052793767485</x:v>
      </x:c>
      <x:c r="AM426" s="13" t="n">
        <x:v>0.2309879175550819</x:v>
      </x:c>
      <x:c r="AN426" s="13" t="n">
        <x:v>0.5594993913225663</x:v>
      </x:c>
      <x:c r="AO426" s="13" t="n">
        <x:v>0.49681103218934736</x:v>
      </x:c>
      <x:c r="AP426" s="13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.5" hidden="0" customWidth="1"/>
    <x:col min="3" max="3" width="10.75" hidden="0" customWidth="1"/>
    <x:col min="4" max="4" width="11.5" hidden="0" customWidth="1"/>
    <x:col min="5" max="5" width="10.75" hidden="0" customWidth="1"/>
    <x:col min="6" max="6" width="8.5" hidden="0" customWidth="1"/>
    <x:col min="7" max="7" width="10.75" hidden="0" customWidth="1"/>
    <x:col min="8" max="8" width="11.5" hidden="0" customWidth="1"/>
    <x:col min="9" max="9" width="10.75" hidden="0" customWidth="1"/>
    <x:col min="10" max="10" width="10.630000114440918" hidden="0" customWidth="1"/>
    <x:col min="11" max="11" width="27.25" hidden="0" customWidth="1"/>
  </x:cols>
  <x:sheetData>
    <x:row r="1" ht="24" hidden="0" customHeight="1">
      <x:c r="A1" s="10" t="str">
        <x:v>特征</x:v>
      </x:c>
      <x:c r="B1" s="10" t="str">
        <x:v>Q1</x:v>
      </x:c>
      <x:c r="C1" s="10" t="str">
        <x:v>Q3</x:v>
      </x:c>
      <x:c r="D1" s="10" t="str">
        <x:v>IQR下界</x:v>
      </x:c>
      <x:c r="E1" s="10" t="str">
        <x:v>IQR上界</x:v>
      </x:c>
      <x:c r="F1" s="10" t="str">
        <x:v>IQR异常数</x:v>
      </x:c>
      <x:c r="G1" s="10" t="str">
        <x:v>异常率</x:v>
      </x:c>
      <x:c r="H1" s="10" t="str">
        <x:v>1%缩尾点</x:v>
      </x:c>
      <x:c r="I1" s="10" t="str">
        <x:v>99%缩尾点</x:v>
      </x:c>
      <x:c r="J1" s="10" t="str">
        <x:v>原始是否删除</x:v>
      </x:c>
      <x:c r="K1" s="10" t="str">
        <x:v>建模处理</x:v>
      </x:c>
    </x:row>
    <x:row r="2" ht="15" hidden="0" customHeight="1">
      <x:c r="A2" s="2" t="str">
        <x:v>进项_发票总数</x:v>
      </x:c>
      <x:c r="B2" s="2" t="n">
        <x:v>118</x:v>
      </x:c>
      <x:c r="C2" s="2" t="n">
        <x:v>1524</x:v>
      </x:c>
      <x:c r="D2" s="2" t="n">
        <x:v>-1991</x:v>
      </x:c>
      <x:c r="E2" s="2" t="n">
        <x:v>3633</x:v>
      </x:c>
      <x:c r="F2" s="2" t="n">
        <x:v>40</x:v>
      </x:c>
      <x:c r="G2" s="14" t="n">
        <x:v>0.09411764705882353</x:v>
      </x:c>
      <x:c r="H2" s="2" t="n">
        <x:v>2</x:v>
      </x:c>
      <x:c r="I2" s="2" t="n">
        <x:v>13379.719999999998</x:v>
      </x:c>
      <x:c r="J2" s="2" t="str">
        <x:v>否</x:v>
      </x:c>
      <x:c r="K2" s="2" t="str">
        <x:v>保留原值；另生成1%-99%缩尾版本</x:v>
      </x:c>
    </x:row>
    <x:row r="3" ht="15" hidden="0" customHeight="1">
      <x:c r="A3" s="2" t="str">
        <x:v>进项_有效票数</x:v>
      </x:c>
      <x:c r="B3" s="2" t="n">
        <x:v>116</x:v>
      </x:c>
      <x:c r="C3" s="2" t="n">
        <x:v>1460</x:v>
      </x:c>
      <x:c r="D3" s="2" t="n">
        <x:v>-1900</x:v>
      </x:c>
      <x:c r="E3" s="2" t="n">
        <x:v>3476</x:v>
      </x:c>
      <x:c r="F3" s="2" t="n">
        <x:v>41</x:v>
      </x:c>
      <x:c r="G3" s="14" t="n">
        <x:v>0.09647058823529411</x:v>
      </x:c>
      <x:c r="H3" s="2" t="n">
        <x:v>2</x:v>
      </x:c>
      <x:c r="I3" s="2" t="n">
        <x:v>13108.119999999995</x:v>
      </x:c>
      <x:c r="J3" s="2" t="str">
        <x:v>否</x:v>
      </x:c>
      <x:c r="K3" s="2" t="str">
        <x:v>保留原值；另生成1%-99%缩尾版本</x:v>
      </x:c>
    </x:row>
    <x:row r="4" ht="15" hidden="0" customHeight="1">
      <x:c r="A4" s="2" t="str">
        <x:v>进项_作废票数</x:v>
      </x:c>
      <x:c r="B4" s="2" t="n">
        <x:v>2</x:v>
      </x:c>
      <x:c r="C4" s="2" t="n">
        <x:v>52</x:v>
      </x:c>
      <x:c r="D4" s="2" t="n">
        <x:v>-73</x:v>
      </x:c>
      <x:c r="E4" s="2" t="n">
        <x:v>127</x:v>
      </x:c>
      <x:c r="F4" s="2" t="n">
        <x:v>41</x:v>
      </x:c>
      <x:c r="G4" s="14" t="n">
        <x:v>0.09647058823529411</x:v>
      </x:c>
      <x:c r="H4" s="2" t="n">
        <x:v>0</x:v>
      </x:c>
      <x:c r="I4" s="2" t="n">
        <x:v>550</x:v>
      </x:c>
      <x:c r="J4" s="2" t="str">
        <x:v>否</x:v>
      </x:c>
      <x:c r="K4" s="2" t="str">
        <x:v>保留原值；另生成1%-99%缩尾版本</x:v>
      </x:c>
    </x:row>
    <x:row r="5" ht="15" hidden="0" customHeight="1">
      <x:c r="A5" s="2" t="str">
        <x:v>进项_负数票数</x:v>
      </x:c>
      <x:c r="B5" s="2" t="n">
        <x:v>0</x:v>
      </x:c>
      <x:c r="C5" s="2" t="n">
        <x:v>10</x:v>
      </x:c>
      <x:c r="D5" s="2" t="n">
        <x:v>-15</x:v>
      </x:c>
      <x:c r="E5" s="2" t="n">
        <x:v>25</x:v>
      </x:c>
      <x:c r="F5" s="2" t="n">
        <x:v>47</x:v>
      </x:c>
      <x:c r="G5" s="14" t="n">
        <x:v>0.11058823529411765</x:v>
      </x:c>
      <x:c r="H5" s="2" t="n">
        <x:v>0</x:v>
      </x:c>
      <x:c r="I5" s="2" t="n">
        <x:v>149.75999999999976</x:v>
      </x:c>
      <x:c r="J5" s="2" t="str">
        <x:v>否</x:v>
      </x:c>
      <x:c r="K5" s="2" t="str">
        <x:v>保留原值；另生成1%-99%缩尾版本</x:v>
      </x:c>
    </x:row>
    <x:row r="6" ht="15" hidden="0" customHeight="1">
      <x:c r="A6" s="2" t="str">
        <x:v>进项_有效价税合计</x:v>
      </x:c>
      <x:c r="B6" s="2" t="n">
        <x:v>529274.01</x:v>
      </x:c>
      <x:c r="C6" s="2" t="n">
        <x:v>34053737.95</x:v>
      </x:c>
      <x:c r="D6" s="2" t="n">
        <x:v>-49757421.900000006</x:v>
      </x:c>
      <x:c r="E6" s="2" t="n">
        <x:v>84340433.86000001</x:v>
      </x:c>
      <x:c r="F6" s="2" t="n">
        <x:v>48</x:v>
      </x:c>
      <x:c r="G6" s="14" t="n">
        <x:v>0.11294117647058824</x:v>
      </x:c>
      <x:c r="H6" s="2" t="n">
        <x:v>560</x:v>
      </x:c>
      <x:c r="I6" s="2" t="n">
        <x:v>292218987.17319953</x:v>
      </x:c>
      <x:c r="J6" s="2" t="str">
        <x:v>否</x:v>
      </x:c>
      <x:c r="K6" s="2" t="str">
        <x:v>保留原值；另生成1%-99%缩尾版本</x:v>
      </x:c>
    </x:row>
    <x:row r="7" ht="15" hidden="0" customHeight="1">
      <x:c r="A7" s="2" t="str">
        <x:v>进项_有效绝对额</x:v>
      </x:c>
      <x:c r="B7" s="2" t="n">
        <x:v>530560</x:v>
      </x:c>
      <x:c r="C7" s="2" t="n">
        <x:v>35092786.35</x:v>
      </x:c>
      <x:c r="D7" s="2" t="n">
        <x:v>-51312779.525000006</x:v>
      </x:c>
      <x:c r="E7" s="2" t="n">
        <x:v>86936125.875</x:v>
      </x:c>
      <x:c r="F7" s="2" t="n">
        <x:v>47</x:v>
      </x:c>
      <x:c r="G7" s="14" t="n">
        <x:v>0.11058823529411765</x:v>
      </x:c>
      <x:c r="H7" s="2" t="n">
        <x:v>560</x:v>
      </x:c>
      <x:c r="I7" s="2" t="n">
        <x:v>294391831.53319967</x:v>
      </x:c>
      <x:c r="J7" s="2" t="str">
        <x:v>否</x:v>
      </x:c>
      <x:c r="K7" s="2" t="str">
        <x:v>保留原值；另生成1%-99%缩尾版本</x:v>
      </x:c>
    </x:row>
    <x:row r="8" ht="15" hidden="0" customHeight="1">
      <x:c r="A8" s="2" t="str">
        <x:v>进项_交易对手数</x:v>
      </x:c>
      <x:c r="B8" s="2" t="n">
        <x:v>31</x:v>
      </x:c>
      <x:c r="C8" s="2" t="n">
        <x:v>297</x:v>
      </x:c>
      <x:c r="D8" s="2" t="n">
        <x:v>-368</x:v>
      </x:c>
      <x:c r="E8" s="2" t="n">
        <x:v>696</x:v>
      </x:c>
      <x:c r="F8" s="2" t="n">
        <x:v>39</x:v>
      </x:c>
      <x:c r="G8" s="14" t="n">
        <x:v>0.09176470588235294</x:v>
      </x:c>
      <x:c r="H8" s="2" t="n">
        <x:v>1</x:v>
      </x:c>
      <x:c r="I8" s="2" t="n">
        <x:v>1608.56</x:v>
      </x:c>
      <x:c r="J8" s="2" t="str">
        <x:v>否</x:v>
      </x:c>
      <x:c r="K8" s="2" t="str">
        <x:v>保留原值；另生成1%-99%缩尾版本</x:v>
      </x:c>
    </x:row>
    <x:row r="9" ht="15" hidden="0" customHeight="1">
      <x:c r="A9" s="2" t="str">
        <x:v>进项_作废率</x:v>
      </x:c>
      <x:c r="B9" s="2" t="n">
        <x:v>0.012096774193548387</x:v>
      </x:c>
      <x:c r="C9" s="2" t="n">
        <x:v>0.041666666666666664</x:v>
      </x:c>
      <x:c r="D9" s="2" t="n">
        <x:v>-0.03225806451612903</x:v>
      </x:c>
      <x:c r="E9" s="2" t="n">
        <x:v>0.08602150537634408</x:v>
      </x:c>
      <x:c r="F9" s="2" t="n">
        <x:v>18</x:v>
      </x:c>
      <x:c r="G9" s="14" t="n">
        <x:v>0.042352941176470586</x:v>
      </x:c>
      <x:c r="H9" s="2" t="n">
        <x:v>0</x:v>
      </x:c>
      <x:c r="I9" s="2" t="n">
        <x:v>0.1274358974358974</x:v>
      </x:c>
      <x:c r="J9" s="2" t="str">
        <x:v>否</x:v>
      </x:c>
      <x:c r="K9" s="2" t="str">
        <x:v>保留原值；另生成1%-99%缩尾版本</x:v>
      </x:c>
    </x:row>
    <x:row r="10" ht="15" hidden="0" customHeight="1">
      <x:c r="A10" s="2" t="str">
        <x:v>进项_负数率</x:v>
      </x:c>
      <x:c r="B10" s="2" t="n">
        <x:v>0</x:v>
      </x:c>
      <x:c r="C10" s="2" t="n">
        <x:v>0.008839779005524863</x:v>
      </x:c>
      <x:c r="D10" s="2" t="n">
        <x:v>-0.013259668508287293</x:v>
      </x:c>
      <x:c r="E10" s="2" t="n">
        <x:v>0.022099447513812154</x:v>
      </x:c>
      <x:c r="F10" s="2" t="n">
        <x:v>27</x:v>
      </x:c>
      <x:c r="G10" s="14" t="n">
        <x:v>0.06352941176470588</x:v>
      </x:c>
      <x:c r="H10" s="2" t="n">
        <x:v>0</x:v>
      </x:c>
      <x:c r="I10" s="2" t="n">
        <x:v>0.04853794642857142</x:v>
      </x:c>
      <x:c r="J10" s="2" t="str">
        <x:v>否</x:v>
      </x:c>
      <x:c r="K10" s="2" t="str">
        <x:v>保留原值；另生成1%-99%缩尾版本</x:v>
      </x:c>
    </x:row>
    <x:row r="11" ht="15" hidden="0" customHeight="1">
      <x:c r="A11" s="2" t="str">
        <x:v>进项_交易集中度HHI</x:v>
      </x:c>
      <x:c r="B11" s="2" t="n">
        <x:v>0.07880146706489694</x:v>
      </x:c>
      <x:c r="C11" s="2" t="n">
        <x:v>0.3927836849394585</x:v>
      </x:c>
      <x:c r="D11" s="2" t="n">
        <x:v>-0.3921718597469454</x:v>
      </x:c>
      <x:c r="E11" s="2" t="n">
        <x:v>0.8637570117513008</x:v>
      </x:c>
      <x:c r="F11" s="2" t="n">
        <x:v>33</x:v>
      </x:c>
      <x:c r="G11" s="14" t="n">
        <x:v>0.07764705882352942</x:v>
      </x:c>
      <x:c r="H11" s="2" t="n">
        <x:v>0.01056490101357329</x:v>
      </x:c>
      <x:c r="I11" s="2" t="n">
        <x:v>1</x:v>
      </x:c>
      <x:c r="J11" s="2" t="str">
        <x:v>否</x:v>
      </x:c>
      <x:c r="K11" s="2" t="str">
        <x:v>保留原值；另生成1%-99%缩尾版本</x:v>
      </x:c>
    </x:row>
    <x:row r="12" ht="15" hidden="0" customHeight="1">
      <x:c r="A12" s="2" t="str">
        <x:v>进项_最大交易对手占比</x:v>
      </x:c>
      <x:c r="B12" s="2" t="n">
        <x:v>0.18859111568443673</x:v>
      </x:c>
      <x:c r="C12" s="2" t="n">
        <x:v>0.5669847993475032</x:v>
      </x:c>
      <x:c r="D12" s="2" t="n">
        <x:v>-0.3789994098101629</x:v>
      </x:c>
      <x:c r="E12" s="2" t="n">
        <x:v>1.1345753248421029</x:v>
      </x:c>
      <x:c r="F12" s="2" t="n">
        <x:v>0</x:v>
      </x:c>
      <x:c r="G12" s="14" t="n">
        <x:v>0</x:v>
      </x:c>
      <x:c r="H12" s="2" t="n">
        <x:v>0.04137191557692229</x:v>
      </x:c>
      <x:c r="I12" s="2" t="n">
        <x:v>1</x:v>
      </x:c>
      <x:c r="J12" s="2" t="str">
        <x:v>否</x:v>
      </x:c>
      <x:c r="K12" s="2" t="str">
        <x:v>保留原值；另生成1%-99%缩尾版本</x:v>
      </x:c>
    </x:row>
    <x:row r="13" ht="15" hidden="0" customHeight="1">
      <x:c r="A13" s="2" t="str">
        <x:v>进项_月均额</x:v>
      </x:c>
      <x:c r="B13" s="2" t="n">
        <x:v>16694.810384615383</x:v>
      </x:c>
      <x:c r="C13" s="2" t="n">
        <x:v>960493.4448648649</x:v>
      </x:c>
      <x:c r="D13" s="2" t="n">
        <x:v>-1399003.141335759</x:v>
      </x:c>
      <x:c r="E13" s="2" t="n">
        <x:v>2376191.396585239</x:v>
      </x:c>
      <x:c r="F13" s="2" t="n">
        <x:v>48</x:v>
      </x:c>
      <x:c r="G13" s="14" t="n">
        <x:v>0.11294117647058824</x:v>
      </x:c>
      <x:c r="H13" s="2" t="n">
        <x:v>38.35733333333334</x:v>
      </x:c>
      <x:c r="I13" s="2" t="n">
        <x:v>7854353.69919828</x:v>
      </x:c>
      <x:c r="J13" s="2" t="str">
        <x:v>否</x:v>
      </x:c>
      <x:c r="K13" s="2" t="str">
        <x:v>保留原值；另生成1%-99%缩尾版本</x:v>
      </x:c>
    </x:row>
    <x:row r="14" ht="15" hidden="0" customHeight="1">
      <x:c r="A14" s="2" t="str">
        <x:v>进项_月波动率</x:v>
      </x:c>
      <x:c r="B14" s="2" t="n">
        <x:v>0.8084788395880776</x:v>
      </x:c>
      <x:c r="C14" s="2" t="n">
        <x:v>1.999999999964286</x:v>
      </x:c>
      <x:c r="D14" s="2" t="n">
        <x:v>-0.9788029009762346</x:v>
      </x:c>
      <x:c r="E14" s="2" t="n">
        <x:v>3.787281740528598</x:v>
      </x:c>
      <x:c r="F14" s="2" t="n">
        <x:v>13</x:v>
      </x:c>
      <x:c r="G14" s="14" t="n">
        <x:v>0.03058823529411765</x:v>
      </x:c>
      <x:c r="H14" s="2" t="n">
        <x:v>0.32422736494682114</x:v>
      </x:c>
      <x:c r="I14" s="2" t="n">
        <x:v>4.84123861016109</x:v>
      </x:c>
      <x:c r="J14" s="2" t="str">
        <x:v>否</x:v>
      </x:c>
      <x:c r="K14" s="2" t="str">
        <x:v>保留原值；另生成1%-99%缩尾版本</x:v>
      </x:c>
    </x:row>
    <x:row r="15" ht="15" hidden="0" customHeight="1">
      <x:c r="A15" s="2" t="str">
        <x:v>进项_月趋势</x:v>
      </x:c>
      <x:c r="B15" s="2" t="n">
        <x:v>-0.009793118754560778</x:v>
      </x:c>
      <x:c r="C15" s="2" t="n">
        <x:v>0.0505453401875102</x:v>
      </x:c>
      <x:c r="D15" s="2" t="n">
        <x:v>-0.10030080716766725</x:v>
      </x:c>
      <x:c r="E15" s="2" t="n">
        <x:v>0.14105302860061666</x:v>
      </x:c>
      <x:c r="F15" s="2" t="n">
        <x:v>23</x:v>
      </x:c>
      <x:c r="G15" s="14" t="n">
        <x:v>0.05411764705882353</x:v>
      </x:c>
      <x:c r="H15" s="2" t="n">
        <x:v>-0.21625547045049248</x:v>
      </x:c>
      <x:c r="I15" s="2" t="n">
        <x:v>0.17261326934540813</x:v>
      </x:c>
      <x:c r="J15" s="2" t="str">
        <x:v>否</x:v>
      </x:c>
      <x:c r="K15" s="2" t="str">
        <x:v>保留原值；另生成1%-99%缩尾版本</x:v>
      </x:c>
    </x:row>
    <x:row r="16" ht="15" hidden="0" customHeight="1">
      <x:c r="A16" s="2" t="str">
        <x:v>进项_活跃月数</x:v>
      </x:c>
      <x:c r="B16" s="2" t="n">
        <x:v>25</x:v>
      </x:c>
      <x:c r="C16" s="2" t="n">
        <x:v>37</x:v>
      </x:c>
      <x:c r="D16" s="2" t="n">
        <x:v>7</x:v>
      </x:c>
      <x:c r="E16" s="2" t="n">
        <x:v>55</x:v>
      </x:c>
      <x:c r="F16" s="2" t="n">
        <x:v>32</x:v>
      </x:c>
      <x:c r="G16" s="14" t="n">
        <x:v>0.07529411764705882</x:v>
      </x:c>
      <x:c r="H16" s="2" t="n">
        <x:v>2</x:v>
      </x:c>
      <x:c r="I16" s="2" t="n">
        <x:v>38</x:v>
      </x:c>
      <x:c r="J16" s="2" t="str">
        <x:v>否</x:v>
      </x:c>
      <x:c r="K16" s="2" t="str">
        <x:v>保留原值；另生成1%-99%缩尾版本</x:v>
      </x:c>
    </x:row>
    <x:row r="17" ht="15" hidden="0" customHeight="1">
      <x:c r="A17" s="2" t="str">
        <x:v>销项_发票总数</x:v>
      </x:c>
      <x:c r="B17" s="2" t="n">
        <x:v>162</x:v>
      </x:c>
      <x:c r="C17" s="2" t="n">
        <x:v>1052</x:v>
      </x:c>
      <x:c r="D17" s="2" t="n">
        <x:v>-1173</x:v>
      </x:c>
      <x:c r="E17" s="2" t="n">
        <x:v>2387</x:v>
      </x:c>
      <x:c r="F17" s="2" t="n">
        <x:v>44</x:v>
      </x:c>
      <x:c r="G17" s="14" t="n">
        <x:v>0.10352941176470588</x:v>
      </x:c>
      <x:c r="H17" s="2" t="n">
        <x:v>9.440000000000001</x:v>
      </x:c>
      <x:c r="I17" s="2" t="n">
        <x:v>11455.639999999989</x:v>
      </x:c>
      <x:c r="J17" s="2" t="str">
        <x:v>否</x:v>
      </x:c>
      <x:c r="K17" s="2" t="str">
        <x:v>保留原值；另生成1%-99%缩尾版本</x:v>
      </x:c>
    </x:row>
    <x:row r="18" ht="15" hidden="0" customHeight="1">
      <x:c r="A18" s="2" t="str">
        <x:v>销项_有效票数</x:v>
      </x:c>
      <x:c r="B18" s="2" t="n">
        <x:v>136</x:v>
      </x:c>
      <x:c r="C18" s="2" t="n">
        <x:v>944</x:v>
      </x:c>
      <x:c r="D18" s="2" t="n">
        <x:v>-1076</x:v>
      </x:c>
      <x:c r="E18" s="2" t="n">
        <x:v>2156</x:v>
      </x:c>
      <x:c r="F18" s="2" t="n">
        <x:v>44</x:v>
      </x:c>
      <x:c r="G18" s="14" t="n">
        <x:v>0.10352941176470588</x:v>
      </x:c>
      <x:c r="H18" s="2" t="n">
        <x:v>6.720000000000001</x:v>
      </x:c>
      <x:c r="I18" s="2" t="n">
        <x:v>10722.759999999987</x:v>
      </x:c>
      <x:c r="J18" s="2" t="str">
        <x:v>否</x:v>
      </x:c>
      <x:c r="K18" s="2" t="str">
        <x:v>保留原值；另生成1%-99%缩尾版本</x:v>
      </x:c>
    </x:row>
    <x:row r="19" ht="15" hidden="0" customHeight="1">
      <x:c r="A19" s="2" t="str">
        <x:v>销项_作废票数</x:v>
      </x:c>
      <x:c r="B19" s="2" t="n">
        <x:v>16</x:v>
      </x:c>
      <x:c r="C19" s="2" t="n">
        <x:v>89</x:v>
      </x:c>
      <x:c r="D19" s="2" t="n">
        <x:v>-93.5</x:v>
      </x:c>
      <x:c r="E19" s="2" t="n">
        <x:v>198.5</x:v>
      </x:c>
      <x:c r="F19" s="2" t="n">
        <x:v>41</x:v>
      </x:c>
      <x:c r="G19" s="14" t="n">
        <x:v>0.09647058823529411</x:v>
      </x:c>
      <x:c r="H19" s="2" t="n">
        <x:v>0</x:v>
      </x:c>
      <x:c r="I19" s="2" t="n">
        <x:v>809.7599999999993</x:v>
      </x:c>
      <x:c r="J19" s="2" t="str">
        <x:v>否</x:v>
      </x:c>
      <x:c r="K19" s="2" t="str">
        <x:v>保留原值；另生成1%-99%缩尾版本</x:v>
      </x:c>
    </x:row>
    <x:row r="20" ht="15" hidden="0" customHeight="1">
      <x:c r="A20" s="2" t="str">
        <x:v>销项_负数票数</x:v>
      </x:c>
      <x:c r="B20" s="2" t="n">
        <x:v>0</x:v>
      </x:c>
      <x:c r="C20" s="2" t="n">
        <x:v>16</x:v>
      </x:c>
      <x:c r="D20" s="2" t="n">
        <x:v>-24</x:v>
      </x:c>
      <x:c r="E20" s="2" t="n">
        <x:v>40</x:v>
      </x:c>
      <x:c r="F20" s="2" t="n">
        <x:v>42</x:v>
      </x:c>
      <x:c r="G20" s="14" t="n">
        <x:v>0.0988235294117647</x:v>
      </x:c>
      <x:c r="H20" s="2" t="n">
        <x:v>0</x:v>
      </x:c>
      <x:c r="I20" s="2" t="n">
        <x:v>352.83999999999946</x:v>
      </x:c>
      <x:c r="J20" s="2" t="str">
        <x:v>否</x:v>
      </x:c>
      <x:c r="K20" s="2" t="str">
        <x:v>保留原值；另生成1%-99%缩尾版本</x:v>
      </x:c>
    </x:row>
    <x:row r="21" ht="15" hidden="0" customHeight="1">
      <x:c r="A21" s="2" t="str">
        <x:v>销项_有效价税合计</x:v>
      </x:c>
      <x:c r="B21" s="2" t="n">
        <x:v>2484292</x:v>
      </x:c>
      <x:c r="C21" s="2" t="n">
        <x:v>69729068.12</x:v>
      </x:c>
      <x:c r="D21" s="2" t="n">
        <x:v>-98382872.18</x:v>
      </x:c>
      <x:c r="E21" s="2" t="n">
        <x:v>170596232.3</x:v>
      </x:c>
      <x:c r="F21" s="2" t="n">
        <x:v>32</x:v>
      </x:c>
      <x:c r="G21" s="14" t="n">
        <x:v>0.07529411764705882</x:v>
      </x:c>
      <x:c r="H21" s="2" t="n">
        <x:v>64155.65600000001</x:v>
      </x:c>
      <x:c r="I21" s="2" t="n">
        <x:v>669003080.2907999</x:v>
      </x:c>
      <x:c r="J21" s="2" t="str">
        <x:v>否</x:v>
      </x:c>
      <x:c r="K21" s="2" t="str">
        <x:v>保留原值；另生成1%-99%缩尾版本</x:v>
      </x:c>
    </x:row>
    <x:row r="22" ht="15" hidden="0" customHeight="1">
      <x:c r="A22" s="2" t="str">
        <x:v>销项_有效绝对额</x:v>
      </x:c>
      <x:c r="B22" s="2" t="n">
        <x:v>2688686.11</x:v>
      </x:c>
      <x:c r="C22" s="2" t="n">
        <x:v>77075715.58</x:v>
      </x:c>
      <x:c r="D22" s="2" t="n">
        <x:v>-108891858.095</x:v>
      </x:c>
      <x:c r="E22" s="2" t="n">
        <x:v>188656259.785</x:v>
      </x:c>
      <x:c r="F22" s="2" t="n">
        <x:v>34</x:v>
      </x:c>
      <x:c r="G22" s="14" t="n">
        <x:v>0.08</x:v>
      </x:c>
      <x:c r="H22" s="2" t="n">
        <x:v>67271.656</x:v>
      </x:c>
      <x:c r="I22" s="2" t="n">
        <x:v>1012686468.1095984</x:v>
      </x:c>
      <x:c r="J22" s="2" t="str">
        <x:v>否</x:v>
      </x:c>
      <x:c r="K22" s="2" t="str">
        <x:v>保留原值；另生成1%-99%缩尾版本</x:v>
      </x:c>
    </x:row>
    <x:row r="23" ht="15" hidden="0" customHeight="1">
      <x:c r="A23" s="2" t="str">
        <x:v>销项_交易对手数</x:v>
      </x:c>
      <x:c r="B23" s="2" t="n">
        <x:v>15</x:v>
      </x:c>
      <x:c r="C23" s="2" t="n">
        <x:v>121</x:v>
      </x:c>
      <x:c r="D23" s="2" t="n">
        <x:v>-144</x:v>
      </x:c>
      <x:c r="E23" s="2" t="n">
        <x:v>280</x:v>
      </x:c>
      <x:c r="F23" s="2" t="n">
        <x:v>47</x:v>
      </x:c>
      <x:c r="G23" s="14" t="n">
        <x:v>0.11058823529411765</x:v>
      </x:c>
      <x:c r="H23" s="2" t="n">
        <x:v>2</x:v>
      </x:c>
      <x:c r="I23" s="2" t="n">
        <x:v>2694.279999999999</x:v>
      </x:c>
      <x:c r="J23" s="2" t="str">
        <x:v>否</x:v>
      </x:c>
      <x:c r="K23" s="2" t="str">
        <x:v>保留原值；另生成1%-99%缩尾版本</x:v>
      </x:c>
    </x:row>
    <x:row r="24" ht="15" hidden="0" customHeight="1">
      <x:c r="A24" s="2" t="str">
        <x:v>销项_作废率</x:v>
      </x:c>
      <x:c r="B24" s="2" t="n">
        <x:v>0.05917753259779338</x:v>
      </x:c>
      <x:c r="C24" s="2" t="n">
        <x:v>0.14285714285714285</x:v>
      </x:c>
      <x:c r="D24" s="2" t="n">
        <x:v>-0.06634188279123085</x:v>
      </x:c>
      <x:c r="E24" s="2" t="n">
        <x:v>0.2683765582461671</x:v>
      </x:c>
      <x:c r="F24" s="2" t="n">
        <x:v>33</x:v>
      </x:c>
      <x:c r="G24" s="14" t="n">
        <x:v>0.07764705882352942</x:v>
      </x:c>
      <x:c r="H24" s="2" t="n">
        <x:v>0</x:v>
      </x:c>
      <x:c r="I24" s="2" t="n">
        <x:v>0.8136218864842784</x:v>
      </x:c>
      <x:c r="J24" s="2" t="str">
        <x:v>否</x:v>
      </x:c>
      <x:c r="K24" s="2" t="str">
        <x:v>保留原值；另生成1%-99%缩尾版本</x:v>
      </x:c>
    </x:row>
    <x:row r="25" ht="15" hidden="0" customHeight="1">
      <x:c r="A25" s="2" t="str">
        <x:v>销项_负数率</x:v>
      </x:c>
      <x:c r="B25" s="2" t="n">
        <x:v>0</x:v>
      </x:c>
      <x:c r="C25" s="2" t="n">
        <x:v>0.027777777777777776</x:v>
      </x:c>
      <x:c r="D25" s="2" t="n">
        <x:v>-0.041666666666666664</x:v>
      </x:c>
      <x:c r="E25" s="2" t="n">
        <x:v>0.06944444444444445</x:v>
      </x:c>
      <x:c r="F25" s="2" t="n">
        <x:v>25</x:v>
      </x:c>
      <x:c r="G25" s="14" t="n">
        <x:v>0.058823529411764705</x:v>
      </x:c>
      <x:c r="H25" s="2" t="n">
        <x:v>0</x:v>
      </x:c>
      <x:c r="I25" s="2" t="n">
        <x:v>0.17828116037106256</x:v>
      </x:c>
      <x:c r="J25" s="2" t="str">
        <x:v>否</x:v>
      </x:c>
      <x:c r="K25" s="2" t="str">
        <x:v>保留原值；另生成1%-99%缩尾版本</x:v>
      </x:c>
    </x:row>
    <x:row r="26" ht="15" hidden="0" customHeight="1">
      <x:c r="A26" s="2" t="str">
        <x:v>销项_交易集中度HHI</x:v>
      </x:c>
      <x:c r="B26" s="2" t="n">
        <x:v>0.06603363098644045</x:v>
      </x:c>
      <x:c r="C26" s="2" t="n">
        <x:v>0.32952620895480955</x:v>
      </x:c>
      <x:c r="D26" s="2" t="n">
        <x:v>-0.32920523596611323</x:v>
      </x:c>
      <x:c r="E26" s="2" t="n">
        <x:v>0.7247650759073632</x:v>
      </x:c>
      <x:c r="F26" s="2" t="n">
        <x:v>27</x:v>
      </x:c>
      <x:c r="G26" s="14" t="n">
        <x:v>0.06352941176470588</x:v>
      </x:c>
      <x:c r="H26" s="2" t="n">
        <x:v>0.004886626984096743</x:v>
      </x:c>
      <x:c r="I26" s="2" t="n">
        <x:v>0.9822858713570419</x:v>
      </x:c>
      <x:c r="J26" s="2" t="str">
        <x:v>否</x:v>
      </x:c>
      <x:c r="K26" s="2" t="str">
        <x:v>保留原值；另生成1%-99%缩尾版本</x:v>
      </x:c>
    </x:row>
    <x:row r="27" ht="15" hidden="0" customHeight="1">
      <x:c r="A27" s="2" t="str">
        <x:v>销项_最大交易对手占比</x:v>
      </x:c>
      <x:c r="B27" s="2" t="n">
        <x:v>0.16225241183945868</x:v>
      </x:c>
      <x:c r="C27" s="2" t="n">
        <x:v>0.5006906572001129</x:v>
      </x:c>
      <x:c r="D27" s="2" t="n">
        <x:v>-0.34540495620152256</x:v>
      </x:c>
      <x:c r="E27" s="2" t="n">
        <x:v>1.0083480252410941</x:v>
      </x:c>
      <x:c r="F27" s="2" t="n">
        <x:v>0</x:v>
      </x:c>
      <x:c r="G27" s="14" t="n">
        <x:v>0</x:v>
      </x:c>
      <x:c r="H27" s="2" t="n">
        <x:v>0.0343133643548063</x:v>
      </x:c>
      <x:c r="I27" s="2" t="n">
        <x:v>0.9910603957224227</x:v>
      </x:c>
      <x:c r="J27" s="2" t="str">
        <x:v>否</x:v>
      </x:c>
      <x:c r="K27" s="2" t="str">
        <x:v>保留原值；另生成1%-99%缩尾版本</x:v>
      </x:c>
    </x:row>
    <x:row r="28" ht="15" hidden="0" customHeight="1">
      <x:c r="A28" s="2" t="str">
        <x:v>销项_月均额</x:v>
      </x:c>
      <x:c r="B28" s="2" t="n">
        <x:v>72370.28333333333</x:v>
      </x:c>
      <x:c r="C28" s="2" t="n">
        <x:v>1963508.6585714284</x:v>
      </x:c>
      <x:c r="D28" s="2" t="n">
        <x:v>-2764337.2795238094</x:v>
      </x:c>
      <x:c r="E28" s="2" t="n">
        <x:v>4800216.221428571</x:v>
      </x:c>
      <x:c r="F28" s="2" t="n">
        <x:v>34</x:v>
      </x:c>
      <x:c r="G28" s="14" t="n">
        <x:v>0.08</x:v>
      </x:c>
      <x:c r="H28" s="2" t="n">
        <x:v>2593.1575457735244</x:v>
      </x:c>
      <x:c r="I28" s="2" t="n">
        <x:v>18351464.41321227</x:v>
      </x:c>
      <x:c r="J28" s="2" t="str">
        <x:v>否</x:v>
      </x:c>
      <x:c r="K28" s="2" t="str">
        <x:v>保留原值；另生成1%-99%缩尾版本</x:v>
      </x:c>
    </x:row>
    <x:row r="29" ht="15" hidden="0" customHeight="1">
      <x:c r="A29" s="2" t="str">
        <x:v>销项_月波动率</x:v>
      </x:c>
      <x:c r="B29" s="2" t="n">
        <x:v>0.6719682442507192</x:v>
      </x:c>
      <x:c r="C29" s="2" t="n">
        <x:v>1.4656893027865672</x:v>
      </x:c>
      <x:c r="D29" s="2" t="n">
        <x:v>-0.5186133435530528</x:v>
      </x:c>
      <x:c r="E29" s="2" t="n">
        <x:v>2.6562708905903394</x:v>
      </x:c>
      <x:c r="F29" s="2" t="n">
        <x:v>16</x:v>
      </x:c>
      <x:c r="G29" s="14" t="n">
        <x:v>0.03764705882352941</x:v>
      </x:c>
      <x:c r="H29" s="2" t="n">
        <x:v>0.2698388037208975</x:v>
      </x:c>
      <x:c r="I29" s="2" t="n">
        <x:v>3.407039552429552</x:v>
      </x:c>
      <x:c r="J29" s="2" t="str">
        <x:v>否</x:v>
      </x:c>
      <x:c r="K29" s="2" t="str">
        <x:v>保留原值；另生成1%-99%缩尾版本</x:v>
      </x:c>
    </x:row>
    <x:row r="30" ht="15" hidden="0" customHeight="1">
      <x:c r="A30" s="2" t="str">
        <x:v>销项_月趋势</x:v>
      </x:c>
      <x:c r="B30" s="2" t="n">
        <x:v>-0.011154272005688507</x:v>
      </x:c>
      <x:c r="C30" s="2" t="n">
        <x:v>0.043286693257788736</x:v>
      </x:c>
      <x:c r="D30" s="2" t="n">
        <x:v>-0.09281571990090437</x:v>
      </x:c>
      <x:c r="E30" s="2" t="n">
        <x:v>0.1249481411530046</x:v>
      </x:c>
      <x:c r="F30" s="2" t="n">
        <x:v>20</x:v>
      </x:c>
      <x:c r="G30" s="14" t="n">
        <x:v>0.047058823529411764</x:v>
      </x:c>
      <x:c r="H30" s="2" t="n">
        <x:v>-0.14722911552630938</x:v>
      </x:c>
      <x:c r="I30" s="2" t="n">
        <x:v>0.1360756728301767</x:v>
      </x:c>
      <x:c r="J30" s="2" t="str">
        <x:v>否</x:v>
      </x:c>
      <x:c r="K30" s="2" t="str">
        <x:v>保留原值；另生成1%-99%缩尾版本</x:v>
      </x:c>
    </x:row>
    <x:row r="31" ht="15" hidden="0" customHeight="1">
      <x:c r="A31" s="2" t="str">
        <x:v>销项_活跃月数</x:v>
      </x:c>
      <x:c r="B31" s="2" t="n">
        <x:v>21</x:v>
      </x:c>
      <x:c r="C31" s="2" t="n">
        <x:v>36</x:v>
      </x:c>
      <x:c r="D31" s="2" t="n">
        <x:v>-1.5</x:v>
      </x:c>
      <x:c r="E31" s="2" t="n">
        <x:v>58.5</x:v>
      </x:c>
      <x:c r="F31" s="2" t="n">
        <x:v>0</x:v>
      </x:c>
      <x:c r="G31" s="14" t="n">
        <x:v>0</x:v>
      </x:c>
      <x:c r="H31" s="2" t="n">
        <x:v>4</x:v>
      </x:c>
      <x:c r="I31" s="2" t="n">
        <x:v>38</x:v>
      </x:c>
      <x:c r="J31" s="2" t="str">
        <x:v>否</x:v>
      </x:c>
      <x:c r="K31" s="2" t="str">
        <x:v>保留原值；另生成1%-99%缩尾版本</x:v>
      </x:c>
    </x:row>
    <x:row r="32" ht="15" hidden="0" customHeight="1">
      <x:c r="A32" s="2" t="str">
        <x:v>净流入代理</x:v>
      </x:c>
      <x:c r="B32" s="2" t="n">
        <x:v>723090</x:v>
      </x:c>
      <x:c r="C32" s="2" t="n">
        <x:v>26143479.89</x:v>
      </x:c>
      <x:c r="D32" s="2" t="n">
        <x:v>-37407494.835</x:v>
      </x:c>
      <x:c r="E32" s="2" t="n">
        <x:v>64274064.725</x:v>
      </x:c>
      <x:c r="F32" s="2" t="n">
        <x:v>54</x:v>
      </x:c>
      <x:c r="G32" s="14" t="n">
        <x:v>0.12705882352941175</x:v>
      </x:c>
      <x:c r="H32" s="2" t="n">
        <x:v>-66758721.217599995</x:v>
      </x:c>
      <x:c r="I32" s="2" t="n">
        <x:v>398719945.9707996</x:v>
      </x:c>
      <x:c r="J32" s="2" t="str">
        <x:v>否</x:v>
      </x:c>
      <x:c r="K32" s="2" t="str">
        <x:v>保留原值；另生成1%-99%缩尾版本</x:v>
      </x:c>
    </x:row>
    <x:row r="33" ht="15" hidden="0" customHeight="1">
      <x:c r="A33" s="2" t="str">
        <x:v>进销比</x:v>
      </x:c>
      <x:c r="B33" s="2" t="n">
        <x:v>0.11434362954241485</x:v>
      </x:c>
      <x:c r="C33" s="2" t="n">
        <x:v>0.7804186987783214</x:v>
      </x:c>
      <x:c r="D33" s="2" t="n">
        <x:v>-0.884768974311445</x:v>
      </x:c>
      <x:c r="E33" s="2" t="n">
        <x:v>1.779531302632181</x:v>
      </x:c>
      <x:c r="F33" s="2" t="n">
        <x:v>21</x:v>
      </x:c>
      <x:c r="G33" s="14" t="n">
        <x:v>0.04941176470588235</x:v>
      </x:c>
      <x:c r="H33" s="2" t="n">
        <x:v>0.000324549550467228</x:v>
      </x:c>
      <x:c r="I33" s="2" t="n">
        <x:v>21.2915080780909</x:v>
      </x:c>
      <x:c r="J33" s="2" t="str">
        <x:v>否</x:v>
      </x:c>
      <x:c r="K33" s="2" t="str">
        <x:v>保留原值；另生成1%-99%缩尾版本</x:v>
      </x:c>
    </x:row>
    <x:row r="34" ht="15" hidden="0" customHeight="1">
      <x:c r="A34" s="2" t="str">
        <x:v>综合作废率</x:v>
      </x:c>
      <x:c r="B34" s="2" t="n">
        <x:v>0.04079430174832722</x:v>
      </x:c>
      <x:c r="C34" s="2" t="n">
        <x:v>0.08426966292134831</x:v>
      </x:c>
      <x:c r="D34" s="2" t="n">
        <x:v>-0.024418740011204428</x:v>
      </x:c>
      <x:c r="E34" s="2" t="n">
        <x:v>0.14948270468087996</x:v>
      </x:c>
      <x:c r="F34" s="2" t="n">
        <x:v>31</x:v>
      </x:c>
      <x:c r="G34" s="14" t="n">
        <x:v>0.07294117647058823</x:v>
      </x:c>
      <x:c r="H34" s="2" t="n">
        <x:v>0.0014035087719298258</x:v>
      </x:c>
      <x:c r="I34" s="2" t="n">
        <x:v>0.3550476190476188</x:v>
      </x:c>
      <x:c r="J34" s="2" t="str">
        <x:v>否</x:v>
      </x:c>
      <x:c r="K34" s="2" t="str">
        <x:v>保留原值；另生成1%-99%缩尾版本</x:v>
      </x:c>
    </x:row>
    <x:row r="35" ht="15" hidden="0" customHeight="1">
      <x:c r="A35" s="2" t="str">
        <x:v>综合负数率</x:v>
      </x:c>
      <x:c r="B35" s="2" t="n">
        <x:v>0.0027447392497712718</x:v>
      </x:c>
      <x:c r="C35" s="2" t="n">
        <x:v>0.017025089605734768</x:v>
      </x:c>
      <x:c r="D35" s="2" t="n">
        <x:v>-0.018675786284173972</x:v>
      </x:c>
      <x:c r="E35" s="2" t="n">
        <x:v>0.03844561513968001</x:v>
      </x:c>
      <x:c r="F35" s="2" t="n">
        <x:v>24</x:v>
      </x:c>
      <x:c r="G35" s="14" t="n">
        <x:v>0.05647058823529412</x:v>
      </x:c>
      <x:c r="H35" s="2" t="n">
        <x:v>0</x:v>
      </x:c>
      <x:c r="I35" s="2" t="n">
        <x:v>0.103076923076923</x:v>
      </x:c>
      <x:c r="J35" s="2" t="str">
        <x:v>否</x:v>
      </x:c>
      <x:c r="K35" s="2" t="str">
        <x:v>保留原值；另生成1%-99%缩尾版本</x:v>
      </x:c>
    </x:row>
    <x:row r="36" ht="15" hidden="0" customHeight="1">
      <x:c r="A36" s="2" t="str">
        <x:v>上下游集中度</x:v>
      </x:c>
      <x:c r="B36" s="2" t="n">
        <x:v>0.10521726578318392</x:v>
      </x:c>
      <x:c r="C36" s="2" t="n">
        <x:v>0.3627208577417721</x:v>
      </x:c>
      <x:c r="D36" s="2" t="n">
        <x:v>-0.28103812215469837</x:v>
      </x:c>
      <x:c r="E36" s="2" t="n">
        <x:v>0.7489762456796544</x:v>
      </x:c>
      <x:c r="F36" s="2" t="n">
        <x:v>11</x:v>
      </x:c>
      <x:c r="G36" s="14" t="n">
        <x:v>0.02588235294117647</x:v>
      </x:c>
      <x:c r="H36" s="2" t="n">
        <x:v>0.026697377740847485</x:v>
      </x:c>
      <x:c r="I36" s="2" t="n">
        <x:v>0.8522886170939294</x:v>
      </x:c>
      <x:c r="J36" s="2" t="str">
        <x:v>否</x:v>
      </x:c>
      <x:c r="K36" s="2" t="str">
        <x:v>保留原值；另生成1%-99%缩尾版本</x:v>
      </x:c>
    </x:row>
    <x:row r="37" ht="15" hidden="0" customHeight="1">
      <x:c r="A37" s="2" t="str">
        <x:v>经营波动率</x:v>
      </x:c>
      <x:c r="B37" s="2" t="n">
        <x:v>0.7649496831631433</x:v>
      </x:c>
      <x:c r="C37" s="2" t="n">
        <x:v>1.7201158792527318</x:v>
      </x:c>
      <x:c r="D37" s="2" t="n">
        <x:v>-0.6677996109712396</x:v>
      </x:c>
      <x:c r="E37" s="2" t="n">
        <x:v>3.1528651733871147</x:v>
      </x:c>
      <x:c r="F37" s="2" t="n">
        <x:v>11</x:v>
      </x:c>
      <x:c r="G37" s="14" t="n">
        <x:v>0.02588235294117647</x:v>
      </x:c>
      <x:c r="H37" s="2" t="n">
        <x:v>0.35185067339818643</x:v>
      </x:c>
      <x:c r="I37" s="2" t="n">
        <x:v>3.447861192699456</x:v>
      </x:c>
      <x:c r="J37" s="2" t="str">
        <x:v>否</x:v>
      </x:c>
      <x:c r="K37" s="2" t="str">
        <x:v>保留原值；另生成1%-99%缩尾版本</x:v>
      </x:c>
    </x:row>
    <x:row r="38" ht="15" hidden="0" customHeight="1">
      <x:c r="A38" s="2" t="str">
        <x:v>经营趋势</x:v>
      </x:c>
      <x:c r="B38" s="2" t="n">
        <x:v>-0.0026870403938718096</x:v>
      </x:c>
      <x:c r="C38" s="2" t="n">
        <x:v>0.04424877916490072</x:v>
      </x:c>
      <x:c r="D38" s="2" t="n">
        <x:v>-0.07309076973203062</x:v>
      </x:c>
      <x:c r="E38" s="2" t="n">
        <x:v>0.11465250850305952</x:v>
      </x:c>
      <x:c r="F38" s="2" t="n">
        <x:v>28</x:v>
      </x:c>
      <x:c r="G38" s="14" t="n">
        <x:v>0.06588235294117648</x:v>
      </x:c>
      <x:c r="H38" s="2" t="n">
        <x:v>-0.14632887016078774</x:v>
      </x:c>
      <x:c r="I38" s="2" t="n">
        <x:v>0.1467615396131856</x:v>
      </x:c>
      <x:c r="J38" s="2" t="str">
        <x:v>否</x:v>
      </x:c>
      <x:c r="K38" s="2" t="str">
        <x:v>保留原值；另生成1%-99%缩尾版本</x:v>
      </x:c>
    </x:row>
    <x:row r="39">
      <x:c r="G39" s="15"/>
    </x:row>
    <x:row r="40">
      <x:c r="G40" s="15"/>
    </x:row>
    <x:row r="41">
      <x:c r="G41" s="15"/>
    </x:row>
    <x:row r="42">
      <x:c r="G42" s="15"/>
    </x:row>
    <x:row r="43">
      <x:c r="G43" s="15"/>
    </x:row>
    <x:row r="44">
      <x:c r="G44" s="15"/>
    </x:row>
    <x:row r="45">
      <x:c r="G45" s="15"/>
    </x:row>
    <x:row r="46">
      <x:c r="G46" s="15"/>
    </x:row>
    <x:row r="47">
      <x:c r="G47" s="15"/>
    </x:row>
    <x:row r="48">
      <x:c r="G48" s="15"/>
    </x:row>
    <x:row r="49">
      <x:c r="G49" s="15"/>
    </x:row>
    <x:row r="50">
      <x:c r="G50" s="15"/>
    </x:row>
    <x:row r="51">
      <x:c r="G51" s="15"/>
    </x:row>
    <x:row r="52">
      <x:c r="G52" s="15"/>
    </x:row>
    <x:row r="53">
      <x:c r="G53" s="15"/>
    </x:row>
    <x:row r="54">
      <x:c r="G54" s="15"/>
    </x:row>
    <x:row r="55">
      <x:c r="G55" s="15"/>
    </x:row>
    <x:row r="56">
      <x:c r="G56" s="15"/>
    </x:row>
    <x:row r="57">
      <x:c r="G57" s="15"/>
    </x:row>
    <x:row r="58">
      <x:c r="G58" s="15"/>
    </x:row>
    <x:row r="59">
      <x:c r="G59" s="15"/>
    </x:row>
    <x:row r="60">
      <x:c r="G60" s="15"/>
    </x:row>
    <x:row r="61">
      <x:c r="G61" s="15"/>
    </x:row>
    <x:row r="62">
      <x:c r="G62" s="15"/>
    </x:row>
    <x:row r="63">
      <x:c r="G63" s="15"/>
    </x:row>
    <x:row r="64">
      <x:c r="G64" s="15"/>
    </x:row>
    <x:row r="65">
      <x:c r="G65" s="15"/>
    </x:row>
    <x:row r="66">
      <x:c r="G66" s="15"/>
    </x:row>
    <x:row r="67">
      <x:c r="G67" s="15"/>
    </x:row>
    <x:row r="68">
      <x:c r="G68" s="15"/>
    </x:row>
    <x:row r="69">
      <x:c r="G69" s="15"/>
    </x:row>
    <x:row r="70">
      <x:c r="G70" s="15"/>
    </x:row>
    <x:row r="71">
      <x:c r="G71" s="15"/>
    </x:row>
    <x:row r="72">
      <x:c r="G72" s="15"/>
    </x:row>
    <x:row r="73">
      <x:c r="G73" s="15"/>
    </x:row>
    <x:row r="74">
      <x:c r="G74" s="15"/>
    </x:row>
    <x:row r="75">
      <x:c r="G75" s="15"/>
    </x:row>
    <x:row r="76">
      <x:c r="G76" s="15"/>
    </x:row>
    <x:row r="77">
      <x:c r="G77" s="15"/>
    </x:row>
    <x:row r="78">
      <x:c r="G78" s="15"/>
    </x:row>
    <x:row r="79">
      <x:c r="G79" s="15"/>
    </x:row>
    <x:row r="80">
      <x:c r="G80" s="15"/>
    </x:row>
    <x:row r="81">
      <x:c r="G81" s="15"/>
    </x:row>
    <x:row r="82">
      <x:c r="G82" s="15"/>
    </x:row>
    <x:row r="83">
      <x:c r="G83" s="15"/>
    </x:row>
    <x:row r="84">
      <x:c r="G84" s="15"/>
    </x:row>
    <x:row r="85">
      <x:c r="G85" s="15"/>
    </x:row>
    <x:row r="86">
      <x:c r="G86" s="15"/>
    </x:row>
    <x:row r="87">
      <x:c r="G87" s="15"/>
    </x:row>
    <x:row r="88">
      <x:c r="G88" s="15"/>
    </x:row>
    <x:row r="89">
      <x:c r="G89" s="15"/>
    </x:row>
    <x:row r="90">
      <x:c r="G90" s="15"/>
    </x:row>
    <x:row r="91">
      <x:c r="G91" s="15"/>
    </x:row>
    <x:row r="92">
      <x:c r="G92" s="15"/>
    </x:row>
    <x:row r="93">
      <x:c r="G93" s="15"/>
    </x:row>
    <x:row r="94">
      <x:c r="G94" s="15"/>
    </x:row>
    <x:row r="95">
      <x:c r="G95" s="15"/>
    </x:row>
    <x:row r="96">
      <x:c r="G96" s="15"/>
    </x:row>
    <x:row r="97">
      <x:c r="G97" s="15"/>
    </x:row>
    <x:row r="98">
      <x:c r="G98" s="15"/>
    </x:row>
    <x:row r="99">
      <x:c r="G99" s="15"/>
    </x:row>
    <x:row r="100">
      <x:c r="G100" s="1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8.880000114440918" hidden="0" customWidth="1"/>
    <x:col min="3" max="3" width="16" hidden="0" customWidth="1"/>
    <x:col min="4" max="4" width="11.5" hidden="0" customWidth="1"/>
    <x:col min="5" max="5" width="11.5" hidden="0" customWidth="1"/>
    <x:col min="6" max="6" width="10.75" hidden="0" customWidth="1"/>
    <x:col min="7" max="7" width="18.8799991607666" hidden="0" customWidth="1"/>
  </x:cols>
  <x:sheetData>
    <x:row r="1" ht="24" hidden="0" customHeight="1">
      <x:c r="A1" s="10" t="str">
        <x:v>企业代号</x:v>
      </x:c>
      <x:c r="B1" s="10" t="str">
        <x:v>样本类型</x:v>
      </x:c>
      <x:c r="C1" s="10" t="str">
        <x:v>特征</x:v>
      </x:c>
      <x:c r="D1" s="10" t="str">
        <x:v>原始值</x:v>
      </x:c>
      <x:c r="E1" s="10" t="str">
        <x:v>IQR下界</x:v>
      </x:c>
      <x:c r="F1" s="10" t="str">
        <x:v>IQR上界</x:v>
      </x:c>
      <x:c r="G1" s="10" t="str">
        <x:v>处理</x:v>
      </x:c>
    </x:row>
    <x:row r="2" ht="15" hidden="0" customHeight="1">
      <x:c r="A2" s="2" t="str">
        <x:v>E2</x:v>
      </x:c>
      <x:c r="B2" s="2" t="str">
        <x:v>有信贷记录</x:v>
      </x:c>
      <x:c r="C2" s="2" t="str">
        <x:v>进项_发票总数</x:v>
      </x:c>
      <x:c r="D2" s="2" t="n">
        <x:v>32156</x:v>
      </x:c>
      <x:c r="E2" s="2" t="n">
        <x:v>-1991</x:v>
      </x:c>
      <x:c r="F2" s="2" t="n">
        <x:v>3633</x:v>
      </x:c>
      <x:c r="G2" s="2" t="str">
        <x:v>原始表保留；建模表缩尾</x:v>
      </x:c>
    </x:row>
    <x:row r="3" ht="15" hidden="0" customHeight="1">
      <x:c r="A3" s="2" t="str">
        <x:v>E3</x:v>
      </x:c>
      <x:c r="B3" s="2" t="str">
        <x:v>有信贷记录</x:v>
      </x:c>
      <x:c r="C3" s="2" t="str">
        <x:v>进项_发票总数</x:v>
      </x:c>
      <x:c r="D3" s="2" t="n">
        <x:v>4561</x:v>
      </x:c>
      <x:c r="E3" s="2" t="n">
        <x:v>-1991</x:v>
      </x:c>
      <x:c r="F3" s="2" t="n">
        <x:v>3633</x:v>
      </x:c>
      <x:c r="G3" s="2" t="str">
        <x:v>原始表保留；建模表缩尾</x:v>
      </x:c>
    </x:row>
    <x:row r="4" ht="15" hidden="0" customHeight="1">
      <x:c r="A4" s="2" t="str">
        <x:v>E6</x:v>
      </x:c>
      <x:c r="B4" s="2" t="str">
        <x:v>有信贷记录</x:v>
      </x:c>
      <x:c r="C4" s="2" t="str">
        <x:v>进项_发票总数</x:v>
      </x:c>
      <x:c r="D4" s="2" t="n">
        <x:v>11337</x:v>
      </x:c>
      <x:c r="E4" s="2" t="n">
        <x:v>-1991</x:v>
      </x:c>
      <x:c r="F4" s="2" t="n">
        <x:v>3633</x:v>
      </x:c>
      <x:c r="G4" s="2" t="str">
        <x:v>原始表保留；建模表缩尾</x:v>
      </x:c>
    </x:row>
    <x:row r="5" ht="15" hidden="0" customHeight="1">
      <x:c r="A5" s="2" t="str">
        <x:v>E7</x:v>
      </x:c>
      <x:c r="B5" s="2" t="str">
        <x:v>有信贷记录</x:v>
      </x:c>
      <x:c r="C5" s="2" t="str">
        <x:v>进项_发票总数</x:v>
      </x:c>
      <x:c r="D5" s="2" t="n">
        <x:v>13097</x:v>
      </x:c>
      <x:c r="E5" s="2" t="n">
        <x:v>-1991</x:v>
      </x:c>
      <x:c r="F5" s="2" t="n">
        <x:v>3633</x:v>
      </x:c>
      <x:c r="G5" s="2" t="str">
        <x:v>原始表保留；建模表缩尾</x:v>
      </x:c>
    </x:row>
    <x:row r="6" ht="15" hidden="0" customHeight="1">
      <x:c r="A6" s="2" t="str">
        <x:v>E8</x:v>
      </x:c>
      <x:c r="B6" s="2" t="str">
        <x:v>有信贷记录</x:v>
      </x:c>
      <x:c r="C6" s="2" t="str">
        <x:v>进项_发票总数</x:v>
      </x:c>
      <x:c r="D6" s="2" t="n">
        <x:v>22536</x:v>
      </x:c>
      <x:c r="E6" s="2" t="n">
        <x:v>-1991</x:v>
      </x:c>
      <x:c r="F6" s="2" t="n">
        <x:v>3633</x:v>
      </x:c>
      <x:c r="G6" s="2" t="str">
        <x:v>原始表保留；建模表缩尾</x:v>
      </x:c>
    </x:row>
    <x:row r="7" ht="15" hidden="0" customHeight="1">
      <x:c r="A7" s="2" t="str">
        <x:v>E9</x:v>
      </x:c>
      <x:c r="B7" s="2" t="str">
        <x:v>有信贷记录</x:v>
      </x:c>
      <x:c r="C7" s="2" t="str">
        <x:v>进项_发票总数</x:v>
      </x:c>
      <x:c r="D7" s="2" t="n">
        <x:v>4293</x:v>
      </x:c>
      <x:c r="E7" s="2" t="n">
        <x:v>-1991</x:v>
      </x:c>
      <x:c r="F7" s="2" t="n">
        <x:v>3633</x:v>
      </x:c>
      <x:c r="G7" s="2" t="str">
        <x:v>原始表保留；建模表缩尾</x:v>
      </x:c>
    </x:row>
    <x:row r="8" ht="15" hidden="0" customHeight="1">
      <x:c r="A8" s="2" t="str">
        <x:v>E10</x:v>
      </x:c>
      <x:c r="B8" s="2" t="str">
        <x:v>有信贷记录</x:v>
      </x:c>
      <x:c r="C8" s="2" t="str">
        <x:v>进项_发票总数</x:v>
      </x:c>
      <x:c r="D8" s="2" t="n">
        <x:v>4097</x:v>
      </x:c>
      <x:c r="E8" s="2" t="n">
        <x:v>-1991</x:v>
      </x:c>
      <x:c r="F8" s="2" t="n">
        <x:v>3633</x:v>
      </x:c>
      <x:c r="G8" s="2" t="str">
        <x:v>原始表保留；建模表缩尾</x:v>
      </x:c>
    </x:row>
    <x:row r="9" ht="15" hidden="0" customHeight="1">
      <x:c r="A9" s="2" t="str">
        <x:v>E13</x:v>
      </x:c>
      <x:c r="B9" s="2" t="str">
        <x:v>有信贷记录</x:v>
      </x:c>
      <x:c r="C9" s="2" t="str">
        <x:v>进项_发票总数</x:v>
      </x:c>
      <x:c r="D9" s="2" t="n">
        <x:v>13469</x:v>
      </x:c>
      <x:c r="E9" s="2" t="n">
        <x:v>-1991</x:v>
      </x:c>
      <x:c r="F9" s="2" t="n">
        <x:v>3633</x:v>
      </x:c>
      <x:c r="G9" s="2" t="str">
        <x:v>原始表保留；建模表缩尾</x:v>
      </x:c>
    </x:row>
    <x:row r="10" ht="15" hidden="0" customHeight="1">
      <x:c r="A10" s="2" t="str">
        <x:v>E14</x:v>
      </x:c>
      <x:c r="B10" s="2" t="str">
        <x:v>有信贷记录</x:v>
      </x:c>
      <x:c r="C10" s="2" t="str">
        <x:v>进项_发票总数</x:v>
      </x:c>
      <x:c r="D10" s="2" t="n">
        <x:v>7077</x:v>
      </x:c>
      <x:c r="E10" s="2" t="n">
        <x:v>-1991</x:v>
      </x:c>
      <x:c r="F10" s="2" t="n">
        <x:v>3633</x:v>
      </x:c>
      <x:c r="G10" s="2" t="str">
        <x:v>原始表保留；建模表缩尾</x:v>
      </x:c>
    </x:row>
    <x:row r="11" ht="15" hidden="0" customHeight="1">
      <x:c r="A11" s="2" t="str">
        <x:v>E17</x:v>
      </x:c>
      <x:c r="B11" s="2" t="str">
        <x:v>有信贷记录</x:v>
      </x:c>
      <x:c r="C11" s="2" t="str">
        <x:v>进项_发票总数</x:v>
      </x:c>
      <x:c r="D11" s="2" t="n">
        <x:v>7568</x:v>
      </x:c>
      <x:c r="E11" s="2" t="n">
        <x:v>-1991</x:v>
      </x:c>
      <x:c r="F11" s="2" t="n">
        <x:v>3633</x:v>
      </x:c>
      <x:c r="G11" s="2" t="str">
        <x:v>原始表保留；建模表缩尾</x:v>
      </x:c>
    </x:row>
    <x:row r="12" ht="15" hidden="0" customHeight="1">
      <x:c r="A12" s="2" t="str">
        <x:v>E18</x:v>
      </x:c>
      <x:c r="B12" s="2" t="str">
        <x:v>有信贷记录</x:v>
      </x:c>
      <x:c r="C12" s="2" t="str">
        <x:v>进项_发票总数</x:v>
      </x:c>
      <x:c r="D12" s="2" t="n">
        <x:v>5765</x:v>
      </x:c>
      <x:c r="E12" s="2" t="n">
        <x:v>-1991</x:v>
      </x:c>
      <x:c r="F12" s="2" t="n">
        <x:v>3633</x:v>
      </x:c>
      <x:c r="G12" s="2" t="str">
        <x:v>原始表保留；建模表缩尾</x:v>
      </x:c>
    </x:row>
    <x:row r="13" ht="15" hidden="0" customHeight="1">
      <x:c r="A13" s="2" t="str">
        <x:v>E23</x:v>
      </x:c>
      <x:c r="B13" s="2" t="str">
        <x:v>有信贷记录</x:v>
      </x:c>
      <x:c r="C13" s="2" t="str">
        <x:v>进项_发票总数</x:v>
      </x:c>
      <x:c r="D13" s="2" t="n">
        <x:v>4951</x:v>
      </x:c>
      <x:c r="E13" s="2" t="n">
        <x:v>-1991</x:v>
      </x:c>
      <x:c r="F13" s="2" t="n">
        <x:v>3633</x:v>
      </x:c>
      <x:c r="G13" s="2" t="str">
        <x:v>原始表保留；建模表缩尾</x:v>
      </x:c>
    </x:row>
    <x:row r="14" ht="15" hidden="0" customHeight="1">
      <x:c r="A14" s="2" t="str">
        <x:v>E124</x:v>
      </x:c>
      <x:c r="B14" s="2" t="str">
        <x:v>无信贷记录</x:v>
      </x:c>
      <x:c r="C14" s="2" t="str">
        <x:v>进项_发票总数</x:v>
      </x:c>
      <x:c r="D14" s="2" t="n">
        <x:v>17411</x:v>
      </x:c>
      <x:c r="E14" s="2" t="n">
        <x:v>-1991</x:v>
      </x:c>
      <x:c r="F14" s="2" t="n">
        <x:v>3633</x:v>
      </x:c>
      <x:c r="G14" s="2" t="str">
        <x:v>原始表保留；建模表缩尾</x:v>
      </x:c>
    </x:row>
    <x:row r="15" ht="15" hidden="0" customHeight="1">
      <x:c r="A15" s="2" t="str">
        <x:v>E125</x:v>
      </x:c>
      <x:c r="B15" s="2" t="str">
        <x:v>无信贷记录</x:v>
      </x:c>
      <x:c r="C15" s="2" t="str">
        <x:v>进项_发票总数</x:v>
      </x:c>
      <x:c r="D15" s="2" t="n">
        <x:v>20288</x:v>
      </x:c>
      <x:c r="E15" s="2" t="n">
        <x:v>-1991</x:v>
      </x:c>
      <x:c r="F15" s="2" t="n">
        <x:v>3633</x:v>
      </x:c>
      <x:c r="G15" s="2" t="str">
        <x:v>原始表保留；建模表缩尾</x:v>
      </x:c>
    </x:row>
    <x:row r="16" ht="15" hidden="0" customHeight="1">
      <x:c r="A16" s="2" t="str">
        <x:v>E129</x:v>
      </x:c>
      <x:c r="B16" s="2" t="str">
        <x:v>无信贷记录</x:v>
      </x:c>
      <x:c r="C16" s="2" t="str">
        <x:v>进项_发票总数</x:v>
      </x:c>
      <x:c r="D16" s="2" t="n">
        <x:v>6326</x:v>
      </x:c>
      <x:c r="E16" s="2" t="n">
        <x:v>-1991</x:v>
      </x:c>
      <x:c r="F16" s="2" t="n">
        <x:v>3633</x:v>
      </x:c>
      <x:c r="G16" s="2" t="str">
        <x:v>原始表保留；建模表缩尾</x:v>
      </x:c>
    </x:row>
    <x:row r="17" ht="15" hidden="0" customHeight="1">
      <x:c r="A17" s="2" t="str">
        <x:v>E131</x:v>
      </x:c>
      <x:c r="B17" s="2" t="str">
        <x:v>无信贷记录</x:v>
      </x:c>
      <x:c r="C17" s="2" t="str">
        <x:v>进项_发票总数</x:v>
      </x:c>
      <x:c r="D17" s="2" t="n">
        <x:v>7077</x:v>
      </x:c>
      <x:c r="E17" s="2" t="n">
        <x:v>-1991</x:v>
      </x:c>
      <x:c r="F17" s="2" t="n">
        <x:v>3633</x:v>
      </x:c>
      <x:c r="G17" s="2" t="str">
        <x:v>原始表保留；建模表缩尾</x:v>
      </x:c>
    </x:row>
    <x:row r="18" ht="15" hidden="0" customHeight="1">
      <x:c r="A18" s="2" t="str">
        <x:v>E132</x:v>
      </x:c>
      <x:c r="B18" s="2" t="str">
        <x:v>无信贷记录</x:v>
      </x:c>
      <x:c r="C18" s="2" t="str">
        <x:v>进项_发票总数</x:v>
      </x:c>
      <x:c r="D18" s="2" t="n">
        <x:v>5159</x:v>
      </x:c>
      <x:c r="E18" s="2" t="n">
        <x:v>-1991</x:v>
      </x:c>
      <x:c r="F18" s="2" t="n">
        <x:v>3633</x:v>
      </x:c>
      <x:c r="G18" s="2" t="str">
        <x:v>原始表保留；建模表缩尾</x:v>
      </x:c>
    </x:row>
    <x:row r="19" ht="15" hidden="0" customHeight="1">
      <x:c r="A19" s="2" t="str">
        <x:v>E143</x:v>
      </x:c>
      <x:c r="B19" s="2" t="str">
        <x:v>无信贷记录</x:v>
      </x:c>
      <x:c r="C19" s="2" t="str">
        <x:v>进项_发票总数</x:v>
      </x:c>
      <x:c r="D19" s="2" t="n">
        <x:v>3714</x:v>
      </x:c>
      <x:c r="E19" s="2" t="n">
        <x:v>-1991</x:v>
      </x:c>
      <x:c r="F19" s="2" t="n">
        <x:v>3633</x:v>
      </x:c>
      <x:c r="G19" s="2" t="str">
        <x:v>原始表保留；建模表缩尾</x:v>
      </x:c>
    </x:row>
    <x:row r="20" ht="15" hidden="0" customHeight="1">
      <x:c r="A20" s="2" t="str">
        <x:v>E147</x:v>
      </x:c>
      <x:c r="B20" s="2" t="str">
        <x:v>无信贷记录</x:v>
      </x:c>
      <x:c r="C20" s="2" t="str">
        <x:v>进项_发票总数</x:v>
      </x:c>
      <x:c r="D20" s="2" t="n">
        <x:v>5991</x:v>
      </x:c>
      <x:c r="E20" s="2" t="n">
        <x:v>-1991</x:v>
      </x:c>
      <x:c r="F20" s="2" t="n">
        <x:v>3633</x:v>
      </x:c>
      <x:c r="G20" s="2" t="str">
        <x:v>原始表保留；建模表缩尾</x:v>
      </x:c>
    </x:row>
    <x:row r="21" ht="15" hidden="0" customHeight="1">
      <x:c r="A21" s="2" t="str">
        <x:v>E159</x:v>
      </x:c>
      <x:c r="B21" s="2" t="str">
        <x:v>无信贷记录</x:v>
      </x:c>
      <x:c r="C21" s="2" t="str">
        <x:v>进项_发票总数</x:v>
      </x:c>
      <x:c r="D21" s="2" t="n">
        <x:v>4684</x:v>
      </x:c>
      <x:c r="E21" s="2" t="n">
        <x:v>-1991</x:v>
      </x:c>
      <x:c r="F21" s="2" t="n">
        <x:v>3633</x:v>
      </x:c>
      <x:c r="G21" s="2" t="str">
        <x:v>原始表保留；建模表缩尾</x:v>
      </x:c>
    </x:row>
    <x:row r="22" ht="15" hidden="0" customHeight="1">
      <x:c r="A22" s="2" t="str">
        <x:v>E162</x:v>
      </x:c>
      <x:c r="B22" s="2" t="str">
        <x:v>无信贷记录</x:v>
      </x:c>
      <x:c r="C22" s="2" t="str">
        <x:v>进项_发票总数</x:v>
      </x:c>
      <x:c r="D22" s="2" t="n">
        <x:v>10363</x:v>
      </x:c>
      <x:c r="E22" s="2" t="n">
        <x:v>-1991</x:v>
      </x:c>
      <x:c r="F22" s="2" t="n">
        <x:v>3633</x:v>
      </x:c>
      <x:c r="G22" s="2" t="str">
        <x:v>原始表保留；建模表缩尾</x:v>
      </x:c>
    </x:row>
    <x:row r="23" ht="15" hidden="0" customHeight="1">
      <x:c r="A23" s="2" t="str">
        <x:v>E164</x:v>
      </x:c>
      <x:c r="B23" s="2" t="str">
        <x:v>无信贷记录</x:v>
      </x:c>
      <x:c r="C23" s="2" t="str">
        <x:v>进项_发票总数</x:v>
      </x:c>
      <x:c r="D23" s="2" t="n">
        <x:v>4194</x:v>
      </x:c>
      <x:c r="E23" s="2" t="n">
        <x:v>-1991</x:v>
      </x:c>
      <x:c r="F23" s="2" t="n">
        <x:v>3633</x:v>
      </x:c>
      <x:c r="G23" s="2" t="str">
        <x:v>原始表保留；建模表缩尾</x:v>
      </x:c>
    </x:row>
    <x:row r="24" ht="15" hidden="0" customHeight="1">
      <x:c r="A24" s="2" t="str">
        <x:v>E165</x:v>
      </x:c>
      <x:c r="B24" s="2" t="str">
        <x:v>无信贷记录</x:v>
      </x:c>
      <x:c r="C24" s="2" t="str">
        <x:v>进项_发票总数</x:v>
      </x:c>
      <x:c r="D24" s="2" t="n">
        <x:v>4325</x:v>
      </x:c>
      <x:c r="E24" s="2" t="n">
        <x:v>-1991</x:v>
      </x:c>
      <x:c r="F24" s="2" t="n">
        <x:v>3633</x:v>
      </x:c>
      <x:c r="G24" s="2" t="str">
        <x:v>原始表保留；建模表缩尾</x:v>
      </x:c>
    </x:row>
    <x:row r="25" ht="15" hidden="0" customHeight="1">
      <x:c r="A25" s="2" t="str">
        <x:v>E167</x:v>
      </x:c>
      <x:c r="B25" s="2" t="str">
        <x:v>无信贷记录</x:v>
      </x:c>
      <x:c r="C25" s="2" t="str">
        <x:v>进项_发票总数</x:v>
      </x:c>
      <x:c r="D25" s="2" t="n">
        <x:v>7298</x:v>
      </x:c>
      <x:c r="E25" s="2" t="n">
        <x:v>-1991</x:v>
      </x:c>
      <x:c r="F25" s="2" t="n">
        <x:v>3633</x:v>
      </x:c>
      <x:c r="G25" s="2" t="str">
        <x:v>原始表保留；建模表缩尾</x:v>
      </x:c>
    </x:row>
    <x:row r="26" ht="15" hidden="0" customHeight="1">
      <x:c r="A26" s="2" t="str">
        <x:v>E169</x:v>
      </x:c>
      <x:c r="B26" s="2" t="str">
        <x:v>无信贷记录</x:v>
      </x:c>
      <x:c r="C26" s="2" t="str">
        <x:v>进项_发票总数</x:v>
      </x:c>
      <x:c r="D26" s="2" t="n">
        <x:v>6036</x:v>
      </x:c>
      <x:c r="E26" s="2" t="n">
        <x:v>-1991</x:v>
      </x:c>
      <x:c r="F26" s="2" t="n">
        <x:v>3633</x:v>
      </x:c>
      <x:c r="G26" s="2" t="str">
        <x:v>原始表保留；建模表缩尾</x:v>
      </x:c>
    </x:row>
    <x:row r="27" ht="15" hidden="0" customHeight="1">
      <x:c r="A27" s="2" t="str">
        <x:v>E175</x:v>
      </x:c>
      <x:c r="B27" s="2" t="str">
        <x:v>无信贷记录</x:v>
      </x:c>
      <x:c r="C27" s="2" t="str">
        <x:v>进项_发票总数</x:v>
      </x:c>
      <x:c r="D27" s="2" t="n">
        <x:v>4092</x:v>
      </x:c>
      <x:c r="E27" s="2" t="n">
        <x:v>-1991</x:v>
      </x:c>
      <x:c r="F27" s="2" t="n">
        <x:v>3633</x:v>
      </x:c>
      <x:c r="G27" s="2" t="str">
        <x:v>原始表保留；建模表缩尾</x:v>
      </x:c>
    </x:row>
    <x:row r="28" ht="15" hidden="0" customHeight="1">
      <x:c r="A28" s="2" t="str">
        <x:v>E180</x:v>
      </x:c>
      <x:c r="B28" s="2" t="str">
        <x:v>无信贷记录</x:v>
      </x:c>
      <x:c r="C28" s="2" t="str">
        <x:v>进项_发票总数</x:v>
      </x:c>
      <x:c r="D28" s="2" t="n">
        <x:v>3674</x:v>
      </x:c>
      <x:c r="E28" s="2" t="n">
        <x:v>-1991</x:v>
      </x:c>
      <x:c r="F28" s="2" t="n">
        <x:v>3633</x:v>
      </x:c>
      <x:c r="G28" s="2" t="str">
        <x:v>原始表保留；建模表缩尾</x:v>
      </x:c>
    </x:row>
    <x:row r="29" ht="15" hidden="0" customHeight="1">
      <x:c r="A29" s="2" t="str">
        <x:v>E187</x:v>
      </x:c>
      <x:c r="B29" s="2" t="str">
        <x:v>无信贷记录</x:v>
      </x:c>
      <x:c r="C29" s="2" t="str">
        <x:v>进项_发票总数</x:v>
      </x:c>
      <x:c r="D29" s="2" t="n">
        <x:v>3880</x:v>
      </x:c>
      <x:c r="E29" s="2" t="n">
        <x:v>-1991</x:v>
      </x:c>
      <x:c r="F29" s="2" t="n">
        <x:v>3633</x:v>
      </x:c>
      <x:c r="G29" s="2" t="str">
        <x:v>原始表保留；建模表缩尾</x:v>
      </x:c>
    </x:row>
    <x:row r="30" ht="15" hidden="0" customHeight="1">
      <x:c r="A30" s="2" t="str">
        <x:v>E194</x:v>
      </x:c>
      <x:c r="B30" s="2" t="str">
        <x:v>无信贷记录</x:v>
      </x:c>
      <x:c r="C30" s="2" t="str">
        <x:v>进项_发票总数</x:v>
      </x:c>
      <x:c r="D30" s="2" t="n">
        <x:v>4849</x:v>
      </x:c>
      <x:c r="E30" s="2" t="n">
        <x:v>-1991</x:v>
      </x:c>
      <x:c r="F30" s="2" t="n">
        <x:v>3633</x:v>
      </x:c>
      <x:c r="G30" s="2" t="str">
        <x:v>原始表保留；建模表缩尾</x:v>
      </x:c>
    </x:row>
    <x:row r="31" ht="15" hidden="0" customHeight="1">
      <x:c r="A31" s="2" t="str">
        <x:v>E197</x:v>
      </x:c>
      <x:c r="B31" s="2" t="str">
        <x:v>无信贷记录</x:v>
      </x:c>
      <x:c r="C31" s="2" t="str">
        <x:v>进项_发票总数</x:v>
      </x:c>
      <x:c r="D31" s="2" t="n">
        <x:v>3742</x:v>
      </x:c>
      <x:c r="E31" s="2" t="n">
        <x:v>-1991</x:v>
      </x:c>
      <x:c r="F31" s="2" t="n">
        <x:v>3633</x:v>
      </x:c>
      <x:c r="G31" s="2" t="str">
        <x:v>原始表保留；建模表缩尾</x:v>
      </x:c>
    </x:row>
    <x:row r="32" ht="15" hidden="0" customHeight="1">
      <x:c r="A32" s="2" t="str">
        <x:v>E204</x:v>
      </x:c>
      <x:c r="B32" s="2" t="str">
        <x:v>无信贷记录</x:v>
      </x:c>
      <x:c r="C32" s="2" t="str">
        <x:v>进项_发票总数</x:v>
      </x:c>
      <x:c r="D32" s="2" t="n">
        <x:v>5217</x:v>
      </x:c>
      <x:c r="E32" s="2" t="n">
        <x:v>-1991</x:v>
      </x:c>
      <x:c r="F32" s="2" t="n">
        <x:v>3633</x:v>
      </x:c>
      <x:c r="G32" s="2" t="str">
        <x:v>原始表保留；建模表缩尾</x:v>
      </x:c>
    </x:row>
    <x:row r="33" ht="15" hidden="0" customHeight="1">
      <x:c r="A33" s="2" t="str">
        <x:v>E206</x:v>
      </x:c>
      <x:c r="B33" s="2" t="str">
        <x:v>无信贷记录</x:v>
      </x:c>
      <x:c r="C33" s="2" t="str">
        <x:v>进项_发票总数</x:v>
      </x:c>
      <x:c r="D33" s="2" t="n">
        <x:v>3679</x:v>
      </x:c>
      <x:c r="E33" s="2" t="n">
        <x:v>-1991</x:v>
      </x:c>
      <x:c r="F33" s="2" t="n">
        <x:v>3633</x:v>
      </x:c>
      <x:c r="G33" s="2" t="str">
        <x:v>原始表保留；建模表缩尾</x:v>
      </x:c>
    </x:row>
    <x:row r="34" ht="15" hidden="0" customHeight="1">
      <x:c r="A34" s="2" t="str">
        <x:v>E209</x:v>
      </x:c>
      <x:c r="B34" s="2" t="str">
        <x:v>无信贷记录</x:v>
      </x:c>
      <x:c r="C34" s="2" t="str">
        <x:v>进项_发票总数</x:v>
      </x:c>
      <x:c r="D34" s="2" t="n">
        <x:v>8360</x:v>
      </x:c>
      <x:c r="E34" s="2" t="n">
        <x:v>-1991</x:v>
      </x:c>
      <x:c r="F34" s="2" t="n">
        <x:v>3633</x:v>
      </x:c>
      <x:c r="G34" s="2" t="str">
        <x:v>原始表保留；建模表缩尾</x:v>
      </x:c>
    </x:row>
    <x:row r="35" ht="15" hidden="0" customHeight="1">
      <x:c r="A35" s="2" t="str">
        <x:v>E219</x:v>
      </x:c>
      <x:c r="B35" s="2" t="str">
        <x:v>无信贷记录</x:v>
      </x:c>
      <x:c r="C35" s="2" t="str">
        <x:v>进项_发票总数</x:v>
      </x:c>
      <x:c r="D35" s="2" t="n">
        <x:v>4455</x:v>
      </x:c>
      <x:c r="E35" s="2" t="n">
        <x:v>-1991</x:v>
      </x:c>
      <x:c r="F35" s="2" t="n">
        <x:v>3633</x:v>
      </x:c>
      <x:c r="G35" s="2" t="str">
        <x:v>原始表保留；建模表缩尾</x:v>
      </x:c>
    </x:row>
    <x:row r="36" ht="15" hidden="0" customHeight="1">
      <x:c r="A36" s="2" t="str">
        <x:v>E220</x:v>
      </x:c>
      <x:c r="B36" s="2" t="str">
        <x:v>无信贷记录</x:v>
      </x:c>
      <x:c r="C36" s="2" t="str">
        <x:v>进项_发票总数</x:v>
      </x:c>
      <x:c r="D36" s="2" t="n">
        <x:v>5938</x:v>
      </x:c>
      <x:c r="E36" s="2" t="n">
        <x:v>-1991</x:v>
      </x:c>
      <x:c r="F36" s="2" t="n">
        <x:v>3633</x:v>
      </x:c>
      <x:c r="G36" s="2" t="str">
        <x:v>原始表保留；建模表缩尾</x:v>
      </x:c>
    </x:row>
    <x:row r="37" ht="15" hidden="0" customHeight="1">
      <x:c r="A37" s="2" t="str">
        <x:v>E221</x:v>
      </x:c>
      <x:c r="B37" s="2" t="str">
        <x:v>无信贷记录</x:v>
      </x:c>
      <x:c r="C37" s="2" t="str">
        <x:v>进项_发票总数</x:v>
      </x:c>
      <x:c r="D37" s="2" t="n">
        <x:v>4494</x:v>
      </x:c>
      <x:c r="E37" s="2" t="n">
        <x:v>-1991</x:v>
      </x:c>
      <x:c r="F37" s="2" t="n">
        <x:v>3633</x:v>
      </x:c>
      <x:c r="G37" s="2" t="str">
        <x:v>原始表保留；建模表缩尾</x:v>
      </x:c>
    </x:row>
    <x:row r="38" ht="15" hidden="0" customHeight="1">
      <x:c r="A38" s="2" t="str">
        <x:v>E222</x:v>
      </x:c>
      <x:c r="B38" s="2" t="str">
        <x:v>无信贷记录</x:v>
      </x:c>
      <x:c r="C38" s="2" t="str">
        <x:v>进项_发票总数</x:v>
      </x:c>
      <x:c r="D38" s="2" t="n">
        <x:v>4628</x:v>
      </x:c>
      <x:c r="E38" s="2" t="n">
        <x:v>-1991</x:v>
      </x:c>
      <x:c r="F38" s="2" t="n">
        <x:v>3633</x:v>
      </x:c>
      <x:c r="G38" s="2" t="str">
        <x:v>原始表保留；建模表缩尾</x:v>
      </x:c>
    </x:row>
    <x:row r="39" ht="15" hidden="0" customHeight="1">
      <x:c r="A39" s="2" t="str">
        <x:v>E225</x:v>
      </x:c>
      <x:c r="B39" s="2" t="str">
        <x:v>无信贷记录</x:v>
      </x:c>
      <x:c r="C39" s="2" t="str">
        <x:v>进项_发票总数</x:v>
      </x:c>
      <x:c r="D39" s="2" t="n">
        <x:v>4332</x:v>
      </x:c>
      <x:c r="E39" s="2" t="n">
        <x:v>-1991</x:v>
      </x:c>
      <x:c r="F39" s="2" t="n">
        <x:v>3633</x:v>
      </x:c>
      <x:c r="G39" s="2" t="str">
        <x:v>原始表保留；建模表缩尾</x:v>
      </x:c>
    </x:row>
    <x:row r="40" ht="15" hidden="0" customHeight="1">
      <x:c r="A40" s="2" t="str">
        <x:v>E238</x:v>
      </x:c>
      <x:c r="B40" s="2" t="str">
        <x:v>无信贷记录</x:v>
      </x:c>
      <x:c r="C40" s="2" t="str">
        <x:v>进项_发票总数</x:v>
      </x:c>
      <x:c r="D40" s="2" t="n">
        <x:v>3899</x:v>
      </x:c>
      <x:c r="E40" s="2" t="n">
        <x:v>-1991</x:v>
      </x:c>
      <x:c r="F40" s="2" t="n">
        <x:v>3633</x:v>
      </x:c>
      <x:c r="G40" s="2" t="str">
        <x:v>原始表保留；建模表缩尾</x:v>
      </x:c>
    </x:row>
    <x:row r="41" ht="15" hidden="0" customHeight="1">
      <x:c r="A41" s="2" t="str">
        <x:v>E312</x:v>
      </x:c>
      <x:c r="B41" s="2" t="str">
        <x:v>无信贷记录</x:v>
      </x:c>
      <x:c r="C41" s="2" t="str">
        <x:v>进项_发票总数</x:v>
      </x:c>
      <x:c r="D41" s="2" t="n">
        <x:v>4652</x:v>
      </x:c>
      <x:c r="E41" s="2" t="n">
        <x:v>-1991</x:v>
      </x:c>
      <x:c r="F41" s="2" t="n">
        <x:v>3633</x:v>
      </x:c>
      <x:c r="G41" s="2" t="str">
        <x:v>原始表保留；建模表缩尾</x:v>
      </x:c>
    </x:row>
    <x:row r="42" ht="15" hidden="0" customHeight="1">
      <x:c r="A42" s="2" t="str">
        <x:v>E2</x:v>
      </x:c>
      <x:c r="B42" s="2" t="str">
        <x:v>有信贷记录</x:v>
      </x:c>
      <x:c r="C42" s="2" t="str">
        <x:v>进项_有效票数</x:v>
      </x:c>
      <x:c r="D42" s="2" t="n">
        <x:v>31435</x:v>
      </x:c>
      <x:c r="E42" s="2" t="n">
        <x:v>-1900</x:v>
      </x:c>
      <x:c r="F42" s="2" t="n">
        <x:v>3476</x:v>
      </x:c>
      <x:c r="G42" s="2" t="str">
        <x:v>原始表保留；建模表缩尾</x:v>
      </x:c>
    </x:row>
    <x:row r="43" ht="15" hidden="0" customHeight="1">
      <x:c r="A43" s="2" t="str">
        <x:v>E3</x:v>
      </x:c>
      <x:c r="B43" s="2" t="str">
        <x:v>有信贷记录</x:v>
      </x:c>
      <x:c r="C43" s="2" t="str">
        <x:v>进项_有效票数</x:v>
      </x:c>
      <x:c r="D43" s="2" t="n">
        <x:v>4367</x:v>
      </x:c>
      <x:c r="E43" s="2" t="n">
        <x:v>-1900</x:v>
      </x:c>
      <x:c r="F43" s="2" t="n">
        <x:v>3476</x:v>
      </x:c>
      <x:c r="G43" s="2" t="str">
        <x:v>原始表保留；建模表缩尾</x:v>
      </x:c>
    </x:row>
    <x:row r="44" ht="15" hidden="0" customHeight="1">
      <x:c r="A44" s="2" t="str">
        <x:v>E6</x:v>
      </x:c>
      <x:c r="B44" s="2" t="str">
        <x:v>有信贷记录</x:v>
      </x:c>
      <x:c r="C44" s="2" t="str">
        <x:v>进项_有效票数</x:v>
      </x:c>
      <x:c r="D44" s="2" t="n">
        <x:v>10814</x:v>
      </x:c>
      <x:c r="E44" s="2" t="n">
        <x:v>-1900</x:v>
      </x:c>
      <x:c r="F44" s="2" t="n">
        <x:v>3476</x:v>
      </x:c>
      <x:c r="G44" s="2" t="str">
        <x:v>原始表保留；建模表缩尾</x:v>
      </x:c>
    </x:row>
    <x:row r="45" ht="15" hidden="0" customHeight="1">
      <x:c r="A45" s="2" t="str">
        <x:v>E7</x:v>
      </x:c>
      <x:c r="B45" s="2" t="str">
        <x:v>有信贷记录</x:v>
      </x:c>
      <x:c r="C45" s="2" t="str">
        <x:v>进项_有效票数</x:v>
      </x:c>
      <x:c r="D45" s="2" t="n">
        <x:v>12643</x:v>
      </x:c>
      <x:c r="E45" s="2" t="n">
        <x:v>-1900</x:v>
      </x:c>
      <x:c r="F45" s="2" t="n">
        <x:v>3476</x:v>
      </x:c>
      <x:c r="G45" s="2" t="str">
        <x:v>原始表保留；建模表缩尾</x:v>
      </x:c>
    </x:row>
    <x:row r="46" ht="15" hidden="0" customHeight="1">
      <x:c r="A46" s="2" t="str">
        <x:v>E8</x:v>
      </x:c>
      <x:c r="B46" s="2" t="str">
        <x:v>有信贷记录</x:v>
      </x:c>
      <x:c r="C46" s="2" t="str">
        <x:v>进项_有效票数</x:v>
      </x:c>
      <x:c r="D46" s="2" t="n">
        <x:v>21777</x:v>
      </x:c>
      <x:c r="E46" s="2" t="n">
        <x:v>-1900</x:v>
      </x:c>
      <x:c r="F46" s="2" t="n">
        <x:v>3476</x:v>
      </x:c>
      <x:c r="G46" s="2" t="str">
        <x:v>原始表保留；建模表缩尾</x:v>
      </x:c>
    </x:row>
    <x:row r="47" ht="15" hidden="0" customHeight="1">
      <x:c r="A47" s="2" t="str">
        <x:v>E9</x:v>
      </x:c>
      <x:c r="B47" s="2" t="str">
        <x:v>有信贷记录</x:v>
      </x:c>
      <x:c r="C47" s="2" t="str">
        <x:v>进项_有效票数</x:v>
      </x:c>
      <x:c r="D47" s="2" t="n">
        <x:v>4199</x:v>
      </x:c>
      <x:c r="E47" s="2" t="n">
        <x:v>-1900</x:v>
      </x:c>
      <x:c r="F47" s="2" t="n">
        <x:v>3476</x:v>
      </x:c>
      <x:c r="G47" s="2" t="str">
        <x:v>原始表保留；建模表缩尾</x:v>
      </x:c>
    </x:row>
    <x:row r="48" ht="15" hidden="0" customHeight="1">
      <x:c r="A48" s="2" t="str">
        <x:v>E10</x:v>
      </x:c>
      <x:c r="B48" s="2" t="str">
        <x:v>有信贷记录</x:v>
      </x:c>
      <x:c r="C48" s="2" t="str">
        <x:v>进项_有效票数</x:v>
      </x:c>
      <x:c r="D48" s="2" t="n">
        <x:v>3860</x:v>
      </x:c>
      <x:c r="E48" s="2" t="n">
        <x:v>-1900</x:v>
      </x:c>
      <x:c r="F48" s="2" t="n">
        <x:v>3476</x:v>
      </x:c>
      <x:c r="G48" s="2" t="str">
        <x:v>原始表保留；建模表缩尾</x:v>
      </x:c>
    </x:row>
    <x:row r="49" ht="15" hidden="0" customHeight="1">
      <x:c r="A49" s="2" t="str">
        <x:v>E13</x:v>
      </x:c>
      <x:c r="B49" s="2" t="str">
        <x:v>有信贷记录</x:v>
      </x:c>
      <x:c r="C49" s="2" t="str">
        <x:v>进项_有效票数</x:v>
      </x:c>
      <x:c r="D49" s="2" t="n">
        <x:v>13255</x:v>
      </x:c>
      <x:c r="E49" s="2" t="n">
        <x:v>-1900</x:v>
      </x:c>
      <x:c r="F49" s="2" t="n">
        <x:v>3476</x:v>
      </x:c>
      <x:c r="G49" s="2" t="str">
        <x:v>原始表保留；建模表缩尾</x:v>
      </x:c>
    </x:row>
    <x:row r="50" ht="15" hidden="0" customHeight="1">
      <x:c r="A50" s="2" t="str">
        <x:v>E14</x:v>
      </x:c>
      <x:c r="B50" s="2" t="str">
        <x:v>有信贷记录</x:v>
      </x:c>
      <x:c r="C50" s="2" t="str">
        <x:v>进项_有效票数</x:v>
      </x:c>
      <x:c r="D50" s="2" t="n">
        <x:v>6527</x:v>
      </x:c>
      <x:c r="E50" s="2" t="n">
        <x:v>-1900</x:v>
      </x:c>
      <x:c r="F50" s="2" t="n">
        <x:v>3476</x:v>
      </x:c>
      <x:c r="G50" s="2" t="str">
        <x:v>原始表保留；建模表缩尾</x:v>
      </x:c>
    </x:row>
    <x:row r="51" ht="15" hidden="0" customHeight="1">
      <x:c r="A51" s="2" t="str">
        <x:v>E17</x:v>
      </x:c>
      <x:c r="B51" s="2" t="str">
        <x:v>有信贷记录</x:v>
      </x:c>
      <x:c r="C51" s="2" t="str">
        <x:v>进项_有效票数</x:v>
      </x:c>
      <x:c r="D51" s="2" t="n">
        <x:v>7143</x:v>
      </x:c>
      <x:c r="E51" s="2" t="n">
        <x:v>-1900</x:v>
      </x:c>
      <x:c r="F51" s="2" t="n">
        <x:v>3476</x:v>
      </x:c>
      <x:c r="G51" s="2" t="str">
        <x:v>原始表保留；建模表缩尾</x:v>
      </x:c>
    </x:row>
    <x:row r="52" ht="15" hidden="0" customHeight="1">
      <x:c r="A52" s="2" t="str">
        <x:v>E18</x:v>
      </x:c>
      <x:c r="B52" s="2" t="str">
        <x:v>有信贷记录</x:v>
      </x:c>
      <x:c r="C52" s="2" t="str">
        <x:v>进项_有效票数</x:v>
      </x:c>
      <x:c r="D52" s="2" t="n">
        <x:v>5455</x:v>
      </x:c>
      <x:c r="E52" s="2" t="n">
        <x:v>-1900</x:v>
      </x:c>
      <x:c r="F52" s="2" t="n">
        <x:v>3476</x:v>
      </x:c>
      <x:c r="G52" s="2" t="str">
        <x:v>原始表保留；建模表缩尾</x:v>
      </x:c>
    </x:row>
    <x:row r="53" ht="15" hidden="0" customHeight="1">
      <x:c r="A53" s="2" t="str">
        <x:v>E23</x:v>
      </x:c>
      <x:c r="B53" s="2" t="str">
        <x:v>有信贷记录</x:v>
      </x:c>
      <x:c r="C53" s="2" t="str">
        <x:v>进项_有效票数</x:v>
      </x:c>
      <x:c r="D53" s="2" t="n">
        <x:v>4802</x:v>
      </x:c>
      <x:c r="E53" s="2" t="n">
        <x:v>-1900</x:v>
      </x:c>
      <x:c r="F53" s="2" t="n">
        <x:v>3476</x:v>
      </x:c>
      <x:c r="G53" s="2" t="str">
        <x:v>原始表保留；建模表缩尾</x:v>
      </x:c>
    </x:row>
    <x:row r="54" ht="15" hidden="0" customHeight="1">
      <x:c r="A54" s="2" t="str">
        <x:v>E49</x:v>
      </x:c>
      <x:c r="B54" s="2" t="str">
        <x:v>有信贷记录</x:v>
      </x:c>
      <x:c r="C54" s="2" t="str">
        <x:v>进项_有效票数</x:v>
      </x:c>
      <x:c r="D54" s="2" t="n">
        <x:v>3518</x:v>
      </x:c>
      <x:c r="E54" s="2" t="n">
        <x:v>-1900</x:v>
      </x:c>
      <x:c r="F54" s="2" t="n">
        <x:v>3476</x:v>
      </x:c>
      <x:c r="G54" s="2" t="str">
        <x:v>原始表保留；建模表缩尾</x:v>
      </x:c>
    </x:row>
    <x:row r="55" ht="15" hidden="0" customHeight="1">
      <x:c r="A55" s="2" t="str">
        <x:v>E124</x:v>
      </x:c>
      <x:c r="B55" s="2" t="str">
        <x:v>无信贷记录</x:v>
      </x:c>
      <x:c r="C55" s="2" t="str">
        <x:v>进项_有效票数</x:v>
      </x:c>
      <x:c r="D55" s="2" t="n">
        <x:v>15264</x:v>
      </x:c>
      <x:c r="E55" s="2" t="n">
        <x:v>-1900</x:v>
      </x:c>
      <x:c r="F55" s="2" t="n">
        <x:v>3476</x:v>
      </x:c>
      <x:c r="G55" s="2" t="str">
        <x:v>原始表保留；建模表缩尾</x:v>
      </x:c>
    </x:row>
    <x:row r="56" ht="15" hidden="0" customHeight="1">
      <x:c r="A56" s="2" t="str">
        <x:v>E125</x:v>
      </x:c>
      <x:c r="B56" s="2" t="str">
        <x:v>无信贷记录</x:v>
      </x:c>
      <x:c r="C56" s="2" t="str">
        <x:v>进项_有效票数</x:v>
      </x:c>
      <x:c r="D56" s="2" t="n">
        <x:v>17776</x:v>
      </x:c>
      <x:c r="E56" s="2" t="n">
        <x:v>-1900</x:v>
      </x:c>
      <x:c r="F56" s="2" t="n">
        <x:v>3476</x:v>
      </x:c>
      <x:c r="G56" s="2" t="str">
        <x:v>原始表保留；建模表缩尾</x:v>
      </x:c>
    </x:row>
    <x:row r="57" ht="15" hidden="0" customHeight="1">
      <x:c r="A57" s="2" t="str">
        <x:v>E129</x:v>
      </x:c>
      <x:c r="B57" s="2" t="str">
        <x:v>无信贷记录</x:v>
      </x:c>
      <x:c r="C57" s="2" t="str">
        <x:v>进项_有效票数</x:v>
      </x:c>
      <x:c r="D57" s="2" t="n">
        <x:v>5928</x:v>
      </x:c>
      <x:c r="E57" s="2" t="n">
        <x:v>-1900</x:v>
      </x:c>
      <x:c r="F57" s="2" t="n">
        <x:v>3476</x:v>
      </x:c>
      <x:c r="G57" s="2" t="str">
        <x:v>原始表保留；建模表缩尾</x:v>
      </x:c>
    </x:row>
    <x:row r="58" ht="15" hidden="0" customHeight="1">
      <x:c r="A58" s="2" t="str">
        <x:v>E131</x:v>
      </x:c>
      <x:c r="B58" s="2" t="str">
        <x:v>无信贷记录</x:v>
      </x:c>
      <x:c r="C58" s="2" t="str">
        <x:v>进项_有效票数</x:v>
      </x:c>
      <x:c r="D58" s="2" t="n">
        <x:v>6527</x:v>
      </x:c>
      <x:c r="E58" s="2" t="n">
        <x:v>-1900</x:v>
      </x:c>
      <x:c r="F58" s="2" t="n">
        <x:v>3476</x:v>
      </x:c>
      <x:c r="G58" s="2" t="str">
        <x:v>原始表保留；建模表缩尾</x:v>
      </x:c>
    </x:row>
    <x:row r="59" ht="15" hidden="0" customHeight="1">
      <x:c r="A59" s="2" t="str">
        <x:v>E132</x:v>
      </x:c>
      <x:c r="B59" s="2" t="str">
        <x:v>无信贷记录</x:v>
      </x:c>
      <x:c r="C59" s="2" t="str">
        <x:v>进项_有效票数</x:v>
      </x:c>
      <x:c r="D59" s="2" t="n">
        <x:v>5050</x:v>
      </x:c>
      <x:c r="E59" s="2" t="n">
        <x:v>-1900</x:v>
      </x:c>
      <x:c r="F59" s="2" t="n">
        <x:v>3476</x:v>
      </x:c>
      <x:c r="G59" s="2" t="str">
        <x:v>原始表保留；建模表缩尾</x:v>
      </x:c>
    </x:row>
    <x:row r="60" ht="15" hidden="0" customHeight="1">
      <x:c r="A60" s="2" t="str">
        <x:v>E143</x:v>
      </x:c>
      <x:c r="B60" s="2" t="str">
        <x:v>无信贷记录</x:v>
      </x:c>
      <x:c r="C60" s="2" t="str">
        <x:v>进项_有效票数</x:v>
      </x:c>
      <x:c r="D60" s="2" t="n">
        <x:v>3579</x:v>
      </x:c>
      <x:c r="E60" s="2" t="n">
        <x:v>-1900</x:v>
      </x:c>
      <x:c r="F60" s="2" t="n">
        <x:v>3476</x:v>
      </x:c>
      <x:c r="G60" s="2" t="str">
        <x:v>原始表保留；建模表缩尾</x:v>
      </x:c>
    </x:row>
    <x:row r="61" ht="15" hidden="0" customHeight="1">
      <x:c r="A61" s="2" t="str">
        <x:v>E147</x:v>
      </x:c>
      <x:c r="B61" s="2" t="str">
        <x:v>无信贷记录</x:v>
      </x:c>
      <x:c r="C61" s="2" t="str">
        <x:v>进项_有效票数</x:v>
      </x:c>
      <x:c r="D61" s="2" t="n">
        <x:v>5603</x:v>
      </x:c>
      <x:c r="E61" s="2" t="n">
        <x:v>-1900</x:v>
      </x:c>
      <x:c r="F61" s="2" t="n">
        <x:v>3476</x:v>
      </x:c>
      <x:c r="G61" s="2" t="str">
        <x:v>原始表保留；建模表缩尾</x:v>
      </x:c>
    </x:row>
    <x:row r="62" ht="15" hidden="0" customHeight="1">
      <x:c r="A62" s="2" t="str">
        <x:v>E159</x:v>
      </x:c>
      <x:c r="B62" s="2" t="str">
        <x:v>无信贷记录</x:v>
      </x:c>
      <x:c r="C62" s="2" t="str">
        <x:v>进项_有效票数</x:v>
      </x:c>
      <x:c r="D62" s="2" t="n">
        <x:v>4472</x:v>
      </x:c>
      <x:c r="E62" s="2" t="n">
        <x:v>-1900</x:v>
      </x:c>
      <x:c r="F62" s="2" t="n">
        <x:v>3476</x:v>
      </x:c>
      <x:c r="G62" s="2" t="str">
        <x:v>原始表保留；建模表缩尾</x:v>
      </x:c>
    </x:row>
    <x:row r="63" ht="15" hidden="0" customHeight="1">
      <x:c r="A63" s="2" t="str">
        <x:v>E162</x:v>
      </x:c>
      <x:c r="B63" s="2" t="str">
        <x:v>无信贷记录</x:v>
      </x:c>
      <x:c r="C63" s="2" t="str">
        <x:v>进项_有效票数</x:v>
      </x:c>
      <x:c r="D63" s="2" t="n">
        <x:v>9820</x:v>
      </x:c>
      <x:c r="E63" s="2" t="n">
        <x:v>-1900</x:v>
      </x:c>
      <x:c r="F63" s="2" t="n">
        <x:v>3476</x:v>
      </x:c>
      <x:c r="G63" s="2" t="str">
        <x:v>原始表保留；建模表缩尾</x:v>
      </x:c>
    </x:row>
    <x:row r="64" ht="15" hidden="0" customHeight="1">
      <x:c r="A64" s="2" t="str">
        <x:v>E164</x:v>
      </x:c>
      <x:c r="B64" s="2" t="str">
        <x:v>无信贷记录</x:v>
      </x:c>
      <x:c r="C64" s="2" t="str">
        <x:v>进项_有效票数</x:v>
      </x:c>
      <x:c r="D64" s="2" t="n">
        <x:v>4099</x:v>
      </x:c>
      <x:c r="E64" s="2" t="n">
        <x:v>-1900</x:v>
      </x:c>
      <x:c r="F64" s="2" t="n">
        <x:v>3476</x:v>
      </x:c>
      <x:c r="G64" s="2" t="str">
        <x:v>原始表保留；建模表缩尾</x:v>
      </x:c>
    </x:row>
    <x:row r="65" ht="15" hidden="0" customHeight="1">
      <x:c r="A65" s="2" t="str">
        <x:v>E165</x:v>
      </x:c>
      <x:c r="B65" s="2" t="str">
        <x:v>无信贷记录</x:v>
      </x:c>
      <x:c r="C65" s="2" t="str">
        <x:v>进项_有效票数</x:v>
      </x:c>
      <x:c r="D65" s="2" t="n">
        <x:v>4147</x:v>
      </x:c>
      <x:c r="E65" s="2" t="n">
        <x:v>-1900</x:v>
      </x:c>
      <x:c r="F65" s="2" t="n">
        <x:v>3476</x:v>
      </x:c>
      <x:c r="G65" s="2" t="str">
        <x:v>原始表保留；建模表缩尾</x:v>
      </x:c>
    </x:row>
    <x:row r="66" ht="15" hidden="0" customHeight="1">
      <x:c r="A66" s="2" t="str">
        <x:v>E167</x:v>
      </x:c>
      <x:c r="B66" s="2" t="str">
        <x:v>无信贷记录</x:v>
      </x:c>
      <x:c r="C66" s="2" t="str">
        <x:v>进项_有效票数</x:v>
      </x:c>
      <x:c r="D66" s="2" t="n">
        <x:v>7071</x:v>
      </x:c>
      <x:c r="E66" s="2" t="n">
        <x:v>-1900</x:v>
      </x:c>
      <x:c r="F66" s="2" t="n">
        <x:v>3476</x:v>
      </x:c>
      <x:c r="G66" s="2" t="str">
        <x:v>原始表保留；建模表缩尾</x:v>
      </x:c>
    </x:row>
    <x:row r="67" ht="15" hidden="0" customHeight="1">
      <x:c r="A67" s="2" t="str">
        <x:v>E169</x:v>
      </x:c>
      <x:c r="B67" s="2" t="str">
        <x:v>无信贷记录</x:v>
      </x:c>
      <x:c r="C67" s="2" t="str">
        <x:v>进项_有效票数</x:v>
      </x:c>
      <x:c r="D67" s="2" t="n">
        <x:v>5811</x:v>
      </x:c>
      <x:c r="E67" s="2" t="n">
        <x:v>-1900</x:v>
      </x:c>
      <x:c r="F67" s="2" t="n">
        <x:v>3476</x:v>
      </x:c>
      <x:c r="G67" s="2" t="str">
        <x:v>原始表保留；建模表缩尾</x:v>
      </x:c>
    </x:row>
    <x:row r="68" ht="15" hidden="0" customHeight="1">
      <x:c r="A68" s="2" t="str">
        <x:v>E175</x:v>
      </x:c>
      <x:c r="B68" s="2" t="str">
        <x:v>无信贷记录</x:v>
      </x:c>
      <x:c r="C68" s="2" t="str">
        <x:v>进项_有效票数</x:v>
      </x:c>
      <x:c r="D68" s="2" t="n">
        <x:v>3930</x:v>
      </x:c>
      <x:c r="E68" s="2" t="n">
        <x:v>-1900</x:v>
      </x:c>
      <x:c r="F68" s="2" t="n">
        <x:v>3476</x:v>
      </x:c>
      <x:c r="G68" s="2" t="str">
        <x:v>原始表保留；建模表缩尾</x:v>
      </x:c>
    </x:row>
    <x:row r="69" ht="15" hidden="0" customHeight="1">
      <x:c r="A69" s="2" t="str">
        <x:v>E180</x:v>
      </x:c>
      <x:c r="B69" s="2" t="str">
        <x:v>无信贷记录</x:v>
      </x:c>
      <x:c r="C69" s="2" t="str">
        <x:v>进项_有效票数</x:v>
      </x:c>
      <x:c r="D69" s="2" t="n">
        <x:v>3545</x:v>
      </x:c>
      <x:c r="E69" s="2" t="n">
        <x:v>-1900</x:v>
      </x:c>
      <x:c r="F69" s="2" t="n">
        <x:v>3476</x:v>
      </x:c>
      <x:c r="G69" s="2" t="str">
        <x:v>原始表保留；建模表缩尾</x:v>
      </x:c>
    </x:row>
    <x:row r="70" ht="15" hidden="0" customHeight="1">
      <x:c r="A70" s="2" t="str">
        <x:v>E187</x:v>
      </x:c>
      <x:c r="B70" s="2" t="str">
        <x:v>无信贷记录</x:v>
      </x:c>
      <x:c r="C70" s="2" t="str">
        <x:v>进项_有效票数</x:v>
      </x:c>
      <x:c r="D70" s="2" t="n">
        <x:v>3694</x:v>
      </x:c>
      <x:c r="E70" s="2" t="n">
        <x:v>-1900</x:v>
      </x:c>
      <x:c r="F70" s="2" t="n">
        <x:v>3476</x:v>
      </x:c>
      <x:c r="G70" s="2" t="str">
        <x:v>原始表保留；建模表缩尾</x:v>
      </x:c>
    </x:row>
    <x:row r="71" ht="15" hidden="0" customHeight="1">
      <x:c r="A71" s="2" t="str">
        <x:v>E194</x:v>
      </x:c>
      <x:c r="B71" s="2" t="str">
        <x:v>无信贷记录</x:v>
      </x:c>
      <x:c r="C71" s="2" t="str">
        <x:v>进项_有效票数</x:v>
      </x:c>
      <x:c r="D71" s="2" t="n">
        <x:v>4757</x:v>
      </x:c>
      <x:c r="E71" s="2" t="n">
        <x:v>-1900</x:v>
      </x:c>
      <x:c r="F71" s="2" t="n">
        <x:v>3476</x:v>
      </x:c>
      <x:c r="G71" s="2" t="str">
        <x:v>原始表保留；建模表缩尾</x:v>
      </x:c>
    </x:row>
    <x:row r="72" ht="15" hidden="0" customHeight="1">
      <x:c r="A72" s="2" t="str">
        <x:v>E197</x:v>
      </x:c>
      <x:c r="B72" s="2" t="str">
        <x:v>无信贷记录</x:v>
      </x:c>
      <x:c r="C72" s="2" t="str">
        <x:v>进项_有效票数</x:v>
      </x:c>
      <x:c r="D72" s="2" t="n">
        <x:v>3649</x:v>
      </x:c>
      <x:c r="E72" s="2" t="n">
        <x:v>-1900</x:v>
      </x:c>
      <x:c r="F72" s="2" t="n">
        <x:v>3476</x:v>
      </x:c>
      <x:c r="G72" s="2" t="str">
        <x:v>原始表保留；建模表缩尾</x:v>
      </x:c>
    </x:row>
    <x:row r="73" ht="15" hidden="0" customHeight="1">
      <x:c r="A73" s="2" t="str">
        <x:v>E204</x:v>
      </x:c>
      <x:c r="B73" s="2" t="str">
        <x:v>无信贷记录</x:v>
      </x:c>
      <x:c r="C73" s="2" t="str">
        <x:v>进项_有效票数</x:v>
      </x:c>
      <x:c r="D73" s="2" t="n">
        <x:v>5029</x:v>
      </x:c>
      <x:c r="E73" s="2" t="n">
        <x:v>-1900</x:v>
      </x:c>
      <x:c r="F73" s="2" t="n">
        <x:v>3476</x:v>
      </x:c>
      <x:c r="G73" s="2" t="str">
        <x:v>原始表保留；建模表缩尾</x:v>
      </x:c>
    </x:row>
    <x:row r="74" ht="15" hidden="0" customHeight="1">
      <x:c r="A74" s="2" t="str">
        <x:v>E206</x:v>
      </x:c>
      <x:c r="B74" s="2" t="str">
        <x:v>无信贷记录</x:v>
      </x:c>
      <x:c r="C74" s="2" t="str">
        <x:v>进项_有效票数</x:v>
      </x:c>
      <x:c r="D74" s="2" t="n">
        <x:v>3557</x:v>
      </x:c>
      <x:c r="E74" s="2" t="n">
        <x:v>-1900</x:v>
      </x:c>
      <x:c r="F74" s="2" t="n">
        <x:v>3476</x:v>
      </x:c>
      <x:c r="G74" s="2" t="str">
        <x:v>原始表保留；建模表缩尾</x:v>
      </x:c>
    </x:row>
    <x:row r="75" ht="15" hidden="0" customHeight="1">
      <x:c r="A75" s="2" t="str">
        <x:v>E209</x:v>
      </x:c>
      <x:c r="B75" s="2" t="str">
        <x:v>无信贷记录</x:v>
      </x:c>
      <x:c r="C75" s="2" t="str">
        <x:v>进项_有效票数</x:v>
      </x:c>
      <x:c r="D75" s="2" t="n">
        <x:v>8128</x:v>
      </x:c>
      <x:c r="E75" s="2" t="n">
        <x:v>-1900</x:v>
      </x:c>
      <x:c r="F75" s="2" t="n">
        <x:v>3476</x:v>
      </x:c>
      <x:c r="G75" s="2" t="str">
        <x:v>原始表保留；建模表缩尾</x:v>
      </x:c>
    </x:row>
    <x:row r="76" ht="15" hidden="0" customHeight="1">
      <x:c r="A76" s="2" t="str">
        <x:v>E219</x:v>
      </x:c>
      <x:c r="B76" s="2" t="str">
        <x:v>无信贷记录</x:v>
      </x:c>
      <x:c r="C76" s="2" t="str">
        <x:v>进项_有效票数</x:v>
      </x:c>
      <x:c r="D76" s="2" t="n">
        <x:v>4299</x:v>
      </x:c>
      <x:c r="E76" s="2" t="n">
        <x:v>-1900</x:v>
      </x:c>
      <x:c r="F76" s="2" t="n">
        <x:v>3476</x:v>
      </x:c>
      <x:c r="G76" s="2" t="str">
        <x:v>原始表保留；建模表缩尾</x:v>
      </x:c>
    </x:row>
    <x:row r="77" ht="15" hidden="0" customHeight="1">
      <x:c r="A77" s="2" t="str">
        <x:v>E220</x:v>
      </x:c>
      <x:c r="B77" s="2" t="str">
        <x:v>无信贷记录</x:v>
      </x:c>
      <x:c r="C77" s="2" t="str">
        <x:v>进项_有效票数</x:v>
      </x:c>
      <x:c r="D77" s="2" t="n">
        <x:v>5708</x:v>
      </x:c>
      <x:c r="E77" s="2" t="n">
        <x:v>-1900</x:v>
      </x:c>
      <x:c r="F77" s="2" t="n">
        <x:v>3476</x:v>
      </x:c>
      <x:c r="G77" s="2" t="str">
        <x:v>原始表保留；建模表缩尾</x:v>
      </x:c>
    </x:row>
    <x:row r="78" ht="15" hidden="0" customHeight="1">
      <x:c r="A78" s="2" t="str">
        <x:v>E221</x:v>
      </x:c>
      <x:c r="B78" s="2" t="str">
        <x:v>无信贷记录</x:v>
      </x:c>
      <x:c r="C78" s="2" t="str">
        <x:v>进项_有效票数</x:v>
      </x:c>
      <x:c r="D78" s="2" t="n">
        <x:v>4429</x:v>
      </x:c>
      <x:c r="E78" s="2" t="n">
        <x:v>-1900</x:v>
      </x:c>
      <x:c r="F78" s="2" t="n">
        <x:v>3476</x:v>
      </x:c>
      <x:c r="G78" s="2" t="str">
        <x:v>原始表保留；建模表缩尾</x:v>
      </x:c>
    </x:row>
    <x:row r="79" ht="15" hidden="0" customHeight="1">
      <x:c r="A79" s="2" t="str">
        <x:v>E222</x:v>
      </x:c>
      <x:c r="B79" s="2" t="str">
        <x:v>无信贷记录</x:v>
      </x:c>
      <x:c r="C79" s="2" t="str">
        <x:v>进项_有效票数</x:v>
      </x:c>
      <x:c r="D79" s="2" t="n">
        <x:v>4325</x:v>
      </x:c>
      <x:c r="E79" s="2" t="n">
        <x:v>-1900</x:v>
      </x:c>
      <x:c r="F79" s="2" t="n">
        <x:v>3476</x:v>
      </x:c>
      <x:c r="G79" s="2" t="str">
        <x:v>原始表保留；建模表缩尾</x:v>
      </x:c>
    </x:row>
    <x:row r="80" ht="15" hidden="0" customHeight="1">
      <x:c r="A80" s="2" t="str">
        <x:v>E225</x:v>
      </x:c>
      <x:c r="B80" s="2" t="str">
        <x:v>无信贷记录</x:v>
      </x:c>
      <x:c r="C80" s="2" t="str">
        <x:v>进项_有效票数</x:v>
      </x:c>
      <x:c r="D80" s="2" t="n">
        <x:v>4173</x:v>
      </x:c>
      <x:c r="E80" s="2" t="n">
        <x:v>-1900</x:v>
      </x:c>
      <x:c r="F80" s="2" t="n">
        <x:v>3476</x:v>
      </x:c>
      <x:c r="G80" s="2" t="str">
        <x:v>原始表保留；建模表缩尾</x:v>
      </x:c>
    </x:row>
    <x:row r="81" ht="15" hidden="0" customHeight="1">
      <x:c r="A81" s="2" t="str">
        <x:v>E238</x:v>
      </x:c>
      <x:c r="B81" s="2" t="str">
        <x:v>无信贷记录</x:v>
      </x:c>
      <x:c r="C81" s="2" t="str">
        <x:v>进项_有效票数</x:v>
      </x:c>
      <x:c r="D81" s="2" t="n">
        <x:v>3808</x:v>
      </x:c>
      <x:c r="E81" s="2" t="n">
        <x:v>-1900</x:v>
      </x:c>
      <x:c r="F81" s="2" t="n">
        <x:v>3476</x:v>
      </x:c>
      <x:c r="G81" s="2" t="str">
        <x:v>原始表保留；建模表缩尾</x:v>
      </x:c>
    </x:row>
    <x:row r="82" ht="15" hidden="0" customHeight="1">
      <x:c r="A82" s="2" t="str">
        <x:v>E312</x:v>
      </x:c>
      <x:c r="B82" s="2" t="str">
        <x:v>无信贷记录</x:v>
      </x:c>
      <x:c r="C82" s="2" t="str">
        <x:v>进项_有效票数</x:v>
      </x:c>
      <x:c r="D82" s="2" t="n">
        <x:v>4433</x:v>
      </x:c>
      <x:c r="E82" s="2" t="n">
        <x:v>-1900</x:v>
      </x:c>
      <x:c r="F82" s="2" t="n">
        <x:v>3476</x:v>
      </x:c>
      <x:c r="G82" s="2" t="str">
        <x:v>原始表保留；建模表缩尾</x:v>
      </x:c>
    </x:row>
    <x:row r="83" ht="15" hidden="0" customHeight="1">
      <x:c r="A83" s="2" t="str">
        <x:v>E1</x:v>
      </x:c>
      <x:c r="B83" s="2" t="str">
        <x:v>有信贷记录</x:v>
      </x:c>
      <x:c r="C83" s="2" t="str">
        <x:v>进项_作废票数</x:v>
      </x:c>
      <x:c r="D83" s="2" t="n">
        <x:v>192</x:v>
      </x:c>
      <x:c r="E83" s="2" t="n">
        <x:v>-73</x:v>
      </x:c>
      <x:c r="F83" s="2" t="n">
        <x:v>127</x:v>
      </x:c>
      <x:c r="G83" s="2" t="str">
        <x:v>原始表保留；建模表缩尾</x:v>
      </x:c>
    </x:row>
    <x:row r="84" ht="15" hidden="0" customHeight="1">
      <x:c r="A84" s="2" t="str">
        <x:v>E2</x:v>
      </x:c>
      <x:c r="B84" s="2" t="str">
        <x:v>有信贷记录</x:v>
      </x:c>
      <x:c r="C84" s="2" t="str">
        <x:v>进项_作废票数</x:v>
      </x:c>
      <x:c r="D84" s="2" t="n">
        <x:v>721</x:v>
      </x:c>
      <x:c r="E84" s="2" t="n">
        <x:v>-73</x:v>
      </x:c>
      <x:c r="F84" s="2" t="n">
        <x:v>127</x:v>
      </x:c>
      <x:c r="G84" s="2" t="str">
        <x:v>原始表保留；建模表缩尾</x:v>
      </x:c>
    </x:row>
    <x:row r="85" ht="15" hidden="0" customHeight="1">
      <x:c r="A85" s="2" t="str">
        <x:v>E3</x:v>
      </x:c>
      <x:c r="B85" s="2" t="str">
        <x:v>有信贷记录</x:v>
      </x:c>
      <x:c r="C85" s="2" t="str">
        <x:v>进项_作废票数</x:v>
      </x:c>
      <x:c r="D85" s="2" t="n">
        <x:v>194</x:v>
      </x:c>
      <x:c r="E85" s="2" t="n">
        <x:v>-73</x:v>
      </x:c>
      <x:c r="F85" s="2" t="n">
        <x:v>127</x:v>
      </x:c>
      <x:c r="G85" s="2" t="str">
        <x:v>原始表保留；建模表缩尾</x:v>
      </x:c>
    </x:row>
    <x:row r="86" ht="15" hidden="0" customHeight="1">
      <x:c r="A86" s="2" t="str">
        <x:v>E6</x:v>
      </x:c>
      <x:c r="B86" s="2" t="str">
        <x:v>有信贷记录</x:v>
      </x:c>
      <x:c r="C86" s="2" t="str">
        <x:v>进项_作废票数</x:v>
      </x:c>
      <x:c r="D86" s="2" t="n">
        <x:v>523</x:v>
      </x:c>
      <x:c r="E86" s="2" t="n">
        <x:v>-73</x:v>
      </x:c>
      <x:c r="F86" s="2" t="n">
        <x:v>127</x:v>
      </x:c>
      <x:c r="G86" s="2" t="str">
        <x:v>原始表保留；建模表缩尾</x:v>
      </x:c>
    </x:row>
    <x:row r="87" ht="15" hidden="0" customHeight="1">
      <x:c r="A87" s="2" t="str">
        <x:v>E7</x:v>
      </x:c>
      <x:c r="B87" s="2" t="str">
        <x:v>有信贷记录</x:v>
      </x:c>
      <x:c r="C87" s="2" t="str">
        <x:v>进项_作废票数</x:v>
      </x:c>
      <x:c r="D87" s="2" t="n">
        <x:v>454</x:v>
      </x:c>
      <x:c r="E87" s="2" t="n">
        <x:v>-73</x:v>
      </x:c>
      <x:c r="F87" s="2" t="n">
        <x:v>127</x:v>
      </x:c>
      <x:c r="G87" s="2" t="str">
        <x:v>原始表保留；建模表缩尾</x:v>
      </x:c>
    </x:row>
    <x:row r="88" ht="15" hidden="0" customHeight="1">
      <x:c r="A88" s="2" t="str">
        <x:v>E8</x:v>
      </x:c>
      <x:c r="B88" s="2" t="str">
        <x:v>有信贷记录</x:v>
      </x:c>
      <x:c r="C88" s="2" t="str">
        <x:v>进项_作废票数</x:v>
      </x:c>
      <x:c r="D88" s="2" t="n">
        <x:v>759</x:v>
      </x:c>
      <x:c r="E88" s="2" t="n">
        <x:v>-73</x:v>
      </x:c>
      <x:c r="F88" s="2" t="n">
        <x:v>127</x:v>
      </x:c>
      <x:c r="G88" s="2" t="str">
        <x:v>原始表保留；建模表缩尾</x:v>
      </x:c>
    </x:row>
    <x:row r="89" ht="15" hidden="0" customHeight="1">
      <x:c r="A89" s="2" t="str">
        <x:v>E10</x:v>
      </x:c>
      <x:c r="B89" s="2" t="str">
        <x:v>有信贷记录</x:v>
      </x:c>
      <x:c r="C89" s="2" t="str">
        <x:v>进项_作废票数</x:v>
      </x:c>
      <x:c r="D89" s="2" t="n">
        <x:v>237</x:v>
      </x:c>
      <x:c r="E89" s="2" t="n">
        <x:v>-73</x:v>
      </x:c>
      <x:c r="F89" s="2" t="n">
        <x:v>127</x:v>
      </x:c>
      <x:c r="G89" s="2" t="str">
        <x:v>原始表保留；建模表缩尾</x:v>
      </x:c>
    </x:row>
    <x:row r="90" ht="15" hidden="0" customHeight="1">
      <x:c r="A90" s="2" t="str">
        <x:v>E13</x:v>
      </x:c>
      <x:c r="B90" s="2" t="str">
        <x:v>有信贷记录</x:v>
      </x:c>
      <x:c r="C90" s="2" t="str">
        <x:v>进项_作废票数</x:v>
      </x:c>
      <x:c r="D90" s="2" t="n">
        <x:v>214</x:v>
      </x:c>
      <x:c r="E90" s="2" t="n">
        <x:v>-73</x:v>
      </x:c>
      <x:c r="F90" s="2" t="n">
        <x:v>127</x:v>
      </x:c>
      <x:c r="G90" s="2" t="str">
        <x:v>原始表保留；建模表缩尾</x:v>
      </x:c>
    </x:row>
    <x:row r="91" ht="15" hidden="0" customHeight="1">
      <x:c r="A91" s="2" t="str">
        <x:v>E14</x:v>
      </x:c>
      <x:c r="B91" s="2" t="str">
        <x:v>有信贷记录</x:v>
      </x:c>
      <x:c r="C91" s="2" t="str">
        <x:v>进项_作废票数</x:v>
      </x:c>
      <x:c r="D91" s="2" t="n">
        <x:v>550</x:v>
      </x:c>
      <x:c r="E91" s="2" t="n">
        <x:v>-73</x:v>
      </x:c>
      <x:c r="F91" s="2" t="n">
        <x:v>127</x:v>
      </x:c>
      <x:c r="G91" s="2" t="str">
        <x:v>原始表保留；建模表缩尾</x:v>
      </x:c>
    </x:row>
    <x:row r="92" ht="15" hidden="0" customHeight="1">
      <x:c r="A92" s="2" t="str">
        <x:v>E17</x:v>
      </x:c>
      <x:c r="B92" s="2" t="str">
        <x:v>有信贷记录</x:v>
      </x:c>
      <x:c r="C92" s="2" t="str">
        <x:v>进项_作废票数</x:v>
      </x:c>
      <x:c r="D92" s="2" t="n">
        <x:v>425</x:v>
      </x:c>
      <x:c r="E92" s="2" t="n">
        <x:v>-73</x:v>
      </x:c>
      <x:c r="F92" s="2" t="n">
        <x:v>127</x:v>
      </x:c>
      <x:c r="G92" s="2" t="str">
        <x:v>原始表保留；建模表缩尾</x:v>
      </x:c>
    </x:row>
    <x:row r="93" ht="15" hidden="0" customHeight="1">
      <x:c r="A93" s="2" t="str">
        <x:v>E18</x:v>
      </x:c>
      <x:c r="B93" s="2" t="str">
        <x:v>有信贷记录</x:v>
      </x:c>
      <x:c r="C93" s="2" t="str">
        <x:v>进项_作废票数</x:v>
      </x:c>
      <x:c r="D93" s="2" t="n">
        <x:v>310</x:v>
      </x:c>
      <x:c r="E93" s="2" t="n">
        <x:v>-73</x:v>
      </x:c>
      <x:c r="F93" s="2" t="n">
        <x:v>127</x:v>
      </x:c>
      <x:c r="G93" s="2" t="str">
        <x:v>原始表保留；建模表缩尾</x:v>
      </x:c>
    </x:row>
    <x:row r="94" ht="15" hidden="0" customHeight="1">
      <x:c r="A94" s="2" t="str">
        <x:v>E21</x:v>
      </x:c>
      <x:c r="B94" s="2" t="str">
        <x:v>有信贷记录</x:v>
      </x:c>
      <x:c r="C94" s="2" t="str">
        <x:v>进项_作废票数</x:v>
      </x:c>
      <x:c r="D94" s="2" t="n">
        <x:v>166</x:v>
      </x:c>
      <x:c r="E94" s="2" t="n">
        <x:v>-73</x:v>
      </x:c>
      <x:c r="F94" s="2" t="n">
        <x:v>127</x:v>
      </x:c>
      <x:c r="G94" s="2" t="str">
        <x:v>原始表保留；建模表缩尾</x:v>
      </x:c>
    </x:row>
    <x:row r="95" ht="15" hidden="0" customHeight="1">
      <x:c r="A95" s="2" t="str">
        <x:v>E23</x:v>
      </x:c>
      <x:c r="B95" s="2" t="str">
        <x:v>有信贷记录</x:v>
      </x:c>
      <x:c r="C95" s="2" t="str">
        <x:v>进项_作废票数</x:v>
      </x:c>
      <x:c r="D95" s="2" t="n">
        <x:v>149</x:v>
      </x:c>
      <x:c r="E95" s="2" t="n">
        <x:v>-73</x:v>
      </x:c>
      <x:c r="F95" s="2" t="n">
        <x:v>127</x:v>
      </x:c>
      <x:c r="G95" s="2" t="str">
        <x:v>原始表保留；建模表缩尾</x:v>
      </x:c>
    </x:row>
    <x:row r="96" ht="15" hidden="0" customHeight="1">
      <x:c r="A96" s="2" t="str">
        <x:v>E33</x:v>
      </x:c>
      <x:c r="B96" s="2" t="str">
        <x:v>有信贷记录</x:v>
      </x:c>
      <x:c r="C96" s="2" t="str">
        <x:v>进项_作废票数</x:v>
      </x:c>
      <x:c r="D96" s="2" t="n">
        <x:v>160</x:v>
      </x:c>
      <x:c r="E96" s="2" t="n">
        <x:v>-73</x:v>
      </x:c>
      <x:c r="F96" s="2" t="n">
        <x:v>127</x:v>
      </x:c>
      <x:c r="G96" s="2" t="str">
        <x:v>原始表保留；建模表缩尾</x:v>
      </x:c>
    </x:row>
    <x:row r="97" ht="15" hidden="0" customHeight="1">
      <x:c r="A97" s="2" t="str">
        <x:v>E34</x:v>
      </x:c>
      <x:c r="B97" s="2" t="str">
        <x:v>有信贷记录</x:v>
      </x:c>
      <x:c r="C97" s="2" t="str">
        <x:v>进项_作废票数</x:v>
      </x:c>
      <x:c r="D97" s="2" t="n">
        <x:v>238</x:v>
      </x:c>
      <x:c r="E97" s="2" t="n">
        <x:v>-73</x:v>
      </x:c>
      <x:c r="F97" s="2" t="n">
        <x:v>127</x:v>
      </x:c>
      <x:c r="G97" s="2" t="str">
        <x:v>原始表保留；建模表缩尾</x:v>
      </x:c>
    </x:row>
    <x:row r="98" ht="15" hidden="0" customHeight="1">
      <x:c r="A98" s="2" t="str">
        <x:v>E83</x:v>
      </x:c>
      <x:c r="B98" s="2" t="str">
        <x:v>有信贷记录</x:v>
      </x:c>
      <x:c r="C98" s="2" t="str">
        <x:v>进项_作废票数</x:v>
      </x:c>
      <x:c r="D98" s="2" t="n">
        <x:v>191</x:v>
      </x:c>
      <x:c r="E98" s="2" t="n">
        <x:v>-73</x:v>
      </x:c>
      <x:c r="F98" s="2" t="n">
        <x:v>127</x:v>
      </x:c>
      <x:c r="G98" s="2" t="str">
        <x:v>原始表保留；建模表缩尾</x:v>
      </x:c>
    </x:row>
    <x:row r="99" ht="15" hidden="0" customHeight="1">
      <x:c r="A99" s="2" t="str">
        <x:v>E124</x:v>
      </x:c>
      <x:c r="B99" s="2" t="str">
        <x:v>无信贷记录</x:v>
      </x:c>
      <x:c r="C99" s="2" t="str">
        <x:v>进项_作废票数</x:v>
      </x:c>
      <x:c r="D99" s="2" t="n">
        <x:v>2147</x:v>
      </x:c>
      <x:c r="E99" s="2" t="n">
        <x:v>-73</x:v>
      </x:c>
      <x:c r="F99" s="2" t="n">
        <x:v>127</x:v>
      </x:c>
      <x:c r="G99" s="2" t="str">
        <x:v>原始表保留；建模表缩尾</x:v>
      </x:c>
    </x:row>
    <x:row r="100" ht="15" hidden="0" customHeight="1">
      <x:c r="A100" s="2" t="str">
        <x:v>E125</x:v>
      </x:c>
      <x:c r="B100" s="2" t="str">
        <x:v>无信贷记录</x:v>
      </x:c>
      <x:c r="C100" s="2" t="str">
        <x:v>进项_作废票数</x:v>
      </x:c>
      <x:c r="D100" s="2" t="n">
        <x:v>2512</x:v>
      </x:c>
      <x:c r="E100" s="2" t="n">
        <x:v>-73</x:v>
      </x:c>
      <x:c r="F100" s="2" t="n">
        <x:v>127</x:v>
      </x:c>
      <x:c r="G100" s="2" t="str">
        <x:v>原始表保留；建模表缩尾</x:v>
      </x:c>
    </x:row>
    <x:row r="101" ht="15" hidden="0" customHeight="1">
      <x:c r="A101" s="2" t="str">
        <x:v>E129</x:v>
      </x:c>
      <x:c r="B101" s="2" t="str">
        <x:v>无信贷记录</x:v>
      </x:c>
      <x:c r="C101" s="2" t="str">
        <x:v>进项_作废票数</x:v>
      </x:c>
      <x:c r="D101" s="2" t="n">
        <x:v>398</x:v>
      </x:c>
      <x:c r="E101" s="2" t="n">
        <x:v>-73</x:v>
      </x:c>
      <x:c r="F101" s="2" t="n">
        <x:v>127</x:v>
      </x:c>
      <x:c r="G101" s="2" t="str">
        <x:v>原始表保留；建模表缩尾</x:v>
      </x:c>
    </x:row>
    <x:row r="102" ht="15" hidden="0" customHeight="1">
      <x:c r="A102" s="2" t="str">
        <x:v>E130</x:v>
      </x:c>
      <x:c r="B102" s="2" t="str">
        <x:v>无信贷记录</x:v>
      </x:c>
      <x:c r="C102" s="2" t="str">
        <x:v>进项_作废票数</x:v>
      </x:c>
      <x:c r="D102" s="2" t="n">
        <x:v>128</x:v>
      </x:c>
      <x:c r="E102" s="2" t="n">
        <x:v>-73</x:v>
      </x:c>
      <x:c r="F102" s="2" t="n">
        <x:v>127</x:v>
      </x:c>
      <x:c r="G102" s="2" t="str">
        <x:v>原始表保留；建模表缩尾</x:v>
      </x:c>
    </x:row>
    <x:row r="103" ht="15" hidden="0" customHeight="1">
      <x:c r="A103" s="2" t="str">
        <x:v>E131</x:v>
      </x:c>
      <x:c r="B103" s="2" t="str">
        <x:v>无信贷记录</x:v>
      </x:c>
      <x:c r="C103" s="2" t="str">
        <x:v>进项_作废票数</x:v>
      </x:c>
      <x:c r="D103" s="2" t="n">
        <x:v>550</x:v>
      </x:c>
      <x:c r="E103" s="2" t="n">
        <x:v>-73</x:v>
      </x:c>
      <x:c r="F103" s="2" t="n">
        <x:v>127</x:v>
      </x:c>
      <x:c r="G103" s="2" t="str">
        <x:v>原始表保留；建模表缩尾</x:v>
      </x:c>
    </x:row>
    <x:row r="104" ht="15" hidden="0" customHeight="1">
      <x:c r="A104" s="2" t="str">
        <x:v>E137</x:v>
      </x:c>
      <x:c r="B104" s="2" t="str">
        <x:v>无信贷记录</x:v>
      </x:c>
      <x:c r="C104" s="2" t="str">
        <x:v>进项_作废票数</x:v>
      </x:c>
      <x:c r="D104" s="2" t="n">
        <x:v>140</x:v>
      </x:c>
      <x:c r="E104" s="2" t="n">
        <x:v>-73</x:v>
      </x:c>
      <x:c r="F104" s="2" t="n">
        <x:v>127</x:v>
      </x:c>
      <x:c r="G104" s="2" t="str">
        <x:v>原始表保留；建模表缩尾</x:v>
      </x:c>
    </x:row>
    <x:row r="105" ht="15" hidden="0" customHeight="1">
      <x:c r="A105" s="2" t="str">
        <x:v>E143</x:v>
      </x:c>
      <x:c r="B105" s="2" t="str">
        <x:v>无信贷记录</x:v>
      </x:c>
      <x:c r="C105" s="2" t="str">
        <x:v>进项_作废票数</x:v>
      </x:c>
      <x:c r="D105" s="2" t="n">
        <x:v>135</x:v>
      </x:c>
      <x:c r="E105" s="2" t="n">
        <x:v>-73</x:v>
      </x:c>
      <x:c r="F105" s="2" t="n">
        <x:v>127</x:v>
      </x:c>
      <x:c r="G105" s="2" t="str">
        <x:v>原始表保留；建模表缩尾</x:v>
      </x:c>
    </x:row>
    <x:row r="106" ht="15" hidden="0" customHeight="1">
      <x:c r="A106" s="2" t="str">
        <x:v>E147</x:v>
      </x:c>
      <x:c r="B106" s="2" t="str">
        <x:v>无信贷记录</x:v>
      </x:c>
      <x:c r="C106" s="2" t="str">
        <x:v>进项_作废票数</x:v>
      </x:c>
      <x:c r="D106" s="2" t="n">
        <x:v>388</x:v>
      </x:c>
      <x:c r="E106" s="2" t="n">
        <x:v>-73</x:v>
      </x:c>
      <x:c r="F106" s="2" t="n">
        <x:v>127</x:v>
      </x:c>
      <x:c r="G106" s="2" t="str">
        <x:v>原始表保留；建模表缩尾</x:v>
      </x:c>
    </x:row>
    <x:row r="107" ht="15" hidden="0" customHeight="1">
      <x:c r="A107" s="2" t="str">
        <x:v>E159</x:v>
      </x:c>
      <x:c r="B107" s="2" t="str">
        <x:v>无信贷记录</x:v>
      </x:c>
      <x:c r="C107" s="2" t="str">
        <x:v>进项_作废票数</x:v>
      </x:c>
      <x:c r="D107" s="2" t="n">
        <x:v>212</x:v>
      </x:c>
      <x:c r="E107" s="2" t="n">
        <x:v>-73</x:v>
      </x:c>
      <x:c r="F107" s="2" t="n">
        <x:v>127</x:v>
      </x:c>
      <x:c r="G107" s="2" t="str">
        <x:v>原始表保留；建模表缩尾</x:v>
      </x:c>
    </x:row>
    <x:row r="108" ht="15" hidden="0" customHeight="1">
      <x:c r="A108" s="2" t="str">
        <x:v>E162</x:v>
      </x:c>
      <x:c r="B108" s="2" t="str">
        <x:v>无信贷记录</x:v>
      </x:c>
      <x:c r="C108" s="2" t="str">
        <x:v>进项_作废票数</x:v>
      </x:c>
      <x:c r="D108" s="2" t="n">
        <x:v>543</x:v>
      </x:c>
      <x:c r="E108" s="2" t="n">
        <x:v>-73</x:v>
      </x:c>
      <x:c r="F108" s="2" t="n">
        <x:v>127</x:v>
      </x:c>
      <x:c r="G108" s="2" t="str">
        <x:v>原始表保留；建模表缩尾</x:v>
      </x:c>
    </x:row>
    <x:row r="109" ht="15" hidden="0" customHeight="1">
      <x:c r="A109" s="2" t="str">
        <x:v>E165</x:v>
      </x:c>
      <x:c r="B109" s="2" t="str">
        <x:v>无信贷记录</x:v>
      </x:c>
      <x:c r="C109" s="2" t="str">
        <x:v>进项_作废票数</x:v>
      </x:c>
      <x:c r="D109" s="2" t="n">
        <x:v>178</x:v>
      </x:c>
      <x:c r="E109" s="2" t="n">
        <x:v>-73</x:v>
      </x:c>
      <x:c r="F109" s="2" t="n">
        <x:v>127</x:v>
      </x:c>
      <x:c r="G109" s="2" t="str">
        <x:v>原始表保留；建模表缩尾</x:v>
      </x:c>
    </x:row>
    <x:row r="110" ht="15" hidden="0" customHeight="1">
      <x:c r="A110" s="2" t="str">
        <x:v>E167</x:v>
      </x:c>
      <x:c r="B110" s="2" t="str">
        <x:v>无信贷记录</x:v>
      </x:c>
      <x:c r="C110" s="2" t="str">
        <x:v>进项_作废票数</x:v>
      </x:c>
      <x:c r="D110" s="2" t="n">
        <x:v>227</x:v>
      </x:c>
      <x:c r="E110" s="2" t="n">
        <x:v>-73</x:v>
      </x:c>
      <x:c r="F110" s="2" t="n">
        <x:v>127</x:v>
      </x:c>
      <x:c r="G110" s="2" t="str">
        <x:v>原始表保留；建模表缩尾</x:v>
      </x:c>
    </x:row>
    <x:row r="111" ht="15" hidden="0" customHeight="1">
      <x:c r="A111" s="2" t="str">
        <x:v>E169</x:v>
      </x:c>
      <x:c r="B111" s="2" t="str">
        <x:v>无信贷记录</x:v>
      </x:c>
      <x:c r="C111" s="2" t="str">
        <x:v>进项_作废票数</x:v>
      </x:c>
      <x:c r="D111" s="2" t="n">
        <x:v>225</x:v>
      </x:c>
      <x:c r="E111" s="2" t="n">
        <x:v>-73</x:v>
      </x:c>
      <x:c r="F111" s="2" t="n">
        <x:v>127</x:v>
      </x:c>
      <x:c r="G111" s="2" t="str">
        <x:v>原始表保留；建模表缩尾</x:v>
      </x:c>
    </x:row>
    <x:row r="112" ht="15" hidden="0" customHeight="1">
      <x:c r="A112" s="2" t="str">
        <x:v>E175</x:v>
      </x:c>
      <x:c r="B112" s="2" t="str">
        <x:v>无信贷记录</x:v>
      </x:c>
      <x:c r="C112" s="2" t="str">
        <x:v>进项_作废票数</x:v>
      </x:c>
      <x:c r="D112" s="2" t="n">
        <x:v>162</x:v>
      </x:c>
      <x:c r="E112" s="2" t="n">
        <x:v>-73</x:v>
      </x:c>
      <x:c r="F112" s="2" t="n">
        <x:v>127</x:v>
      </x:c>
      <x:c r="G112" s="2" t="str">
        <x:v>原始表保留；建模表缩尾</x:v>
      </x:c>
    </x:row>
    <x:row r="113" ht="15" hidden="0" customHeight="1">
      <x:c r="A113" s="2" t="str">
        <x:v>E180</x:v>
      </x:c>
      <x:c r="B113" s="2" t="str">
        <x:v>无信贷记录</x:v>
      </x:c>
      <x:c r="C113" s="2" t="str">
        <x:v>进项_作废票数</x:v>
      </x:c>
      <x:c r="D113" s="2" t="n">
        <x:v>129</x:v>
      </x:c>
      <x:c r="E113" s="2" t="n">
        <x:v>-73</x:v>
      </x:c>
      <x:c r="F113" s="2" t="n">
        <x:v>127</x:v>
      </x:c>
      <x:c r="G113" s="2" t="str">
        <x:v>原始表保留；建模表缩尾</x:v>
      </x:c>
    </x:row>
    <x:row r="114" ht="15" hidden="0" customHeight="1">
      <x:c r="A114" s="2" t="str">
        <x:v>E187</x:v>
      </x:c>
      <x:c r="B114" s="2" t="str">
        <x:v>无信贷记录</x:v>
      </x:c>
      <x:c r="C114" s="2" t="str">
        <x:v>进项_作废票数</x:v>
      </x:c>
      <x:c r="D114" s="2" t="n">
        <x:v>186</x:v>
      </x:c>
      <x:c r="E114" s="2" t="n">
        <x:v>-73</x:v>
      </x:c>
      <x:c r="F114" s="2" t="n">
        <x:v>127</x:v>
      </x:c>
      <x:c r="G114" s="2" t="str">
        <x:v>原始表保留；建模表缩尾</x:v>
      </x:c>
    </x:row>
    <x:row r="115" ht="15" hidden="0" customHeight="1">
      <x:c r="A115" s="2" t="str">
        <x:v>E204</x:v>
      </x:c>
      <x:c r="B115" s="2" t="str">
        <x:v>无信贷记录</x:v>
      </x:c>
      <x:c r="C115" s="2" t="str">
        <x:v>进项_作废票数</x:v>
      </x:c>
      <x:c r="D115" s="2" t="n">
        <x:v>188</x:v>
      </x:c>
      <x:c r="E115" s="2" t="n">
        <x:v>-73</x:v>
      </x:c>
      <x:c r="F115" s="2" t="n">
        <x:v>127</x:v>
      </x:c>
      <x:c r="G115" s="2" t="str">
        <x:v>原始表保留；建模表缩尾</x:v>
      </x:c>
    </x:row>
    <x:row r="116" ht="15" hidden="0" customHeight="1">
      <x:c r="A116" s="2" t="str">
        <x:v>E209</x:v>
      </x:c>
      <x:c r="B116" s="2" t="str">
        <x:v>无信贷记录</x:v>
      </x:c>
      <x:c r="C116" s="2" t="str">
        <x:v>进项_作废票数</x:v>
      </x:c>
      <x:c r="D116" s="2" t="n">
        <x:v>232</x:v>
      </x:c>
      <x:c r="E116" s="2" t="n">
        <x:v>-73</x:v>
      </x:c>
      <x:c r="F116" s="2" t="n">
        <x:v>127</x:v>
      </x:c>
      <x:c r="G116" s="2" t="str">
        <x:v>原始表保留；建模表缩尾</x:v>
      </x:c>
    </x:row>
    <x:row r="117" ht="15" hidden="0" customHeight="1">
      <x:c r="A117" s="2" t="str">
        <x:v>E219</x:v>
      </x:c>
      <x:c r="B117" s="2" t="str">
        <x:v>无信贷记录</x:v>
      </x:c>
      <x:c r="C117" s="2" t="str">
        <x:v>进项_作废票数</x:v>
      </x:c>
      <x:c r="D117" s="2" t="n">
        <x:v>156</x:v>
      </x:c>
      <x:c r="E117" s="2" t="n">
        <x:v>-73</x:v>
      </x:c>
      <x:c r="F117" s="2" t="n">
        <x:v>127</x:v>
      </x:c>
      <x:c r="G117" s="2" t="str">
        <x:v>原始表保留；建模表缩尾</x:v>
      </x:c>
    </x:row>
    <x:row r="118" ht="15" hidden="0" customHeight="1">
      <x:c r="A118" s="2" t="str">
        <x:v>E220</x:v>
      </x:c>
      <x:c r="B118" s="2" t="str">
        <x:v>无信贷记录</x:v>
      </x:c>
      <x:c r="C118" s="2" t="str">
        <x:v>进项_作废票数</x:v>
      </x:c>
      <x:c r="D118" s="2" t="n">
        <x:v>230</x:v>
      </x:c>
      <x:c r="E118" s="2" t="n">
        <x:v>-73</x:v>
      </x:c>
      <x:c r="F118" s="2" t="n">
        <x:v>127</x:v>
      </x:c>
      <x:c r="G118" s="2" t="str">
        <x:v>原始表保留；建模表缩尾</x:v>
      </x:c>
    </x:row>
    <x:row r="119" ht="15" hidden="0" customHeight="1">
      <x:c r="A119" s="2" t="str">
        <x:v>E222</x:v>
      </x:c>
      <x:c r="B119" s="2" t="str">
        <x:v>无信贷记录</x:v>
      </x:c>
      <x:c r="C119" s="2" t="str">
        <x:v>进项_作废票数</x:v>
      </x:c>
      <x:c r="D119" s="2" t="n">
        <x:v>303</x:v>
      </x:c>
      <x:c r="E119" s="2" t="n">
        <x:v>-73</x:v>
      </x:c>
      <x:c r="F119" s="2" t="n">
        <x:v>127</x:v>
      </x:c>
      <x:c r="G119" s="2" t="str">
        <x:v>原始表保留；建模表缩尾</x:v>
      </x:c>
    </x:row>
    <x:row r="120" ht="15" hidden="0" customHeight="1">
      <x:c r="A120" s="2" t="str">
        <x:v>E225</x:v>
      </x:c>
      <x:c r="B120" s="2" t="str">
        <x:v>无信贷记录</x:v>
      </x:c>
      <x:c r="C120" s="2" t="str">
        <x:v>进项_作废票数</x:v>
      </x:c>
      <x:c r="D120" s="2" t="n">
        <x:v>159</x:v>
      </x:c>
      <x:c r="E120" s="2" t="n">
        <x:v>-73</x:v>
      </x:c>
      <x:c r="F120" s="2" t="n">
        <x:v>127</x:v>
      </x:c>
      <x:c r="G120" s="2" t="str">
        <x:v>原始表保留；建模表缩尾</x:v>
      </x:c>
    </x:row>
    <x:row r="121" ht="15" hidden="0" customHeight="1">
      <x:c r="A121" s="2" t="str">
        <x:v>E227</x:v>
      </x:c>
      <x:c r="B121" s="2" t="str">
        <x:v>无信贷记录</x:v>
      </x:c>
      <x:c r="C121" s="2" t="str">
        <x:v>进项_作废票数</x:v>
      </x:c>
      <x:c r="D121" s="2" t="n">
        <x:v>164</x:v>
      </x:c>
      <x:c r="E121" s="2" t="n">
        <x:v>-73</x:v>
      </x:c>
      <x:c r="F121" s="2" t="n">
        <x:v>127</x:v>
      </x:c>
      <x:c r="G121" s="2" t="str">
        <x:v>原始表保留；建模表缩尾</x:v>
      </x:c>
    </x:row>
    <x:row r="122" ht="15" hidden="0" customHeight="1">
      <x:c r="A122" s="2" t="str">
        <x:v>E259</x:v>
      </x:c>
      <x:c r="B122" s="2" t="str">
        <x:v>无信贷记录</x:v>
      </x:c>
      <x:c r="C122" s="2" t="str">
        <x:v>进项_作废票数</x:v>
      </x:c>
      <x:c r="D122" s="2" t="n">
        <x:v>141</x:v>
      </x:c>
      <x:c r="E122" s="2" t="n">
        <x:v>-73</x:v>
      </x:c>
      <x:c r="F122" s="2" t="n">
        <x:v>127</x:v>
      </x:c>
      <x:c r="G122" s="2" t="str">
        <x:v>原始表保留；建模表缩尾</x:v>
      </x:c>
    </x:row>
    <x:row r="123" ht="15" hidden="0" customHeight="1">
      <x:c r="A123" s="2" t="str">
        <x:v>E312</x:v>
      </x:c>
      <x:c r="B123" s="2" t="str">
        <x:v>无信贷记录</x:v>
      </x:c>
      <x:c r="C123" s="2" t="str">
        <x:v>进项_作废票数</x:v>
      </x:c>
      <x:c r="D123" s="2" t="n">
        <x:v>219</x:v>
      </x:c>
      <x:c r="E123" s="2" t="n">
        <x:v>-73</x:v>
      </x:c>
      <x:c r="F123" s="2" t="n">
        <x:v>127</x:v>
      </x:c>
      <x:c r="G123" s="2" t="str">
        <x:v>原始表保留；建模表缩尾</x:v>
      </x:c>
    </x:row>
    <x:row r="124" ht="15" hidden="0" customHeight="1">
      <x:c r="A124" s="2" t="str">
        <x:v>E1</x:v>
      </x:c>
      <x:c r="B124" s="2" t="str">
        <x:v>有信贷记录</x:v>
      </x:c>
      <x:c r="C124" s="2" t="str">
        <x:v>进项_负数票数</x:v>
      </x:c>
      <x:c r="D124" s="2" t="n">
        <x:v>71</x:v>
      </x:c>
      <x:c r="E124" s="2" t="n">
        <x:v>-15</x:v>
      </x:c>
      <x:c r="F124" s="2" t="n">
        <x:v>25</x:v>
      </x:c>
      <x:c r="G124" s="2" t="str">
        <x:v>原始表保留；建模表缩尾</x:v>
      </x:c>
    </x:row>
    <x:row r="125" ht="15" hidden="0" customHeight="1">
      <x:c r="A125" s="2" t="str">
        <x:v>E2</x:v>
      </x:c>
      <x:c r="B125" s="2" t="str">
        <x:v>有信贷记录</x:v>
      </x:c>
      <x:c r="C125" s="2" t="str">
        <x:v>进项_负数票数</x:v>
      </x:c>
      <x:c r="D125" s="2" t="n">
        <x:v>156</x:v>
      </x:c>
      <x:c r="E125" s="2" t="n">
        <x:v>-15</x:v>
      </x:c>
      <x:c r="F125" s="2" t="n">
        <x:v>25</x:v>
      </x:c>
      <x:c r="G125" s="2" t="str">
        <x:v>原始表保留；建模表缩尾</x:v>
      </x:c>
    </x:row>
    <x:row r="126" ht="15" hidden="0" customHeight="1">
      <x:c r="A126" s="2" t="str">
        <x:v>E3</x:v>
      </x:c>
      <x:c r="B126" s="2" t="str">
        <x:v>有信贷记录</x:v>
      </x:c>
      <x:c r="C126" s="2" t="str">
        <x:v>进项_负数票数</x:v>
      </x:c>
      <x:c r="D126" s="2" t="n">
        <x:v>26</x:v>
      </x:c>
      <x:c r="E126" s="2" t="n">
        <x:v>-15</x:v>
      </x:c>
      <x:c r="F126" s="2" t="n">
        <x:v>25</x:v>
      </x:c>
      <x:c r="G126" s="2" t="str">
        <x:v>原始表保留；建模表缩尾</x:v>
      </x:c>
    </x:row>
    <x:row r="127" ht="15" hidden="0" customHeight="1">
      <x:c r="A127" s="2" t="str">
        <x:v>E6</x:v>
      </x:c>
      <x:c r="B127" s="2" t="str">
        <x:v>有信贷记录</x:v>
      </x:c>
      <x:c r="C127" s="2" t="str">
        <x:v>进项_负数票数</x:v>
      </x:c>
      <x:c r="D127" s="2" t="n">
        <x:v>78</x:v>
      </x:c>
      <x:c r="E127" s="2" t="n">
        <x:v>-15</x:v>
      </x:c>
      <x:c r="F127" s="2" t="n">
        <x:v>25</x:v>
      </x:c>
      <x:c r="G127" s="2" t="str">
        <x:v>原始表保留；建模表缩尾</x:v>
      </x:c>
    </x:row>
    <x:row r="128" ht="15" hidden="0" customHeight="1">
      <x:c r="A128" s="2" t="str">
        <x:v>E7</x:v>
      </x:c>
      <x:c r="B128" s="2" t="str">
        <x:v>有信贷记录</x:v>
      </x:c>
      <x:c r="C128" s="2" t="str">
        <x:v>进项_负数票数</x:v>
      </x:c>
      <x:c r="D128" s="2" t="n">
        <x:v>450</x:v>
      </x:c>
      <x:c r="E128" s="2" t="n">
        <x:v>-15</x:v>
      </x:c>
      <x:c r="F128" s="2" t="n">
        <x:v>25</x:v>
      </x:c>
      <x:c r="G128" s="2" t="str">
        <x:v>原始表保留；建模表缩尾</x:v>
      </x:c>
    </x:row>
    <x:row r="129" ht="15" hidden="0" customHeight="1">
      <x:c r="A129" s="2" t="str">
        <x:v>E8</x:v>
      </x:c>
      <x:c r="B129" s="2" t="str">
        <x:v>有信贷记录</x:v>
      </x:c>
      <x:c r="C129" s="2" t="str">
        <x:v>进项_负数票数</x:v>
      </x:c>
      <x:c r="D129" s="2" t="n">
        <x:v>77</x:v>
      </x:c>
      <x:c r="E129" s="2" t="n">
        <x:v>-15</x:v>
      </x:c>
      <x:c r="F129" s="2" t="n">
        <x:v>25</x:v>
      </x:c>
      <x:c r="G129" s="2" t="str">
        <x:v>原始表保留；建模表缩尾</x:v>
      </x:c>
    </x:row>
    <x:row r="130" ht="15" hidden="0" customHeight="1">
      <x:c r="A130" s="2" t="str">
        <x:v>E9</x:v>
      </x:c>
      <x:c r="B130" s="2" t="str">
        <x:v>有信贷记录</x:v>
      </x:c>
      <x:c r="C130" s="2" t="str">
        <x:v>进项_负数票数</x:v>
      </x:c>
      <x:c r="D130" s="2" t="n">
        <x:v>26</x:v>
      </x:c>
      <x:c r="E130" s="2" t="n">
        <x:v>-15</x:v>
      </x:c>
      <x:c r="F130" s="2" t="n">
        <x:v>25</x:v>
      </x:c>
      <x:c r="G130" s="2" t="str">
        <x:v>原始表保留；建模表缩尾</x:v>
      </x:c>
    </x:row>
    <x:row r="131" ht="15" hidden="0" customHeight="1">
      <x:c r="A131" s="2" t="str">
        <x:v>E10</x:v>
      </x:c>
      <x:c r="B131" s="2" t="str">
        <x:v>有信贷记录</x:v>
      </x:c>
      <x:c r="C131" s="2" t="str">
        <x:v>进项_负数票数</x:v>
      </x:c>
      <x:c r="D131" s="2" t="n">
        <x:v>34</x:v>
      </x:c>
      <x:c r="E131" s="2" t="n">
        <x:v>-15</x:v>
      </x:c>
      <x:c r="F131" s="2" t="n">
        <x:v>25</x:v>
      </x:c>
      <x:c r="G131" s="2" t="str">
        <x:v>原始表保留；建模表缩尾</x:v>
      </x:c>
    </x:row>
    <x:row r="132" ht="15" hidden="0" customHeight="1">
      <x:c r="A132" s="2" t="str">
        <x:v>E13</x:v>
      </x:c>
      <x:c r="B132" s="2" t="str">
        <x:v>有信贷记录</x:v>
      </x:c>
      <x:c r="C132" s="2" t="str">
        <x:v>进项_负数票数</x:v>
      </x:c>
      <x:c r="D132" s="2" t="n">
        <x:v>39</x:v>
      </x:c>
      <x:c r="E132" s="2" t="n">
        <x:v>-15</x:v>
      </x:c>
      <x:c r="F132" s="2" t="n">
        <x:v>25</x:v>
      </x:c>
      <x:c r="G132" s="2" t="str">
        <x:v>原始表保留；建模表缩尾</x:v>
      </x:c>
    </x:row>
    <x:row r="133" ht="15" hidden="0" customHeight="1">
      <x:c r="A133" s="2" t="str">
        <x:v>E14</x:v>
      </x:c>
      <x:c r="B133" s="2" t="str">
        <x:v>有信贷记录</x:v>
      </x:c>
      <x:c r="C133" s="2" t="str">
        <x:v>进项_负数票数</x:v>
      </x:c>
      <x:c r="D133" s="2" t="n">
        <x:v>130</x:v>
      </x:c>
      <x:c r="E133" s="2" t="n">
        <x:v>-15</x:v>
      </x:c>
      <x:c r="F133" s="2" t="n">
        <x:v>25</x:v>
      </x:c>
      <x:c r="G133" s="2" t="str">
        <x:v>原始表保留；建模表缩尾</x:v>
      </x:c>
    </x:row>
    <x:row r="134" ht="15" hidden="0" customHeight="1">
      <x:c r="A134" s="2" t="str">
        <x:v>E17</x:v>
      </x:c>
      <x:c r="B134" s="2" t="str">
        <x:v>有信贷记录</x:v>
      </x:c>
      <x:c r="C134" s="2" t="str">
        <x:v>进项_负数票数</x:v>
      </x:c>
      <x:c r="D134" s="2" t="n">
        <x:v>91</x:v>
      </x:c>
      <x:c r="E134" s="2" t="n">
        <x:v>-15</x:v>
      </x:c>
      <x:c r="F134" s="2" t="n">
        <x:v>25</x:v>
      </x:c>
      <x:c r="G134" s="2" t="str">
        <x:v>原始表保留；建模表缩尾</x:v>
      </x:c>
    </x:row>
    <x:row r="135" ht="15" hidden="0" customHeight="1">
      <x:c r="A135" s="2" t="str">
        <x:v>E18</x:v>
      </x:c>
      <x:c r="B135" s="2" t="str">
        <x:v>有信贷记录</x:v>
      </x:c>
      <x:c r="C135" s="2" t="str">
        <x:v>进项_负数票数</x:v>
      </x:c>
      <x:c r="D135" s="2" t="n">
        <x:v>31</x:v>
      </x:c>
      <x:c r="E135" s="2" t="n">
        <x:v>-15</x:v>
      </x:c>
      <x:c r="F135" s="2" t="n">
        <x:v>25</x:v>
      </x:c>
      <x:c r="G135" s="2" t="str">
        <x:v>原始表保留；建模表缩尾</x:v>
      </x:c>
    </x:row>
    <x:row r="136" ht="15" hidden="0" customHeight="1">
      <x:c r="A136" s="2" t="str">
        <x:v>E23</x:v>
      </x:c>
      <x:c r="B136" s="2" t="str">
        <x:v>有信贷记录</x:v>
      </x:c>
      <x:c r="C136" s="2" t="str">
        <x:v>进项_负数票数</x:v>
      </x:c>
      <x:c r="D136" s="2" t="n">
        <x:v>74</x:v>
      </x:c>
      <x:c r="E136" s="2" t="n">
        <x:v>-15</x:v>
      </x:c>
      <x:c r="F136" s="2" t="n">
        <x:v>25</x:v>
      </x:c>
      <x:c r="G136" s="2" t="str">
        <x:v>原始表保留；建模表缩尾</x:v>
      </x:c>
    </x:row>
    <x:row r="137" ht="15" hidden="0" customHeight="1">
      <x:c r="A137" s="2" t="str">
        <x:v>E34</x:v>
      </x:c>
      <x:c r="B137" s="2" t="str">
        <x:v>有信贷记录</x:v>
      </x:c>
      <x:c r="C137" s="2" t="str">
        <x:v>进项_负数票数</x:v>
      </x:c>
      <x:c r="D137" s="2" t="n">
        <x:v>44</x:v>
      </x:c>
      <x:c r="E137" s="2" t="n">
        <x:v>-15</x:v>
      </x:c>
      <x:c r="F137" s="2" t="n">
        <x:v>25</x:v>
      </x:c>
      <x:c r="G137" s="2" t="str">
        <x:v>原始表保留；建模表缩尾</x:v>
      </x:c>
    </x:row>
    <x:row r="138" ht="15" hidden="0" customHeight="1">
      <x:c r="A138" s="2" t="str">
        <x:v>E40</x:v>
      </x:c>
      <x:c r="B138" s="2" t="str">
        <x:v>有信贷记录</x:v>
      </x:c>
      <x:c r="C138" s="2" t="str">
        <x:v>进项_负数票数</x:v>
      </x:c>
      <x:c r="D138" s="2" t="n">
        <x:v>34</x:v>
      </x:c>
      <x:c r="E138" s="2" t="n">
        <x:v>-15</x:v>
      </x:c>
      <x:c r="F138" s="2" t="n">
        <x:v>25</x:v>
      </x:c>
      <x:c r="G138" s="2" t="str">
        <x:v>原始表保留；建模表缩尾</x:v>
      </x:c>
    </x:row>
    <x:row r="139" ht="15" hidden="0" customHeight="1">
      <x:c r="A139" s="2" t="str">
        <x:v>E55</x:v>
      </x:c>
      <x:c r="B139" s="2" t="str">
        <x:v>有信贷记录</x:v>
      </x:c>
      <x:c r="C139" s="2" t="str">
        <x:v>进项_负数票数</x:v>
      </x:c>
      <x:c r="D139" s="2" t="n">
        <x:v>30</x:v>
      </x:c>
      <x:c r="E139" s="2" t="n">
        <x:v>-15</x:v>
      </x:c>
      <x:c r="F139" s="2" t="n">
        <x:v>25</x:v>
      </x:c>
      <x:c r="G139" s="2" t="str">
        <x:v>原始表保留；建模表缩尾</x:v>
      </x:c>
    </x:row>
    <x:row r="140" ht="15" hidden="0" customHeight="1">
      <x:c r="A140" s="2" t="str">
        <x:v>E83</x:v>
      </x:c>
      <x:c r="B140" s="2" t="str">
        <x:v>有信贷记录</x:v>
      </x:c>
      <x:c r="C140" s="2" t="str">
        <x:v>进项_负数票数</x:v>
      </x:c>
      <x:c r="D140" s="2" t="n">
        <x:v>54</x:v>
      </x:c>
      <x:c r="E140" s="2" t="n">
        <x:v>-15</x:v>
      </x:c>
      <x:c r="F140" s="2" t="n">
        <x:v>25</x:v>
      </x:c>
      <x:c r="G140" s="2" t="str">
        <x:v>原始表保留；建模表缩尾</x:v>
      </x:c>
    </x:row>
    <x:row r="141" ht="15" hidden="0" customHeight="1">
      <x:c r="A141" s="2" t="str">
        <x:v>E124</x:v>
      </x:c>
      <x:c r="B141" s="2" t="str">
        <x:v>无信贷记录</x:v>
      </x:c>
      <x:c r="C141" s="2" t="str">
        <x:v>进项_负数票数</x:v>
      </x:c>
      <x:c r="D141" s="2" t="n">
        <x:v>342</x:v>
      </x:c>
      <x:c r="E141" s="2" t="n">
        <x:v>-15</x:v>
      </x:c>
      <x:c r="F141" s="2" t="n">
        <x:v>25</x:v>
      </x:c>
      <x:c r="G141" s="2" t="str">
        <x:v>原始表保留；建模表缩尾</x:v>
      </x:c>
    </x:row>
    <x:row r="142" ht="15" hidden="0" customHeight="1">
      <x:c r="A142" s="2" t="str">
        <x:v>E125</x:v>
      </x:c>
      <x:c r="B142" s="2" t="str">
        <x:v>无信贷记录</x:v>
      </x:c>
      <x:c r="C142" s="2" t="str">
        <x:v>进项_负数票数</x:v>
      </x:c>
      <x:c r="D142" s="2" t="n">
        <x:v>396</x:v>
      </x:c>
      <x:c r="E142" s="2" t="n">
        <x:v>-15</x:v>
      </x:c>
      <x:c r="F142" s="2" t="n">
        <x:v>25</x:v>
      </x:c>
      <x:c r="G142" s="2" t="str">
        <x:v>原始表保留；建模表缩尾</x:v>
      </x:c>
    </x:row>
    <x:row r="143" ht="15" hidden="0" customHeight="1">
      <x:c r="A143" s="2" t="str">
        <x:v>E129</x:v>
      </x:c>
      <x:c r="B143" s="2" t="str">
        <x:v>无信贷记录</x:v>
      </x:c>
      <x:c r="C143" s="2" t="str">
        <x:v>进项_负数票数</x:v>
      </x:c>
      <x:c r="D143" s="2" t="n">
        <x:v>29</x:v>
      </x:c>
      <x:c r="E143" s="2" t="n">
        <x:v>-15</x:v>
      </x:c>
      <x:c r="F143" s="2" t="n">
        <x:v>25</x:v>
      </x:c>
      <x:c r="G143" s="2" t="str">
        <x:v>原始表保留；建模表缩尾</x:v>
      </x:c>
    </x:row>
    <x:row r="144" ht="15" hidden="0" customHeight="1">
      <x:c r="A144" s="2" t="str">
        <x:v>E131</x:v>
      </x:c>
      <x:c r="B144" s="2" t="str">
        <x:v>无信贷记录</x:v>
      </x:c>
      <x:c r="C144" s="2" t="str">
        <x:v>进项_负数票数</x:v>
      </x:c>
      <x:c r="D144" s="2" t="n">
        <x:v>130</x:v>
      </x:c>
      <x:c r="E144" s="2" t="n">
        <x:v>-15</x:v>
      </x:c>
      <x:c r="F144" s="2" t="n">
        <x:v>25</x:v>
      </x:c>
      <x:c r="G144" s="2" t="str">
        <x:v>原始表保留；建模表缩尾</x:v>
      </x:c>
    </x:row>
    <x:row r="145" ht="15" hidden="0" customHeight="1">
      <x:c r="A145" s="2" t="str">
        <x:v>E137</x:v>
      </x:c>
      <x:c r="B145" s="2" t="str">
        <x:v>无信贷记录</x:v>
      </x:c>
      <x:c r="C145" s="2" t="str">
        <x:v>进项_负数票数</x:v>
      </x:c>
      <x:c r="D145" s="2" t="n">
        <x:v>37</x:v>
      </x:c>
      <x:c r="E145" s="2" t="n">
        <x:v>-15</x:v>
      </x:c>
      <x:c r="F145" s="2" t="n">
        <x:v>25</x:v>
      </x:c>
      <x:c r="G145" s="2" t="str">
        <x:v>原始表保留；建模表缩尾</x:v>
      </x:c>
    </x:row>
    <x:row r="146" ht="15" hidden="0" customHeight="1">
      <x:c r="A146" s="2" t="str">
        <x:v>E143</x:v>
      </x:c>
      <x:c r="B146" s="2" t="str">
        <x:v>无信贷记录</x:v>
      </x:c>
      <x:c r="C146" s="2" t="str">
        <x:v>进项_负数票数</x:v>
      </x:c>
      <x:c r="D146" s="2" t="n">
        <x:v>43</x:v>
      </x:c>
      <x:c r="E146" s="2" t="n">
        <x:v>-15</x:v>
      </x:c>
      <x:c r="F146" s="2" t="n">
        <x:v>25</x:v>
      </x:c>
      <x:c r="G146" s="2" t="str">
        <x:v>原始表保留；建模表缩尾</x:v>
      </x:c>
    </x:row>
    <x:row r="147" ht="15" hidden="0" customHeight="1">
      <x:c r="A147" s="2" t="str">
        <x:v>E147</x:v>
      </x:c>
      <x:c r="B147" s="2" t="str">
        <x:v>无信贷记录</x:v>
      </x:c>
      <x:c r="C147" s="2" t="str">
        <x:v>进项_负数票数</x:v>
      </x:c>
      <x:c r="D147" s="2" t="n">
        <x:v>62</x:v>
      </x:c>
      <x:c r="E147" s="2" t="n">
        <x:v>-15</x:v>
      </x:c>
      <x:c r="F147" s="2" t="n">
        <x:v>25</x:v>
      </x:c>
      <x:c r="G147" s="2" t="str">
        <x:v>原始表保留；建模表缩尾</x:v>
      </x:c>
    </x:row>
    <x:row r="148" ht="15" hidden="0" customHeight="1">
      <x:c r="A148" s="2" t="str">
        <x:v>E154</x:v>
      </x:c>
      <x:c r="B148" s="2" t="str">
        <x:v>无信贷记录</x:v>
      </x:c>
      <x:c r="C148" s="2" t="str">
        <x:v>进项_负数票数</x:v>
      </x:c>
      <x:c r="D148" s="2" t="n">
        <x:v>53</x:v>
      </x:c>
      <x:c r="E148" s="2" t="n">
        <x:v>-15</x:v>
      </x:c>
      <x:c r="F148" s="2" t="n">
        <x:v>25</x:v>
      </x:c>
      <x:c r="G148" s="2" t="str">
        <x:v>原始表保留；建模表缩尾</x:v>
      </x:c>
    </x:row>
    <x:row r="149" ht="15" hidden="0" customHeight="1">
      <x:c r="A149" s="2" t="str">
        <x:v>E162</x:v>
      </x:c>
      <x:c r="B149" s="2" t="str">
        <x:v>无信贷记录</x:v>
      </x:c>
      <x:c r="C149" s="2" t="str">
        <x:v>进项_负数票数</x:v>
      </x:c>
      <x:c r="D149" s="2" t="n">
        <x:v>239</x:v>
      </x:c>
      <x:c r="E149" s="2" t="n">
        <x:v>-15</x:v>
      </x:c>
      <x:c r="F149" s="2" t="n">
        <x:v>25</x:v>
      </x:c>
      <x:c r="G149" s="2" t="str">
        <x:v>原始表保留；建模表缩尾</x:v>
      </x:c>
    </x:row>
    <x:row r="150" ht="15" hidden="0" customHeight="1">
      <x:c r="A150" s="2" t="str">
        <x:v>E164</x:v>
      </x:c>
      <x:c r="B150" s="2" t="str">
        <x:v>无信贷记录</x:v>
      </x:c>
      <x:c r="C150" s="2" t="str">
        <x:v>进项_负数票数</x:v>
      </x:c>
      <x:c r="D150" s="2" t="n">
        <x:v>37</x:v>
      </x:c>
      <x:c r="E150" s="2" t="n">
        <x:v>-15</x:v>
      </x:c>
      <x:c r="F150" s="2" t="n">
        <x:v>25</x:v>
      </x:c>
      <x:c r="G150" s="2" t="str">
        <x:v>原始表保留；建模表缩尾</x:v>
      </x:c>
    </x:row>
    <x:row r="151" ht="15" hidden="0" customHeight="1">
      <x:c r="A151" s="2" t="str">
        <x:v>E165</x:v>
      </x:c>
      <x:c r="B151" s="2" t="str">
        <x:v>无信贷记录</x:v>
      </x:c>
      <x:c r="C151" s="2" t="str">
        <x:v>进项_负数票数</x:v>
      </x:c>
      <x:c r="D151" s="2" t="n">
        <x:v>48</x:v>
      </x:c>
      <x:c r="E151" s="2" t="n">
        <x:v>-15</x:v>
      </x:c>
      <x:c r="F151" s="2" t="n">
        <x:v>25</x:v>
      </x:c>
      <x:c r="G151" s="2" t="str">
        <x:v>原始表保留；建模表缩尾</x:v>
      </x:c>
    </x:row>
    <x:row r="152" ht="15" hidden="0" customHeight="1">
      <x:c r="A152" s="2" t="str">
        <x:v>E167</x:v>
      </x:c>
      <x:c r="B152" s="2" t="str">
        <x:v>无信贷记录</x:v>
      </x:c>
      <x:c r="C152" s="2" t="str">
        <x:v>进项_负数票数</x:v>
      </x:c>
      <x:c r="D152" s="2" t="n">
        <x:v>97</x:v>
      </x:c>
      <x:c r="E152" s="2" t="n">
        <x:v>-15</x:v>
      </x:c>
      <x:c r="F152" s="2" t="n">
        <x:v>25</x:v>
      </x:c>
      <x:c r="G152" s="2" t="str">
        <x:v>原始表保留；建模表缩尾</x:v>
      </x:c>
    </x:row>
    <x:row r="153" ht="15" hidden="0" customHeight="1">
      <x:c r="A153" s="2" t="str">
        <x:v>E169</x:v>
      </x:c>
      <x:c r="B153" s="2" t="str">
        <x:v>无信贷记录</x:v>
      </x:c>
      <x:c r="C153" s="2" t="str">
        <x:v>进项_负数票数</x:v>
      </x:c>
      <x:c r="D153" s="2" t="n">
        <x:v>28</x:v>
      </x:c>
      <x:c r="E153" s="2" t="n">
        <x:v>-15</x:v>
      </x:c>
      <x:c r="F153" s="2" t="n">
        <x:v>25</x:v>
      </x:c>
      <x:c r="G153" s="2" t="str">
        <x:v>原始表保留；建模表缩尾</x:v>
      </x:c>
    </x:row>
    <x:row r="154" ht="15" hidden="0" customHeight="1">
      <x:c r="A154" s="2" t="str">
        <x:v>E170</x:v>
      </x:c>
      <x:c r="B154" s="2" t="str">
        <x:v>无信贷记录</x:v>
      </x:c>
      <x:c r="C154" s="2" t="str">
        <x:v>进项_负数票数</x:v>
      </x:c>
      <x:c r="D154" s="2" t="n">
        <x:v>55</x:v>
      </x:c>
      <x:c r="E154" s="2" t="n">
        <x:v>-15</x:v>
      </x:c>
      <x:c r="F154" s="2" t="n">
        <x:v>25</x:v>
      </x:c>
      <x:c r="G154" s="2" t="str">
        <x:v>原始表保留；建模表缩尾</x:v>
      </x:c>
    </x:row>
    <x:row r="155" ht="15" hidden="0" customHeight="1">
      <x:c r="A155" s="2" t="str">
        <x:v>E175</x:v>
      </x:c>
      <x:c r="B155" s="2" t="str">
        <x:v>无信贷记录</x:v>
      </x:c>
      <x:c r="C155" s="2" t="str">
        <x:v>进项_负数票数</x:v>
      </x:c>
      <x:c r="D155" s="2" t="n">
        <x:v>67</x:v>
      </x:c>
      <x:c r="E155" s="2" t="n">
        <x:v>-15</x:v>
      </x:c>
      <x:c r="F155" s="2" t="n">
        <x:v>25</x:v>
      </x:c>
      <x:c r="G155" s="2" t="str">
        <x:v>原始表保留；建模表缩尾</x:v>
      </x:c>
    </x:row>
    <x:row r="156" ht="15" hidden="0" customHeight="1">
      <x:c r="A156" s="2" t="str">
        <x:v>E180</x:v>
      </x:c>
      <x:c r="B156" s="2" t="str">
        <x:v>无信贷记录</x:v>
      </x:c>
      <x:c r="C156" s="2" t="str">
        <x:v>进项_负数票数</x:v>
      </x:c>
      <x:c r="D156" s="2" t="n">
        <x:v>30</x:v>
      </x:c>
      <x:c r="E156" s="2" t="n">
        <x:v>-15</x:v>
      </x:c>
      <x:c r="F156" s="2" t="n">
        <x:v>25</x:v>
      </x:c>
      <x:c r="G156" s="2" t="str">
        <x:v>原始表保留；建模表缩尾</x:v>
      </x:c>
    </x:row>
    <x:row r="157" ht="15" hidden="0" customHeight="1">
      <x:c r="A157" s="2" t="str">
        <x:v>E181</x:v>
      </x:c>
      <x:c r="B157" s="2" t="str">
        <x:v>无信贷记录</x:v>
      </x:c>
      <x:c r="C157" s="2" t="str">
        <x:v>进项_负数票数</x:v>
      </x:c>
      <x:c r="D157" s="2" t="n">
        <x:v>32</x:v>
      </x:c>
      <x:c r="E157" s="2" t="n">
        <x:v>-15</x:v>
      </x:c>
      <x:c r="F157" s="2" t="n">
        <x:v>25</x:v>
      </x:c>
      <x:c r="G157" s="2" t="str">
        <x:v>原始表保留；建模表缩尾</x:v>
      </x:c>
    </x:row>
    <x:row r="158" ht="15" hidden="0" customHeight="1">
      <x:c r="A158" s="2" t="str">
        <x:v>E187</x:v>
      </x:c>
      <x:c r="B158" s="2" t="str">
        <x:v>无信贷记录</x:v>
      </x:c>
      <x:c r="C158" s="2" t="str">
        <x:v>进项_负数票数</x:v>
      </x:c>
      <x:c r="D158" s="2" t="n">
        <x:v>39</x:v>
      </x:c>
      <x:c r="E158" s="2" t="n">
        <x:v>-15</x:v>
      </x:c>
      <x:c r="F158" s="2" t="n">
        <x:v>25</x:v>
      </x:c>
      <x:c r="G158" s="2" t="str">
        <x:v>原始表保留；建模表缩尾</x:v>
      </x:c>
    </x:row>
    <x:row r="159" ht="15" hidden="0" customHeight="1">
      <x:c r="A159" s="2" t="str">
        <x:v>E195</x:v>
      </x:c>
      <x:c r="B159" s="2" t="str">
        <x:v>无信贷记录</x:v>
      </x:c>
      <x:c r="C159" s="2" t="str">
        <x:v>进项_负数票数</x:v>
      </x:c>
      <x:c r="D159" s="2" t="n">
        <x:v>46</x:v>
      </x:c>
      <x:c r="E159" s="2" t="n">
        <x:v>-15</x:v>
      </x:c>
      <x:c r="F159" s="2" t="n">
        <x:v>25</x:v>
      </x:c>
      <x:c r="G159" s="2" t="str">
        <x:v>原始表保留；建模表缩尾</x:v>
      </x:c>
    </x:row>
    <x:row r="160" ht="15" hidden="0" customHeight="1">
      <x:c r="A160" s="2" t="str">
        <x:v>E204</x:v>
      </x:c>
      <x:c r="B160" s="2" t="str">
        <x:v>无信贷记录</x:v>
      </x:c>
      <x:c r="C160" s="2" t="str">
        <x:v>进项_负数票数</x:v>
      </x:c>
      <x:c r="D160" s="2" t="n">
        <x:v>46</x:v>
      </x:c>
      <x:c r="E160" s="2" t="n">
        <x:v>-15</x:v>
      </x:c>
      <x:c r="F160" s="2" t="n">
        <x:v>25</x:v>
      </x:c>
      <x:c r="G160" s="2" t="str">
        <x:v>原始表保留；建模表缩尾</x:v>
      </x:c>
    </x:row>
    <x:row r="161" ht="15" hidden="0" customHeight="1">
      <x:c r="A161" s="2" t="str">
        <x:v>E219</x:v>
      </x:c>
      <x:c r="B161" s="2" t="str">
        <x:v>无信贷记录</x:v>
      </x:c>
      <x:c r="C161" s="2" t="str">
        <x:v>进项_负数票数</x:v>
      </x:c>
      <x:c r="D161" s="2" t="n">
        <x:v>41</x:v>
      </x:c>
      <x:c r="E161" s="2" t="n">
        <x:v>-15</x:v>
      </x:c>
      <x:c r="F161" s="2" t="n">
        <x:v>25</x:v>
      </x:c>
      <x:c r="G161" s="2" t="str">
        <x:v>原始表保留；建模表缩尾</x:v>
      </x:c>
    </x:row>
    <x:row r="162" ht="15" hidden="0" customHeight="1">
      <x:c r="A162" s="2" t="str">
        <x:v>E220</x:v>
      </x:c>
      <x:c r="B162" s="2" t="str">
        <x:v>无信贷记录</x:v>
      </x:c>
      <x:c r="C162" s="2" t="str">
        <x:v>进项_负数票数</x:v>
      </x:c>
      <x:c r="D162" s="2" t="n">
        <x:v>50</x:v>
      </x:c>
      <x:c r="E162" s="2" t="n">
        <x:v>-15</x:v>
      </x:c>
      <x:c r="F162" s="2" t="n">
        <x:v>25</x:v>
      </x:c>
      <x:c r="G162" s="2" t="str">
        <x:v>原始表保留；建模表缩尾</x:v>
      </x:c>
    </x:row>
    <x:row r="163" ht="15" hidden="0" customHeight="1">
      <x:c r="A163" s="2" t="str">
        <x:v>E222</x:v>
      </x:c>
      <x:c r="B163" s="2" t="str">
        <x:v>无信贷记录</x:v>
      </x:c>
      <x:c r="C163" s="2" t="str">
        <x:v>进项_负数票数</x:v>
      </x:c>
      <x:c r="D163" s="2" t="n">
        <x:v>96</x:v>
      </x:c>
      <x:c r="E163" s="2" t="n">
        <x:v>-15</x:v>
      </x:c>
      <x:c r="F163" s="2" t="n">
        <x:v>25</x:v>
      </x:c>
      <x:c r="G163" s="2" t="str">
        <x:v>原始表保留；建模表缩尾</x:v>
      </x:c>
    </x:row>
    <x:row r="164" ht="15" hidden="0" customHeight="1">
      <x:c r="A164" s="2" t="str">
        <x:v>E225</x:v>
      </x:c>
      <x:c r="B164" s="2" t="str">
        <x:v>无信贷记录</x:v>
      </x:c>
      <x:c r="C164" s="2" t="str">
        <x:v>进项_负数票数</x:v>
      </x:c>
      <x:c r="D164" s="2" t="n">
        <x:v>48</x:v>
      </x:c>
      <x:c r="E164" s="2" t="n">
        <x:v>-15</x:v>
      </x:c>
      <x:c r="F164" s="2" t="n">
        <x:v>25</x:v>
      </x:c>
      <x:c r="G164" s="2" t="str">
        <x:v>原始表保留；建模表缩尾</x:v>
      </x:c>
    </x:row>
    <x:row r="165" ht="15" hidden="0" customHeight="1">
      <x:c r="A165" s="2" t="str">
        <x:v>E226</x:v>
      </x:c>
      <x:c r="B165" s="2" t="str">
        <x:v>无信贷记录</x:v>
      </x:c>
      <x:c r="C165" s="2" t="str">
        <x:v>进项_负数票数</x:v>
      </x:c>
      <x:c r="D165" s="2" t="n">
        <x:v>29</x:v>
      </x:c>
      <x:c r="E165" s="2" t="n">
        <x:v>-15</x:v>
      </x:c>
      <x:c r="F165" s="2" t="n">
        <x:v>25</x:v>
      </x:c>
      <x:c r="G165" s="2" t="str">
        <x:v>原始表保留；建模表缩尾</x:v>
      </x:c>
    </x:row>
    <x:row r="166" ht="15" hidden="0" customHeight="1">
      <x:c r="A166" s="2" t="str">
        <x:v>E232</x:v>
      </x:c>
      <x:c r="B166" s="2" t="str">
        <x:v>无信贷记录</x:v>
      </x:c>
      <x:c r="C166" s="2" t="str">
        <x:v>进项_负数票数</x:v>
      </x:c>
      <x:c r="D166" s="2" t="n">
        <x:v>39</x:v>
      </x:c>
      <x:c r="E166" s="2" t="n">
        <x:v>-15</x:v>
      </x:c>
      <x:c r="F166" s="2" t="n">
        <x:v>25</x:v>
      </x:c>
      <x:c r="G166" s="2" t="str">
        <x:v>原始表保留；建模表缩尾</x:v>
      </x:c>
    </x:row>
    <x:row r="167" ht="15" hidden="0" customHeight="1">
      <x:c r="A167" s="2" t="str">
        <x:v>E237</x:v>
      </x:c>
      <x:c r="B167" s="2" t="str">
        <x:v>无信贷记录</x:v>
      </x:c>
      <x:c r="C167" s="2" t="str">
        <x:v>进项_负数票数</x:v>
      </x:c>
      <x:c r="D167" s="2" t="n">
        <x:v>104</x:v>
      </x:c>
      <x:c r="E167" s="2" t="n">
        <x:v>-15</x:v>
      </x:c>
      <x:c r="F167" s="2" t="n">
        <x:v>25</x:v>
      </x:c>
      <x:c r="G167" s="2" t="str">
        <x:v>原始表保留；建模表缩尾</x:v>
      </x:c>
    </x:row>
    <x:row r="168" ht="15" hidden="0" customHeight="1">
      <x:c r="A168" s="2" t="str">
        <x:v>E296</x:v>
      </x:c>
      <x:c r="B168" s="2" t="str">
        <x:v>无信贷记录</x:v>
      </x:c>
      <x:c r="C168" s="2" t="str">
        <x:v>进项_负数票数</x:v>
      </x:c>
      <x:c r="D168" s="2" t="n">
        <x:v>28</x:v>
      </x:c>
      <x:c r="E168" s="2" t="n">
        <x:v>-15</x:v>
      </x:c>
      <x:c r="F168" s="2" t="n">
        <x:v>25</x:v>
      </x:c>
      <x:c r="G168" s="2" t="str">
        <x:v>原始表保留；建模表缩尾</x:v>
      </x:c>
    </x:row>
    <x:row r="169" ht="15" hidden="0" customHeight="1">
      <x:c r="A169" s="2" t="str">
        <x:v>E312</x:v>
      </x:c>
      <x:c r="B169" s="2" t="str">
        <x:v>无信贷记录</x:v>
      </x:c>
      <x:c r="C169" s="2" t="str">
        <x:v>进项_负数票数</x:v>
      </x:c>
      <x:c r="D169" s="2" t="n">
        <x:v>31</x:v>
      </x:c>
      <x:c r="E169" s="2" t="n">
        <x:v>-15</x:v>
      </x:c>
      <x:c r="F169" s="2" t="n">
        <x:v>25</x:v>
      </x:c>
      <x:c r="G169" s="2" t="str">
        <x:v>原始表保留；建模表缩尾</x:v>
      </x:c>
    </x:row>
    <x:row r="170" ht="15" hidden="0" customHeight="1">
      <x:c r="A170" s="2" t="str">
        <x:v>E314</x:v>
      </x:c>
      <x:c r="B170" s="2" t="str">
        <x:v>无信贷记录</x:v>
      </x:c>
      <x:c r="C170" s="2" t="str">
        <x:v>进项_负数票数</x:v>
      </x:c>
      <x:c r="D170" s="2" t="n">
        <x:v>39</x:v>
      </x:c>
      <x:c r="E170" s="2" t="n">
        <x:v>-15</x:v>
      </x:c>
      <x:c r="F170" s="2" t="n">
        <x:v>25</x:v>
      </x:c>
      <x:c r="G170" s="2" t="str">
        <x:v>原始表保留；建模表缩尾</x:v>
      </x:c>
    </x:row>
    <x:row r="171" ht="15" hidden="0" customHeight="1">
      <x:c r="A171" s="2" t="str">
        <x:v>E1</x:v>
      </x:c>
      <x:c r="B171" s="2" t="str">
        <x:v>有信贷记录</x:v>
      </x:c>
      <x:c r="C171" s="2" t="str">
        <x:v>进项_有效价税合计</x:v>
      </x:c>
      <x:c r="D171" s="2" t="n">
        <x:v>6637942028.29</x:v>
      </x:c>
      <x:c r="E171" s="2" t="n">
        <x:v>-49757421.900000006</x:v>
      </x:c>
      <x:c r="F171" s="2" t="n">
        <x:v>84340433.86000001</x:v>
      </x:c>
      <x:c r="G171" s="2" t="str">
        <x:v>原始表保留；建模表缩尾</x:v>
      </x:c>
    </x:row>
    <x:row r="172" ht="15" hidden="0" customHeight="1">
      <x:c r="A172" s="2" t="str">
        <x:v>E2</x:v>
      </x:c>
      <x:c r="B172" s="2" t="str">
        <x:v>有信贷记录</x:v>
      </x:c>
      <x:c r="C172" s="2" t="str">
        <x:v>进项_有效价税合计</x:v>
      </x:c>
      <x:c r="D172" s="2" t="n">
        <x:v>162487956.62</x:v>
      </x:c>
      <x:c r="E172" s="2" t="n">
        <x:v>-49757421.900000006</x:v>
      </x:c>
      <x:c r="F172" s="2" t="n">
        <x:v>84340433.86000001</x:v>
      </x:c>
      <x:c r="G172" s="2" t="str">
        <x:v>原始表保留；建模表缩尾</x:v>
      </x:c>
    </x:row>
    <x:row r="173" ht="15" hidden="0" customHeight="1">
      <x:c r="A173" s="2" t="str">
        <x:v>E4</x:v>
      </x:c>
      <x:c r="B173" s="2" t="str">
        <x:v>有信贷记录</x:v>
      </x:c>
      <x:c r="C173" s="2" t="str">
        <x:v>进项_有效价税合计</x:v>
      </x:c>
      <x:c r="D173" s="2" t="n">
        <x:v>254584214.62</x:v>
      </x:c>
      <x:c r="E173" s="2" t="n">
        <x:v>-49757421.900000006</x:v>
      </x:c>
      <x:c r="F173" s="2" t="n">
        <x:v>84340433.86000001</x:v>
      </x:c>
      <x:c r="G173" s="2" t="str">
        <x:v>原始表保留；建模表缩尾</x:v>
      </x:c>
    </x:row>
    <x:row r="174" ht="15" hidden="0" customHeight="1">
      <x:c r="A174" s="2" t="str">
        <x:v>E5</x:v>
      </x:c>
      <x:c r="B174" s="2" t="str">
        <x:v>有信贷记录</x:v>
      </x:c>
      <x:c r="C174" s="2" t="str">
        <x:v>进项_有效价税合计</x:v>
      </x:c>
      <x:c r="D174" s="2" t="n">
        <x:v>227331978.97</x:v>
      </x:c>
      <x:c r="E174" s="2" t="n">
        <x:v>-49757421.900000006</x:v>
      </x:c>
      <x:c r="F174" s="2" t="n">
        <x:v>84340433.86000001</x:v>
      </x:c>
      <x:c r="G174" s="2" t="str">
        <x:v>原始表保留；建模表缩尾</x:v>
      </x:c>
    </x:row>
    <x:row r="175" ht="15" hidden="0" customHeight="1">
      <x:c r="A175" s="2" t="str">
        <x:v>E6</x:v>
      </x:c>
      <x:c r="B175" s="2" t="str">
        <x:v>有信贷记录</x:v>
      </x:c>
      <x:c r="C175" s="2" t="str">
        <x:v>进项_有效价税合计</x:v>
      </x:c>
      <x:c r="D175" s="2" t="n">
        <x:v>321178563.5</x:v>
      </x:c>
      <x:c r="E175" s="2" t="n">
        <x:v>-49757421.900000006</x:v>
      </x:c>
      <x:c r="F175" s="2" t="n">
        <x:v>84340433.86000001</x:v>
      </x:c>
      <x:c r="G175" s="2" t="str">
        <x:v>原始表保留；建模表缩尾</x:v>
      </x:c>
    </x:row>
    <x:row r="176" ht="15" hidden="0" customHeight="1">
      <x:c r="A176" s="2" t="str">
        <x:v>E8</x:v>
      </x:c>
      <x:c r="B176" s="2" t="str">
        <x:v>有信贷记录</x:v>
      </x:c>
      <x:c r="C176" s="2" t="str">
        <x:v>进项_有效价税合计</x:v>
      </x:c>
      <x:c r="D176" s="2" t="n">
        <x:v>170418693.94</x:v>
      </x:c>
      <x:c r="E176" s="2" t="n">
        <x:v>-49757421.900000006</x:v>
      </x:c>
      <x:c r="F176" s="2" t="n">
        <x:v>84340433.86000001</x:v>
      </x:c>
      <x:c r="G176" s="2" t="str">
        <x:v>原始表保留；建模表缩尾</x:v>
      </x:c>
    </x:row>
    <x:row r="177" ht="15" hidden="0" customHeight="1">
      <x:c r="A177" s="2" t="str">
        <x:v>E11</x:v>
      </x:c>
      <x:c r="B177" s="2" t="str">
        <x:v>有信贷记录</x:v>
      </x:c>
      <x:c r="C177" s="2" t="str">
        <x:v>进项_有效价税合计</x:v>
      </x:c>
      <x:c r="D177" s="2" t="n">
        <x:v>144211948.07999998</x:v>
      </x:c>
      <x:c r="E177" s="2" t="n">
        <x:v>-49757421.900000006</x:v>
      </x:c>
      <x:c r="F177" s="2" t="n">
        <x:v>84340433.86000001</x:v>
      </x:c>
      <x:c r="G177" s="2" t="str">
        <x:v>原始表保留；建模表缩尾</x:v>
      </x:c>
    </x:row>
    <x:row r="178" ht="15" hidden="0" customHeight="1">
      <x:c r="A178" s="2" t="str">
        <x:v>E12</x:v>
      </x:c>
      <x:c r="B178" s="2" t="str">
        <x:v>有信贷记录</x:v>
      </x:c>
      <x:c r="C178" s="2" t="str">
        <x:v>进项_有效价税合计</x:v>
      </x:c>
      <x:c r="D178" s="2" t="n">
        <x:v>95447012.7</x:v>
      </x:c>
      <x:c r="E178" s="2" t="n">
        <x:v>-49757421.900000006</x:v>
      </x:c>
      <x:c r="F178" s="2" t="n">
        <x:v>84340433.86000001</x:v>
      </x:c>
      <x:c r="G178" s="2" t="str">
        <x:v>原始表保留；建模表缩尾</x:v>
      </x:c>
    </x:row>
    <x:row r="179" ht="15" hidden="0" customHeight="1">
      <x:c r="A179" s="2" t="str">
        <x:v>E13</x:v>
      </x:c>
      <x:c r="B179" s="2" t="str">
        <x:v>有信贷记录</x:v>
      </x:c>
      <x:c r="C179" s="2" t="str">
        <x:v>进项_有效价税合计</x:v>
      </x:c>
      <x:c r="D179" s="2" t="n">
        <x:v>103628502.97</x:v>
      </x:c>
      <x:c r="E179" s="2" t="n">
        <x:v>-49757421.900000006</x:v>
      </x:c>
      <x:c r="F179" s="2" t="n">
        <x:v>84340433.86000001</x:v>
      </x:c>
      <x:c r="G179" s="2" t="str">
        <x:v>原始表保留；建模表缩尾</x:v>
      </x:c>
    </x:row>
    <x:row r="180" ht="15" hidden="0" customHeight="1">
      <x:c r="A180" s="2" t="str">
        <x:v>E14</x:v>
      </x:c>
      <x:c r="B180" s="2" t="str">
        <x:v>有信贷记录</x:v>
      </x:c>
      <x:c r="C180" s="2" t="str">
        <x:v>进项_有效价税合计</x:v>
      </x:c>
      <x:c r="D180" s="2" t="n">
        <x:v>125103670.24</x:v>
      </x:c>
      <x:c r="E180" s="2" t="n">
        <x:v>-49757421.900000006</x:v>
      </x:c>
      <x:c r="F180" s="2" t="n">
        <x:v>84340433.86000001</x:v>
      </x:c>
      <x:c r="G180" s="2" t="str">
        <x:v>原始表保留；建模表缩尾</x:v>
      </x:c>
    </x:row>
    <x:row r="181" ht="15" hidden="0" customHeight="1">
      <x:c r="A181" s="2" t="str">
        <x:v>E17</x:v>
      </x:c>
      <x:c r="B181" s="2" t="str">
        <x:v>有信贷记录</x:v>
      </x:c>
      <x:c r="C181" s="2" t="str">
        <x:v>进项_有效价税合计</x:v>
      </x:c>
      <x:c r="D181" s="2" t="n">
        <x:v>142782019.19</x:v>
      </x:c>
      <x:c r="E181" s="2" t="n">
        <x:v>-49757421.900000006</x:v>
      </x:c>
      <x:c r="F181" s="2" t="n">
        <x:v>84340433.86000001</x:v>
      </x:c>
      <x:c r="G181" s="2" t="str">
        <x:v>原始表保留；建模表缩尾</x:v>
      </x:c>
    </x:row>
    <x:row r="182" ht="15" hidden="0" customHeight="1">
      <x:c r="A182" s="2" t="str">
        <x:v>E18</x:v>
      </x:c>
      <x:c r="B182" s="2" t="str">
        <x:v>有信贷记录</x:v>
      </x:c>
      <x:c r="C182" s="2" t="str">
        <x:v>进项_有效价税合计</x:v>
      </x:c>
      <x:c r="D182" s="2" t="n">
        <x:v>137752837.21</x:v>
      </x:c>
      <x:c r="E182" s="2" t="n">
        <x:v>-49757421.900000006</x:v>
      </x:c>
      <x:c r="F182" s="2" t="n">
        <x:v>84340433.86000001</x:v>
      </x:c>
      <x:c r="G182" s="2" t="str">
        <x:v>原始表保留；建模表缩尾</x:v>
      </x:c>
    </x:row>
    <x:row r="183" ht="15" hidden="0" customHeight="1">
      <x:c r="A183" s="2" t="str">
        <x:v>E19</x:v>
      </x:c>
      <x:c r="B183" s="2" t="str">
        <x:v>有信贷记录</x:v>
      </x:c>
      <x:c r="C183" s="2" t="str">
        <x:v>进项_有效价税合计</x:v>
      </x:c>
      <x:c r="D183" s="2" t="n">
        <x:v>212140557.3</x:v>
      </x:c>
      <x:c r="E183" s="2" t="n">
        <x:v>-49757421.900000006</x:v>
      </x:c>
      <x:c r="F183" s="2" t="n">
        <x:v>84340433.86000001</x:v>
      </x:c>
      <x:c r="G183" s="2" t="str">
        <x:v>原始表保留；建模表缩尾</x:v>
      </x:c>
    </x:row>
    <x:row r="184" ht="15" hidden="0" customHeight="1">
      <x:c r="A184" s="2" t="str">
        <x:v>E20</x:v>
      </x:c>
      <x:c r="B184" s="2" t="str">
        <x:v>有信贷记录</x:v>
      </x:c>
      <x:c r="C184" s="2" t="str">
        <x:v>进项_有效价税合计</x:v>
      </x:c>
      <x:c r="D184" s="2" t="n">
        <x:v>204339817.17000002</x:v>
      </x:c>
      <x:c r="E184" s="2" t="n">
        <x:v>-49757421.900000006</x:v>
      </x:c>
      <x:c r="F184" s="2" t="n">
        <x:v>84340433.86000001</x:v>
      </x:c>
      <x:c r="G184" s="2" t="str">
        <x:v>原始表保留；建模表缩尾</x:v>
      </x:c>
    </x:row>
    <x:row r="185" ht="15" hidden="0" customHeight="1">
      <x:c r="A185" s="2" t="str">
        <x:v>E21</x:v>
      </x:c>
      <x:c r="B185" s="2" t="str">
        <x:v>有信贷记录</x:v>
      </x:c>
      <x:c r="C185" s="2" t="str">
        <x:v>进项_有效价税合计</x:v>
      </x:c>
      <x:c r="D185" s="2" t="n">
        <x:v>123194760.08000001</x:v>
      </x:c>
      <x:c r="E185" s="2" t="n">
        <x:v>-49757421.900000006</x:v>
      </x:c>
      <x:c r="F185" s="2" t="n">
        <x:v>84340433.86000001</x:v>
      </x:c>
      <x:c r="G185" s="2" t="str">
        <x:v>原始表保留；建模表缩尾</x:v>
      </x:c>
    </x:row>
    <x:row r="186" ht="15" hidden="0" customHeight="1">
      <x:c r="A186" s="2" t="str">
        <x:v>E23</x:v>
      </x:c>
      <x:c r="B186" s="2" t="str">
        <x:v>有信贷记录</x:v>
      </x:c>
      <x:c r="C186" s="2" t="str">
        <x:v>进项_有效价税合计</x:v>
      </x:c>
      <x:c r="D186" s="2" t="n">
        <x:v>200994746.13</x:v>
      </x:c>
      <x:c r="E186" s="2" t="n">
        <x:v>-49757421.900000006</x:v>
      </x:c>
      <x:c r="F186" s="2" t="n">
        <x:v>84340433.86000001</x:v>
      </x:c>
      <x:c r="G186" s="2" t="str">
        <x:v>原始表保留；建模表缩尾</x:v>
      </x:c>
    </x:row>
    <x:row r="187" ht="15" hidden="0" customHeight="1">
      <x:c r="A187" s="2" t="str">
        <x:v>E24</x:v>
      </x:c>
      <x:c r="B187" s="2" t="str">
        <x:v>有信贷记录</x:v>
      </x:c>
      <x:c r="C187" s="2" t="str">
        <x:v>进项_有效价税合计</x:v>
      </x:c>
      <x:c r="D187" s="2" t="n">
        <x:v>86230669.41</x:v>
      </x:c>
      <x:c r="E187" s="2" t="n">
        <x:v>-49757421.900000006</x:v>
      </x:c>
      <x:c r="F187" s="2" t="n">
        <x:v>84340433.86000001</x:v>
      </x:c>
      <x:c r="G187" s="2" t="str">
        <x:v>原始表保留；建模表缩尾</x:v>
      </x:c>
    </x:row>
    <x:row r="188" ht="15" hidden="0" customHeight="1">
      <x:c r="A188" s="2" t="str">
        <x:v>E124</x:v>
      </x:c>
      <x:c r="B188" s="2" t="str">
        <x:v>无信贷记录</x:v>
      </x:c>
      <x:c r="C188" s="2" t="str">
        <x:v>进项_有效价税合计</x:v>
      </x:c>
      <x:c r="D188" s="2" t="n">
        <x:v>844202797.23</x:v>
      </x:c>
      <x:c r="E188" s="2" t="n">
        <x:v>-49757421.900000006</x:v>
      </x:c>
      <x:c r="F188" s="2" t="n">
        <x:v>84340433.86000001</x:v>
      </x:c>
      <x:c r="G188" s="2" t="str">
        <x:v>原始表保留；建模表缩尾</x:v>
      </x:c>
    </x:row>
    <x:row r="189" ht="15" hidden="0" customHeight="1">
      <x:c r="A189" s="2" t="str">
        <x:v>E125</x:v>
      </x:c>
      <x:c r="B189" s="2" t="str">
        <x:v>无信贷记录</x:v>
      </x:c>
      <x:c r="C189" s="2" t="str">
        <x:v>进项_有效价税合计</x:v>
      </x:c>
      <x:c r="D189" s="2" t="n">
        <x:v>1001201808.6000001</x:v>
      </x:c>
      <x:c r="E189" s="2" t="n">
        <x:v>-49757421.900000006</x:v>
      </x:c>
      <x:c r="F189" s="2" t="n">
        <x:v>84340433.86000001</x:v>
      </x:c>
      <x:c r="G189" s="2" t="str">
        <x:v>原始表保留；建模表缩尾</x:v>
      </x:c>
    </x:row>
    <x:row r="190" ht="15" hidden="0" customHeight="1">
      <x:c r="A190" s="2" t="str">
        <x:v>E126</x:v>
      </x:c>
      <x:c r="B190" s="2" t="str">
        <x:v>无信贷记录</x:v>
      </x:c>
      <x:c r="C190" s="2" t="str">
        <x:v>进项_有效价税合计</x:v>
      </x:c>
      <x:c r="D190" s="2" t="n">
        <x:v>128818723.63</x:v>
      </x:c>
      <x:c r="E190" s="2" t="n">
        <x:v>-49757421.900000006</x:v>
      </x:c>
      <x:c r="F190" s="2" t="n">
        <x:v>84340433.86000001</x:v>
      </x:c>
      <x:c r="G190" s="2" t="str">
        <x:v>原始表保留；建模表缩尾</x:v>
      </x:c>
    </x:row>
    <x:row r="191" ht="15" hidden="0" customHeight="1">
      <x:c r="A191" s="2" t="str">
        <x:v>E129</x:v>
      </x:c>
      <x:c r="B191" s="2" t="str">
        <x:v>无信贷记录</x:v>
      </x:c>
      <x:c r="C191" s="2" t="str">
        <x:v>进项_有效价税合计</x:v>
      </x:c>
      <x:c r="D191" s="2" t="n">
        <x:v>85577806.82</x:v>
      </x:c>
      <x:c r="E191" s="2" t="n">
        <x:v>-49757421.900000006</x:v>
      </x:c>
      <x:c r="F191" s="2" t="n">
        <x:v>84340433.86000001</x:v>
      </x:c>
      <x:c r="G191" s="2" t="str">
        <x:v>原始表保留；建模表缩尾</x:v>
      </x:c>
    </x:row>
    <x:row r="192" ht="15" hidden="0" customHeight="1">
      <x:c r="A192" s="2" t="str">
        <x:v>E131</x:v>
      </x:c>
      <x:c r="B192" s="2" t="str">
        <x:v>无信贷记录</x:v>
      </x:c>
      <x:c r="C192" s="2" t="str">
        <x:v>进项_有效价税合计</x:v>
      </x:c>
      <x:c r="D192" s="2" t="n">
        <x:v>125103670.24</x:v>
      </x:c>
      <x:c r="E192" s="2" t="n">
        <x:v>-49757421.900000006</x:v>
      </x:c>
      <x:c r="F192" s="2" t="n">
        <x:v>84340433.86000001</x:v>
      </x:c>
      <x:c r="G192" s="2" t="str">
        <x:v>原始表保留；建模表缩尾</x:v>
      </x:c>
    </x:row>
    <x:row r="193" ht="15" hidden="0" customHeight="1">
      <x:c r="A193" s="2" t="str">
        <x:v>E136</x:v>
      </x:c>
      <x:c r="B193" s="2" t="str">
        <x:v>无信贷记录</x:v>
      </x:c>
      <x:c r="C193" s="2" t="str">
        <x:v>进项_有效价税合计</x:v>
      </x:c>
      <x:c r="D193" s="2" t="n">
        <x:v>132110009.25</x:v>
      </x:c>
      <x:c r="E193" s="2" t="n">
        <x:v>-49757421.900000006</x:v>
      </x:c>
      <x:c r="F193" s="2" t="n">
        <x:v>84340433.86000001</x:v>
      </x:c>
      <x:c r="G193" s="2" t="str">
        <x:v>原始表保留；建模表缩尾</x:v>
      </x:c>
    </x:row>
    <x:row r="194" ht="15" hidden="0" customHeight="1">
      <x:c r="A194" s="2" t="str">
        <x:v>E137</x:v>
      </x:c>
      <x:c r="B194" s="2" t="str">
        <x:v>无信贷记录</x:v>
      </x:c>
      <x:c r="C194" s="2" t="str">
        <x:v>进项_有效价税合计</x:v>
      </x:c>
      <x:c r="D194" s="2" t="n">
        <x:v>108301441.78</x:v>
      </x:c>
      <x:c r="E194" s="2" t="n">
        <x:v>-49757421.900000006</x:v>
      </x:c>
      <x:c r="F194" s="2" t="n">
        <x:v>84340433.86000001</x:v>
      </x:c>
      <x:c r="G194" s="2" t="str">
        <x:v>原始表保留；建模表缩尾</x:v>
      </x:c>
    </x:row>
    <x:row r="195" ht="15" hidden="0" customHeight="1">
      <x:c r="A195" s="2" t="str">
        <x:v>E145</x:v>
      </x:c>
      <x:c r="B195" s="2" t="str">
        <x:v>无信贷记录</x:v>
      </x:c>
      <x:c r="C195" s="2" t="str">
        <x:v>进项_有效价税合计</x:v>
      </x:c>
      <x:c r="D195" s="2" t="n">
        <x:v>129021774.38</x:v>
      </x:c>
      <x:c r="E195" s="2" t="n">
        <x:v>-49757421.900000006</x:v>
      </x:c>
      <x:c r="F195" s="2" t="n">
        <x:v>84340433.86000001</x:v>
      </x:c>
      <x:c r="G195" s="2" t="str">
        <x:v>原始表保留；建模表缩尾</x:v>
      </x:c>
    </x:row>
    <x:row r="196" ht="15" hidden="0" customHeight="1">
      <x:c r="A196" s="2" t="str">
        <x:v>E146</x:v>
      </x:c>
      <x:c r="B196" s="2" t="str">
        <x:v>无信贷记录</x:v>
      </x:c>
      <x:c r="C196" s="2" t="str">
        <x:v>进项_有效价税合计</x:v>
      </x:c>
      <x:c r="D196" s="2" t="n">
        <x:v>137328170.11</x:v>
      </x:c>
      <x:c r="E196" s="2" t="n">
        <x:v>-49757421.900000006</x:v>
      </x:c>
      <x:c r="F196" s="2" t="n">
        <x:v>84340433.86000001</x:v>
      </x:c>
      <x:c r="G196" s="2" t="str">
        <x:v>原始表保留；建模表缩尾</x:v>
      </x:c>
    </x:row>
    <x:row r="197" ht="15" hidden="0" customHeight="1">
      <x:c r="A197" s="2" t="str">
        <x:v>E147</x:v>
      </x:c>
      <x:c r="B197" s="2" t="str">
        <x:v>无信贷记录</x:v>
      </x:c>
      <x:c r="C197" s="2" t="str">
        <x:v>进项_有效价税合计</x:v>
      </x:c>
      <x:c r="D197" s="2" t="n">
        <x:v>156403712.07999998</x:v>
      </x:c>
      <x:c r="E197" s="2" t="n">
        <x:v>-49757421.900000006</x:v>
      </x:c>
      <x:c r="F197" s="2" t="n">
        <x:v>84340433.86000001</x:v>
      </x:c>
      <x:c r="G197" s="2" t="str">
        <x:v>原始表保留；建模表缩尾</x:v>
      </x:c>
    </x:row>
    <x:row r="198" ht="15" hidden="0" customHeight="1">
      <x:c r="A198" s="2" t="str">
        <x:v>E150</x:v>
      </x:c>
      <x:c r="B198" s="2" t="str">
        <x:v>无信贷记录</x:v>
      </x:c>
      <x:c r="C198" s="2" t="str">
        <x:v>进项_有效价税合计</x:v>
      </x:c>
      <x:c r="D198" s="2" t="n">
        <x:v>88299286.07</x:v>
      </x:c>
      <x:c r="E198" s="2" t="n">
        <x:v>-49757421.900000006</x:v>
      </x:c>
      <x:c r="F198" s="2" t="n">
        <x:v>84340433.86000001</x:v>
      </x:c>
      <x:c r="G198" s="2" t="str">
        <x:v>原始表保留；建模表缩尾</x:v>
      </x:c>
    </x:row>
    <x:row r="199" ht="15" hidden="0" customHeight="1">
      <x:c r="A199" s="2" t="str">
        <x:v>E154</x:v>
      </x:c>
      <x:c r="B199" s="2" t="str">
        <x:v>无信贷记录</x:v>
      </x:c>
      <x:c r="C199" s="2" t="str">
        <x:v>进项_有效价税合计</x:v>
      </x:c>
      <x:c r="D199" s="2" t="n">
        <x:v>141657840.55</x:v>
      </x:c>
      <x:c r="E199" s="2" t="n">
        <x:v>-49757421.900000006</x:v>
      </x:c>
      <x:c r="F199" s="2" t="n">
        <x:v>84340433.86000001</x:v>
      </x:c>
      <x:c r="G199" s="2" t="str">
        <x:v>原始表保留；建模表缩尾</x:v>
      </x:c>
    </x:row>
    <x:row r="200" ht="15" hidden="0" customHeight="1">
      <x:c r="A200" s="2" t="str">
        <x:v>E155</x:v>
      </x:c>
      <x:c r="B200" s="2" t="str">
        <x:v>无信贷记录</x:v>
      </x:c>
      <x:c r="C200" s="2" t="str">
        <x:v>进项_有效价税合计</x:v>
      </x:c>
      <x:c r="D200" s="2" t="n">
        <x:v>85664767.68</x:v>
      </x:c>
      <x:c r="E200" s="2" t="n">
        <x:v>-49757421.900000006</x:v>
      </x:c>
      <x:c r="F200" s="2" t="n">
        <x:v>84340433.86000001</x:v>
      </x:c>
      <x:c r="G200" s="2" t="str">
        <x:v>原始表保留；建模表缩尾</x:v>
      </x:c>
    </x:row>
    <x:row r="201" ht="15" hidden="0" customHeight="1">
      <x:c r="A201" s="2" t="str">
        <x:v>E160</x:v>
      </x:c>
      <x:c r="B201" s="2" t="str">
        <x:v>无信贷记录</x:v>
      </x:c>
      <x:c r="C201" s="2" t="str">
        <x:v>进项_有效价税合计</x:v>
      </x:c>
      <x:c r="D201" s="2" t="n">
        <x:v>103960096.33</x:v>
      </x:c>
      <x:c r="E201" s="2" t="n">
        <x:v>-49757421.900000006</x:v>
      </x:c>
      <x:c r="F201" s="2" t="n">
        <x:v>84340433.86000001</x:v>
      </x:c>
      <x:c r="G201" s="2" t="str">
        <x:v>原始表保留；建模表缩尾</x:v>
      </x:c>
    </x:row>
    <x:row r="202" ht="15" hidden="0" customHeight="1">
      <x:c r="A202" s="2" t="str">
        <x:v>E162</x:v>
      </x:c>
      <x:c r="B202" s="2" t="str">
        <x:v>无信贷记录</x:v>
      </x:c>
      <x:c r="C202" s="2" t="str">
        <x:v>进项_有效价税合计</x:v>
      </x:c>
      <x:c r="D202" s="2" t="n">
        <x:v>143322878.65</x:v>
      </x:c>
      <x:c r="E202" s="2" t="n">
        <x:v>-49757421.900000006</x:v>
      </x:c>
      <x:c r="F202" s="2" t="n">
        <x:v>84340433.86000001</x:v>
      </x:c>
      <x:c r="G202" s="2" t="str">
        <x:v>原始表保留；建模表缩尾</x:v>
      </x:c>
    </x:row>
    <x:row r="203" ht="15" hidden="0" customHeight="1">
      <x:c r="A203" s="2" t="str">
        <x:v>E165</x:v>
      </x:c>
      <x:c r="B203" s="2" t="str">
        <x:v>无信贷记录</x:v>
      </x:c>
      <x:c r="C203" s="2" t="str">
        <x:v>进项_有效价税合计</x:v>
      </x:c>
      <x:c r="D203" s="2" t="n">
        <x:v>92982086.56</x:v>
      </x:c>
      <x:c r="E203" s="2" t="n">
        <x:v>-49757421.900000006</x:v>
      </x:c>
      <x:c r="F203" s="2" t="n">
        <x:v>84340433.86000001</x:v>
      </x:c>
      <x:c r="G203" s="2" t="str">
        <x:v>原始表保留；建模表缩尾</x:v>
      </x:c>
    </x:row>
    <x:row r="204" ht="15" hidden="0" customHeight="1">
      <x:c r="A204" s="2" t="str">
        <x:v>E167</x:v>
      </x:c>
      <x:c r="B204" s="2" t="str">
        <x:v>无信贷记录</x:v>
      </x:c>
      <x:c r="C204" s="2" t="str">
        <x:v>进项_有效价税合计</x:v>
      </x:c>
      <x:c r="D204" s="2" t="n">
        <x:v>158300709.57999998</x:v>
      </x:c>
      <x:c r="E204" s="2" t="n">
        <x:v>-49757421.900000006</x:v>
      </x:c>
      <x:c r="F204" s="2" t="n">
        <x:v>84340433.86000001</x:v>
      </x:c>
      <x:c r="G204" s="2" t="str">
        <x:v>原始表保留；建模表缩尾</x:v>
      </x:c>
    </x:row>
    <x:row r="205" ht="15" hidden="0" customHeight="1">
      <x:c r="A205" s="2" t="str">
        <x:v>E173</x:v>
      </x:c>
      <x:c r="B205" s="2" t="str">
        <x:v>无信贷记录</x:v>
      </x:c>
      <x:c r="C205" s="2" t="str">
        <x:v>进项_有效价税合计</x:v>
      </x:c>
      <x:c r="D205" s="2" t="n">
        <x:v>122539845.94</x:v>
      </x:c>
      <x:c r="E205" s="2" t="n">
        <x:v>-49757421.900000006</x:v>
      </x:c>
      <x:c r="F205" s="2" t="n">
        <x:v>84340433.86000001</x:v>
      </x:c>
      <x:c r="G205" s="2" t="str">
        <x:v>原始表保留；建模表缩尾</x:v>
      </x:c>
    </x:row>
    <x:row r="206" ht="15" hidden="0" customHeight="1">
      <x:c r="A206" s="2" t="str">
        <x:v>E174</x:v>
      </x:c>
      <x:c r="B206" s="2" t="str">
        <x:v>无信贷记录</x:v>
      </x:c>
      <x:c r="C206" s="2" t="str">
        <x:v>进项_有效价税合计</x:v>
      </x:c>
      <x:c r="D206" s="2" t="n">
        <x:v>86874940.41</x:v>
      </x:c>
      <x:c r="E206" s="2" t="n">
        <x:v>-49757421.900000006</x:v>
      </x:c>
      <x:c r="F206" s="2" t="n">
        <x:v>84340433.86000001</x:v>
      </x:c>
      <x:c r="G206" s="2" t="str">
        <x:v>原始表保留；建模表缩尾</x:v>
      </x:c>
    </x:row>
    <x:row r="207" ht="15" hidden="0" customHeight="1">
      <x:c r="A207" s="2" t="str">
        <x:v>E175</x:v>
      </x:c>
      <x:c r="B207" s="2" t="str">
        <x:v>无信贷记录</x:v>
      </x:c>
      <x:c r="C207" s="2" t="str">
        <x:v>进项_有效价税合计</x:v>
      </x:c>
      <x:c r="D207" s="2" t="n">
        <x:v>89119087.08000001</x:v>
      </x:c>
      <x:c r="E207" s="2" t="n">
        <x:v>-49757421.900000006</x:v>
      </x:c>
      <x:c r="F207" s="2" t="n">
        <x:v>84340433.86000001</x:v>
      </x:c>
      <x:c r="G207" s="2" t="str">
        <x:v>原始表保留；建模表缩尾</x:v>
      </x:c>
    </x:row>
    <x:row r="208" ht="15" hidden="0" customHeight="1">
      <x:c r="A208" s="2" t="str">
        <x:v>E178</x:v>
      </x:c>
      <x:c r="B208" s="2" t="str">
        <x:v>无信贷记录</x:v>
      </x:c>
      <x:c r="C208" s="2" t="str">
        <x:v>进项_有效价税合计</x:v>
      </x:c>
      <x:c r="D208" s="2" t="n">
        <x:v>91884740.44</x:v>
      </x:c>
      <x:c r="E208" s="2" t="n">
        <x:v>-49757421.900000006</x:v>
      </x:c>
      <x:c r="F208" s="2" t="n">
        <x:v>84340433.86000001</x:v>
      </x:c>
      <x:c r="G208" s="2" t="str">
        <x:v>原始表保留；建模表缩尾</x:v>
      </x:c>
    </x:row>
    <x:row r="209" ht="15" hidden="0" customHeight="1">
      <x:c r="A209" s="2" t="str">
        <x:v>E181</x:v>
      </x:c>
      <x:c r="B209" s="2" t="str">
        <x:v>无信贷记录</x:v>
      </x:c>
      <x:c r="C209" s="2" t="str">
        <x:v>进项_有效价税合计</x:v>
      </x:c>
      <x:c r="D209" s="2" t="n">
        <x:v>97838584.03</x:v>
      </x:c>
      <x:c r="E209" s="2" t="n">
        <x:v>-49757421.900000006</x:v>
      </x:c>
      <x:c r="F209" s="2" t="n">
        <x:v>84340433.86000001</x:v>
      </x:c>
      <x:c r="G209" s="2" t="str">
        <x:v>原始表保留；建模表缩尾</x:v>
      </x:c>
    </x:row>
    <x:row r="210" ht="15" hidden="0" customHeight="1">
      <x:c r="A210" s="2" t="str">
        <x:v>E182</x:v>
      </x:c>
      <x:c r="B210" s="2" t="str">
        <x:v>无信贷记录</x:v>
      </x:c>
      <x:c r="C210" s="2" t="str">
        <x:v>进项_有效价税合计</x:v>
      </x:c>
      <x:c r="D210" s="2" t="n">
        <x:v>84505227.05</x:v>
      </x:c>
      <x:c r="E210" s="2" t="n">
        <x:v>-49757421.900000006</x:v>
      </x:c>
      <x:c r="F210" s="2" t="n">
        <x:v>84340433.86000001</x:v>
      </x:c>
      <x:c r="G210" s="2" t="str">
        <x:v>原始表保留；建模表缩尾</x:v>
      </x:c>
    </x:row>
    <x:row r="211" ht="15" hidden="0" customHeight="1">
      <x:c r="A211" s="2" t="str">
        <x:v>E188</x:v>
      </x:c>
      <x:c r="B211" s="2" t="str">
        <x:v>无信贷记录</x:v>
      </x:c>
      <x:c r="C211" s="2" t="str">
        <x:v>进项_有效价税合计</x:v>
      </x:c>
      <x:c r="D211" s="2" t="n">
        <x:v>90271570.8</x:v>
      </x:c>
      <x:c r="E211" s="2" t="n">
        <x:v>-49757421.900000006</x:v>
      </x:c>
      <x:c r="F211" s="2" t="n">
        <x:v>84340433.86000001</x:v>
      </x:c>
      <x:c r="G211" s="2" t="str">
        <x:v>原始表保留；建模表缩尾</x:v>
      </x:c>
    </x:row>
    <x:row r="212" ht="15" hidden="0" customHeight="1">
      <x:c r="A212" s="2" t="str">
        <x:v>E191</x:v>
      </x:c>
      <x:c r="B212" s="2" t="str">
        <x:v>无信贷记录</x:v>
      </x:c>
      <x:c r="C212" s="2" t="str">
        <x:v>进项_有效价税合计</x:v>
      </x:c>
      <x:c r="D212" s="2" t="n">
        <x:v>304103652.19</x:v>
      </x:c>
      <x:c r="E212" s="2" t="n">
        <x:v>-49757421.900000006</x:v>
      </x:c>
      <x:c r="F212" s="2" t="n">
        <x:v>84340433.86000001</x:v>
      </x:c>
      <x:c r="G212" s="2" t="str">
        <x:v>原始表保留；建模表缩尾</x:v>
      </x:c>
    </x:row>
    <x:row r="213" ht="15" hidden="0" customHeight="1">
      <x:c r="A213" s="2" t="str">
        <x:v>E195</x:v>
      </x:c>
      <x:c r="B213" s="2" t="str">
        <x:v>无信贷记录</x:v>
      </x:c>
      <x:c r="C213" s="2" t="str">
        <x:v>进项_有效价税合计</x:v>
      </x:c>
      <x:c r="D213" s="2" t="n">
        <x:v>86953398.85</x:v>
      </x:c>
      <x:c r="E213" s="2" t="n">
        <x:v>-49757421.900000006</x:v>
      </x:c>
      <x:c r="F213" s="2" t="n">
        <x:v>84340433.86000001</x:v>
      </x:c>
      <x:c r="G213" s="2" t="str">
        <x:v>原始表保留；建模表缩尾</x:v>
      </x:c>
    </x:row>
    <x:row r="214" ht="15" hidden="0" customHeight="1">
      <x:c r="A214" s="2" t="str">
        <x:v>E197</x:v>
      </x:c>
      <x:c r="B214" s="2" t="str">
        <x:v>无信贷记录</x:v>
      </x:c>
      <x:c r="C214" s="2" t="str">
        <x:v>进项_有效价税合计</x:v>
      </x:c>
      <x:c r="D214" s="2" t="n">
        <x:v>99339824.47999999</x:v>
      </x:c>
      <x:c r="E214" s="2" t="n">
        <x:v>-49757421.900000006</x:v>
      </x:c>
      <x:c r="F214" s="2" t="n">
        <x:v>84340433.86000001</x:v>
      </x:c>
      <x:c r="G214" s="2" t="str">
        <x:v>原始表保留；建模表缩尾</x:v>
      </x:c>
    </x:row>
    <x:row r="215" ht="15" hidden="0" customHeight="1">
      <x:c r="A215" s="2" t="str">
        <x:v>E208</x:v>
      </x:c>
      <x:c r="B215" s="2" t="str">
        <x:v>无信贷记录</x:v>
      </x:c>
      <x:c r="C215" s="2" t="str">
        <x:v>进项_有效价税合计</x:v>
      </x:c>
      <x:c r="D215" s="2" t="n">
        <x:v>87822606.12</x:v>
      </x:c>
      <x:c r="E215" s="2" t="n">
        <x:v>-49757421.900000006</x:v>
      </x:c>
      <x:c r="F215" s="2" t="n">
        <x:v>84340433.86000001</x:v>
      </x:c>
      <x:c r="G215" s="2" t="str">
        <x:v>原始表保留；建模表缩尾</x:v>
      </x:c>
    </x:row>
    <x:row r="216" ht="15" hidden="0" customHeight="1">
      <x:c r="A216" s="2" t="str">
        <x:v>E224</x:v>
      </x:c>
      <x:c r="B216" s="2" t="str">
        <x:v>无信贷记录</x:v>
      </x:c>
      <x:c r="C216" s="2" t="str">
        <x:v>进项_有效价税合计</x:v>
      </x:c>
      <x:c r="D216" s="2" t="n">
        <x:v>114283500.84</x:v>
      </x:c>
      <x:c r="E216" s="2" t="n">
        <x:v>-49757421.900000006</x:v>
      </x:c>
      <x:c r="F216" s="2" t="n">
        <x:v>84340433.86000001</x:v>
      </x:c>
      <x:c r="G216" s="2" t="str">
        <x:v>原始表保留；建模表缩尾</x:v>
      </x:c>
    </x:row>
    <x:row r="217" ht="15" hidden="0" customHeight="1">
      <x:c r="A217" s="2" t="str">
        <x:v>E324</x:v>
      </x:c>
      <x:c r="B217" s="2" t="str">
        <x:v>无信贷记录</x:v>
      </x:c>
      <x:c r="C217" s="2" t="str">
        <x:v>进项_有效价税合计</x:v>
      </x:c>
      <x:c r="D217" s="2" t="n">
        <x:v>91927033.15</x:v>
      </x:c>
      <x:c r="E217" s="2" t="n">
        <x:v>-49757421.900000006</x:v>
      </x:c>
      <x:c r="F217" s="2" t="n">
        <x:v>84340433.86000001</x:v>
      </x:c>
      <x:c r="G217" s="2" t="str">
        <x:v>原始表保留；建模表缩尾</x:v>
      </x:c>
    </x:row>
    <x:row r="218" ht="15" hidden="0" customHeight="1">
      <x:c r="A218" s="2" t="str">
        <x:v>E381</x:v>
      </x:c>
      <x:c r="B218" s="2" t="str">
        <x:v>无信贷记录</x:v>
      </x:c>
      <x:c r="C218" s="2" t="str">
        <x:v>进项_有效价税合计</x:v>
      </x:c>
      <x:c r="D218" s="2" t="n">
        <x:v>97393355.96000001</x:v>
      </x:c>
      <x:c r="E218" s="2" t="n">
        <x:v>-49757421.900000006</x:v>
      </x:c>
      <x:c r="F218" s="2" t="n">
        <x:v>84340433.86000001</x:v>
      </x:c>
      <x:c r="G218" s="2" t="str">
        <x:v>原始表保留；建模表缩尾</x:v>
      </x:c>
    </x:row>
    <x:row r="219" ht="15" hidden="0" customHeight="1">
      <x:c r="A219" s="2" t="str">
        <x:v>E1</x:v>
      </x:c>
      <x:c r="B219" s="2" t="str">
        <x:v>有信贷记录</x:v>
      </x:c>
      <x:c r="C219" s="2" t="str">
        <x:v>进项_有效绝对额</x:v>
      </x:c>
      <x:c r="D219" s="2" t="n">
        <x:v>7786097640.389999</x:v>
      </x:c>
      <x:c r="E219" s="2" t="n">
        <x:v>-51312779.525000006</x:v>
      </x:c>
      <x:c r="F219" s="2" t="n">
        <x:v>86936125.875</x:v>
      </x:c>
      <x:c r="G219" s="2" t="str">
        <x:v>原始表保留；建模表缩尾</x:v>
      </x:c>
    </x:row>
    <x:row r="220" ht="15" hidden="0" customHeight="1">
      <x:c r="A220" s="2" t="str">
        <x:v>E2</x:v>
      </x:c>
      <x:c r="B220" s="2" t="str">
        <x:v>有信贷记录</x:v>
      </x:c>
      <x:c r="C220" s="2" t="str">
        <x:v>进项_有效绝对额</x:v>
      </x:c>
      <x:c r="D220" s="2" t="n">
        <x:v>164563441.82</x:v>
      </x:c>
      <x:c r="E220" s="2" t="n">
        <x:v>-51312779.525000006</x:v>
      </x:c>
      <x:c r="F220" s="2" t="n">
        <x:v>86936125.875</x:v>
      </x:c>
      <x:c r="G220" s="2" t="str">
        <x:v>原始表保留；建模表缩尾</x:v>
      </x:c>
    </x:row>
    <x:row r="221" ht="15" hidden="0" customHeight="1">
      <x:c r="A221" s="2" t="str">
        <x:v>E4</x:v>
      </x:c>
      <x:c r="B221" s="2" t="str">
        <x:v>有信贷记录</x:v>
      </x:c>
      <x:c r="C221" s="2" t="str">
        <x:v>进项_有效绝对额</x:v>
      </x:c>
      <x:c r="D221" s="2" t="n">
        <x:v>263411652.42000002</x:v>
      </x:c>
      <x:c r="E221" s="2" t="n">
        <x:v>-51312779.525000006</x:v>
      </x:c>
      <x:c r="F221" s="2" t="n">
        <x:v>86936125.875</x:v>
      </x:c>
      <x:c r="G221" s="2" t="str">
        <x:v>原始表保留；建模表缩尾</x:v>
      </x:c>
    </x:row>
    <x:row r="222" ht="15" hidden="0" customHeight="1">
      <x:c r="A222" s="2" t="str">
        <x:v>E5</x:v>
      </x:c>
      <x:c r="B222" s="2" t="str">
        <x:v>有信贷记录</x:v>
      </x:c>
      <x:c r="C222" s="2" t="str">
        <x:v>进项_有效绝对额</x:v>
      </x:c>
      <x:c r="D222" s="2" t="n">
        <x:v>229561996.32999998</x:v>
      </x:c>
      <x:c r="E222" s="2" t="n">
        <x:v>-51312779.525000006</x:v>
      </x:c>
      <x:c r="F222" s="2" t="n">
        <x:v>86936125.875</x:v>
      </x:c>
      <x:c r="G222" s="2" t="str">
        <x:v>原始表保留；建模表缩尾</x:v>
      </x:c>
    </x:row>
    <x:row r="223" ht="15" hidden="0" customHeight="1">
      <x:c r="A223" s="2" t="str">
        <x:v>E6</x:v>
      </x:c>
      <x:c r="B223" s="2" t="str">
        <x:v>有信贷记录</x:v>
      </x:c>
      <x:c r="C223" s="2" t="str">
        <x:v>进项_有效绝对额</x:v>
      </x:c>
      <x:c r="D223" s="2" t="n">
        <x:v>326939260.48</x:v>
      </x:c>
      <x:c r="E223" s="2" t="n">
        <x:v>-51312779.525000006</x:v>
      </x:c>
      <x:c r="F223" s="2" t="n">
        <x:v>86936125.875</x:v>
      </x:c>
      <x:c r="G223" s="2" t="str">
        <x:v>原始表保留；建模表缩尾</x:v>
      </x:c>
    </x:row>
    <x:row r="224" ht="15" hidden="0" customHeight="1">
      <x:c r="A224" s="2" t="str">
        <x:v>E8</x:v>
      </x:c>
      <x:c r="B224" s="2" t="str">
        <x:v>有信贷记录</x:v>
      </x:c>
      <x:c r="C224" s="2" t="str">
        <x:v>进项_有效绝对额</x:v>
      </x:c>
      <x:c r="D224" s="2" t="n">
        <x:v>171762629.3</x:v>
      </x:c>
      <x:c r="E224" s="2" t="n">
        <x:v>-51312779.525000006</x:v>
      </x:c>
      <x:c r="F224" s="2" t="n">
        <x:v>86936125.875</x:v>
      </x:c>
      <x:c r="G224" s="2" t="str">
        <x:v>原始表保留；建模表缩尾</x:v>
      </x:c>
    </x:row>
    <x:row r="225" ht="15" hidden="0" customHeight="1">
      <x:c r="A225" s="2" t="str">
        <x:v>E11</x:v>
      </x:c>
      <x:c r="B225" s="2" t="str">
        <x:v>有信贷记录</x:v>
      </x:c>
      <x:c r="C225" s="2" t="str">
        <x:v>进项_有效绝对额</x:v>
      </x:c>
      <x:c r="D225" s="2" t="n">
        <x:v>145189244.89999998</x:v>
      </x:c>
      <x:c r="E225" s="2" t="n">
        <x:v>-51312779.525000006</x:v>
      </x:c>
      <x:c r="F225" s="2" t="n">
        <x:v>86936125.875</x:v>
      </x:c>
      <x:c r="G225" s="2" t="str">
        <x:v>原始表保留；建模表缩尾</x:v>
      </x:c>
    </x:row>
    <x:row r="226" ht="15" hidden="0" customHeight="1">
      <x:c r="A226" s="2" t="str">
        <x:v>E12</x:v>
      </x:c>
      <x:c r="B226" s="2" t="str">
        <x:v>有信贷记录</x:v>
      </x:c>
      <x:c r="C226" s="2" t="str">
        <x:v>进项_有效绝对额</x:v>
      </x:c>
      <x:c r="D226" s="2" t="n">
        <x:v>95980112.96000001</x:v>
      </x:c>
      <x:c r="E226" s="2" t="n">
        <x:v>-51312779.525000006</x:v>
      </x:c>
      <x:c r="F226" s="2" t="n">
        <x:v>86936125.875</x:v>
      </x:c>
      <x:c r="G226" s="2" t="str">
        <x:v>原始表保留；建模表缩尾</x:v>
      </x:c>
    </x:row>
    <x:row r="227" ht="15" hidden="0" customHeight="1">
      <x:c r="A227" s="2" t="str">
        <x:v>E13</x:v>
      </x:c>
      <x:c r="B227" s="2" t="str">
        <x:v>有信贷记录</x:v>
      </x:c>
      <x:c r="C227" s="2" t="str">
        <x:v>进项_有效绝对额</x:v>
      </x:c>
      <x:c r="D227" s="2" t="n">
        <x:v>104471922.76999998</x:v>
      </x:c>
      <x:c r="E227" s="2" t="n">
        <x:v>-51312779.525000006</x:v>
      </x:c>
      <x:c r="F227" s="2" t="n">
        <x:v>86936125.875</x:v>
      </x:c>
      <x:c r="G227" s="2" t="str">
        <x:v>原始表保留；建模表缩尾</x:v>
      </x:c>
    </x:row>
    <x:row r="228" ht="15" hidden="0" customHeight="1">
      <x:c r="A228" s="2" t="str">
        <x:v>E14</x:v>
      </x:c>
      <x:c r="B228" s="2" t="str">
        <x:v>有信贷记录</x:v>
      </x:c>
      <x:c r="C228" s="2" t="str">
        <x:v>进项_有效绝对额</x:v>
      </x:c>
      <x:c r="D228" s="2" t="n">
        <x:v>130138254.88</x:v>
      </x:c>
      <x:c r="E228" s="2" t="n">
        <x:v>-51312779.525000006</x:v>
      </x:c>
      <x:c r="F228" s="2" t="n">
        <x:v>86936125.875</x:v>
      </x:c>
      <x:c r="G228" s="2" t="str">
        <x:v>原始表保留；建模表缩尾</x:v>
      </x:c>
    </x:row>
    <x:row r="229" ht="15" hidden="0" customHeight="1">
      <x:c r="A229" s="2" t="str">
        <x:v>E17</x:v>
      </x:c>
      <x:c r="B229" s="2" t="str">
        <x:v>有信贷记录</x:v>
      </x:c>
      <x:c r="C229" s="2" t="str">
        <x:v>进项_有效绝对额</x:v>
      </x:c>
      <x:c r="D229" s="2" t="n">
        <x:v>149657140.57</x:v>
      </x:c>
      <x:c r="E229" s="2" t="n">
        <x:v>-51312779.525000006</x:v>
      </x:c>
      <x:c r="F229" s="2" t="n">
        <x:v>86936125.875</x:v>
      </x:c>
      <x:c r="G229" s="2" t="str">
        <x:v>原始表保留；建模表缩尾</x:v>
      </x:c>
    </x:row>
    <x:row r="230" ht="15" hidden="0" customHeight="1">
      <x:c r="A230" s="2" t="str">
        <x:v>E18</x:v>
      </x:c>
      <x:c r="B230" s="2" t="str">
        <x:v>有信贷记录</x:v>
      </x:c>
      <x:c r="C230" s="2" t="str">
        <x:v>进项_有效绝对额</x:v>
      </x:c>
      <x:c r="D230" s="2" t="n">
        <x:v>141048335.82999998</x:v>
      </x:c>
      <x:c r="E230" s="2" t="n">
        <x:v>-51312779.525000006</x:v>
      </x:c>
      <x:c r="F230" s="2" t="n">
        <x:v>86936125.875</x:v>
      </x:c>
      <x:c r="G230" s="2" t="str">
        <x:v>原始表保留；建模表缩尾</x:v>
      </x:c>
    </x:row>
    <x:row r="231" ht="15" hidden="0" customHeight="1">
      <x:c r="A231" s="2" t="str">
        <x:v>E19</x:v>
      </x:c>
      <x:c r="B231" s="2" t="str">
        <x:v>有信贷记录</x:v>
      </x:c>
      <x:c r="C231" s="2" t="str">
        <x:v>进项_有效绝对额</x:v>
      </x:c>
      <x:c r="D231" s="2" t="n">
        <x:v>212471777.3</x:v>
      </x:c>
      <x:c r="E231" s="2" t="n">
        <x:v>-51312779.525000006</x:v>
      </x:c>
      <x:c r="F231" s="2" t="n">
        <x:v>86936125.875</x:v>
      </x:c>
      <x:c r="G231" s="2" t="str">
        <x:v>原始表保留；建模表缩尾</x:v>
      </x:c>
    </x:row>
    <x:row r="232" ht="15" hidden="0" customHeight="1">
      <x:c r="A232" s="2" t="str">
        <x:v>E20</x:v>
      </x:c>
      <x:c r="B232" s="2" t="str">
        <x:v>有信贷记录</x:v>
      </x:c>
      <x:c r="C232" s="2" t="str">
        <x:v>进项_有效绝对额</x:v>
      </x:c>
      <x:c r="D232" s="2" t="n">
        <x:v>204442529.69</x:v>
      </x:c>
      <x:c r="E232" s="2" t="n">
        <x:v>-51312779.525000006</x:v>
      </x:c>
      <x:c r="F232" s="2" t="n">
        <x:v>86936125.875</x:v>
      </x:c>
      <x:c r="G232" s="2" t="str">
        <x:v>原始表保留；建模表缩尾</x:v>
      </x:c>
    </x:row>
    <x:row r="233" ht="15" hidden="0" customHeight="1">
      <x:c r="A233" s="2" t="str">
        <x:v>E21</x:v>
      </x:c>
      <x:c r="B233" s="2" t="str">
        <x:v>有信贷记录</x:v>
      </x:c>
      <x:c r="C233" s="2" t="str">
        <x:v>进项_有效绝对额</x:v>
      </x:c>
      <x:c r="D233" s="2" t="n">
        <x:v>125347677.56</x:v>
      </x:c>
      <x:c r="E233" s="2" t="n">
        <x:v>-51312779.525000006</x:v>
      </x:c>
      <x:c r="F233" s="2" t="n">
        <x:v>86936125.875</x:v>
      </x:c>
      <x:c r="G233" s="2" t="str">
        <x:v>原始表保留；建模表缩尾</x:v>
      </x:c>
    </x:row>
    <x:row r="234" ht="15" hidden="0" customHeight="1">
      <x:c r="A234" s="2" t="str">
        <x:v>E23</x:v>
      </x:c>
      <x:c r="B234" s="2" t="str">
        <x:v>有信贷记录</x:v>
      </x:c>
      <x:c r="C234" s="2" t="str">
        <x:v>进项_有效绝对额</x:v>
      </x:c>
      <x:c r="D234" s="2" t="n">
        <x:v>203232360.85</x:v>
      </x:c>
      <x:c r="E234" s="2" t="n">
        <x:v>-51312779.525000006</x:v>
      </x:c>
      <x:c r="F234" s="2" t="n">
        <x:v>86936125.875</x:v>
      </x:c>
      <x:c r="G234" s="2" t="str">
        <x:v>原始表保留；建模表缩尾</x:v>
      </x:c>
    </x:row>
    <x:row r="235" ht="15" hidden="0" customHeight="1">
      <x:c r="A235" s="2" t="str">
        <x:v>E24</x:v>
      </x:c>
      <x:c r="B235" s="2" t="str">
        <x:v>有信贷记录</x:v>
      </x:c>
      <x:c r="C235" s="2" t="str">
        <x:v>进项_有效绝对额</x:v>
      </x:c>
      <x:c r="D235" s="2" t="n">
        <x:v>88148997.57</x:v>
      </x:c>
      <x:c r="E235" s="2" t="n">
        <x:v>-51312779.525000006</x:v>
      </x:c>
      <x:c r="F235" s="2" t="n">
        <x:v>86936125.875</x:v>
      </x:c>
      <x:c r="G235" s="2" t="str">
        <x:v>原始表保留；建模表缩尾</x:v>
      </x:c>
    </x:row>
    <x:row r="236" ht="15" hidden="0" customHeight="1">
      <x:c r="A236" s="2" t="str">
        <x:v>E124</x:v>
      </x:c>
      <x:c r="B236" s="2" t="str">
        <x:v>无信贷记录</x:v>
      </x:c>
      <x:c r="C236" s="2" t="str">
        <x:v>进项_有效绝对额</x:v>
      </x:c>
      <x:c r="D236" s="2" t="n">
        <x:v>887265509.01</x:v>
      </x:c>
      <x:c r="E236" s="2" t="n">
        <x:v>-51312779.525000006</x:v>
      </x:c>
      <x:c r="F236" s="2" t="n">
        <x:v>86936125.875</x:v>
      </x:c>
      <x:c r="G236" s="2" t="str">
        <x:v>原始表保留；建模表缩尾</x:v>
      </x:c>
    </x:row>
    <x:row r="237" ht="15" hidden="0" customHeight="1">
      <x:c r="A237" s="2" t="str">
        <x:v>E125</x:v>
      </x:c>
      <x:c r="B237" s="2" t="str">
        <x:v>无信贷记录</x:v>
      </x:c>
      <x:c r="C237" s="2" t="str">
        <x:v>进项_有效绝对额</x:v>
      </x:c>
      <x:c r="D237" s="2" t="n">
        <x:v>1052840607.24</x:v>
      </x:c>
      <x:c r="E237" s="2" t="n">
        <x:v>-51312779.525000006</x:v>
      </x:c>
      <x:c r="F237" s="2" t="n">
        <x:v>86936125.875</x:v>
      </x:c>
      <x:c r="G237" s="2" t="str">
        <x:v>原始表保留；建模表缩尾</x:v>
      </x:c>
    </x:row>
    <x:row r="238" ht="15" hidden="0" customHeight="1">
      <x:c r="A238" s="2" t="str">
        <x:v>E126</x:v>
      </x:c>
      <x:c r="B238" s="2" t="str">
        <x:v>无信贷记录</x:v>
      </x:c>
      <x:c r="C238" s="2" t="str">
        <x:v>进项_有效绝对额</x:v>
      </x:c>
      <x:c r="D238" s="2" t="n">
        <x:v>129033779.99</x:v>
      </x:c>
      <x:c r="E238" s="2" t="n">
        <x:v>-51312779.525000006</x:v>
      </x:c>
      <x:c r="F238" s="2" t="n">
        <x:v>86936125.875</x:v>
      </x:c>
      <x:c r="G238" s="2" t="str">
        <x:v>原始表保留；建模表缩尾</x:v>
      </x:c>
    </x:row>
    <x:row r="239" ht="15" hidden="0" customHeight="1">
      <x:c r="A239" s="2" t="str">
        <x:v>E129</x:v>
      </x:c>
      <x:c r="B239" s="2" t="str">
        <x:v>无信贷记录</x:v>
      </x:c>
      <x:c r="C239" s="2" t="str">
        <x:v>进项_有效绝对额</x:v>
      </x:c>
      <x:c r="D239" s="2" t="n">
        <x:v>88421244.62</x:v>
      </x:c>
      <x:c r="E239" s="2" t="n">
        <x:v>-51312779.525000006</x:v>
      </x:c>
      <x:c r="F239" s="2" t="n">
        <x:v>86936125.875</x:v>
      </x:c>
      <x:c r="G239" s="2" t="str">
        <x:v>原始表保留；建模表缩尾</x:v>
      </x:c>
    </x:row>
    <x:row r="240" ht="15" hidden="0" customHeight="1">
      <x:c r="A240" s="2" t="str">
        <x:v>E131</x:v>
      </x:c>
      <x:c r="B240" s="2" t="str">
        <x:v>无信贷记录</x:v>
      </x:c>
      <x:c r="C240" s="2" t="str">
        <x:v>进项_有效绝对额</x:v>
      </x:c>
      <x:c r="D240" s="2" t="n">
        <x:v>130138254.88</x:v>
      </x:c>
      <x:c r="E240" s="2" t="n">
        <x:v>-51312779.525000006</x:v>
      </x:c>
      <x:c r="F240" s="2" t="n">
        <x:v>86936125.875</x:v>
      </x:c>
      <x:c r="G240" s="2" t="str">
        <x:v>原始表保留；建模表缩尾</x:v>
      </x:c>
    </x:row>
    <x:row r="241" ht="15" hidden="0" customHeight="1">
      <x:c r="A241" s="2" t="str">
        <x:v>E136</x:v>
      </x:c>
      <x:c r="B241" s="2" t="str">
        <x:v>无信贷记录</x:v>
      </x:c>
      <x:c r="C241" s="2" t="str">
        <x:v>进项_有效绝对额</x:v>
      </x:c>
      <x:c r="D241" s="2" t="n">
        <x:v>132115098.75</x:v>
      </x:c>
      <x:c r="E241" s="2" t="n">
        <x:v>-51312779.525000006</x:v>
      </x:c>
      <x:c r="F241" s="2" t="n">
        <x:v>86936125.875</x:v>
      </x:c>
      <x:c r="G241" s="2" t="str">
        <x:v>原始表保留；建模表缩尾</x:v>
      </x:c>
    </x:row>
    <x:row r="242" ht="15" hidden="0" customHeight="1">
      <x:c r="A242" s="2" t="str">
        <x:v>E137</x:v>
      </x:c>
      <x:c r="B242" s="2" t="str">
        <x:v>无信贷记录</x:v>
      </x:c>
      <x:c r="C242" s="2" t="str">
        <x:v>进项_有效绝对额</x:v>
      </x:c>
      <x:c r="D242" s="2" t="n">
        <x:v>114625108</x:v>
      </x:c>
      <x:c r="E242" s="2" t="n">
        <x:v>-51312779.525000006</x:v>
      </x:c>
      <x:c r="F242" s="2" t="n">
        <x:v>86936125.875</x:v>
      </x:c>
      <x:c r="G242" s="2" t="str">
        <x:v>原始表保留；建模表缩尾</x:v>
      </x:c>
    </x:row>
    <x:row r="243" ht="15" hidden="0" customHeight="1">
      <x:c r="A243" s="2" t="str">
        <x:v>E145</x:v>
      </x:c>
      <x:c r="B243" s="2" t="str">
        <x:v>无信贷记录</x:v>
      </x:c>
      <x:c r="C243" s="2" t="str">
        <x:v>进项_有效绝对额</x:v>
      </x:c>
      <x:c r="D243" s="2" t="n">
        <x:v>130016099.80000001</x:v>
      </x:c>
      <x:c r="E243" s="2" t="n">
        <x:v>-51312779.525000006</x:v>
      </x:c>
      <x:c r="F243" s="2" t="n">
        <x:v>86936125.875</x:v>
      </x:c>
      <x:c r="G243" s="2" t="str">
        <x:v>原始表保留；建模表缩尾</x:v>
      </x:c>
    </x:row>
    <x:row r="244" ht="15" hidden="0" customHeight="1">
      <x:c r="A244" s="2" t="str">
        <x:v>E146</x:v>
      </x:c>
      <x:c r="B244" s="2" t="str">
        <x:v>无信贷记录</x:v>
      </x:c>
      <x:c r="C244" s="2" t="str">
        <x:v>进项_有效绝对额</x:v>
      </x:c>
      <x:c r="D244" s="2" t="n">
        <x:v>138501853.52999997</x:v>
      </x:c>
      <x:c r="E244" s="2" t="n">
        <x:v>-51312779.525000006</x:v>
      </x:c>
      <x:c r="F244" s="2" t="n">
        <x:v>86936125.875</x:v>
      </x:c>
      <x:c r="G244" s="2" t="str">
        <x:v>原始表保留；建模表缩尾</x:v>
      </x:c>
    </x:row>
    <x:row r="245" ht="15" hidden="0" customHeight="1">
      <x:c r="A245" s="2" t="str">
        <x:v>E147</x:v>
      </x:c>
      <x:c r="B245" s="2" t="str">
        <x:v>无信贷记录</x:v>
      </x:c>
      <x:c r="C245" s="2" t="str">
        <x:v>进项_有效绝对额</x:v>
      </x:c>
      <x:c r="D245" s="2" t="n">
        <x:v>159733909.24</x:v>
      </x:c>
      <x:c r="E245" s="2" t="n">
        <x:v>-51312779.525000006</x:v>
      </x:c>
      <x:c r="F245" s="2" t="n">
        <x:v>86936125.875</x:v>
      </x:c>
      <x:c r="G245" s="2" t="str">
        <x:v>原始表保留；建模表缩尾</x:v>
      </x:c>
    </x:row>
    <x:row r="246" ht="15" hidden="0" customHeight="1">
      <x:c r="A246" s="2" t="str">
        <x:v>E150</x:v>
      </x:c>
      <x:c r="B246" s="2" t="str">
        <x:v>无信贷记录</x:v>
      </x:c>
      <x:c r="C246" s="2" t="str">
        <x:v>进项_有效绝对额</x:v>
      </x:c>
      <x:c r="D246" s="2" t="n">
        <x:v>89433069.83</x:v>
      </x:c>
      <x:c r="E246" s="2" t="n">
        <x:v>-51312779.525000006</x:v>
      </x:c>
      <x:c r="F246" s="2" t="n">
        <x:v>86936125.875</x:v>
      </x:c>
      <x:c r="G246" s="2" t="str">
        <x:v>原始表保留；建模表缩尾</x:v>
      </x:c>
    </x:row>
    <x:row r="247" ht="15" hidden="0" customHeight="1">
      <x:c r="A247" s="2" t="str">
        <x:v>E154</x:v>
      </x:c>
      <x:c r="B247" s="2" t="str">
        <x:v>无信贷记录</x:v>
      </x:c>
      <x:c r="C247" s="2" t="str">
        <x:v>进项_有效绝对额</x:v>
      </x:c>
      <x:c r="D247" s="2" t="n">
        <x:v>152871927.91</x:v>
      </x:c>
      <x:c r="E247" s="2" t="n">
        <x:v>-51312779.525000006</x:v>
      </x:c>
      <x:c r="F247" s="2" t="n">
        <x:v>86936125.875</x:v>
      </x:c>
      <x:c r="G247" s="2" t="str">
        <x:v>原始表保留；建模表缩尾</x:v>
      </x:c>
    </x:row>
    <x:row r="248" ht="15" hidden="0" customHeight="1">
      <x:c r="A248" s="2" t="str">
        <x:v>E155</x:v>
      </x:c>
      <x:c r="B248" s="2" t="str">
        <x:v>无信贷记录</x:v>
      </x:c>
      <x:c r="C248" s="2" t="str">
        <x:v>进项_有效绝对额</x:v>
      </x:c>
      <x:c r="D248" s="2" t="n">
        <x:v>87173267.68</x:v>
      </x:c>
      <x:c r="E248" s="2" t="n">
        <x:v>-51312779.525000006</x:v>
      </x:c>
      <x:c r="F248" s="2" t="n">
        <x:v>86936125.875</x:v>
      </x:c>
      <x:c r="G248" s="2" t="str">
        <x:v>原始表保留；建模表缩尾</x:v>
      </x:c>
    </x:row>
    <x:row r="249" ht="15" hidden="0" customHeight="1">
      <x:c r="A249" s="2" t="str">
        <x:v>E160</x:v>
      </x:c>
      <x:c r="B249" s="2" t="str">
        <x:v>无信贷记录</x:v>
      </x:c>
      <x:c r="C249" s="2" t="str">
        <x:v>进项_有效绝对额</x:v>
      </x:c>
      <x:c r="D249" s="2" t="n">
        <x:v>104438104.75</x:v>
      </x:c>
      <x:c r="E249" s="2" t="n">
        <x:v>-51312779.525000006</x:v>
      </x:c>
      <x:c r="F249" s="2" t="n">
        <x:v>86936125.875</x:v>
      </x:c>
      <x:c r="G249" s="2" t="str">
        <x:v>原始表保留；建模表缩尾</x:v>
      </x:c>
    </x:row>
    <x:row r="250" ht="15" hidden="0" customHeight="1">
      <x:c r="A250" s="2" t="str">
        <x:v>E162</x:v>
      </x:c>
      <x:c r="B250" s="2" t="str">
        <x:v>无信贷记录</x:v>
      </x:c>
      <x:c r="C250" s="2" t="str">
        <x:v>进项_有效绝对额</x:v>
      </x:c>
      <x:c r="D250" s="2" t="n">
        <x:v>172951726.05</x:v>
      </x:c>
      <x:c r="E250" s="2" t="n">
        <x:v>-51312779.525000006</x:v>
      </x:c>
      <x:c r="F250" s="2" t="n">
        <x:v>86936125.875</x:v>
      </x:c>
      <x:c r="G250" s="2" t="str">
        <x:v>原始表保留；建模表缩尾</x:v>
      </x:c>
    </x:row>
    <x:row r="251" ht="15" hidden="0" customHeight="1">
      <x:c r="A251" s="2" t="str">
        <x:v>E165</x:v>
      </x:c>
      <x:c r="B251" s="2" t="str">
        <x:v>无信贷记录</x:v>
      </x:c>
      <x:c r="C251" s="2" t="str">
        <x:v>进项_有效绝对额</x:v>
      </x:c>
      <x:c r="D251" s="2" t="n">
        <x:v>98914209.75999999</x:v>
      </x:c>
      <x:c r="E251" s="2" t="n">
        <x:v>-51312779.525000006</x:v>
      </x:c>
      <x:c r="F251" s="2" t="n">
        <x:v>86936125.875</x:v>
      </x:c>
      <x:c r="G251" s="2" t="str">
        <x:v>原始表保留；建模表缩尾</x:v>
      </x:c>
    </x:row>
    <x:row r="252" ht="15" hidden="0" customHeight="1">
      <x:c r="A252" s="2" t="str">
        <x:v>E167</x:v>
      </x:c>
      <x:c r="B252" s="2" t="str">
        <x:v>无信贷记录</x:v>
      </x:c>
      <x:c r="C252" s="2" t="str">
        <x:v>进项_有效绝对额</x:v>
      </x:c>
      <x:c r="D252" s="2" t="n">
        <x:v>160998816.38</x:v>
      </x:c>
      <x:c r="E252" s="2" t="n">
        <x:v>-51312779.525000006</x:v>
      </x:c>
      <x:c r="F252" s="2" t="n">
        <x:v>86936125.875</x:v>
      </x:c>
      <x:c r="G252" s="2" t="str">
        <x:v>原始表保留；建模表缩尾</x:v>
      </x:c>
    </x:row>
    <x:row r="253" ht="15" hidden="0" customHeight="1">
      <x:c r="A253" s="2" t="str">
        <x:v>E173</x:v>
      </x:c>
      <x:c r="B253" s="2" t="str">
        <x:v>无信贷记录</x:v>
      </x:c>
      <x:c r="C253" s="2" t="str">
        <x:v>进项_有效绝对额</x:v>
      </x:c>
      <x:c r="D253" s="2" t="n">
        <x:v>122670211.97999999</x:v>
      </x:c>
      <x:c r="E253" s="2" t="n">
        <x:v>-51312779.525000006</x:v>
      </x:c>
      <x:c r="F253" s="2" t="n">
        <x:v>86936125.875</x:v>
      </x:c>
      <x:c r="G253" s="2" t="str">
        <x:v>原始表保留；建模表缩尾</x:v>
      </x:c>
    </x:row>
    <x:row r="254" ht="15" hidden="0" customHeight="1">
      <x:c r="A254" s="2" t="str">
        <x:v>E174</x:v>
      </x:c>
      <x:c r="B254" s="2" t="str">
        <x:v>无信贷记录</x:v>
      </x:c>
      <x:c r="C254" s="2" t="str">
        <x:v>进项_有效绝对额</x:v>
      </x:c>
      <x:c r="D254" s="2" t="n">
        <x:v>88156791.36999999</x:v>
      </x:c>
      <x:c r="E254" s="2" t="n">
        <x:v>-51312779.525000006</x:v>
      </x:c>
      <x:c r="F254" s="2" t="n">
        <x:v>86936125.875</x:v>
      </x:c>
      <x:c r="G254" s="2" t="str">
        <x:v>原始表保留；建模表缩尾</x:v>
      </x:c>
    </x:row>
    <x:row r="255" ht="15" hidden="0" customHeight="1">
      <x:c r="A255" s="2" t="str">
        <x:v>E175</x:v>
      </x:c>
      <x:c r="B255" s="2" t="str">
        <x:v>无信贷记录</x:v>
      </x:c>
      <x:c r="C255" s="2" t="str">
        <x:v>进项_有效绝对额</x:v>
      </x:c>
      <x:c r="D255" s="2" t="n">
        <x:v>96006357.72</x:v>
      </x:c>
      <x:c r="E255" s="2" t="n">
        <x:v>-51312779.525000006</x:v>
      </x:c>
      <x:c r="F255" s="2" t="n">
        <x:v>86936125.875</x:v>
      </x:c>
      <x:c r="G255" s="2" t="str">
        <x:v>原始表保留；建模表缩尾</x:v>
      </x:c>
    </x:row>
    <x:row r="256" ht="15" hidden="0" customHeight="1">
      <x:c r="A256" s="2" t="str">
        <x:v>E178</x:v>
      </x:c>
      <x:c r="B256" s="2" t="str">
        <x:v>无信贷记录</x:v>
      </x:c>
      <x:c r="C256" s="2" t="str">
        <x:v>进项_有效绝对额</x:v>
      </x:c>
      <x:c r="D256" s="2" t="n">
        <x:v>92027013.36</x:v>
      </x:c>
      <x:c r="E256" s="2" t="n">
        <x:v>-51312779.525000006</x:v>
      </x:c>
      <x:c r="F256" s="2" t="n">
        <x:v>86936125.875</x:v>
      </x:c>
      <x:c r="G256" s="2" t="str">
        <x:v>原始表保留；建模表缩尾</x:v>
      </x:c>
    </x:row>
    <x:row r="257" ht="15" hidden="0" customHeight="1">
      <x:c r="A257" s="2" t="str">
        <x:v>E181</x:v>
      </x:c>
      <x:c r="B257" s="2" t="str">
        <x:v>无信贷记录</x:v>
      </x:c>
      <x:c r="C257" s="2" t="str">
        <x:v>进项_有效绝对额</x:v>
      </x:c>
      <x:c r="D257" s="2" t="n">
        <x:v>98319132.11</x:v>
      </x:c>
      <x:c r="E257" s="2" t="n">
        <x:v>-51312779.525000006</x:v>
      </x:c>
      <x:c r="F257" s="2" t="n">
        <x:v>86936125.875</x:v>
      </x:c>
      <x:c r="G257" s="2" t="str">
        <x:v>原始表保留；建模表缩尾</x:v>
      </x:c>
    </x:row>
    <x:row r="258" ht="15" hidden="0" customHeight="1">
      <x:c r="A258" s="2" t="str">
        <x:v>E188</x:v>
      </x:c>
      <x:c r="B258" s="2" t="str">
        <x:v>无信贷记录</x:v>
      </x:c>
      <x:c r="C258" s="2" t="str">
        <x:v>进项_有效绝对额</x:v>
      </x:c>
      <x:c r="D258" s="2" t="n">
        <x:v>90442522.5</x:v>
      </x:c>
      <x:c r="E258" s="2" t="n">
        <x:v>-51312779.525000006</x:v>
      </x:c>
      <x:c r="F258" s="2" t="n">
        <x:v>86936125.875</x:v>
      </x:c>
      <x:c r="G258" s="2" t="str">
        <x:v>原始表保留；建模表缩尾</x:v>
      </x:c>
    </x:row>
    <x:row r="259" ht="15" hidden="0" customHeight="1">
      <x:c r="A259" s="2" t="str">
        <x:v>E191</x:v>
      </x:c>
      <x:c r="B259" s="2" t="str">
        <x:v>无信贷记录</x:v>
      </x:c>
      <x:c r="C259" s="2" t="str">
        <x:v>进项_有效绝对额</x:v>
      </x:c>
      <x:c r="D259" s="2" t="n">
        <x:v>304175045.99</x:v>
      </x:c>
      <x:c r="E259" s="2" t="n">
        <x:v>-51312779.525000006</x:v>
      </x:c>
      <x:c r="F259" s="2" t="n">
        <x:v>86936125.875</x:v>
      </x:c>
      <x:c r="G259" s="2" t="str">
        <x:v>原始表保留；建模表缩尾</x:v>
      </x:c>
    </x:row>
    <x:row r="260" ht="15" hidden="0" customHeight="1">
      <x:c r="A260" s="2" t="str">
        <x:v>E195</x:v>
      </x:c>
      <x:c r="B260" s="2" t="str">
        <x:v>无信贷记录</x:v>
      </x:c>
      <x:c r="C260" s="2" t="str">
        <x:v>进项_有效绝对额</x:v>
      </x:c>
      <x:c r="D260" s="2" t="n">
        <x:v>89628356.25</x:v>
      </x:c>
      <x:c r="E260" s="2" t="n">
        <x:v>-51312779.525000006</x:v>
      </x:c>
      <x:c r="F260" s="2" t="n">
        <x:v>86936125.875</x:v>
      </x:c>
      <x:c r="G260" s="2" t="str">
        <x:v>原始表保留；建模表缩尾</x:v>
      </x:c>
    </x:row>
    <x:row r="261" ht="15" hidden="0" customHeight="1">
      <x:c r="A261" s="2" t="str">
        <x:v>E197</x:v>
      </x:c>
      <x:c r="B261" s="2" t="str">
        <x:v>无信贷记录</x:v>
      </x:c>
      <x:c r="C261" s="2" t="str">
        <x:v>进项_有效绝对额</x:v>
      </x:c>
      <x:c r="D261" s="2" t="n">
        <x:v>99344461.03999999</x:v>
      </x:c>
      <x:c r="E261" s="2" t="n">
        <x:v>-51312779.525000006</x:v>
      </x:c>
      <x:c r="F261" s="2" t="n">
        <x:v>86936125.875</x:v>
      </x:c>
      <x:c r="G261" s="2" t="str">
        <x:v>原始表保留；建模表缩尾</x:v>
      </x:c>
    </x:row>
    <x:row r="262" ht="15" hidden="0" customHeight="1">
      <x:c r="A262" s="2" t="str">
        <x:v>E208</x:v>
      </x:c>
      <x:c r="B262" s="2" t="str">
        <x:v>无信贷记录</x:v>
      </x:c>
      <x:c r="C262" s="2" t="str">
        <x:v>进项_有效绝对额</x:v>
      </x:c>
      <x:c r="D262" s="2" t="n">
        <x:v>87849006.12</x:v>
      </x:c>
      <x:c r="E262" s="2" t="n">
        <x:v>-51312779.525000006</x:v>
      </x:c>
      <x:c r="F262" s="2" t="n">
        <x:v>86936125.875</x:v>
      </x:c>
      <x:c r="G262" s="2" t="str">
        <x:v>原始表保留；建模表缩尾</x:v>
      </x:c>
    </x:row>
    <x:row r="263" ht="15" hidden="0" customHeight="1">
      <x:c r="A263" s="2" t="str">
        <x:v>E224</x:v>
      </x:c>
      <x:c r="B263" s="2" t="str">
        <x:v>无信贷记录</x:v>
      </x:c>
      <x:c r="C263" s="2" t="str">
        <x:v>进项_有效绝对额</x:v>
      </x:c>
      <x:c r="D263" s="2" t="n">
        <x:v>115171219.8</x:v>
      </x:c>
      <x:c r="E263" s="2" t="n">
        <x:v>-51312779.525000006</x:v>
      </x:c>
      <x:c r="F263" s="2" t="n">
        <x:v>86936125.875</x:v>
      </x:c>
      <x:c r="G263" s="2" t="str">
        <x:v>原始表保留；建模表缩尾</x:v>
      </x:c>
    </x:row>
    <x:row r="264" ht="15" hidden="0" customHeight="1">
      <x:c r="A264" s="2" t="str">
        <x:v>E324</x:v>
      </x:c>
      <x:c r="B264" s="2" t="str">
        <x:v>无信贷记录</x:v>
      </x:c>
      <x:c r="C264" s="2" t="str">
        <x:v>进项_有效绝对额</x:v>
      </x:c>
      <x:c r="D264" s="2" t="n">
        <x:v>92014235.15</x:v>
      </x:c>
      <x:c r="E264" s="2" t="n">
        <x:v>-51312779.525000006</x:v>
      </x:c>
      <x:c r="F264" s="2" t="n">
        <x:v>86936125.875</x:v>
      </x:c>
      <x:c r="G264" s="2" t="str">
        <x:v>原始表保留；建模表缩尾</x:v>
      </x:c>
    </x:row>
    <x:row r="265" ht="15" hidden="0" customHeight="1">
      <x:c r="A265" s="2" t="str">
        <x:v>E381</x:v>
      </x:c>
      <x:c r="B265" s="2" t="str">
        <x:v>无信贷记录</x:v>
      </x:c>
      <x:c r="C265" s="2" t="str">
        <x:v>进项_有效绝对额</x:v>
      </x:c>
      <x:c r="D265" s="2" t="n">
        <x:v>97623142.75999999</x:v>
      </x:c>
      <x:c r="E265" s="2" t="n">
        <x:v>-51312779.525000006</x:v>
      </x:c>
      <x:c r="F265" s="2" t="n">
        <x:v>86936125.875</x:v>
      </x:c>
      <x:c r="G265" s="2" t="str">
        <x:v>原始表保留；建模表缩尾</x:v>
      </x:c>
    </x:row>
    <x:row r="266" ht="15" hidden="0" customHeight="1">
      <x:c r="A266" s="2" t="str">
        <x:v>E2</x:v>
      </x:c>
      <x:c r="B266" s="2" t="str">
        <x:v>有信贷记录</x:v>
      </x:c>
      <x:c r="C266" s="2" t="str">
        <x:v>进项_交易对手数</x:v>
      </x:c>
      <x:c r="D266" s="2" t="n">
        <x:v>3637</x:v>
      </x:c>
      <x:c r="E266" s="2" t="n">
        <x:v>-368</x:v>
      </x:c>
      <x:c r="F266" s="2" t="n">
        <x:v>696</x:v>
      </x:c>
      <x:c r="G266" s="2" t="str">
        <x:v>原始表保留；建模表缩尾</x:v>
      </x:c>
    </x:row>
    <x:row r="267" ht="15" hidden="0" customHeight="1">
      <x:c r="A267" s="2" t="str">
        <x:v>E6</x:v>
      </x:c>
      <x:c r="B267" s="2" t="str">
        <x:v>有信贷记录</x:v>
      </x:c>
      <x:c r="C267" s="2" t="str">
        <x:v>进项_交易对手数</x:v>
      </x:c>
      <x:c r="D267" s="2" t="n">
        <x:v>1524</x:v>
      </x:c>
      <x:c r="E267" s="2" t="n">
        <x:v>-368</x:v>
      </x:c>
      <x:c r="F267" s="2" t="n">
        <x:v>696</x:v>
      </x:c>
      <x:c r="G267" s="2" t="str">
        <x:v>原始表保留；建模表缩尾</x:v>
      </x:c>
    </x:row>
    <x:row r="268" ht="15" hidden="0" customHeight="1">
      <x:c r="A268" s="2" t="str">
        <x:v>E7</x:v>
      </x:c>
      <x:c r="B268" s="2" t="str">
        <x:v>有信贷记录</x:v>
      </x:c>
      <x:c r="C268" s="2" t="str">
        <x:v>进项_交易对手数</x:v>
      </x:c>
      <x:c r="D268" s="2" t="n">
        <x:v>1588</x:v>
      </x:c>
      <x:c r="E268" s="2" t="n">
        <x:v>-368</x:v>
      </x:c>
      <x:c r="F268" s="2" t="n">
        <x:v>696</x:v>
      </x:c>
      <x:c r="G268" s="2" t="str">
        <x:v>原始表保留；建模表缩尾</x:v>
      </x:c>
    </x:row>
    <x:row r="269" ht="15" hidden="0" customHeight="1">
      <x:c r="A269" s="2" t="str">
        <x:v>E8</x:v>
      </x:c>
      <x:c r="B269" s="2" t="str">
        <x:v>有信贷记录</x:v>
      </x:c>
      <x:c r="C269" s="2" t="str">
        <x:v>进项_交易对手数</x:v>
      </x:c>
      <x:c r="D269" s="2" t="n">
        <x:v>2612</x:v>
      </x:c>
      <x:c r="E269" s="2" t="n">
        <x:v>-368</x:v>
      </x:c>
      <x:c r="F269" s="2" t="n">
        <x:v>696</x:v>
      </x:c>
      <x:c r="G269" s="2" t="str">
        <x:v>原始表保留；建模表缩尾</x:v>
      </x:c>
    </x:row>
    <x:row r="270" ht="15" hidden="0" customHeight="1">
      <x:c r="A270" s="2" t="str">
        <x:v>E9</x:v>
      </x:c>
      <x:c r="B270" s="2" t="str">
        <x:v>有信贷记录</x:v>
      </x:c>
      <x:c r="C270" s="2" t="str">
        <x:v>进项_交易对手数</x:v>
      </x:c>
      <x:c r="D270" s="2" t="n">
        <x:v>741</x:v>
      </x:c>
      <x:c r="E270" s="2" t="n">
        <x:v>-368</x:v>
      </x:c>
      <x:c r="F270" s="2" t="n">
        <x:v>696</x:v>
      </x:c>
      <x:c r="G270" s="2" t="str">
        <x:v>原始表保留；建模表缩尾</x:v>
      </x:c>
    </x:row>
    <x:row r="271" ht="15" hidden="0" customHeight="1">
      <x:c r="A271" s="2" t="str">
        <x:v>E10</x:v>
      </x:c>
      <x:c r="B271" s="2" t="str">
        <x:v>有信贷记录</x:v>
      </x:c>
      <x:c r="C271" s="2" t="str">
        <x:v>进项_交易对手数</x:v>
      </x:c>
      <x:c r="D271" s="2" t="n">
        <x:v>882</x:v>
      </x:c>
      <x:c r="E271" s="2" t="n">
        <x:v>-368</x:v>
      </x:c>
      <x:c r="F271" s="2" t="n">
        <x:v>696</x:v>
      </x:c>
      <x:c r="G271" s="2" t="str">
        <x:v>原始表保留；建模表缩尾</x:v>
      </x:c>
    </x:row>
    <x:row r="272" ht="15" hidden="0" customHeight="1">
      <x:c r="A272" s="2" t="str">
        <x:v>E13</x:v>
      </x:c>
      <x:c r="B272" s="2" t="str">
        <x:v>有信贷记录</x:v>
      </x:c>
      <x:c r="C272" s="2" t="str">
        <x:v>进项_交易对手数</x:v>
      </x:c>
      <x:c r="D272" s="2" t="n">
        <x:v>725</x:v>
      </x:c>
      <x:c r="E272" s="2" t="n">
        <x:v>-368</x:v>
      </x:c>
      <x:c r="F272" s="2" t="n">
        <x:v>696</x:v>
      </x:c>
      <x:c r="G272" s="2" t="str">
        <x:v>原始表保留；建模表缩尾</x:v>
      </x:c>
    </x:row>
    <x:row r="273" ht="15" hidden="0" customHeight="1">
      <x:c r="A273" s="2" t="str">
        <x:v>E14</x:v>
      </x:c>
      <x:c r="B273" s="2" t="str">
        <x:v>有信贷记录</x:v>
      </x:c>
      <x:c r="C273" s="2" t="str">
        <x:v>进项_交易对手数</x:v>
      </x:c>
      <x:c r="D273" s="2" t="n">
        <x:v>910</x:v>
      </x:c>
      <x:c r="E273" s="2" t="n">
        <x:v>-368</x:v>
      </x:c>
      <x:c r="F273" s="2" t="n">
        <x:v>696</x:v>
      </x:c>
      <x:c r="G273" s="2" t="str">
        <x:v>原始表保留；建模表缩尾</x:v>
      </x:c>
    </x:row>
    <x:row r="274" ht="15" hidden="0" customHeight="1">
      <x:c r="A274" s="2" t="str">
        <x:v>E17</x:v>
      </x:c>
      <x:c r="B274" s="2" t="str">
        <x:v>有信贷记录</x:v>
      </x:c>
      <x:c r="C274" s="2" t="str">
        <x:v>进项_交易对手数</x:v>
      </x:c>
      <x:c r="D274" s="2" t="n">
        <x:v>874</x:v>
      </x:c>
      <x:c r="E274" s="2" t="n">
        <x:v>-368</x:v>
      </x:c>
      <x:c r="F274" s="2" t="n">
        <x:v>696</x:v>
      </x:c>
      <x:c r="G274" s="2" t="str">
        <x:v>原始表保留；建模表缩尾</x:v>
      </x:c>
    </x:row>
    <x:row r="275" ht="15" hidden="0" customHeight="1">
      <x:c r="A275" s="2" t="str">
        <x:v>E40</x:v>
      </x:c>
      <x:c r="B275" s="2" t="str">
        <x:v>有信贷记录</x:v>
      </x:c>
      <x:c r="C275" s="2" t="str">
        <x:v>进项_交易对手数</x:v>
      </x:c>
      <x:c r="D275" s="2" t="n">
        <x:v>801</x:v>
      </x:c>
      <x:c r="E275" s="2" t="n">
        <x:v>-368</x:v>
      </x:c>
      <x:c r="F275" s="2" t="n">
        <x:v>696</x:v>
      </x:c>
      <x:c r="G275" s="2" t="str">
        <x:v>原始表保留；建模表缩尾</x:v>
      </x:c>
    </x:row>
    <x:row r="276" ht="15" hidden="0" customHeight="1">
      <x:c r="A276" s="2" t="str">
        <x:v>E49</x:v>
      </x:c>
      <x:c r="B276" s="2" t="str">
        <x:v>有信贷记录</x:v>
      </x:c>
      <x:c r="C276" s="2" t="str">
        <x:v>进项_交易对手数</x:v>
      </x:c>
      <x:c r="D276" s="2" t="n">
        <x:v>715</x:v>
      </x:c>
      <x:c r="E276" s="2" t="n">
        <x:v>-368</x:v>
      </x:c>
      <x:c r="F276" s="2" t="n">
        <x:v>696</x:v>
      </x:c>
      <x:c r="G276" s="2" t="str">
        <x:v>原始表保留；建模表缩尾</x:v>
      </x:c>
    </x:row>
    <x:row r="277" ht="15" hidden="0" customHeight="1">
      <x:c r="A277" s="2" t="str">
        <x:v>E124</x:v>
      </x:c>
      <x:c r="B277" s="2" t="str">
        <x:v>无信贷记录</x:v>
      </x:c>
      <x:c r="C277" s="2" t="str">
        <x:v>进项_交易对手数</x:v>
      </x:c>
      <x:c r="D277" s="2" t="n">
        <x:v>1422</x:v>
      </x:c>
      <x:c r="E277" s="2" t="n">
        <x:v>-368</x:v>
      </x:c>
      <x:c r="F277" s="2" t="n">
        <x:v>696</x:v>
      </x:c>
      <x:c r="G277" s="2" t="str">
        <x:v>原始表保留；建模表缩尾</x:v>
      </x:c>
    </x:row>
    <x:row r="278" ht="15" hidden="0" customHeight="1">
      <x:c r="A278" s="2" t="str">
        <x:v>E125</x:v>
      </x:c>
      <x:c r="B278" s="2" t="str">
        <x:v>无信贷记录</x:v>
      </x:c>
      <x:c r="C278" s="2" t="str">
        <x:v>进项_交易对手数</x:v>
      </x:c>
      <x:c r="D278" s="2" t="n">
        <x:v>1810</x:v>
      </x:c>
      <x:c r="E278" s="2" t="n">
        <x:v>-368</x:v>
      </x:c>
      <x:c r="F278" s="2" t="n">
        <x:v>696</x:v>
      </x:c>
      <x:c r="G278" s="2" t="str">
        <x:v>原始表保留；建模表缩尾</x:v>
      </x:c>
    </x:row>
    <x:row r="279" ht="15" hidden="0" customHeight="1">
      <x:c r="A279" s="2" t="str">
        <x:v>E129</x:v>
      </x:c>
      <x:c r="B279" s="2" t="str">
        <x:v>无信贷记录</x:v>
      </x:c>
      <x:c r="C279" s="2" t="str">
        <x:v>进项_交易对手数</x:v>
      </x:c>
      <x:c r="D279" s="2" t="n">
        <x:v>1373</x:v>
      </x:c>
      <x:c r="E279" s="2" t="n">
        <x:v>-368</x:v>
      </x:c>
      <x:c r="F279" s="2" t="n">
        <x:v>696</x:v>
      </x:c>
      <x:c r="G279" s="2" t="str">
        <x:v>原始表保留；建模表缩尾</x:v>
      </x:c>
    </x:row>
    <x:row r="280" ht="15" hidden="0" customHeight="1">
      <x:c r="A280" s="2" t="str">
        <x:v>E131</x:v>
      </x:c>
      <x:c r="B280" s="2" t="str">
        <x:v>无信贷记录</x:v>
      </x:c>
      <x:c r="C280" s="2" t="str">
        <x:v>进项_交易对手数</x:v>
      </x:c>
      <x:c r="D280" s="2" t="n">
        <x:v>910</x:v>
      </x:c>
      <x:c r="E280" s="2" t="n">
        <x:v>-368</x:v>
      </x:c>
      <x:c r="F280" s="2" t="n">
        <x:v>696</x:v>
      </x:c>
      <x:c r="G280" s="2" t="str">
        <x:v>原始表保留；建模表缩尾</x:v>
      </x:c>
    </x:row>
    <x:row r="281" ht="15" hidden="0" customHeight="1">
      <x:c r="A281" s="2" t="str">
        <x:v>E147</x:v>
      </x:c>
      <x:c r="B281" s="2" t="str">
        <x:v>无信贷记录</x:v>
      </x:c>
      <x:c r="C281" s="2" t="str">
        <x:v>进项_交易对手数</x:v>
      </x:c>
      <x:c r="D281" s="2" t="n">
        <x:v>744</x:v>
      </x:c>
      <x:c r="E281" s="2" t="n">
        <x:v>-368</x:v>
      </x:c>
      <x:c r="F281" s="2" t="n">
        <x:v>696</x:v>
      </x:c>
      <x:c r="G281" s="2" t="str">
        <x:v>原始表保留；建模表缩尾</x:v>
      </x:c>
    </x:row>
    <x:row r="282" ht="15" hidden="0" customHeight="1">
      <x:c r="A282" s="2" t="str">
        <x:v>E159</x:v>
      </x:c>
      <x:c r="B282" s="2" t="str">
        <x:v>无信贷记录</x:v>
      </x:c>
      <x:c r="C282" s="2" t="str">
        <x:v>进项_交易对手数</x:v>
      </x:c>
      <x:c r="D282" s="2" t="n">
        <x:v>1042</x:v>
      </x:c>
      <x:c r="E282" s="2" t="n">
        <x:v>-368</x:v>
      </x:c>
      <x:c r="F282" s="2" t="n">
        <x:v>696</x:v>
      </x:c>
      <x:c r="G282" s="2" t="str">
        <x:v>原始表保留；建模表缩尾</x:v>
      </x:c>
    </x:row>
    <x:row r="283" ht="15" hidden="0" customHeight="1">
      <x:c r="A283" s="2" t="str">
        <x:v>E162</x:v>
      </x:c>
      <x:c r="B283" s="2" t="str">
        <x:v>无信贷记录</x:v>
      </x:c>
      <x:c r="C283" s="2" t="str">
        <x:v>进项_交易对手数</x:v>
      </x:c>
      <x:c r="D283" s="2" t="n">
        <x:v>1286</x:v>
      </x:c>
      <x:c r="E283" s="2" t="n">
        <x:v>-368</x:v>
      </x:c>
      <x:c r="F283" s="2" t="n">
        <x:v>696</x:v>
      </x:c>
      <x:c r="G283" s="2" t="str">
        <x:v>原始表保留；建模表缩尾</x:v>
      </x:c>
    </x:row>
    <x:row r="284" ht="15" hidden="0" customHeight="1">
      <x:c r="A284" s="2" t="str">
        <x:v>E165</x:v>
      </x:c>
      <x:c r="B284" s="2" t="str">
        <x:v>无信贷记录</x:v>
      </x:c>
      <x:c r="C284" s="2" t="str">
        <x:v>进项_交易对手数</x:v>
      </x:c>
      <x:c r="D284" s="2" t="n">
        <x:v>928</x:v>
      </x:c>
      <x:c r="E284" s="2" t="n">
        <x:v>-368</x:v>
      </x:c>
      <x:c r="F284" s="2" t="n">
        <x:v>696</x:v>
      </x:c>
      <x:c r="G284" s="2" t="str">
        <x:v>原始表保留；建模表缩尾</x:v>
      </x:c>
    </x:row>
    <x:row r="285" ht="15" hidden="0" customHeight="1">
      <x:c r="A285" s="2" t="str">
        <x:v>E167</x:v>
      </x:c>
      <x:c r="B285" s="2" t="str">
        <x:v>无信贷记录</x:v>
      </x:c>
      <x:c r="C285" s="2" t="str">
        <x:v>进项_交易对手数</x:v>
      </x:c>
      <x:c r="D285" s="2" t="n">
        <x:v>1101</x:v>
      </x:c>
      <x:c r="E285" s="2" t="n">
        <x:v>-368</x:v>
      </x:c>
      <x:c r="F285" s="2" t="n">
        <x:v>696</x:v>
      </x:c>
      <x:c r="G285" s="2" t="str">
        <x:v>原始表保留；建模表缩尾</x:v>
      </x:c>
    </x:row>
    <x:row r="286" ht="15" hidden="0" customHeight="1">
      <x:c r="A286" s="2" t="str">
        <x:v>E169</x:v>
      </x:c>
      <x:c r="B286" s="2" t="str">
        <x:v>无信贷记录</x:v>
      </x:c>
      <x:c r="C286" s="2" t="str">
        <x:v>进项_交易对手数</x:v>
      </x:c>
      <x:c r="D286" s="2" t="n">
        <x:v>1023</x:v>
      </x:c>
      <x:c r="E286" s="2" t="n">
        <x:v>-368</x:v>
      </x:c>
      <x:c r="F286" s="2" t="n">
        <x:v>696</x:v>
      </x:c>
      <x:c r="G286" s="2" t="str">
        <x:v>原始表保留；建模表缩尾</x:v>
      </x:c>
    </x:row>
    <x:row r="287" ht="15" hidden="0" customHeight="1">
      <x:c r="A287" s="2" t="str">
        <x:v>E176</x:v>
      </x:c>
      <x:c r="B287" s="2" t="str">
        <x:v>无信贷记录</x:v>
      </x:c>
      <x:c r="C287" s="2" t="str">
        <x:v>进项_交易对手数</x:v>
      </x:c>
      <x:c r="D287" s="2" t="n">
        <x:v>869</x:v>
      </x:c>
      <x:c r="E287" s="2" t="n">
        <x:v>-368</x:v>
      </x:c>
      <x:c r="F287" s="2" t="n">
        <x:v>696</x:v>
      </x:c>
      <x:c r="G287" s="2" t="str">
        <x:v>原始表保留；建模表缩尾</x:v>
      </x:c>
    </x:row>
    <x:row r="288" ht="15" hidden="0" customHeight="1">
      <x:c r="A288" s="2" t="str">
        <x:v>E187</x:v>
      </x:c>
      <x:c r="B288" s="2" t="str">
        <x:v>无信贷记录</x:v>
      </x:c>
      <x:c r="C288" s="2" t="str">
        <x:v>进项_交易对手数</x:v>
      </x:c>
      <x:c r="D288" s="2" t="n">
        <x:v>3880</x:v>
      </x:c>
      <x:c r="E288" s="2" t="n">
        <x:v>-368</x:v>
      </x:c>
      <x:c r="F288" s="2" t="n">
        <x:v>696</x:v>
      </x:c>
      <x:c r="G288" s="2" t="str">
        <x:v>原始表保留；建模表缩尾</x:v>
      </x:c>
    </x:row>
    <x:row r="289" ht="15" hidden="0" customHeight="1">
      <x:c r="A289" s="2" t="str">
        <x:v>E189</x:v>
      </x:c>
      <x:c r="B289" s="2" t="str">
        <x:v>无信贷记录</x:v>
      </x:c>
      <x:c r="C289" s="2" t="str">
        <x:v>进项_交易对手数</x:v>
      </x:c>
      <x:c r="D289" s="2" t="n">
        <x:v>828</x:v>
      </x:c>
      <x:c r="E289" s="2" t="n">
        <x:v>-368</x:v>
      </x:c>
      <x:c r="F289" s="2" t="n">
        <x:v>696</x:v>
      </x:c>
      <x:c r="G289" s="2" t="str">
        <x:v>原始表保留；建模表缩尾</x:v>
      </x:c>
    </x:row>
    <x:row r="290" ht="15" hidden="0" customHeight="1">
      <x:c r="A290" s="2" t="str">
        <x:v>E194</x:v>
      </x:c>
      <x:c r="B290" s="2" t="str">
        <x:v>无信贷记录</x:v>
      </x:c>
      <x:c r="C290" s="2" t="str">
        <x:v>进项_交易对手数</x:v>
      </x:c>
      <x:c r="D290" s="2" t="n">
        <x:v>918</x:v>
      </x:c>
      <x:c r="E290" s="2" t="n">
        <x:v>-368</x:v>
      </x:c>
      <x:c r="F290" s="2" t="n">
        <x:v>696</x:v>
      </x:c>
      <x:c r="G290" s="2" t="str">
        <x:v>原始表保留；建模表缩尾</x:v>
      </x:c>
    </x:row>
    <x:row r="291" ht="15" hidden="0" customHeight="1">
      <x:c r="A291" s="2" t="str">
        <x:v>E197</x:v>
      </x:c>
      <x:c r="B291" s="2" t="str">
        <x:v>无信贷记录</x:v>
      </x:c>
      <x:c r="C291" s="2" t="str">
        <x:v>进项_交易对手数</x:v>
      </x:c>
      <x:c r="D291" s="2" t="n">
        <x:v>805</x:v>
      </x:c>
      <x:c r="E291" s="2" t="n">
        <x:v>-368</x:v>
      </x:c>
      <x:c r="F291" s="2" t="n">
        <x:v>696</x:v>
      </x:c>
      <x:c r="G291" s="2" t="str">
        <x:v>原始表保留；建模表缩尾</x:v>
      </x:c>
    </x:row>
    <x:row r="292" ht="15" hidden="0" customHeight="1">
      <x:c r="A292" s="2" t="str">
        <x:v>E204</x:v>
      </x:c>
      <x:c r="B292" s="2" t="str">
        <x:v>无信贷记录</x:v>
      </x:c>
      <x:c r="C292" s="2" t="str">
        <x:v>进项_交易对手数</x:v>
      </x:c>
      <x:c r="D292" s="2" t="n">
        <x:v>1213</x:v>
      </x:c>
      <x:c r="E292" s="2" t="n">
        <x:v>-368</x:v>
      </x:c>
      <x:c r="F292" s="2" t="n">
        <x:v>696</x:v>
      </x:c>
      <x:c r="G292" s="2" t="str">
        <x:v>原始表保留；建模表缩尾</x:v>
      </x:c>
    </x:row>
    <x:row r="293" ht="15" hidden="0" customHeight="1">
      <x:c r="A293" s="2" t="str">
        <x:v>E206</x:v>
      </x:c>
      <x:c r="B293" s="2" t="str">
        <x:v>无信贷记录</x:v>
      </x:c>
      <x:c r="C293" s="2" t="str">
        <x:v>进项_交易对手数</x:v>
      </x:c>
      <x:c r="D293" s="2" t="n">
        <x:v>891</x:v>
      </x:c>
      <x:c r="E293" s="2" t="n">
        <x:v>-368</x:v>
      </x:c>
      <x:c r="F293" s="2" t="n">
        <x:v>696</x:v>
      </x:c>
      <x:c r="G293" s="2" t="str">
        <x:v>原始表保留；建模表缩尾</x:v>
      </x:c>
    </x:row>
    <x:row r="294" ht="15" hidden="0" customHeight="1">
      <x:c r="A294" s="2" t="str">
        <x:v>E209</x:v>
      </x:c>
      <x:c r="B294" s="2" t="str">
        <x:v>无信贷记录</x:v>
      </x:c>
      <x:c r="C294" s="2" t="str">
        <x:v>进项_交易对手数</x:v>
      </x:c>
      <x:c r="D294" s="2" t="n">
        <x:v>1604</x:v>
      </x:c>
      <x:c r="E294" s="2" t="n">
        <x:v>-368</x:v>
      </x:c>
      <x:c r="F294" s="2" t="n">
        <x:v>696</x:v>
      </x:c>
      <x:c r="G294" s="2" t="str">
        <x:v>原始表保留；建模表缩尾</x:v>
      </x:c>
    </x:row>
    <x:row r="295" ht="15" hidden="0" customHeight="1">
      <x:c r="A295" s="2" t="str">
        <x:v>E219</x:v>
      </x:c>
      <x:c r="B295" s="2" t="str">
        <x:v>无信贷记录</x:v>
      </x:c>
      <x:c r="C295" s="2" t="str">
        <x:v>进项_交易对手数</x:v>
      </x:c>
      <x:c r="D295" s="2" t="n">
        <x:v>760</x:v>
      </x:c>
      <x:c r="E295" s="2" t="n">
        <x:v>-368</x:v>
      </x:c>
      <x:c r="F295" s="2" t="n">
        <x:v>696</x:v>
      </x:c>
      <x:c r="G295" s="2" t="str">
        <x:v>原始表保留；建模表缩尾</x:v>
      </x:c>
    </x:row>
    <x:row r="296" ht="15" hidden="0" customHeight="1">
      <x:c r="A296" s="2" t="str">
        <x:v>E220</x:v>
      </x:c>
      <x:c r="B296" s="2" t="str">
        <x:v>无信贷记录</x:v>
      </x:c>
      <x:c r="C296" s="2" t="str">
        <x:v>进项_交易对手数</x:v>
      </x:c>
      <x:c r="D296" s="2" t="n">
        <x:v>1575</x:v>
      </x:c>
      <x:c r="E296" s="2" t="n">
        <x:v>-368</x:v>
      </x:c>
      <x:c r="F296" s="2" t="n">
        <x:v>696</x:v>
      </x:c>
      <x:c r="G296" s="2" t="str">
        <x:v>原始表保留；建模表缩尾</x:v>
      </x:c>
    </x:row>
    <x:row r="297" ht="15" hidden="0" customHeight="1">
      <x:c r="A297" s="2" t="str">
        <x:v>E221</x:v>
      </x:c>
      <x:c r="B297" s="2" t="str">
        <x:v>无信贷记录</x:v>
      </x:c>
      <x:c r="C297" s="2" t="str">
        <x:v>进项_交易对手数</x:v>
      </x:c>
      <x:c r="D297" s="2" t="n">
        <x:v>957</x:v>
      </x:c>
      <x:c r="E297" s="2" t="n">
        <x:v>-368</x:v>
      </x:c>
      <x:c r="F297" s="2" t="n">
        <x:v>696</x:v>
      </x:c>
      <x:c r="G297" s="2" t="str">
        <x:v>原始表保留；建模表缩尾</x:v>
      </x:c>
    </x:row>
    <x:row r="298" ht="15" hidden="0" customHeight="1">
      <x:c r="A298" s="2" t="str">
        <x:v>E222</x:v>
      </x:c>
      <x:c r="B298" s="2" t="str">
        <x:v>无信贷记录</x:v>
      </x:c>
      <x:c r="C298" s="2" t="str">
        <x:v>进项_交易对手数</x:v>
      </x:c>
      <x:c r="D298" s="2" t="n">
        <x:v>934</x:v>
      </x:c>
      <x:c r="E298" s="2" t="n">
        <x:v>-368</x:v>
      </x:c>
      <x:c r="F298" s="2" t="n">
        <x:v>696</x:v>
      </x:c>
      <x:c r="G298" s="2" t="str">
        <x:v>原始表保留；建模表缩尾</x:v>
      </x:c>
    </x:row>
    <x:row r="299" ht="15" hidden="0" customHeight="1">
      <x:c r="A299" s="2" t="str">
        <x:v>E223</x:v>
      </x:c>
      <x:c r="B299" s="2" t="str">
        <x:v>无信贷记录</x:v>
      </x:c>
      <x:c r="C299" s="2" t="str">
        <x:v>进项_交易对手数</x:v>
      </x:c>
      <x:c r="D299" s="2" t="n">
        <x:v>788</x:v>
      </x:c>
      <x:c r="E299" s="2" t="n">
        <x:v>-368</x:v>
      </x:c>
      <x:c r="F299" s="2" t="n">
        <x:v>696</x:v>
      </x:c>
      <x:c r="G299" s="2" t="str">
        <x:v>原始表保留；建模表缩尾</x:v>
      </x:c>
    </x:row>
    <x:row r="300" ht="15" hidden="0" customHeight="1">
      <x:c r="A300" s="2" t="str">
        <x:v>E238</x:v>
      </x:c>
      <x:c r="B300" s="2" t="str">
        <x:v>无信贷记录</x:v>
      </x:c>
      <x:c r="C300" s="2" t="str">
        <x:v>进项_交易对手数</x:v>
      </x:c>
      <x:c r="D300" s="2" t="n">
        <x:v>762</x:v>
      </x:c>
      <x:c r="E300" s="2" t="n">
        <x:v>-368</x:v>
      </x:c>
      <x:c r="F300" s="2" t="n">
        <x:v>696</x:v>
      </x:c>
      <x:c r="G300" s="2" t="str">
        <x:v>原始表保留；建模表缩尾</x:v>
      </x:c>
    </x:row>
    <x:row r="301" ht="15" hidden="0" customHeight="1">
      <x:c r="A301" s="2" t="str">
        <x:v>E240</x:v>
      </x:c>
      <x:c r="B301" s="2" t="str">
        <x:v>无信贷记录</x:v>
      </x:c>
      <x:c r="C301" s="2" t="str">
        <x:v>进项_交易对手数</x:v>
      </x:c>
      <x:c r="D301" s="2" t="n">
        <x:v>1122</x:v>
      </x:c>
      <x:c r="E301" s="2" t="n">
        <x:v>-368</x:v>
      </x:c>
      <x:c r="F301" s="2" t="n">
        <x:v>696</x:v>
      </x:c>
      <x:c r="G301" s="2" t="str">
        <x:v>原始表保留；建模表缩尾</x:v>
      </x:c>
    </x:row>
    <x:row r="302" ht="15" hidden="0" customHeight="1">
      <x:c r="A302" s="2" t="str">
        <x:v>E264</x:v>
      </x:c>
      <x:c r="B302" s="2" t="str">
        <x:v>无信贷记录</x:v>
      </x:c>
      <x:c r="C302" s="2" t="str">
        <x:v>进项_交易对手数</x:v>
      </x:c>
      <x:c r="D302" s="2" t="n">
        <x:v>1610</x:v>
      </x:c>
      <x:c r="E302" s="2" t="n">
        <x:v>-368</x:v>
      </x:c>
      <x:c r="F302" s="2" t="n">
        <x:v>696</x:v>
      </x:c>
      <x:c r="G302" s="2" t="str">
        <x:v>原始表保留；建模表缩尾</x:v>
      </x:c>
    </x:row>
    <x:row r="303" ht="15" hidden="0" customHeight="1">
      <x:c r="A303" s="2" t="str">
        <x:v>E301</x:v>
      </x:c>
      <x:c r="B303" s="2" t="str">
        <x:v>无信贷记录</x:v>
      </x:c>
      <x:c r="C303" s="2" t="str">
        <x:v>进项_交易对手数</x:v>
      </x:c>
      <x:c r="D303" s="2" t="n">
        <x:v>789</x:v>
      </x:c>
      <x:c r="E303" s="2" t="n">
        <x:v>-368</x:v>
      </x:c>
      <x:c r="F303" s="2" t="n">
        <x:v>696</x:v>
      </x:c>
      <x:c r="G303" s="2" t="str">
        <x:v>原始表保留；建模表缩尾</x:v>
      </x:c>
    </x:row>
    <x:row r="304" ht="15" hidden="0" customHeight="1">
      <x:c r="A304" s="2" t="str">
        <x:v>E312</x:v>
      </x:c>
      <x:c r="B304" s="2" t="str">
        <x:v>无信贷记录</x:v>
      </x:c>
      <x:c r="C304" s="2" t="str">
        <x:v>进项_交易对手数</x:v>
      </x:c>
      <x:c r="D304" s="2" t="n">
        <x:v>908</x:v>
      </x:c>
      <x:c r="E304" s="2" t="n">
        <x:v>-368</x:v>
      </x:c>
      <x:c r="F304" s="2" t="n">
        <x:v>696</x:v>
      </x:c>
      <x:c r="G304" s="2" t="str">
        <x:v>原始表保留；建模表缩尾</x:v>
      </x:c>
    </x:row>
    <x:row r="305" ht="15" hidden="0" customHeight="1">
      <x:c r="A305" s="2" t="str">
        <x:v>E33</x:v>
      </x:c>
      <x:c r="B305" s="2" t="str">
        <x:v>有信贷记录</x:v>
      </x:c>
      <x:c r="C305" s="2" t="str">
        <x:v>进项_作废率</x:v>
      </x:c>
      <x:c r="D305" s="2" t="n">
        <x:v>0.12374323279195669</x:v>
      </x:c>
      <x:c r="E305" s="2" t="n">
        <x:v>-0.03225806451612903</x:v>
      </x:c>
      <x:c r="F305" s="2" t="n">
        <x:v>0.08602150537634408</x:v>
      </x:c>
      <x:c r="G305" s="2" t="str">
        <x:v>原始表保留；建模表缩尾</x:v>
      </x:c>
    </x:row>
    <x:row r="306" ht="15" hidden="0" customHeight="1">
      <x:c r="A306" s="2" t="str">
        <x:v>E34</x:v>
      </x:c>
      <x:c r="B306" s="2" t="str">
        <x:v>有信贷记录</x:v>
      </x:c>
      <x:c r="C306" s="2" t="str">
        <x:v>进项_作废率</x:v>
      </x:c>
      <x:c r="D306" s="2" t="n">
        <x:v>0.10307492420961455</x:v>
      </x:c>
      <x:c r="E306" s="2" t="n">
        <x:v>-0.03225806451612903</x:v>
      </x:c>
      <x:c r="F306" s="2" t="n">
        <x:v>0.08602150537634408</x:v>
      </x:c>
      <x:c r="G306" s="2" t="str">
        <x:v>原始表保留；建模表缩尾</x:v>
      </x:c>
    </x:row>
    <x:row r="307" ht="15" hidden="0" customHeight="1">
      <x:c r="A307" s="2" t="str">
        <x:v>E43</x:v>
      </x:c>
      <x:c r="B307" s="2" t="str">
        <x:v>有信贷记录</x:v>
      </x:c>
      <x:c r="C307" s="2" t="str">
        <x:v>进项_作废率</x:v>
      </x:c>
      <x:c r="D307" s="2" t="n">
        <x:v>0.1282051282051282</x:v>
      </x:c>
      <x:c r="E307" s="2" t="n">
        <x:v>-0.03225806451612903</x:v>
      </x:c>
      <x:c r="F307" s="2" t="n">
        <x:v>0.08602150537634408</x:v>
      </x:c>
      <x:c r="G307" s="2" t="str">
        <x:v>原始表保留；建模表缩尾</x:v>
      </x:c>
    </x:row>
    <x:row r="308" ht="15" hidden="0" customHeight="1">
      <x:c r="A308" s="2" t="str">
        <x:v>E55</x:v>
      </x:c>
      <x:c r="B308" s="2" t="str">
        <x:v>有信贷记录</x:v>
      </x:c>
      <x:c r="C308" s="2" t="str">
        <x:v>进项_作废率</x:v>
      </x:c>
      <x:c r="D308" s="2" t="n">
        <x:v>0.08626974483596597</x:v>
      </x:c>
      <x:c r="E308" s="2" t="n">
        <x:v>-0.03225806451612903</x:v>
      </x:c>
      <x:c r="F308" s="2" t="n">
        <x:v>0.08602150537634408</x:v>
      </x:c>
      <x:c r="G308" s="2" t="str">
        <x:v>原始表保留；建模表缩尾</x:v>
      </x:c>
    </x:row>
    <x:row r="309" ht="15" hidden="0" customHeight="1">
      <x:c r="A309" s="2" t="str">
        <x:v>E114</x:v>
      </x:c>
      <x:c r="B309" s="2" t="str">
        <x:v>有信贷记录</x:v>
      </x:c>
      <x:c r="C309" s="2" t="str">
        <x:v>进项_作废率</x:v>
      </x:c>
      <x:c r="D309" s="2" t="n">
        <x:v>0.09210526315789473</x:v>
      </x:c>
      <x:c r="E309" s="2" t="n">
        <x:v>-0.03225806451612903</x:v>
      </x:c>
      <x:c r="F309" s="2" t="n">
        <x:v>0.08602150537634408</x:v>
      </x:c>
      <x:c r="G309" s="2" t="str">
        <x:v>原始表保留；建模表缩尾</x:v>
      </x:c>
    </x:row>
    <x:row r="310" ht="15" hidden="0" customHeight="1">
      <x:c r="A310" s="2" t="str">
        <x:v>E124</x:v>
      </x:c>
      <x:c r="B310" s="2" t="str">
        <x:v>无信贷记录</x:v>
      </x:c>
      <x:c r="C310" s="2" t="str">
        <x:v>进项_作废率</x:v>
      </x:c>
      <x:c r="D310" s="2" t="n">
        <x:v>0.12331284819941417</x:v>
      </x:c>
      <x:c r="E310" s="2" t="n">
        <x:v>-0.03225806451612903</x:v>
      </x:c>
      <x:c r="F310" s="2" t="n">
        <x:v>0.08602150537634408</x:v>
      </x:c>
      <x:c r="G310" s="2" t="str">
        <x:v>原始表保留；建模表缩尾</x:v>
      </x:c>
    </x:row>
    <x:row r="311" ht="15" hidden="0" customHeight="1">
      <x:c r="A311" s="2" t="str">
        <x:v>E125</x:v>
      </x:c>
      <x:c r="B311" s="2" t="str">
        <x:v>无信贷记录</x:v>
      </x:c>
      <x:c r="C311" s="2" t="str">
        <x:v>进项_作废率</x:v>
      </x:c>
      <x:c r="D311" s="2" t="n">
        <x:v>0.12381703470031545</x:v>
      </x:c>
      <x:c r="E311" s="2" t="n">
        <x:v>-0.03225806451612903</x:v>
      </x:c>
      <x:c r="F311" s="2" t="n">
        <x:v>0.08602150537634408</x:v>
      </x:c>
      <x:c r="G311" s="2" t="str">
        <x:v>原始表保留；建模表缩尾</x:v>
      </x:c>
    </x:row>
    <x:row r="312" ht="15" hidden="0" customHeight="1">
      <x:c r="A312" s="2" t="str">
        <x:v>E192</x:v>
      </x:c>
      <x:c r="B312" s="2" t="str">
        <x:v>无信贷记录</x:v>
      </x:c>
      <x:c r="C312" s="2" t="str">
        <x:v>进项_作废率</x:v>
      </x:c>
      <x:c r="D312" s="2" t="n">
        <x:v>0.11711711711711711</x:v>
      </x:c>
      <x:c r="E312" s="2" t="n">
        <x:v>-0.03225806451612903</x:v>
      </x:c>
      <x:c r="F312" s="2" t="n">
        <x:v>0.08602150537634408</x:v>
      </x:c>
      <x:c r="G312" s="2" t="str">
        <x:v>原始表保留；建模表缩尾</x:v>
      </x:c>
    </x:row>
    <x:row r="313" ht="15" hidden="0" customHeight="1">
      <x:c r="A313" s="2" t="str">
        <x:v>E202</x:v>
      </x:c>
      <x:c r="B313" s="2" t="str">
        <x:v>无信贷记录</x:v>
      </x:c>
      <x:c r="C313" s="2" t="str">
        <x:v>进项_作废率</x:v>
      </x:c>
      <x:c r="D313" s="2" t="n">
        <x:v>0.09900990099009901</x:v>
      </x:c>
      <x:c r="E313" s="2" t="n">
        <x:v>-0.03225806451612903</x:v>
      </x:c>
      <x:c r="F313" s="2" t="n">
        <x:v>0.08602150537634408</x:v>
      </x:c>
      <x:c r="G313" s="2" t="str">
        <x:v>原始表保留；建模表缩尾</x:v>
      </x:c>
    </x:row>
    <x:row r="314" ht="15" hidden="0" customHeight="1">
      <x:c r="A314" s="2" t="str">
        <x:v>E205</x:v>
      </x:c>
      <x:c r="B314" s="2" t="str">
        <x:v>无信贷记录</x:v>
      </x:c>
      <x:c r="C314" s="2" t="str">
        <x:v>进项_作废率</x:v>
      </x:c>
      <x:c r="D314" s="2" t="n">
        <x:v>0.09271523178807947</x:v>
      </x:c>
      <x:c r="E314" s="2" t="n">
        <x:v>-0.03225806451612903</x:v>
      </x:c>
      <x:c r="F314" s="2" t="n">
        <x:v>0.08602150537634408</x:v>
      </x:c>
      <x:c r="G314" s="2" t="str">
        <x:v>原始表保留；建模表缩尾</x:v>
      </x:c>
    </x:row>
    <x:row r="315" ht="15" hidden="0" customHeight="1">
      <x:c r="A315" s="2" t="str">
        <x:v>E249</x:v>
      </x:c>
      <x:c r="B315" s="2" t="str">
        <x:v>无信贷记录</x:v>
      </x:c>
      <x:c r="C315" s="2" t="str">
        <x:v>进项_作废率</x:v>
      </x:c>
      <x:c r="D315" s="2" t="n">
        <x:v>0.1376912378303199</x:v>
      </x:c>
      <x:c r="E315" s="2" t="n">
        <x:v>-0.03225806451612903</x:v>
      </x:c>
      <x:c r="F315" s="2" t="n">
        <x:v>0.08602150537634408</x:v>
      </x:c>
      <x:c r="G315" s="2" t="str">
        <x:v>原始表保留；建模表缩尾</x:v>
      </x:c>
    </x:row>
    <x:row r="316" ht="15" hidden="0" customHeight="1">
      <x:c r="A316" s="2" t="str">
        <x:v>E268</x:v>
      </x:c>
      <x:c r="B316" s="2" t="str">
        <x:v>无信贷记录</x:v>
      </x:c>
      <x:c r="C316" s="2" t="str">
        <x:v>进项_作废率</x:v>
      </x:c>
      <x:c r="D316" s="2" t="n">
        <x:v>0.10638297872340426</x:v>
      </x:c>
      <x:c r="E316" s="2" t="n">
        <x:v>-0.03225806451612903</x:v>
      </x:c>
      <x:c r="F316" s="2" t="n">
        <x:v>0.08602150537634408</x:v>
      </x:c>
      <x:c r="G316" s="2" t="str">
        <x:v>原始表保留；建模表缩尾</x:v>
      </x:c>
    </x:row>
    <x:row r="317" ht="15" hidden="0" customHeight="1">
      <x:c r="A317" s="2" t="str">
        <x:v>E287</x:v>
      </x:c>
      <x:c r="B317" s="2" t="str">
        <x:v>无信贷记录</x:v>
      </x:c>
      <x:c r="C317" s="2" t="str">
        <x:v>进项_作废率</x:v>
      </x:c>
      <x:c r="D317" s="2" t="n">
        <x:v>0.08658008658008658</x:v>
      </x:c>
      <x:c r="E317" s="2" t="n">
        <x:v>-0.03225806451612903</x:v>
      </x:c>
      <x:c r="F317" s="2" t="n">
        <x:v>0.08602150537634408</x:v>
      </x:c>
      <x:c r="G317" s="2" t="str">
        <x:v>原始表保留；建模表缩尾</x:v>
      </x:c>
    </x:row>
    <x:row r="318" ht="15" hidden="0" customHeight="1">
      <x:c r="A318" s="2" t="str">
        <x:v>E340</x:v>
      </x:c>
      <x:c r="B318" s="2" t="str">
        <x:v>无信贷记录</x:v>
      </x:c>
      <x:c r="C318" s="2" t="str">
        <x:v>进项_作废率</x:v>
      </x:c>
      <x:c r="D318" s="2" t="n">
        <x:v>0.09090909090909091</x:v>
      </x:c>
      <x:c r="E318" s="2" t="n">
        <x:v>-0.03225806451612903</x:v>
      </x:c>
      <x:c r="F318" s="2" t="n">
        <x:v>0.08602150537634408</x:v>
      </x:c>
      <x:c r="G318" s="2" t="str">
        <x:v>原始表保留；建模表缩尾</x:v>
      </x:c>
    </x:row>
    <x:row r="319" ht="15" hidden="0" customHeight="1">
      <x:c r="A319" s="2" t="str">
        <x:v>E355</x:v>
      </x:c>
      <x:c r="B319" s="2" t="str">
        <x:v>无信贷记录</x:v>
      </x:c>
      <x:c r="C319" s="2" t="str">
        <x:v>进项_作废率</x:v>
      </x:c>
      <x:c r="D319" s="2" t="n">
        <x:v>0.25</x:v>
      </x:c>
      <x:c r="E319" s="2" t="n">
        <x:v>-0.03225806451612903</x:v>
      </x:c>
      <x:c r="F319" s="2" t="n">
        <x:v>0.08602150537634408</x:v>
      </x:c>
      <x:c r="G319" s="2" t="str">
        <x:v>原始表保留；建模表缩尾</x:v>
      </x:c>
    </x:row>
    <x:row r="320" ht="15" hidden="0" customHeight="1">
      <x:c r="A320" s="2" t="str">
        <x:v>E370</x:v>
      </x:c>
      <x:c r="B320" s="2" t="str">
        <x:v>无信贷记录</x:v>
      </x:c>
      <x:c r="C320" s="2" t="str">
        <x:v>进项_作废率</x:v>
      </x:c>
      <x:c r="D320" s="2" t="n">
        <x:v>0.25</x:v>
      </x:c>
      <x:c r="E320" s="2" t="n">
        <x:v>-0.03225806451612903</x:v>
      </x:c>
      <x:c r="F320" s="2" t="n">
        <x:v>0.08602150537634408</x:v>
      </x:c>
      <x:c r="G320" s="2" t="str">
        <x:v>原始表保留；建模表缩尾</x:v>
      </x:c>
    </x:row>
    <x:row r="321" ht="15" hidden="0" customHeight="1">
      <x:c r="A321" s="2" t="str">
        <x:v>E404</x:v>
      </x:c>
      <x:c r="B321" s="2" t="str">
        <x:v>无信贷记录</x:v>
      </x:c>
      <x:c r="C321" s="2" t="str">
        <x:v>进项_作废率</x:v>
      </x:c>
      <x:c r="D321" s="2" t="n">
        <x:v>0.13793103448275862</x:v>
      </x:c>
      <x:c r="E321" s="2" t="n">
        <x:v>-0.03225806451612903</x:v>
      </x:c>
      <x:c r="F321" s="2" t="n">
        <x:v>0.08602150537634408</x:v>
      </x:c>
      <x:c r="G321" s="2" t="str">
        <x:v>原始表保留；建模表缩尾</x:v>
      </x:c>
    </x:row>
    <x:row r="322" ht="15" hidden="0" customHeight="1">
      <x:c r="A322" s="2" t="str">
        <x:v>E416</x:v>
      </x:c>
      <x:c r="B322" s="2" t="str">
        <x:v>无信贷记录</x:v>
      </x:c>
      <x:c r="C322" s="2" t="str">
        <x:v>进项_作废率</x:v>
      </x:c>
      <x:c r="D322" s="2" t="n">
        <x:v>0.125</x:v>
      </x:c>
      <x:c r="E322" s="2" t="n">
        <x:v>-0.03225806451612903</x:v>
      </x:c>
      <x:c r="F322" s="2" t="n">
        <x:v>0.08602150537634408</x:v>
      </x:c>
      <x:c r="G322" s="2" t="str">
        <x:v>原始表保留；建模表缩尾</x:v>
      </x:c>
    </x:row>
    <x:row r="323" ht="15" hidden="0" customHeight="1">
      <x:c r="A323" s="2" t="str">
        <x:v>E7</x:v>
      </x:c>
      <x:c r="B323" s="2" t="str">
        <x:v>有信贷记录</x:v>
      </x:c>
      <x:c r="C323" s="2" t="str">
        <x:v>进项_负数率</x:v>
      </x:c>
      <x:c r="D323" s="2" t="n">
        <x:v>0.03559281816024678</x:v>
      </x:c>
      <x:c r="E323" s="2" t="n">
        <x:v>-0.013259668508287293</x:v>
      </x:c>
      <x:c r="F323" s="2" t="n">
        <x:v>0.022099447513812154</x:v>
      </x:c>
      <x:c r="G323" s="2" t="str">
        <x:v>原始表保留；建模表缩尾</x:v>
      </x:c>
    </x:row>
    <x:row r="324" ht="15" hidden="0" customHeight="1">
      <x:c r="A324" s="2" t="str">
        <x:v>E43</x:v>
      </x:c>
      <x:c r="B324" s="2" t="str">
        <x:v>有信贷记录</x:v>
      </x:c>
      <x:c r="C324" s="2" t="str">
        <x:v>进项_负数率</x:v>
      </x:c>
      <x:c r="D324" s="2" t="n">
        <x:v>0.14705882352941177</x:v>
      </x:c>
      <x:c r="E324" s="2" t="n">
        <x:v>-0.013259668508287293</x:v>
      </x:c>
      <x:c r="F324" s="2" t="n">
        <x:v>0.022099447513812154</x:v>
      </x:c>
      <x:c r="G324" s="2" t="str">
        <x:v>原始表保留；建模表缩尾</x:v>
      </x:c>
    </x:row>
    <x:row r="325" ht="15" hidden="0" customHeight="1">
      <x:c r="A325" s="2" t="str">
        <x:v>E55</x:v>
      </x:c>
      <x:c r="B325" s="2" t="str">
        <x:v>有信贷记录</x:v>
      </x:c>
      <x:c r="C325" s="2" t="str">
        <x:v>进项_负数率</x:v>
      </x:c>
      <x:c r="D325" s="2" t="n">
        <x:v>0.0398936170212766</x:v>
      </x:c>
      <x:c r="E325" s="2" t="n">
        <x:v>-0.013259668508287293</x:v>
      </x:c>
      <x:c r="F325" s="2" t="n">
        <x:v>0.022099447513812154</x:v>
      </x:c>
      <x:c r="G325" s="2" t="str">
        <x:v>原始表保留；建模表缩尾</x:v>
      </x:c>
    </x:row>
    <x:row r="326" ht="15" hidden="0" customHeight="1">
      <x:c r="A326" s="2" t="str">
        <x:v>E124</x:v>
      </x:c>
      <x:c r="B326" s="2" t="str">
        <x:v>无信贷记录</x:v>
      </x:c>
      <x:c r="C326" s="2" t="str">
        <x:v>进项_负数率</x:v>
      </x:c>
      <x:c r="D326" s="2" t="n">
        <x:v>0.02240566037735849</x:v>
      </x:c>
      <x:c r="E326" s="2" t="n">
        <x:v>-0.013259668508287293</x:v>
      </x:c>
      <x:c r="F326" s="2" t="n">
        <x:v>0.022099447513812154</x:v>
      </x:c>
      <x:c r="G326" s="2" t="str">
        <x:v>原始表保留；建模表缩尾</x:v>
      </x:c>
    </x:row>
    <x:row r="327" ht="15" hidden="0" customHeight="1">
      <x:c r="A327" s="2" t="str">
        <x:v>E125</x:v>
      </x:c>
      <x:c r="B327" s="2" t="str">
        <x:v>无信贷记录</x:v>
      </x:c>
      <x:c r="C327" s="2" t="str">
        <x:v>进项_负数率</x:v>
      </x:c>
      <x:c r="D327" s="2" t="n">
        <x:v>0.022277227722772276</x:v>
      </x:c>
      <x:c r="E327" s="2" t="n">
        <x:v>-0.013259668508287293</x:v>
      </x:c>
      <x:c r="F327" s="2" t="n">
        <x:v>0.022099447513812154</x:v>
      </x:c>
      <x:c r="G327" s="2" t="str">
        <x:v>原始表保留；建模表缩尾</x:v>
      </x:c>
    </x:row>
    <x:row r="328" ht="15" hidden="0" customHeight="1">
      <x:c r="A328" s="2" t="str">
        <x:v>E138</x:v>
      </x:c>
      <x:c r="B328" s="2" t="str">
        <x:v>无信贷记录</x:v>
      </x:c>
      <x:c r="C328" s="2" t="str">
        <x:v>进项_负数率</x:v>
      </x:c>
      <x:c r="D328" s="2" t="n">
        <x:v>0.048828125</x:v>
      </x:c>
      <x:c r="E328" s="2" t="n">
        <x:v>-0.013259668508287293</x:v>
      </x:c>
      <x:c r="F328" s="2" t="n">
        <x:v>0.022099447513812154</x:v>
      </x:c>
      <x:c r="G328" s="2" t="str">
        <x:v>原始表保留；建模表缩尾</x:v>
      </x:c>
    </x:row>
    <x:row r="329" ht="15" hidden="0" customHeight="1">
      <x:c r="A329" s="2" t="str">
        <x:v>E152</x:v>
      </x:c>
      <x:c r="B329" s="2" t="str">
        <x:v>无信贷记录</x:v>
      </x:c>
      <x:c r="C329" s="2" t="str">
        <x:v>进项_负数率</x:v>
      </x:c>
      <x:c r="D329" s="2" t="n">
        <x:v>0.025813692480359147</x:v>
      </x:c>
      <x:c r="E329" s="2" t="n">
        <x:v>-0.013259668508287293</x:v>
      </x:c>
      <x:c r="F329" s="2" t="n">
        <x:v>0.022099447513812154</x:v>
      </x:c>
      <x:c r="G329" s="2" t="str">
        <x:v>原始表保留；建模表缩尾</x:v>
      </x:c>
    </x:row>
    <x:row r="330" ht="15" hidden="0" customHeight="1">
      <x:c r="A330" s="2" t="str">
        <x:v>E162</x:v>
      </x:c>
      <x:c r="B330" s="2" t="str">
        <x:v>无信贷记录</x:v>
      </x:c>
      <x:c r="C330" s="2" t="str">
        <x:v>进项_负数率</x:v>
      </x:c>
      <x:c r="D330" s="2" t="n">
        <x:v>0.02433808553971487</x:v>
      </x:c>
      <x:c r="E330" s="2" t="n">
        <x:v>-0.013259668508287293</x:v>
      </x:c>
      <x:c r="F330" s="2" t="n">
        <x:v>0.022099447513812154</x:v>
      </x:c>
      <x:c r="G330" s="2" t="str">
        <x:v>原始表保留；建模表缩尾</x:v>
      </x:c>
    </x:row>
    <x:row r="331" ht="15" hidden="0" customHeight="1">
      <x:c r="A331" s="2" t="str">
        <x:v>E170</x:v>
      </x:c>
      <x:c r="B331" s="2" t="str">
        <x:v>无信贷记录</x:v>
      </x:c>
      <x:c r="C331" s="2" t="str">
        <x:v>进项_负数率</x:v>
      </x:c>
      <x:c r="D331" s="2" t="n">
        <x:v>0.044105854049719326</x:v>
      </x:c>
      <x:c r="E331" s="2" t="n">
        <x:v>-0.013259668508287293</x:v>
      </x:c>
      <x:c r="F331" s="2" t="n">
        <x:v>0.022099447513812154</x:v>
      </x:c>
      <x:c r="G331" s="2" t="str">
        <x:v>原始表保留；建模表缩尾</x:v>
      </x:c>
    </x:row>
    <x:row r="332" ht="15" hidden="0" customHeight="1">
      <x:c r="A332" s="2" t="str">
        <x:v>E185</x:v>
      </x:c>
      <x:c r="B332" s="2" t="str">
        <x:v>无信贷记录</x:v>
      </x:c>
      <x:c r="C332" s="2" t="str">
        <x:v>进项_负数率</x:v>
      </x:c>
      <x:c r="D332" s="2" t="n">
        <x:v>0.029850746268656716</x:v>
      </x:c>
      <x:c r="E332" s="2" t="n">
        <x:v>-0.013259668508287293</x:v>
      </x:c>
      <x:c r="F332" s="2" t="n">
        <x:v>0.022099447513812154</x:v>
      </x:c>
      <x:c r="G332" s="2" t="str">
        <x:v>原始表保留；建模表缩尾</x:v>
      </x:c>
    </x:row>
    <x:row r="333" ht="15" hidden="0" customHeight="1">
      <x:c r="A333" s="2" t="str">
        <x:v>E192</x:v>
      </x:c>
      <x:c r="B333" s="2" t="str">
        <x:v>无信贷记录</x:v>
      </x:c>
      <x:c r="C333" s="2" t="str">
        <x:v>进项_负数率</x:v>
      </x:c>
      <x:c r="D333" s="2" t="n">
        <x:v>0.030612244897959183</x:v>
      </x:c>
      <x:c r="E333" s="2" t="n">
        <x:v>-0.013259668508287293</x:v>
      </x:c>
      <x:c r="F333" s="2" t="n">
        <x:v>0.022099447513812154</x:v>
      </x:c>
      <x:c r="G333" s="2" t="str">
        <x:v>原始表保留；建模表缩尾</x:v>
      </x:c>
    </x:row>
    <x:row r="334" ht="15" hidden="0" customHeight="1">
      <x:c r="A334" s="2" t="str">
        <x:v>E222</x:v>
      </x:c>
      <x:c r="B334" s="2" t="str">
        <x:v>无信贷记录</x:v>
      </x:c>
      <x:c r="C334" s="2" t="str">
        <x:v>进项_负数率</x:v>
      </x:c>
      <x:c r="D334" s="2" t="n">
        <x:v>0.022196531791907514</x:v>
      </x:c>
      <x:c r="E334" s="2" t="n">
        <x:v>-0.013259668508287293</x:v>
      </x:c>
      <x:c r="F334" s="2" t="n">
        <x:v>0.022099447513812154</x:v>
      </x:c>
      <x:c r="G334" s="2" t="str">
        <x:v>原始表保留；建模表缩尾</x:v>
      </x:c>
    </x:row>
    <x:row r="335" ht="15" hidden="0" customHeight="1">
      <x:c r="A335" s="2" t="str">
        <x:v>E226</x:v>
      </x:c>
      <x:c r="B335" s="2" t="str">
        <x:v>无信贷记录</x:v>
      </x:c>
      <x:c r="C335" s="2" t="str">
        <x:v>进项_负数率</x:v>
      </x:c>
      <x:c r="D335" s="2" t="n">
        <x:v>0.02837573385518591</x:v>
      </x:c>
      <x:c r="E335" s="2" t="n">
        <x:v>-0.013259668508287293</x:v>
      </x:c>
      <x:c r="F335" s="2" t="n">
        <x:v>0.022099447513812154</x:v>
      </x:c>
      <x:c r="G335" s="2" t="str">
        <x:v>原始表保留；建模表缩尾</x:v>
      </x:c>
    </x:row>
    <x:row r="336" ht="15" hidden="0" customHeight="1">
      <x:c r="A336" s="2" t="str">
        <x:v>E232</x:v>
      </x:c>
      <x:c r="B336" s="2" t="str">
        <x:v>无信贷记录</x:v>
      </x:c>
      <x:c r="C336" s="2" t="str">
        <x:v>进项_负数率</x:v>
      </x:c>
      <x:c r="D336" s="2" t="n">
        <x:v>0.049872122762148335</x:v>
      </x:c>
      <x:c r="E336" s="2" t="n">
        <x:v>-0.013259668508287293</x:v>
      </x:c>
      <x:c r="F336" s="2" t="n">
        <x:v>0.022099447513812154</x:v>
      </x:c>
      <x:c r="G336" s="2" t="str">
        <x:v>原始表保留；建模表缩尾</x:v>
      </x:c>
    </x:row>
    <x:row r="337" ht="15" hidden="0" customHeight="1">
      <x:c r="A337" s="2" t="str">
        <x:v>E237</x:v>
      </x:c>
      <x:c r="B337" s="2" t="str">
        <x:v>无信贷记录</x:v>
      </x:c>
      <x:c r="C337" s="2" t="str">
        <x:v>进项_负数率</x:v>
      </x:c>
      <x:c r="D337" s="2" t="n">
        <x:v>0.05473684210526316</x:v>
      </x:c>
      <x:c r="E337" s="2" t="n">
        <x:v>-0.013259668508287293</x:v>
      </x:c>
      <x:c r="F337" s="2" t="n">
        <x:v>0.022099447513812154</x:v>
      </x:c>
      <x:c r="G337" s="2" t="str">
        <x:v>原始表保留；建模表缩尾</x:v>
      </x:c>
    </x:row>
    <x:row r="338" ht="15" hidden="0" customHeight="1">
      <x:c r="A338" s="2" t="str">
        <x:v>E282</x:v>
      </x:c>
      <x:c r="B338" s="2" t="str">
        <x:v>无信贷记录</x:v>
      </x:c>
      <x:c r="C338" s="2" t="str">
        <x:v>进项_负数率</x:v>
      </x:c>
      <x:c r="D338" s="2" t="n">
        <x:v>0.02526595744680851</x:v>
      </x:c>
      <x:c r="E338" s="2" t="n">
        <x:v>-0.013259668508287293</x:v>
      </x:c>
      <x:c r="F338" s="2" t="n">
        <x:v>0.022099447513812154</x:v>
      </x:c>
      <x:c r="G338" s="2" t="str">
        <x:v>原始表保留；建模表缩尾</x:v>
      </x:c>
    </x:row>
    <x:row r="339" ht="15" hidden="0" customHeight="1">
      <x:c r="A339" s="2" t="str">
        <x:v>E291</x:v>
      </x:c>
      <x:c r="B339" s="2" t="str">
        <x:v>无信贷记录</x:v>
      </x:c>
      <x:c r="C339" s="2" t="str">
        <x:v>进项_负数率</x:v>
      </x:c>
      <x:c r="D339" s="2" t="n">
        <x:v>0.024193548387096774</x:v>
      </x:c>
      <x:c r="E339" s="2" t="n">
        <x:v>-0.013259668508287293</x:v>
      </x:c>
      <x:c r="F339" s="2" t="n">
        <x:v>0.022099447513812154</x:v>
      </x:c>
      <x:c r="G339" s="2" t="str">
        <x:v>原始表保留；建模表缩尾</x:v>
      </x:c>
    </x:row>
    <x:row r="340" ht="15" hidden="0" customHeight="1">
      <x:c r="A340" s="2" t="str">
        <x:v>E314</x:v>
      </x:c>
      <x:c r="B340" s="2" t="str">
        <x:v>无信贷记录</x:v>
      </x:c>
      <x:c r="C340" s="2" t="str">
        <x:v>进项_负数率</x:v>
      </x:c>
      <x:c r="D340" s="2" t="n">
        <x:v>0.03152789005658852</x:v>
      </x:c>
      <x:c r="E340" s="2" t="n">
        <x:v>-0.013259668508287293</x:v>
      </x:c>
      <x:c r="F340" s="2" t="n">
        <x:v>0.022099447513812154</x:v>
      </x:c>
      <x:c r="G340" s="2" t="str">
        <x:v>原始表保留；建模表缩尾</x:v>
      </x:c>
    </x:row>
    <x:row r="341" ht="15" hidden="0" customHeight="1">
      <x:c r="A341" s="2" t="str">
        <x:v>E325</x:v>
      </x:c>
      <x:c r="B341" s="2" t="str">
        <x:v>无信贷记录</x:v>
      </x:c>
      <x:c r="C341" s="2" t="str">
        <x:v>进项_负数率</x:v>
      </x:c>
      <x:c r="D341" s="2" t="n">
        <x:v>0.023391812865497075</x:v>
      </x:c>
      <x:c r="E341" s="2" t="n">
        <x:v>-0.013259668508287293</x:v>
      </x:c>
      <x:c r="F341" s="2" t="n">
        <x:v>0.022099447513812154</x:v>
      </x:c>
      <x:c r="G341" s="2" t="str">
        <x:v>原始表保留；建模表缩尾</x:v>
      </x:c>
    </x:row>
    <x:row r="342" ht="15" hidden="0" customHeight="1">
      <x:c r="A342" s="2" t="str">
        <x:v>E357</x:v>
      </x:c>
      <x:c r="B342" s="2" t="str">
        <x:v>无信贷记录</x:v>
      </x:c>
      <x:c r="C342" s="2" t="str">
        <x:v>进项_负数率</x:v>
      </x:c>
      <x:c r="D342" s="2" t="n">
        <x:v>0.1</x:v>
      </x:c>
      <x:c r="E342" s="2" t="n">
        <x:v>-0.013259668508287293</x:v>
      </x:c>
      <x:c r="F342" s="2" t="n">
        <x:v>0.022099447513812154</x:v>
      </x:c>
      <x:c r="G342" s="2" t="str">
        <x:v>原始表保留；建模表缩尾</x:v>
      </x:c>
    </x:row>
    <x:row r="343" ht="15" hidden="0" customHeight="1">
      <x:c r="A343" s="2" t="str">
        <x:v>E362</x:v>
      </x:c>
      <x:c r="B343" s="2" t="str">
        <x:v>无信贷记录</x:v>
      </x:c>
      <x:c r="C343" s="2" t="str">
        <x:v>进项_负数率</x:v>
      </x:c>
      <x:c r="D343" s="2" t="n">
        <x:v>0.03278688524590164</x:v>
      </x:c>
      <x:c r="E343" s="2" t="n">
        <x:v>-0.013259668508287293</x:v>
      </x:c>
      <x:c r="F343" s="2" t="n">
        <x:v>0.022099447513812154</x:v>
      </x:c>
      <x:c r="G343" s="2" t="str">
        <x:v>原始表保留；建模表缩尾</x:v>
      </x:c>
    </x:row>
    <x:row r="344" ht="15" hidden="0" customHeight="1">
      <x:c r="A344" s="2" t="str">
        <x:v>E363</x:v>
      </x:c>
      <x:c r="B344" s="2" t="str">
        <x:v>无信贷记录</x:v>
      </x:c>
      <x:c r="C344" s="2" t="str">
        <x:v>进项_负数率</x:v>
      </x:c>
      <x:c r="D344" s="2" t="n">
        <x:v>0.043010752688172046</x:v>
      </x:c>
      <x:c r="E344" s="2" t="n">
        <x:v>-0.013259668508287293</x:v>
      </x:c>
      <x:c r="F344" s="2" t="n">
        <x:v>0.022099447513812154</x:v>
      </x:c>
      <x:c r="G344" s="2" t="str">
        <x:v>原始表保留；建模表缩尾</x:v>
      </x:c>
    </x:row>
    <x:row r="345" ht="15" hidden="0" customHeight="1">
      <x:c r="A345" s="2" t="str">
        <x:v>E364</x:v>
      </x:c>
      <x:c r="B345" s="2" t="str">
        <x:v>无信贷记录</x:v>
      </x:c>
      <x:c r="C345" s="2" t="str">
        <x:v>进项_负数率</x:v>
      </x:c>
      <x:c r="D345" s="2" t="n">
        <x:v>0.03571428571428571</x:v>
      </x:c>
      <x:c r="E345" s="2" t="n">
        <x:v>-0.013259668508287293</x:v>
      </x:c>
      <x:c r="F345" s="2" t="n">
        <x:v>0.022099447513812154</x:v>
      </x:c>
      <x:c r="G345" s="2" t="str">
        <x:v>原始表保留；建模表缩尾</x:v>
      </x:c>
    </x:row>
    <x:row r="346" ht="15" hidden="0" customHeight="1">
      <x:c r="A346" s="2" t="str">
        <x:v>E395</x:v>
      </x:c>
      <x:c r="B346" s="2" t="str">
        <x:v>无信贷记录</x:v>
      </x:c>
      <x:c r="C346" s="2" t="str">
        <x:v>进项_负数率</x:v>
      </x:c>
      <x:c r="D346" s="2" t="n">
        <x:v>0.022556390977443608</x:v>
      </x:c>
      <x:c r="E346" s="2" t="n">
        <x:v>-0.013259668508287293</x:v>
      </x:c>
      <x:c r="F346" s="2" t="n">
        <x:v>0.022099447513812154</x:v>
      </x:c>
      <x:c r="G346" s="2" t="str">
        <x:v>原始表保留；建模表缩尾</x:v>
      </x:c>
    </x:row>
    <x:row r="347" ht="15" hidden="0" customHeight="1">
      <x:c r="A347" s="2" t="str">
        <x:v>E410</x:v>
      </x:c>
      <x:c r="B347" s="2" t="str">
        <x:v>无信贷记录</x:v>
      </x:c>
      <x:c r="C347" s="2" t="str">
        <x:v>进项_负数率</x:v>
      </x:c>
      <x:c r="D347" s="2" t="n">
        <x:v>0.0380952380952381</x:v>
      </x:c>
      <x:c r="E347" s="2" t="n">
        <x:v>-0.013259668508287293</x:v>
      </x:c>
      <x:c r="F347" s="2" t="n">
        <x:v>0.022099447513812154</x:v>
      </x:c>
      <x:c r="G347" s="2" t="str">
        <x:v>原始表保留；建模表缩尾</x:v>
      </x:c>
    </x:row>
    <x:row r="348" ht="15" hidden="0" customHeight="1">
      <x:c r="A348" s="2" t="str">
        <x:v>E423</x:v>
      </x:c>
      <x:c r="B348" s="2" t="str">
        <x:v>无信贷记录</x:v>
      </x:c>
      <x:c r="C348" s="2" t="str">
        <x:v>进项_负数率</x:v>
      </x:c>
      <x:c r="D348" s="2" t="n">
        <x:v>0.047619047619047616</x:v>
      </x:c>
      <x:c r="E348" s="2" t="n">
        <x:v>-0.013259668508287293</x:v>
      </x:c>
      <x:c r="F348" s="2" t="n">
        <x:v>0.022099447513812154</x:v>
      </x:c>
      <x:c r="G348" s="2" t="str">
        <x:v>原始表保留；建模表缩尾</x:v>
      </x:c>
    </x:row>
    <x:row r="349" ht="15" hidden="0" customHeight="1">
      <x:c r="A349" s="2" t="str">
        <x:v>E425</x:v>
      </x:c>
      <x:c r="B349" s="2" t="str">
        <x:v>无信贷记录</x:v>
      </x:c>
      <x:c r="C349" s="2" t="str">
        <x:v>进项_负数率</x:v>
      </x:c>
      <x:c r="D349" s="2" t="n">
        <x:v>0.02586206896551724</x:v>
      </x:c>
      <x:c r="E349" s="2" t="n">
        <x:v>-0.013259668508287293</x:v>
      </x:c>
      <x:c r="F349" s="2" t="n">
        <x:v>0.022099447513812154</x:v>
      </x:c>
      <x:c r="G349" s="2" t="str">
        <x:v>原始表保留；建模表缩尾</x:v>
      </x:c>
    </x:row>
    <x:row r="350" ht="15" hidden="0" customHeight="1">
      <x:c r="A350" s="2" t="str">
        <x:v>E1</x:v>
      </x:c>
      <x:c r="B350" s="2" t="str">
        <x:v>有信贷记录</x:v>
      </x:c>
      <x:c r="C350" s="2" t="str">
        <x:v>进项_交易集中度HHI</x:v>
      </x:c>
      <x:c r="D350" s="2" t="n">
        <x:v>0.9910738843568306</x:v>
      </x:c>
      <x:c r="E350" s="2" t="n">
        <x:v>-0.3921718597469454</x:v>
      </x:c>
      <x:c r="F350" s="2" t="n">
        <x:v>0.8637570117513008</x:v>
      </x:c>
      <x:c r="G350" s="2" t="str">
        <x:v>原始表保留；建模表缩尾</x:v>
      </x:c>
    </x:row>
    <x:row r="351" ht="15" hidden="0" customHeight="1">
      <x:c r="A351" s="2" t="str">
        <x:v>E4</x:v>
      </x:c>
      <x:c r="B351" s="2" t="str">
        <x:v>有信贷记录</x:v>
      </x:c>
      <x:c r="C351" s="2" t="str">
        <x:v>进项_交易集中度HHI</x:v>
      </x:c>
      <x:c r="D351" s="2" t="n">
        <x:v>0.8812883561874376</x:v>
      </x:c>
      <x:c r="E351" s="2" t="n">
        <x:v>-0.3921718597469454</x:v>
      </x:c>
      <x:c r="F351" s="2" t="n">
        <x:v>0.8637570117513008</x:v>
      </x:c>
      <x:c r="G351" s="2" t="str">
        <x:v>原始表保留；建模表缩尾</x:v>
      </x:c>
    </x:row>
    <x:row r="352" ht="15" hidden="0" customHeight="1">
      <x:c r="A352" s="2" t="str">
        <x:v>E69</x:v>
      </x:c>
      <x:c r="B352" s="2" t="str">
        <x:v>有信贷记录</x:v>
      </x:c>
      <x:c r="C352" s="2" t="str">
        <x:v>进项_交易集中度HHI</x:v>
      </x:c>
      <x:c r="D352" s="2" t="n">
        <x:v>1</x:v>
      </x:c>
      <x:c r="E352" s="2" t="n">
        <x:v>-0.3921718597469454</x:v>
      </x:c>
      <x:c r="F352" s="2" t="n">
        <x:v>0.8637570117513008</x:v>
      </x:c>
      <x:c r="G352" s="2" t="str">
        <x:v>原始表保留；建模表缩尾</x:v>
      </x:c>
    </x:row>
    <x:row r="353" ht="15" hidden="0" customHeight="1">
      <x:c r="A353" s="2" t="str">
        <x:v>E77</x:v>
      </x:c>
      <x:c r="B353" s="2" t="str">
        <x:v>有信贷记录</x:v>
      </x:c>
      <x:c r="C353" s="2" t="str">
        <x:v>进项_交易集中度HHI</x:v>
      </x:c>
      <x:c r="D353" s="2" t="n">
        <x:v>0.9229216495907407</x:v>
      </x:c>
      <x:c r="E353" s="2" t="n">
        <x:v>-0.3921718597469454</x:v>
      </x:c>
      <x:c r="F353" s="2" t="n">
        <x:v>0.8637570117513008</x:v>
      </x:c>
      <x:c r="G353" s="2" t="str">
        <x:v>原始表保留；建模表缩尾</x:v>
      </x:c>
    </x:row>
    <x:row r="354" ht="15" hidden="0" customHeight="1">
      <x:c r="A354" s="2" t="str">
        <x:v>E89</x:v>
      </x:c>
      <x:c r="B354" s="2" t="str">
        <x:v>有信贷记录</x:v>
      </x:c>
      <x:c r="C354" s="2" t="str">
        <x:v>进项_交易集中度HHI</x:v>
      </x:c>
      <x:c r="D354" s="2" t="n">
        <x:v>0.9765675376364001</x:v>
      </x:c>
      <x:c r="E354" s="2" t="n">
        <x:v>-0.3921718597469454</x:v>
      </x:c>
      <x:c r="F354" s="2" t="n">
        <x:v>0.8637570117513008</x:v>
      </x:c>
      <x:c r="G354" s="2" t="str">
        <x:v>原始表保留；建模表缩尾</x:v>
      </x:c>
    </x:row>
    <x:row r="355" ht="15" hidden="0" customHeight="1">
      <x:c r="A355" s="2" t="str">
        <x:v>E94</x:v>
      </x:c>
      <x:c r="B355" s="2" t="str">
        <x:v>有信贷记录</x:v>
      </x:c>
      <x:c r="C355" s="2" t="str">
        <x:v>进项_交易集中度HHI</x:v>
      </x:c>
      <x:c r="D355" s="2" t="n">
        <x:v>0.8950638125322719</x:v>
      </x:c>
      <x:c r="E355" s="2" t="n">
        <x:v>-0.3921718597469454</x:v>
      </x:c>
      <x:c r="F355" s="2" t="n">
        <x:v>0.8637570117513008</x:v>
      </x:c>
      <x:c r="G355" s="2" t="str">
        <x:v>原始表保留；建模表缩尾</x:v>
      </x:c>
    </x:row>
    <x:row r="356" ht="15" hidden="0" customHeight="1">
      <x:c r="A356" s="2" t="str">
        <x:v>E95</x:v>
      </x:c>
      <x:c r="B356" s="2" t="str">
        <x:v>有信贷记录</x:v>
      </x:c>
      <x:c r="C356" s="2" t="str">
        <x:v>进项_交易集中度HHI</x:v>
      </x:c>
      <x:c r="D356" s="2" t="n">
        <x:v>1</x:v>
      </x:c>
      <x:c r="E356" s="2" t="n">
        <x:v>-0.3921718597469454</x:v>
      </x:c>
      <x:c r="F356" s="2" t="n">
        <x:v>0.8637570117513008</x:v>
      </x:c>
      <x:c r="G356" s="2" t="str">
        <x:v>原始表保留；建模表缩尾</x:v>
      </x:c>
    </x:row>
    <x:row r="357" ht="15" hidden="0" customHeight="1">
      <x:c r="A357" s="2" t="str">
        <x:v>E96</x:v>
      </x:c>
      <x:c r="B357" s="2" t="str">
        <x:v>有信贷记录</x:v>
      </x:c>
      <x:c r="C357" s="2" t="str">
        <x:v>进项_交易集中度HHI</x:v>
      </x:c>
      <x:c r="D357" s="2" t="n">
        <x:v>0.9925939087894139</x:v>
      </x:c>
      <x:c r="E357" s="2" t="n">
        <x:v>-0.3921718597469454</x:v>
      </x:c>
      <x:c r="F357" s="2" t="n">
        <x:v>0.8637570117513008</x:v>
      </x:c>
      <x:c r="G357" s="2" t="str">
        <x:v>原始表保留；建模表缩尾</x:v>
      </x:c>
    </x:row>
    <x:row r="358" ht="15" hidden="0" customHeight="1">
      <x:c r="A358" s="2" t="str">
        <x:v>E97</x:v>
      </x:c>
      <x:c r="B358" s="2" t="str">
        <x:v>有信贷记录</x:v>
      </x:c>
      <x:c r="C358" s="2" t="str">
        <x:v>进项_交易集中度HHI</x:v>
      </x:c>
      <x:c r="D358" s="2" t="n">
        <x:v>0.9722277325927395</x:v>
      </x:c>
      <x:c r="E358" s="2" t="n">
        <x:v>-0.3921718597469454</x:v>
      </x:c>
      <x:c r="F358" s="2" t="n">
        <x:v>0.8637570117513008</x:v>
      </x:c>
      <x:c r="G358" s="2" t="str">
        <x:v>原始表保留；建模表缩尾</x:v>
      </x:c>
    </x:row>
    <x:row r="359" ht="15" hidden="0" customHeight="1">
      <x:c r="A359" s="2" t="str">
        <x:v>E104</x:v>
      </x:c>
      <x:c r="B359" s="2" t="str">
        <x:v>有信贷记录</x:v>
      </x:c>
      <x:c r="C359" s="2" t="str">
        <x:v>进项_交易集中度HHI</x:v>
      </x:c>
      <x:c r="D359" s="2" t="n">
        <x:v>1</x:v>
      </x:c>
      <x:c r="E359" s="2" t="n">
        <x:v>-0.3921718597469454</x:v>
      </x:c>
      <x:c r="F359" s="2" t="n">
        <x:v>0.8637570117513008</x:v>
      </x:c>
      <x:c r="G359" s="2" t="str">
        <x:v>原始表保留；建模表缩尾</x:v>
      </x:c>
    </x:row>
    <x:row r="360" ht="15" hidden="0" customHeight="1">
      <x:c r="A360" s="2" t="str">
        <x:v>E110</x:v>
      </x:c>
      <x:c r="B360" s="2" t="str">
        <x:v>有信贷记录</x:v>
      </x:c>
      <x:c r="C360" s="2" t="str">
        <x:v>进项_交易集中度HHI</x:v>
      </x:c>
      <x:c r="D360" s="2" t="n">
        <x:v>1</x:v>
      </x:c>
      <x:c r="E360" s="2" t="n">
        <x:v>-0.3921718597469454</x:v>
      </x:c>
      <x:c r="F360" s="2" t="n">
        <x:v>0.8637570117513008</x:v>
      </x:c>
      <x:c r="G360" s="2" t="str">
        <x:v>原始表保留；建模表缩尾</x:v>
      </x:c>
    </x:row>
    <x:row r="361" ht="15" hidden="0" customHeight="1">
      <x:c r="A361" s="2" t="str">
        <x:v>E121</x:v>
      </x:c>
      <x:c r="B361" s="2" t="str">
        <x:v>有信贷记录</x:v>
      </x:c>
      <x:c r="C361" s="2" t="str">
        <x:v>进项_交易集中度HHI</x:v>
      </x:c>
      <x:c r="D361" s="2" t="n">
        <x:v>0.9653322090172383</x:v>
      </x:c>
      <x:c r="E361" s="2" t="n">
        <x:v>-0.3921718597469454</x:v>
      </x:c>
      <x:c r="F361" s="2" t="n">
        <x:v>0.8637570117513008</x:v>
      </x:c>
      <x:c r="G361" s="2" t="str">
        <x:v>原始表保留；建模表缩尾</x:v>
      </x:c>
    </x:row>
    <x:row r="362" ht="15" hidden="0" customHeight="1">
      <x:c r="A362" s="2" t="str">
        <x:v>E136</x:v>
      </x:c>
      <x:c r="B362" s="2" t="str">
        <x:v>无信贷记录</x:v>
      </x:c>
      <x:c r="C362" s="2" t="str">
        <x:v>进项_交易集中度HHI</x:v>
      </x:c>
      <x:c r="D362" s="2" t="n">
        <x:v>0.9993843103765173</x:v>
      </x:c>
      <x:c r="E362" s="2" t="n">
        <x:v>-0.3921718597469454</x:v>
      </x:c>
      <x:c r="F362" s="2" t="n">
        <x:v>0.8637570117513008</x:v>
      </x:c>
      <x:c r="G362" s="2" t="str">
        <x:v>原始表保留；建模表缩尾</x:v>
      </x:c>
    </x:row>
    <x:row r="363" ht="15" hidden="0" customHeight="1">
      <x:c r="A363" s="2" t="str">
        <x:v>E336</x:v>
      </x:c>
      <x:c r="B363" s="2" t="str">
        <x:v>无信贷记录</x:v>
      </x:c>
      <x:c r="C363" s="2" t="str">
        <x:v>进项_交易集中度HHI</x:v>
      </x:c>
      <x:c r="D363" s="2" t="n">
        <x:v>0.9918594966945804</x:v>
      </x:c>
      <x:c r="E363" s="2" t="n">
        <x:v>-0.3921718597469454</x:v>
      </x:c>
      <x:c r="F363" s="2" t="n">
        <x:v>0.8637570117513008</x:v>
      </x:c>
      <x:c r="G363" s="2" t="str">
        <x:v>原始表保留；建模表缩尾</x:v>
      </x:c>
    </x:row>
    <x:row r="364" ht="15" hidden="0" customHeight="1">
      <x:c r="A364" s="2" t="str">
        <x:v>E340</x:v>
      </x:c>
      <x:c r="B364" s="2" t="str">
        <x:v>无信贷记录</x:v>
      </x:c>
      <x:c r="C364" s="2" t="str">
        <x:v>进项_交易集中度HHI</x:v>
      </x:c>
      <x:c r="D364" s="2" t="n">
        <x:v>0.9115860342876557</x:v>
      </x:c>
      <x:c r="E364" s="2" t="n">
        <x:v>-0.3921718597469454</x:v>
      </x:c>
      <x:c r="F364" s="2" t="n">
        <x:v>0.8637570117513008</x:v>
      </x:c>
      <x:c r="G364" s="2" t="str">
        <x:v>原始表保留；建模表缩尾</x:v>
      </x:c>
    </x:row>
    <x:row r="365" ht="15" hidden="0" customHeight="1">
      <x:c r="A365" s="2" t="str">
        <x:v>E341</x:v>
      </x:c>
      <x:c r="B365" s="2" t="str">
        <x:v>无信贷记录</x:v>
      </x:c>
      <x:c r="C365" s="2" t="str">
        <x:v>进项_交易集中度HHI</x:v>
      </x:c>
      <x:c r="D365" s="2" t="n">
        <x:v>0.8938746344327084</x:v>
      </x:c>
      <x:c r="E365" s="2" t="n">
        <x:v>-0.3921718597469454</x:v>
      </x:c>
      <x:c r="F365" s="2" t="n">
        <x:v>0.8637570117513008</x:v>
      </x:c>
      <x:c r="G365" s="2" t="str">
        <x:v>原始表保留；建模表缩尾</x:v>
      </x:c>
    </x:row>
    <x:row r="366" ht="15" hidden="0" customHeight="1">
      <x:c r="A366" s="2" t="str">
        <x:v>E343</x:v>
      </x:c>
      <x:c r="B366" s="2" t="str">
        <x:v>无信贷记录</x:v>
      </x:c>
      <x:c r="C366" s="2" t="str">
        <x:v>进项_交易集中度HHI</x:v>
      </x:c>
      <x:c r="D366" s="2" t="n">
        <x:v>1</x:v>
      </x:c>
      <x:c r="E366" s="2" t="n">
        <x:v>-0.3921718597469454</x:v>
      </x:c>
      <x:c r="F366" s="2" t="n">
        <x:v>0.8637570117513008</x:v>
      </x:c>
      <x:c r="G366" s="2" t="str">
        <x:v>原始表保留；建模表缩尾</x:v>
      </x:c>
    </x:row>
    <x:row r="367" ht="15" hidden="0" customHeight="1">
      <x:c r="A367" s="2" t="str">
        <x:v>E355</x:v>
      </x:c>
      <x:c r="B367" s="2" t="str">
        <x:v>无信贷记录</x:v>
      </x:c>
      <x:c r="C367" s="2" t="str">
        <x:v>进项_交易集中度HHI</x:v>
      </x:c>
      <x:c r="D367" s="2" t="n">
        <x:v>0.9978912510312976</x:v>
      </x:c>
      <x:c r="E367" s="2" t="n">
        <x:v>-0.3921718597469454</x:v>
      </x:c>
      <x:c r="F367" s="2" t="n">
        <x:v>0.8637570117513008</x:v>
      </x:c>
      <x:c r="G367" s="2" t="str">
        <x:v>原始表保留；建模表缩尾</x:v>
      </x:c>
    </x:row>
    <x:row r="368" ht="15" hidden="0" customHeight="1">
      <x:c r="A368" s="2" t="str">
        <x:v>E356</x:v>
      </x:c>
      <x:c r="B368" s="2" t="str">
        <x:v>无信贷记录</x:v>
      </x:c>
      <x:c r="C368" s="2" t="str">
        <x:v>进项_交易集中度HHI</x:v>
      </x:c>
      <x:c r="D368" s="2" t="n">
        <x:v>0.9330947946279775</x:v>
      </x:c>
      <x:c r="E368" s="2" t="n">
        <x:v>-0.3921718597469454</x:v>
      </x:c>
      <x:c r="F368" s="2" t="n">
        <x:v>0.8637570117513008</x:v>
      </x:c>
      <x:c r="G368" s="2" t="str">
        <x:v>原始表保留；建模表缩尾</x:v>
      </x:c>
    </x:row>
    <x:row r="369" ht="15" hidden="0" customHeight="1">
      <x:c r="A369" s="2" t="str">
        <x:v>E358</x:v>
      </x:c>
      <x:c r="B369" s="2" t="str">
        <x:v>无信贷记录</x:v>
      </x:c>
      <x:c r="C369" s="2" t="str">
        <x:v>进项_交易集中度HHI</x:v>
      </x:c>
      <x:c r="D369" s="2" t="n">
        <x:v>1</x:v>
      </x:c>
      <x:c r="E369" s="2" t="n">
        <x:v>-0.3921718597469454</x:v>
      </x:c>
      <x:c r="F369" s="2" t="n">
        <x:v>0.8637570117513008</x:v>
      </x:c>
      <x:c r="G369" s="2" t="str">
        <x:v>原始表保留；建模表缩尾</x:v>
      </x:c>
    </x:row>
    <x:row r="370" ht="15" hidden="0" customHeight="1">
      <x:c r="A370" s="2" t="str">
        <x:v>E359</x:v>
      </x:c>
      <x:c r="B370" s="2" t="str">
        <x:v>无信贷记录</x:v>
      </x:c>
      <x:c r="C370" s="2" t="str">
        <x:v>进项_交易集中度HHI</x:v>
      </x:c>
      <x:c r="D370" s="2" t="n">
        <x:v>1</x:v>
      </x:c>
      <x:c r="E370" s="2" t="n">
        <x:v>-0.3921718597469454</x:v>
      </x:c>
      <x:c r="F370" s="2" t="n">
        <x:v>0.8637570117513008</x:v>
      </x:c>
      <x:c r="G370" s="2" t="str">
        <x:v>原始表保留；建模表缩尾</x:v>
      </x:c>
    </x:row>
    <x:row r="371" ht="15" hidden="0" customHeight="1">
      <x:c r="A371" s="2" t="str">
        <x:v>E360</x:v>
      </x:c>
      <x:c r="B371" s="2" t="str">
        <x:v>无信贷记录</x:v>
      </x:c>
      <x:c r="C371" s="2" t="str">
        <x:v>进项_交易集中度HHI</x:v>
      </x:c>
      <x:c r="D371" s="2" t="n">
        <x:v>1</x:v>
      </x:c>
      <x:c r="E371" s="2" t="n">
        <x:v>-0.3921718597469454</x:v>
      </x:c>
      <x:c r="F371" s="2" t="n">
        <x:v>0.8637570117513008</x:v>
      </x:c>
      <x:c r="G371" s="2" t="str">
        <x:v>原始表保留；建模表缩尾</x:v>
      </x:c>
    </x:row>
    <x:row r="372" ht="15" hidden="0" customHeight="1">
      <x:c r="A372" s="2" t="str">
        <x:v>E366</x:v>
      </x:c>
      <x:c r="B372" s="2" t="str">
        <x:v>无信贷记录</x:v>
      </x:c>
      <x:c r="C372" s="2" t="str">
        <x:v>进项_交易集中度HHI</x:v>
      </x:c>
      <x:c r="D372" s="2" t="n">
        <x:v>0.9785255303394642</x:v>
      </x:c>
      <x:c r="E372" s="2" t="n">
        <x:v>-0.3921718597469454</x:v>
      </x:c>
      <x:c r="F372" s="2" t="n">
        <x:v>0.8637570117513008</x:v>
      </x:c>
      <x:c r="G372" s="2" t="str">
        <x:v>原始表保留；建模表缩尾</x:v>
      </x:c>
    </x:row>
    <x:row r="373" ht="15" hidden="0" customHeight="1">
      <x:c r="A373" s="2" t="str">
        <x:v>E367</x:v>
      </x:c>
      <x:c r="B373" s="2" t="str">
        <x:v>无信贷记录</x:v>
      </x:c>
      <x:c r="C373" s="2" t="str">
        <x:v>进项_交易集中度HHI</x:v>
      </x:c>
      <x:c r="D373" s="2" t="n">
        <x:v>0.8656199643675032</x:v>
      </x:c>
      <x:c r="E373" s="2" t="n">
        <x:v>-0.3921718597469454</x:v>
      </x:c>
      <x:c r="F373" s="2" t="n">
        <x:v>0.8637570117513008</x:v>
      </x:c>
      <x:c r="G373" s="2" t="str">
        <x:v>原始表保留；建模表缩尾</x:v>
      </x:c>
    </x:row>
    <x:row r="374" ht="15" hidden="0" customHeight="1">
      <x:c r="A374" s="2" t="str">
        <x:v>E374</x:v>
      </x:c>
      <x:c r="B374" s="2" t="str">
        <x:v>无信贷记录</x:v>
      </x:c>
      <x:c r="C374" s="2" t="str">
        <x:v>进项_交易集中度HHI</x:v>
      </x:c>
      <x:c r="D374" s="2" t="n">
        <x:v>0.9772017294116688</x:v>
      </x:c>
      <x:c r="E374" s="2" t="n">
        <x:v>-0.3921718597469454</x:v>
      </x:c>
      <x:c r="F374" s="2" t="n">
        <x:v>0.8637570117513008</x:v>
      </x:c>
      <x:c r="G374" s="2" t="str">
        <x:v>原始表保留；建模表缩尾</x:v>
      </x:c>
    </x:row>
    <x:row r="375" ht="15" hidden="0" customHeight="1">
      <x:c r="A375" s="2" t="str">
        <x:v>E375</x:v>
      </x:c>
      <x:c r="B375" s="2" t="str">
        <x:v>无信贷记录</x:v>
      </x:c>
      <x:c r="C375" s="2" t="str">
        <x:v>进项_交易集中度HHI</x:v>
      </x:c>
      <x:c r="D375" s="2" t="n">
        <x:v>1</x:v>
      </x:c>
      <x:c r="E375" s="2" t="n">
        <x:v>-0.3921718597469454</x:v>
      </x:c>
      <x:c r="F375" s="2" t="n">
        <x:v>0.8637570117513008</x:v>
      </x:c>
      <x:c r="G375" s="2" t="str">
        <x:v>原始表保留；建模表缩尾</x:v>
      </x:c>
    </x:row>
    <x:row r="376" ht="15" hidden="0" customHeight="1">
      <x:c r="A376" s="2" t="str">
        <x:v>E383</x:v>
      </x:c>
      <x:c r="B376" s="2" t="str">
        <x:v>无信贷记录</x:v>
      </x:c>
      <x:c r="C376" s="2" t="str">
        <x:v>进项_交易集中度HHI</x:v>
      </x:c>
      <x:c r="D376" s="2" t="n">
        <x:v>0.8695658086274052</x:v>
      </x:c>
      <x:c r="E376" s="2" t="n">
        <x:v>-0.3921718597469454</x:v>
      </x:c>
      <x:c r="F376" s="2" t="n">
        <x:v>0.8637570117513008</x:v>
      </x:c>
      <x:c r="G376" s="2" t="str">
        <x:v>原始表保留；建模表缩尾</x:v>
      </x:c>
    </x:row>
    <x:row r="377" ht="15" hidden="0" customHeight="1">
      <x:c r="A377" s="2" t="str">
        <x:v>E387</x:v>
      </x:c>
      <x:c r="B377" s="2" t="str">
        <x:v>无信贷记录</x:v>
      </x:c>
      <x:c r="C377" s="2" t="str">
        <x:v>进项_交易集中度HHI</x:v>
      </x:c>
      <x:c r="D377" s="2" t="n">
        <x:v>1</x:v>
      </x:c>
      <x:c r="E377" s="2" t="n">
        <x:v>-0.3921718597469454</x:v>
      </x:c>
      <x:c r="F377" s="2" t="n">
        <x:v>0.8637570117513008</x:v>
      </x:c>
      <x:c r="G377" s="2" t="str">
        <x:v>原始表保留；建模表缩尾</x:v>
      </x:c>
    </x:row>
    <x:row r="378" ht="15" hidden="0" customHeight="1">
      <x:c r="A378" s="2" t="str">
        <x:v>E397</x:v>
      </x:c>
      <x:c r="B378" s="2" t="str">
        <x:v>无信贷记录</x:v>
      </x:c>
      <x:c r="C378" s="2" t="str">
        <x:v>进项_交易集中度HHI</x:v>
      </x:c>
      <x:c r="D378" s="2" t="n">
        <x:v>0.882222201679756</x:v>
      </x:c>
      <x:c r="E378" s="2" t="n">
        <x:v>-0.3921718597469454</x:v>
      </x:c>
      <x:c r="F378" s="2" t="n">
        <x:v>0.8637570117513008</x:v>
      </x:c>
      <x:c r="G378" s="2" t="str">
        <x:v>原始表保留；建模表缩尾</x:v>
      </x:c>
    </x:row>
    <x:row r="379" ht="15" hidden="0" customHeight="1">
      <x:c r="A379" s="2" t="str">
        <x:v>E402</x:v>
      </x:c>
      <x:c r="B379" s="2" t="str">
        <x:v>无信贷记录</x:v>
      </x:c>
      <x:c r="C379" s="2" t="str">
        <x:v>进项_交易集中度HHI</x:v>
      </x:c>
      <x:c r="D379" s="2" t="n">
        <x:v>0.9945029895077154</x:v>
      </x:c>
      <x:c r="E379" s="2" t="n">
        <x:v>-0.3921718597469454</x:v>
      </x:c>
      <x:c r="F379" s="2" t="n">
        <x:v>0.8637570117513008</x:v>
      </x:c>
      <x:c r="G379" s="2" t="str">
        <x:v>原始表保留；建模表缩尾</x:v>
      </x:c>
    </x:row>
    <x:row r="380" ht="15" hidden="0" customHeight="1">
      <x:c r="A380" s="2" t="str">
        <x:v>E405</x:v>
      </x:c>
      <x:c r="B380" s="2" t="str">
        <x:v>无信贷记录</x:v>
      </x:c>
      <x:c r="C380" s="2" t="str">
        <x:v>进项_交易集中度HHI</x:v>
      </x:c>
      <x:c r="D380" s="2" t="n">
        <x:v>0.8907658709277967</x:v>
      </x:c>
      <x:c r="E380" s="2" t="n">
        <x:v>-0.3921718597469454</x:v>
      </x:c>
      <x:c r="F380" s="2" t="n">
        <x:v>0.8637570117513008</x:v>
      </x:c>
      <x:c r="G380" s="2" t="str">
        <x:v>原始表保留；建模表缩尾</x:v>
      </x:c>
    </x:row>
    <x:row r="381" ht="15" hidden="0" customHeight="1">
      <x:c r="A381" s="2" t="str">
        <x:v>E415</x:v>
      </x:c>
      <x:c r="B381" s="2" t="str">
        <x:v>无信贷记录</x:v>
      </x:c>
      <x:c r="C381" s="2" t="str">
        <x:v>进项_交易集中度HHI</x:v>
      </x:c>
      <x:c r="D381" s="2" t="n">
        <x:v>1</x:v>
      </x:c>
      <x:c r="E381" s="2" t="n">
        <x:v>-0.3921718597469454</x:v>
      </x:c>
      <x:c r="F381" s="2" t="n">
        <x:v>0.8637570117513008</x:v>
      </x:c>
      <x:c r="G381" s="2" t="str">
        <x:v>原始表保留；建模表缩尾</x:v>
      </x:c>
    </x:row>
    <x:row r="382" ht="15" hidden="0" customHeight="1">
      <x:c r="A382" s="2" t="str">
        <x:v>E416</x:v>
      </x:c>
      <x:c r="B382" s="2" t="str">
        <x:v>无信贷记录</x:v>
      </x:c>
      <x:c r="C382" s="2" t="str">
        <x:v>进项_交易集中度HHI</x:v>
      </x:c>
      <x:c r="D382" s="2" t="n">
        <x:v>0.970262974590547</x:v>
      </x:c>
      <x:c r="E382" s="2" t="n">
        <x:v>-0.3921718597469454</x:v>
      </x:c>
      <x:c r="F382" s="2" t="n">
        <x:v>0.8637570117513008</x:v>
      </x:c>
      <x:c r="G382" s="2" t="str">
        <x:v>原始表保留；建模表缩尾</x:v>
      </x:c>
    </x:row>
    <x:row r="383" ht="15" hidden="0" customHeight="1">
      <x:c r="A383" s="2" t="str">
        <x:v>E1</x:v>
      </x:c>
      <x:c r="B383" s="2" t="str">
        <x:v>有信贷记录</x:v>
      </x:c>
      <x:c r="C383" s="2" t="str">
        <x:v>进项_月均额</x:v>
      </x:c>
      <x:c r="D383" s="2" t="n">
        <x:v>207435688.3840625</x:v>
      </x:c>
      <x:c r="E383" s="2" t="n">
        <x:v>-1399003.141335759</x:v>
      </x:c>
      <x:c r="F383" s="2" t="n">
        <x:v>2376191.396585239</x:v>
      </x:c>
      <x:c r="G383" s="2" t="str">
        <x:v>原始表保留；建模表缩尾</x:v>
      </x:c>
    </x:row>
    <x:row r="384" ht="15" hidden="0" customHeight="1">
      <x:c r="A384" s="2" t="str">
        <x:v>E2</x:v>
      </x:c>
      <x:c r="B384" s="2" t="str">
        <x:v>有信贷记录</x:v>
      </x:c>
      <x:c r="C384" s="2" t="str">
        <x:v>进项_月均额</x:v>
      </x:c>
      <x:c r="D384" s="2" t="n">
        <x:v>4275998.858421053</x:v>
      </x:c>
      <x:c r="E384" s="2" t="n">
        <x:v>-1399003.141335759</x:v>
      </x:c>
      <x:c r="F384" s="2" t="n">
        <x:v>2376191.396585239</x:v>
      </x:c>
      <x:c r="G384" s="2" t="str">
        <x:v>原始表保留；建模表缩尾</x:v>
      </x:c>
    </x:row>
    <x:row r="385" ht="15" hidden="0" customHeight="1">
      <x:c r="A385" s="2" t="str">
        <x:v>E4</x:v>
      </x:c>
      <x:c r="B385" s="2" t="str">
        <x:v>有信贷记录</x:v>
      </x:c>
      <x:c r="C385" s="2" t="str">
        <x:v>进项_月均额</x:v>
      </x:c>
      <x:c r="D385" s="2" t="n">
        <x:v>6699584.595263157</x:v>
      </x:c>
      <x:c r="E385" s="2" t="n">
        <x:v>-1399003.141335759</x:v>
      </x:c>
      <x:c r="F385" s="2" t="n">
        <x:v>2376191.396585239</x:v>
      </x:c>
      <x:c r="G385" s="2" t="str">
        <x:v>原始表保留；建模表缩尾</x:v>
      </x:c>
    </x:row>
    <x:row r="386" ht="15" hidden="0" customHeight="1">
      <x:c r="A386" s="2" t="str">
        <x:v>E5</x:v>
      </x:c>
      <x:c r="B386" s="2" t="str">
        <x:v>有信贷记录</x:v>
      </x:c>
      <x:c r="C386" s="2" t="str">
        <x:v>进项_月均额</x:v>
      </x:c>
      <x:c r="D386" s="2" t="n">
        <x:v>6144107.539729729</x:v>
      </x:c>
      <x:c r="E386" s="2" t="n">
        <x:v>-1399003.141335759</x:v>
      </x:c>
      <x:c r="F386" s="2" t="n">
        <x:v>2376191.396585239</x:v>
      </x:c>
      <x:c r="G386" s="2" t="str">
        <x:v>原始表保留；建模表缩尾</x:v>
      </x:c>
    </x:row>
    <x:row r="387" ht="15" hidden="0" customHeight="1">
      <x:c r="A387" s="2" t="str">
        <x:v>E6</x:v>
      </x:c>
      <x:c r="B387" s="2" t="str">
        <x:v>有信贷记录</x:v>
      </x:c>
      <x:c r="C387" s="2" t="str">
        <x:v>进项_月均额</x:v>
      </x:c>
      <x:c r="D387" s="2" t="n">
        <x:v>8680501.716216216</x:v>
      </x:c>
      <x:c r="E387" s="2" t="n">
        <x:v>-1399003.141335759</x:v>
      </x:c>
      <x:c r="F387" s="2" t="n">
        <x:v>2376191.396585239</x:v>
      </x:c>
      <x:c r="G387" s="2" t="str">
        <x:v>原始表保留；建模表缩尾</x:v>
      </x:c>
    </x:row>
    <x:row r="388" ht="15" hidden="0" customHeight="1">
      <x:c r="A388" s="2" t="str">
        <x:v>E8</x:v>
      </x:c>
      <x:c r="B388" s="2" t="str">
        <x:v>有信贷记录</x:v>
      </x:c>
      <x:c r="C388" s="2" t="str">
        <x:v>进项_月均额</x:v>
      </x:c>
      <x:c r="D388" s="2" t="n">
        <x:v>4484702.472105263</x:v>
      </x:c>
      <x:c r="E388" s="2" t="n">
        <x:v>-1399003.141335759</x:v>
      </x:c>
      <x:c r="F388" s="2" t="n">
        <x:v>2376191.396585239</x:v>
      </x:c>
      <x:c r="G388" s="2" t="str">
        <x:v>原始表保留；建模表缩尾</x:v>
      </x:c>
    </x:row>
    <x:row r="389" ht="15" hidden="0" customHeight="1">
      <x:c r="A389" s="2" t="str">
        <x:v>E11</x:v>
      </x:c>
      <x:c r="B389" s="2" t="str">
        <x:v>有信贷记录</x:v>
      </x:c>
      <x:c r="C389" s="2" t="str">
        <x:v>进项_月均额</x:v>
      </x:c>
      <x:c r="D389" s="2" t="n">
        <x:v>4370059.032727273</x:v>
      </x:c>
      <x:c r="E389" s="2" t="n">
        <x:v>-1399003.141335759</x:v>
      </x:c>
      <x:c r="F389" s="2" t="n">
        <x:v>2376191.396585239</x:v>
      </x:c>
      <x:c r="G389" s="2" t="str">
        <x:v>原始表保留；建模表缩尾</x:v>
      </x:c>
    </x:row>
    <x:row r="390" ht="15" hidden="0" customHeight="1">
      <x:c r="A390" s="2" t="str">
        <x:v>E12</x:v>
      </x:c>
      <x:c r="B390" s="2" t="str">
        <x:v>有信贷记录</x:v>
      </x:c>
      <x:c r="C390" s="2" t="str">
        <x:v>进项_月均额</x:v>
      </x:c>
      <x:c r="D390" s="2" t="n">
        <x:v>2579648.9918918917</x:v>
      </x:c>
      <x:c r="E390" s="2" t="n">
        <x:v>-1399003.141335759</x:v>
      </x:c>
      <x:c r="F390" s="2" t="n">
        <x:v>2376191.396585239</x:v>
      </x:c>
      <x:c r="G390" s="2" t="str">
        <x:v>原始表保留；建模表缩尾</x:v>
      </x:c>
    </x:row>
    <x:row r="391" ht="15" hidden="0" customHeight="1">
      <x:c r="A391" s="2" t="str">
        <x:v>E13</x:v>
      </x:c>
      <x:c r="B391" s="2" t="str">
        <x:v>有信贷记录</x:v>
      </x:c>
      <x:c r="C391" s="2" t="str">
        <x:v>进项_月均额</x:v>
      </x:c>
      <x:c r="D391" s="2" t="n">
        <x:v>2727065.8676315784</x:v>
      </x:c>
      <x:c r="E391" s="2" t="n">
        <x:v>-1399003.141335759</x:v>
      </x:c>
      <x:c r="F391" s="2" t="n">
        <x:v>2376191.396585239</x:v>
      </x:c>
      <x:c r="G391" s="2" t="str">
        <x:v>原始表保留；建模表缩尾</x:v>
      </x:c>
    </x:row>
    <x:row r="392" ht="15" hidden="0" customHeight="1">
      <x:c r="A392" s="2" t="str">
        <x:v>E14</x:v>
      </x:c>
      <x:c r="B392" s="2" t="str">
        <x:v>有信贷记录</x:v>
      </x:c>
      <x:c r="C392" s="2" t="str">
        <x:v>进项_月均额</x:v>
      </x:c>
      <x:c r="D392" s="2" t="n">
        <x:v>3475101.9511111113</x:v>
      </x:c>
      <x:c r="E392" s="2" t="n">
        <x:v>-1399003.141335759</x:v>
      </x:c>
      <x:c r="F392" s="2" t="n">
        <x:v>2376191.396585239</x:v>
      </x:c>
      <x:c r="G392" s="2" t="str">
        <x:v>原始表保留；建模表缩尾</x:v>
      </x:c>
    </x:row>
    <x:row r="393" ht="15" hidden="0" customHeight="1">
      <x:c r="A393" s="2" t="str">
        <x:v>E17</x:v>
      </x:c>
      <x:c r="B393" s="2" t="str">
        <x:v>有信贷记录</x:v>
      </x:c>
      <x:c r="C393" s="2" t="str">
        <x:v>进项_月均额</x:v>
      </x:c>
      <x:c r="D393" s="2" t="n">
        <x:v>3858973.4916216224</x:v>
      </x:c>
      <x:c r="E393" s="2" t="n">
        <x:v>-1399003.141335759</x:v>
      </x:c>
      <x:c r="F393" s="2" t="n">
        <x:v>2376191.396585239</x:v>
      </x:c>
      <x:c r="G393" s="2" t="str">
        <x:v>原始表保留；建模表缩尾</x:v>
      </x:c>
    </x:row>
    <x:row r="394" ht="15" hidden="0" customHeight="1">
      <x:c r="A394" s="2" t="str">
        <x:v>E18</x:v>
      </x:c>
      <x:c r="B394" s="2" t="str">
        <x:v>有信贷记录</x:v>
      </x:c>
      <x:c r="C394" s="2" t="str">
        <x:v>进项_月均额</x:v>
      </x:c>
      <x:c r="D394" s="2" t="n">
        <x:v>3723049.654324324</x:v>
      </x:c>
      <x:c r="E394" s="2" t="n">
        <x:v>-1399003.141335759</x:v>
      </x:c>
      <x:c r="F394" s="2" t="n">
        <x:v>2376191.396585239</x:v>
      </x:c>
      <x:c r="G394" s="2" t="str">
        <x:v>原始表保留；建模表缩尾</x:v>
      </x:c>
    </x:row>
    <x:row r="395" ht="15" hidden="0" customHeight="1">
      <x:c r="A395" s="2" t="str">
        <x:v>E19</x:v>
      </x:c>
      <x:c r="B395" s="2" t="str">
        <x:v>有信贷记录</x:v>
      </x:c>
      <x:c r="C395" s="2" t="str">
        <x:v>进项_月均额</x:v>
      </x:c>
      <x:c r="D395" s="2" t="n">
        <x:v>5733528.575675676</x:v>
      </x:c>
      <x:c r="E395" s="2" t="n">
        <x:v>-1399003.141335759</x:v>
      </x:c>
      <x:c r="F395" s="2" t="n">
        <x:v>2376191.396585239</x:v>
      </x:c>
      <x:c r="G395" s="2" t="str">
        <x:v>原始表保留；建模表缩尾</x:v>
      </x:c>
    </x:row>
    <x:row r="396" ht="15" hidden="0" customHeight="1">
      <x:c r="A396" s="2" t="str">
        <x:v>E20</x:v>
      </x:c>
      <x:c r="B396" s="2" t="str">
        <x:v>有信贷记录</x:v>
      </x:c>
      <x:c r="C396" s="2" t="str">
        <x:v>进项_月均额</x:v>
      </x:c>
      <x:c r="D396" s="2" t="n">
        <x:v>5522697.761351352</x:v>
      </x:c>
      <x:c r="E396" s="2" t="n">
        <x:v>-1399003.141335759</x:v>
      </x:c>
      <x:c r="F396" s="2" t="n">
        <x:v>2376191.396585239</x:v>
      </x:c>
      <x:c r="G396" s="2" t="str">
        <x:v>原始表保留；建模表缩尾</x:v>
      </x:c>
    </x:row>
    <x:row r="397" ht="15" hidden="0" customHeight="1">
      <x:c r="A397" s="2" t="str">
        <x:v>E21</x:v>
      </x:c>
      <x:c r="B397" s="2" t="str">
        <x:v>有信贷记录</x:v>
      </x:c>
      <x:c r="C397" s="2" t="str">
        <x:v>进项_月均额</x:v>
      </x:c>
      <x:c r="D397" s="2" t="n">
        <x:v>3329588.1102702706</x:v>
      </x:c>
      <x:c r="E397" s="2" t="n">
        <x:v>-1399003.141335759</x:v>
      </x:c>
      <x:c r="F397" s="2" t="n">
        <x:v>2376191.396585239</x:v>
      </x:c>
      <x:c r="G397" s="2" t="str">
        <x:v>原始表保留；建模表缩尾</x:v>
      </x:c>
    </x:row>
    <x:row r="398" ht="15" hidden="0" customHeight="1">
      <x:c r="A398" s="2" t="str">
        <x:v>E23</x:v>
      </x:c>
      <x:c r="B398" s="2" t="str">
        <x:v>有信贷记录</x:v>
      </x:c>
      <x:c r="C398" s="2" t="str">
        <x:v>进项_月均额</x:v>
      </x:c>
      <x:c r="D398" s="2" t="n">
        <x:v>5432290.435945947</x:v>
      </x:c>
      <x:c r="E398" s="2" t="n">
        <x:v>-1399003.141335759</x:v>
      </x:c>
      <x:c r="F398" s="2" t="n">
        <x:v>2376191.396585239</x:v>
      </x:c>
      <x:c r="G398" s="2" t="str">
        <x:v>原始表保留；建模表缩尾</x:v>
      </x:c>
    </x:row>
    <x:row r="399" ht="15" hidden="0" customHeight="1">
      <x:c r="A399" s="2" t="str">
        <x:v>E124</x:v>
      </x:c>
      <x:c r="B399" s="2" t="str">
        <x:v>无信贷记录</x:v>
      </x:c>
      <x:c r="C399" s="2" t="str">
        <x:v>进项_月均额</x:v>
      </x:c>
      <x:c r="D399" s="2" t="n">
        <x:v>33768111.889199995</x:v>
      </x:c>
      <x:c r="E399" s="2" t="n">
        <x:v>-1399003.141335759</x:v>
      </x:c>
      <x:c r="F399" s="2" t="n">
        <x:v>2376191.396585239</x:v>
      </x:c>
      <x:c r="G399" s="2" t="str">
        <x:v>原始表保留；建模表缩尾</x:v>
      </x:c>
    </x:row>
    <x:row r="400" ht="15" hidden="0" customHeight="1">
      <x:c r="A400" s="2" t="str">
        <x:v>E125</x:v>
      </x:c>
      <x:c r="B400" s="2" t="str">
        <x:v>无信贷记录</x:v>
      </x:c>
      <x:c r="C400" s="2" t="str">
        <x:v>进项_月均额</x:v>
      </x:c>
      <x:c r="D400" s="2" t="n">
        <x:v>27811161.35</x:v>
      </x:c>
      <x:c r="E400" s="2" t="n">
        <x:v>-1399003.141335759</x:v>
      </x:c>
      <x:c r="F400" s="2" t="n">
        <x:v>2376191.396585239</x:v>
      </x:c>
      <x:c r="G400" s="2" t="str">
        <x:v>原始表保留；建模表缩尾</x:v>
      </x:c>
    </x:row>
    <x:row r="401" ht="15" hidden="0" customHeight="1">
      <x:c r="A401" s="2" t="str">
        <x:v>E126</x:v>
      </x:c>
      <x:c r="B401" s="2" t="str">
        <x:v>无信贷记录</x:v>
      </x:c>
      <x:c r="C401" s="2" t="str">
        <x:v>进项_月均额</x:v>
      </x:c>
      <x:c r="D401" s="2" t="n">
        <x:v>3578297.87861111</x:v>
      </x:c>
      <x:c r="E401" s="2" t="n">
        <x:v>-1399003.141335759</x:v>
      </x:c>
      <x:c r="F401" s="2" t="n">
        <x:v>2376191.396585239</x:v>
      </x:c>
      <x:c r="G401" s="2" t="str">
        <x:v>原始表保留；建模表缩尾</x:v>
      </x:c>
    </x:row>
    <x:row r="402" ht="15" hidden="0" customHeight="1">
      <x:c r="A402" s="2" t="str">
        <x:v>E129</x:v>
      </x:c>
      <x:c r="B402" s="2" t="str">
        <x:v>无信贷记录</x:v>
      </x:c>
      <x:c r="C402" s="2" t="str">
        <x:v>进项_月均额</x:v>
      </x:c>
      <x:c r="D402" s="2" t="n">
        <x:v>2377161.3005555556</x:v>
      </x:c>
      <x:c r="E402" s="2" t="n">
        <x:v>-1399003.141335759</x:v>
      </x:c>
      <x:c r="F402" s="2" t="n">
        <x:v>2376191.396585239</x:v>
      </x:c>
      <x:c r="G402" s="2" t="str">
        <x:v>原始表保留；建模表缩尾</x:v>
      </x:c>
    </x:row>
    <x:row r="403" ht="15" hidden="0" customHeight="1">
      <x:c r="A403" s="2" t="str">
        <x:v>E130</x:v>
      </x:c>
      <x:c r="B403" s="2" t="str">
        <x:v>无信贷记录</x:v>
      </x:c>
      <x:c r="C403" s="2" t="str">
        <x:v>进项_月均额</x:v>
      </x:c>
      <x:c r="D403" s="2" t="n">
        <x:v>2496999.229677419</x:v>
      </x:c>
      <x:c r="E403" s="2" t="n">
        <x:v>-1399003.141335759</x:v>
      </x:c>
      <x:c r="F403" s="2" t="n">
        <x:v>2376191.396585239</x:v>
      </x:c>
      <x:c r="G403" s="2" t="str">
        <x:v>原始表保留；建模表缩尾</x:v>
      </x:c>
    </x:row>
    <x:row r="404" ht="15" hidden="0" customHeight="1">
      <x:c r="A404" s="2" t="str">
        <x:v>E131</x:v>
      </x:c>
      <x:c r="B404" s="2" t="str">
        <x:v>无信贷记录</x:v>
      </x:c>
      <x:c r="C404" s="2" t="str">
        <x:v>进项_月均额</x:v>
      </x:c>
      <x:c r="D404" s="2" t="n">
        <x:v>3475101.9511111113</x:v>
      </x:c>
      <x:c r="E404" s="2" t="n">
        <x:v>-1399003.141335759</x:v>
      </x:c>
      <x:c r="F404" s="2" t="n">
        <x:v>2376191.396585239</x:v>
      </x:c>
      <x:c r="G404" s="2" t="str">
        <x:v>原始表保留；建模表缩尾</x:v>
      </x:c>
    </x:row>
    <x:row r="405" ht="15" hidden="0" customHeight="1">
      <x:c r="A405" s="2" t="str">
        <x:v>E136</x:v>
      </x:c>
      <x:c r="B405" s="2" t="str">
        <x:v>无信贷记录</x:v>
      </x:c>
      <x:c r="C405" s="2" t="str">
        <x:v>进项_月均额</x:v>
      </x:c>
      <x:c r="D405" s="2" t="n">
        <x:v>4403666.975</x:v>
      </x:c>
      <x:c r="E405" s="2" t="n">
        <x:v>-1399003.141335759</x:v>
      </x:c>
      <x:c r="F405" s="2" t="n">
        <x:v>2376191.396585239</x:v>
      </x:c>
      <x:c r="G405" s="2" t="str">
        <x:v>原始表保留；建模表缩尾</x:v>
      </x:c>
    </x:row>
    <x:row r="406" ht="15" hidden="0" customHeight="1">
      <x:c r="A406" s="2" t="str">
        <x:v>E137</x:v>
      </x:c>
      <x:c r="B406" s="2" t="str">
        <x:v>无信贷记录</x:v>
      </x:c>
      <x:c r="C406" s="2" t="str">
        <x:v>进项_月均额</x:v>
      </x:c>
      <x:c r="D406" s="2" t="n">
        <x:v>2927065.994054054</x:v>
      </x:c>
      <x:c r="E406" s="2" t="n">
        <x:v>-1399003.141335759</x:v>
      </x:c>
      <x:c r="F406" s="2" t="n">
        <x:v>2376191.396585239</x:v>
      </x:c>
      <x:c r="G406" s="2" t="str">
        <x:v>原始表保留；建模表缩尾</x:v>
      </x:c>
    </x:row>
    <x:row r="407" ht="15" hidden="0" customHeight="1">
      <x:c r="A407" s="2" t="str">
        <x:v>E145</x:v>
      </x:c>
      <x:c r="B407" s="2" t="str">
        <x:v>无信贷记录</x:v>
      </x:c>
      <x:c r="C407" s="2" t="str">
        <x:v>进项_月均额</x:v>
      </x:c>
      <x:c r="D407" s="2" t="n">
        <x:v>3487074.9832432433</x:v>
      </x:c>
      <x:c r="E407" s="2" t="n">
        <x:v>-1399003.141335759</x:v>
      </x:c>
      <x:c r="F407" s="2" t="n">
        <x:v>2376191.396585239</x:v>
      </x:c>
      <x:c r="G407" s="2" t="str">
        <x:v>原始表保留；建模表缩尾</x:v>
      </x:c>
    </x:row>
    <x:row r="408" ht="15" hidden="0" customHeight="1">
      <x:c r="A408" s="2" t="str">
        <x:v>E146</x:v>
      </x:c>
      <x:c r="B408" s="2" t="str">
        <x:v>无信贷记录</x:v>
      </x:c>
      <x:c r="C408" s="2" t="str">
        <x:v>进项_月均额</x:v>
      </x:c>
      <x:c r="D408" s="2" t="n">
        <x:v>3711572.1651351354</x:v>
      </x:c>
      <x:c r="E408" s="2" t="n">
        <x:v>-1399003.141335759</x:v>
      </x:c>
      <x:c r="F408" s="2" t="n">
        <x:v>2376191.396585239</x:v>
      </x:c>
      <x:c r="G408" s="2" t="str">
        <x:v>原始表保留；建模表缩尾</x:v>
      </x:c>
    </x:row>
    <x:row r="409" ht="15" hidden="0" customHeight="1">
      <x:c r="A409" s="2" t="str">
        <x:v>E147</x:v>
      </x:c>
      <x:c r="B409" s="2" t="str">
        <x:v>无信贷记录</x:v>
      </x:c>
      <x:c r="C409" s="2" t="str">
        <x:v>进项_月均额</x:v>
      </x:c>
      <x:c r="D409" s="2" t="n">
        <x:v>4227127.353513513</x:v>
      </x:c>
      <x:c r="E409" s="2" t="n">
        <x:v>-1399003.141335759</x:v>
      </x:c>
      <x:c r="F409" s="2" t="n">
        <x:v>2376191.396585239</x:v>
      </x:c>
      <x:c r="G409" s="2" t="str">
        <x:v>原始表保留；建模表缩尾</x:v>
      </x:c>
    </x:row>
    <x:row r="410" ht="15" hidden="0" customHeight="1">
      <x:c r="A410" s="2" t="str">
        <x:v>E150</x:v>
      </x:c>
      <x:c r="B410" s="2" t="str">
        <x:v>无信贷记录</x:v>
      </x:c>
      <x:c r="C410" s="2" t="str">
        <x:v>进项_月均额</x:v>
      </x:c>
      <x:c r="D410" s="2" t="n">
        <x:v>2386467.191081081</x:v>
      </x:c>
      <x:c r="E410" s="2" t="n">
        <x:v>-1399003.141335759</x:v>
      </x:c>
      <x:c r="F410" s="2" t="n">
        <x:v>2376191.396585239</x:v>
      </x:c>
      <x:c r="G410" s="2" t="str">
        <x:v>原始表保留；建模表缩尾</x:v>
      </x:c>
    </x:row>
    <x:row r="411" ht="15" hidden="0" customHeight="1">
      <x:c r="A411" s="2" t="str">
        <x:v>E154</x:v>
      </x:c>
      <x:c r="B411" s="2" t="str">
        <x:v>无信贷记录</x:v>
      </x:c>
      <x:c r="C411" s="2" t="str">
        <x:v>进项_月均额</x:v>
      </x:c>
      <x:c r="D411" s="2" t="n">
        <x:v>4721928.018333333</x:v>
      </x:c>
      <x:c r="E411" s="2" t="n">
        <x:v>-1399003.141335759</x:v>
      </x:c>
      <x:c r="F411" s="2" t="n">
        <x:v>2376191.396585239</x:v>
      </x:c>
      <x:c r="G411" s="2" t="str">
        <x:v>原始表保留；建模表缩尾</x:v>
      </x:c>
    </x:row>
    <x:row r="412" ht="15" hidden="0" customHeight="1">
      <x:c r="A412" s="2" t="str">
        <x:v>E155</x:v>
      </x:c>
      <x:c r="B412" s="2" t="str">
        <x:v>无信贷记录</x:v>
      </x:c>
      <x:c r="C412" s="2" t="str">
        <x:v>进项_月均额</x:v>
      </x:c>
      <x:c r="D412" s="2" t="n">
        <x:v>3426590.7071999996</x:v>
      </x:c>
      <x:c r="E412" s="2" t="n">
        <x:v>-1399003.141335759</x:v>
      </x:c>
      <x:c r="F412" s="2" t="n">
        <x:v>2376191.396585239</x:v>
      </x:c>
      <x:c r="G412" s="2" t="str">
        <x:v>原始表保留；建模表缩尾</x:v>
      </x:c>
    </x:row>
    <x:row r="413" ht="15" hidden="0" customHeight="1">
      <x:c r="A413" s="2" t="str">
        <x:v>E160</x:v>
      </x:c>
      <x:c r="B413" s="2" t="str">
        <x:v>无信贷记录</x:v>
      </x:c>
      <x:c r="C413" s="2" t="str">
        <x:v>进项_月均额</x:v>
      </x:c>
      <x:c r="D413" s="2" t="n">
        <x:v>2809732.3332432434</x:v>
      </x:c>
      <x:c r="E413" s="2" t="n">
        <x:v>-1399003.141335759</x:v>
      </x:c>
      <x:c r="F413" s="2" t="n">
        <x:v>2376191.396585239</x:v>
      </x:c>
      <x:c r="G413" s="2" t="str">
        <x:v>原始表保留；建模表缩尾</x:v>
      </x:c>
    </x:row>
    <x:row r="414" ht="15" hidden="0" customHeight="1">
      <x:c r="A414" s="2" t="str">
        <x:v>E162</x:v>
      </x:c>
      <x:c r="B414" s="2" t="str">
        <x:v>无信贷记录</x:v>
      </x:c>
      <x:c r="C414" s="2" t="str">
        <x:v>进项_月均额</x:v>
      </x:c>
      <x:c r="D414" s="2" t="n">
        <x:v>3771654.701315788</x:v>
      </x:c>
      <x:c r="E414" s="2" t="n">
        <x:v>-1399003.141335759</x:v>
      </x:c>
      <x:c r="F414" s="2" t="n">
        <x:v>2376191.396585239</x:v>
      </x:c>
      <x:c r="G414" s="2" t="str">
        <x:v>原始表保留；建模表缩尾</x:v>
      </x:c>
    </x:row>
    <x:row r="415" ht="15" hidden="0" customHeight="1">
      <x:c r="A415" s="2" t="str">
        <x:v>E165</x:v>
      </x:c>
      <x:c r="B415" s="2" t="str">
        <x:v>无信贷记录</x:v>
      </x:c>
      <x:c r="C415" s="2" t="str">
        <x:v>进项_月均额</x:v>
      </x:c>
      <x:c r="D415" s="2" t="n">
        <x:v>2513029.3664864865</x:v>
      </x:c>
      <x:c r="E415" s="2" t="n">
        <x:v>-1399003.141335759</x:v>
      </x:c>
      <x:c r="F415" s="2" t="n">
        <x:v>2376191.396585239</x:v>
      </x:c>
      <x:c r="G415" s="2" t="str">
        <x:v>原始表保留；建模表缩尾</x:v>
      </x:c>
    </x:row>
    <x:row r="416" ht="15" hidden="0" customHeight="1">
      <x:c r="A416" s="2" t="str">
        <x:v>E167</x:v>
      </x:c>
      <x:c r="B416" s="2" t="str">
        <x:v>无信贷记录</x:v>
      </x:c>
      <x:c r="C416" s="2" t="str">
        <x:v>进项_月均额</x:v>
      </x:c>
      <x:c r="D416" s="2" t="n">
        <x:v>4278397.556216216</x:v>
      </x:c>
      <x:c r="E416" s="2" t="n">
        <x:v>-1399003.141335759</x:v>
      </x:c>
      <x:c r="F416" s="2" t="n">
        <x:v>2376191.396585239</x:v>
      </x:c>
      <x:c r="G416" s="2" t="str">
        <x:v>原始表保留；建模表缩尾</x:v>
      </x:c>
    </x:row>
    <x:row r="417" ht="15" hidden="0" customHeight="1">
      <x:c r="A417" s="2" t="str">
        <x:v>E173</x:v>
      </x:c>
      <x:c r="B417" s="2" t="str">
        <x:v>无信贷记录</x:v>
      </x:c>
      <x:c r="C417" s="2" t="str">
        <x:v>进项_月均额</x:v>
      </x:c>
      <x:c r="D417" s="2" t="n">
        <x:v>3311887.7281081085</x:v>
      </x:c>
      <x:c r="E417" s="2" t="n">
        <x:v>-1399003.141335759</x:v>
      </x:c>
      <x:c r="F417" s="2" t="n">
        <x:v>2376191.396585239</x:v>
      </x:c>
      <x:c r="G417" s="2" t="str">
        <x:v>原始表保留；建模表缩尾</x:v>
      </x:c>
    </x:row>
    <x:row r="418" ht="15" hidden="0" customHeight="1">
      <x:c r="A418" s="2" t="str">
        <x:v>E174</x:v>
      </x:c>
      <x:c r="B418" s="2" t="str">
        <x:v>无信贷记录</x:v>
      </x:c>
      <x:c r="C418" s="2" t="str">
        <x:v>进项_月均额</x:v>
      </x:c>
      <x:c r="D418" s="2" t="n">
        <x:v>2555145.3061764706</x:v>
      </x:c>
      <x:c r="E418" s="2" t="n">
        <x:v>-1399003.141335759</x:v>
      </x:c>
      <x:c r="F418" s="2" t="n">
        <x:v>2376191.396585239</x:v>
      </x:c>
      <x:c r="G418" s="2" t="str">
        <x:v>原始表保留；建模表缩尾</x:v>
      </x:c>
    </x:row>
    <x:row r="419" ht="15" hidden="0" customHeight="1">
      <x:c r="A419" s="2" t="str">
        <x:v>E178</x:v>
      </x:c>
      <x:c r="B419" s="2" t="str">
        <x:v>无信贷记录</x:v>
      </x:c>
      <x:c r="C419" s="2" t="str">
        <x:v>进项_月均额</x:v>
      </x:c>
      <x:c r="D419" s="2" t="n">
        <x:v>2483371.363243243</x:v>
      </x:c>
      <x:c r="E419" s="2" t="n">
        <x:v>-1399003.141335759</x:v>
      </x:c>
      <x:c r="F419" s="2" t="n">
        <x:v>2376191.396585239</x:v>
      </x:c>
      <x:c r="G419" s="2" t="str">
        <x:v>原始表保留；建模表缩尾</x:v>
      </x:c>
    </x:row>
    <x:row r="420" ht="15" hidden="0" customHeight="1">
      <x:c r="A420" s="2" t="str">
        <x:v>E181</x:v>
      </x:c>
      <x:c r="B420" s="2" t="str">
        <x:v>无信贷记录</x:v>
      </x:c>
      <x:c r="C420" s="2" t="str">
        <x:v>进项_月均额</x:v>
      </x:c>
      <x:c r="D420" s="2" t="n">
        <x:v>2644286.054864865</x:v>
      </x:c>
      <x:c r="E420" s="2" t="n">
        <x:v>-1399003.141335759</x:v>
      </x:c>
      <x:c r="F420" s="2" t="n">
        <x:v>2376191.396585239</x:v>
      </x:c>
      <x:c r="G420" s="2" t="str">
        <x:v>原始表保留；建模表缩尾</x:v>
      </x:c>
    </x:row>
    <x:row r="421" ht="15" hidden="0" customHeight="1">
      <x:c r="A421" s="2" t="str">
        <x:v>E187</x:v>
      </x:c>
      <x:c r="B421" s="2" t="str">
        <x:v>无信贷记录</x:v>
      </x:c>
      <x:c r="C421" s="2" t="str">
        <x:v>进项_月均额</x:v>
      </x:c>
      <x:c r="D421" s="2" t="n">
        <x:v>3151925.8536</x:v>
      </x:c>
      <x:c r="E421" s="2" t="n">
        <x:v>-1399003.141335759</x:v>
      </x:c>
      <x:c r="F421" s="2" t="n">
        <x:v>2376191.396585239</x:v>
      </x:c>
      <x:c r="G421" s="2" t="str">
        <x:v>原始表保留；建模表缩尾</x:v>
      </x:c>
    </x:row>
    <x:row r="422" ht="15" hidden="0" customHeight="1">
      <x:c r="A422" s="2" t="str">
        <x:v>E188</x:v>
      </x:c>
      <x:c r="B422" s="2" t="str">
        <x:v>无信贷记录</x:v>
      </x:c>
      <x:c r="C422" s="2" t="str">
        <x:v>进项_月均额</x:v>
      </x:c>
      <x:c r="D422" s="2" t="n">
        <x:v>2439772.1837837836</x:v>
      </x:c>
      <x:c r="E422" s="2" t="n">
        <x:v>-1399003.141335759</x:v>
      </x:c>
      <x:c r="F422" s="2" t="n">
        <x:v>2376191.396585239</x:v>
      </x:c>
      <x:c r="G422" s="2" t="str">
        <x:v>原始表保留；建模表缩尾</x:v>
      </x:c>
    </x:row>
    <x:row r="423" ht="15" hidden="0" customHeight="1">
      <x:c r="A423" s="2" t="str">
        <x:v>E191</x:v>
      </x:c>
      <x:c r="B423" s="2" t="str">
        <x:v>无信贷记录</x:v>
      </x:c>
      <x:c r="C423" s="2" t="str">
        <x:v>进项_月均额</x:v>
      </x:c>
      <x:c r="D423" s="2" t="n">
        <x:v>8219017.626756758</x:v>
      </x:c>
      <x:c r="E423" s="2" t="n">
        <x:v>-1399003.141335759</x:v>
      </x:c>
      <x:c r="F423" s="2" t="n">
        <x:v>2376191.396585239</x:v>
      </x:c>
      <x:c r="G423" s="2" t="str">
        <x:v>原始表保留；建模表缩尾</x:v>
      </x:c>
    </x:row>
    <x:row r="424" ht="15" hidden="0" customHeight="1">
      <x:c r="A424" s="2" t="str">
        <x:v>E197</x:v>
      </x:c>
      <x:c r="B424" s="2" t="str">
        <x:v>无信贷记录</x:v>
      </x:c>
      <x:c r="C424" s="2" t="str">
        <x:v>进项_月均额</x:v>
      </x:c>
      <x:c r="D424" s="2" t="n">
        <x:v>2921759.543529412</x:v>
      </x:c>
      <x:c r="E424" s="2" t="n">
        <x:v>-1399003.141335759</x:v>
      </x:c>
      <x:c r="F424" s="2" t="n">
        <x:v>2376191.396585239</x:v>
      </x:c>
      <x:c r="G424" s="2" t="str">
        <x:v>原始表保留；建模表缩尾</x:v>
      </x:c>
    </x:row>
    <x:row r="425" ht="15" hidden="0" customHeight="1">
      <x:c r="A425" s="2" t="str">
        <x:v>E207</x:v>
      </x:c>
      <x:c r="B425" s="2" t="str">
        <x:v>无信贷记录</x:v>
      </x:c>
      <x:c r="C425" s="2" t="str">
        <x:v>进项_月均额</x:v>
      </x:c>
      <x:c r="D425" s="2" t="n">
        <x:v>2477707.637419355</x:v>
      </x:c>
      <x:c r="E425" s="2" t="n">
        <x:v>-1399003.141335759</x:v>
      </x:c>
      <x:c r="F425" s="2" t="n">
        <x:v>2376191.396585239</x:v>
      </x:c>
      <x:c r="G425" s="2" t="str">
        <x:v>原始表保留；建模表缩尾</x:v>
      </x:c>
    </x:row>
    <x:row r="426" ht="15" hidden="0" customHeight="1">
      <x:c r="A426" s="2" t="str">
        <x:v>E208</x:v>
      </x:c>
      <x:c r="B426" s="2" t="str">
        <x:v>无信贷记录</x:v>
      </x:c>
      <x:c r="C426" s="2" t="str">
        <x:v>进项_月均额</x:v>
      </x:c>
      <x:c r="D426" s="2" t="n">
        <x:v>2439516.8366666674</x:v>
      </x:c>
      <x:c r="E426" s="2" t="n">
        <x:v>-1399003.141335759</x:v>
      </x:c>
      <x:c r="F426" s="2" t="n">
        <x:v>2376191.396585239</x:v>
      </x:c>
      <x:c r="G426" s="2" t="str">
        <x:v>原始表保留；建模表缩尾</x:v>
      </x:c>
    </x:row>
    <x:row r="427" ht="15" hidden="0" customHeight="1">
      <x:c r="A427" s="2" t="str">
        <x:v>E217</x:v>
      </x:c>
      <x:c r="B427" s="2" t="str">
        <x:v>无信贷记录</x:v>
      </x:c>
      <x:c r="C427" s="2" t="str">
        <x:v>进项_月均额</x:v>
      </x:c>
      <x:c r="D427" s="2" t="n">
        <x:v>2446769.238</x:v>
      </x:c>
      <x:c r="E427" s="2" t="n">
        <x:v>-1399003.141335759</x:v>
      </x:c>
      <x:c r="F427" s="2" t="n">
        <x:v>2376191.396585239</x:v>
      </x:c>
      <x:c r="G427" s="2" t="str">
        <x:v>原始表保留；建模表缩尾</x:v>
      </x:c>
    </x:row>
    <x:row r="428" ht="15" hidden="0" customHeight="1">
      <x:c r="A428" s="2" t="str">
        <x:v>E224</x:v>
      </x:c>
      <x:c r="B428" s="2" t="str">
        <x:v>无信贷记录</x:v>
      </x:c>
      <x:c r="C428" s="2" t="str">
        <x:v>进项_月均额</x:v>
      </x:c>
      <x:c r="D428" s="2" t="n">
        <x:v>3088743.265945946</x:v>
      </x:c>
      <x:c r="E428" s="2" t="n">
        <x:v>-1399003.141335759</x:v>
      </x:c>
      <x:c r="F428" s="2" t="n">
        <x:v>2376191.396585239</x:v>
      </x:c>
      <x:c r="G428" s="2" t="str">
        <x:v>原始表保留；建模表缩尾</x:v>
      </x:c>
    </x:row>
    <x:row r="429" ht="15" hidden="0" customHeight="1">
      <x:c r="A429" s="2" t="str">
        <x:v>E324</x:v>
      </x:c>
      <x:c r="B429" s="2" t="str">
        <x:v>无信贷记录</x:v>
      </x:c>
      <x:c r="C429" s="2" t="str">
        <x:v>进项_月均额</x:v>
      </x:c>
      <x:c r="D429" s="2" t="n">
        <x:v>2484514.409459459</x:v>
      </x:c>
      <x:c r="E429" s="2" t="n">
        <x:v>-1399003.141335759</x:v>
      </x:c>
      <x:c r="F429" s="2" t="n">
        <x:v>2376191.396585239</x:v>
      </x:c>
      <x:c r="G429" s="2" t="str">
        <x:v>原始表保留；建模表缩尾</x:v>
      </x:c>
    </x:row>
    <x:row r="430" ht="15" hidden="0" customHeight="1">
      <x:c r="A430" s="2" t="str">
        <x:v>E381</x:v>
      </x:c>
      <x:c r="B430" s="2" t="str">
        <x:v>无信贷记录</x:v>
      </x:c>
      <x:c r="C430" s="2" t="str">
        <x:v>进项_月均额</x:v>
      </x:c>
      <x:c r="D430" s="2" t="n">
        <x:v>2632252.863783784</x:v>
      </x:c>
      <x:c r="E430" s="2" t="n">
        <x:v>-1399003.141335759</x:v>
      </x:c>
      <x:c r="F430" s="2" t="n">
        <x:v>2376191.396585239</x:v>
      </x:c>
      <x:c r="G430" s="2" t="str">
        <x:v>原始表保留；建模表缩尾</x:v>
      </x:c>
    </x:row>
    <x:row r="431" ht="15" hidden="0" customHeight="1">
      <x:c r="A431" s="2" t="str">
        <x:v>E29</x:v>
      </x:c>
      <x:c r="B431" s="2" t="str">
        <x:v>有信贷记录</x:v>
      </x:c>
      <x:c r="C431" s="2" t="str">
        <x:v>进项_月波动率</x:v>
      </x:c>
      <x:c r="D431" s="2" t="n">
        <x:v>5.272922256602114</x:v>
      </x:c>
      <x:c r="E431" s="2" t="n">
        <x:v>-0.9788029009762346</x:v>
      </x:c>
      <x:c r="F431" s="2" t="n">
        <x:v>3.787281740528598</x:v>
      </x:c>
      <x:c r="G431" s="2" t="str">
        <x:v>原始表保留；建模表缩尾</x:v>
      </x:c>
    </x:row>
    <x:row r="432" ht="15" hidden="0" customHeight="1">
      <x:c r="A432" s="2" t="str">
        <x:v>E89</x:v>
      </x:c>
      <x:c r="B432" s="2" t="str">
        <x:v>有信贷记录</x:v>
      </x:c>
      <x:c r="C432" s="2" t="str">
        <x:v>进项_月波动率</x:v>
      </x:c>
      <x:c r="D432" s="2" t="n">
        <x:v>5.760162237160675</x:v>
      </x:c>
      <x:c r="E432" s="2" t="n">
        <x:v>-0.9788029009762346</x:v>
      </x:c>
      <x:c r="F432" s="2" t="n">
        <x:v>3.787281740528598</x:v>
      </x:c>
      <x:c r="G432" s="2" t="str">
        <x:v>原始表保留；建模表缩尾</x:v>
      </x:c>
    </x:row>
    <x:row r="433" ht="15" hidden="0" customHeight="1">
      <x:c r="A433" s="2" t="str">
        <x:v>E94</x:v>
      </x:c>
      <x:c r="B433" s="2" t="str">
        <x:v>有信贷记录</x:v>
      </x:c>
      <x:c r="C433" s="2" t="str">
        <x:v>进项_月波动率</x:v>
      </x:c>
      <x:c r="D433" s="2" t="n">
        <x:v>4.509049292006841</x:v>
      </x:c>
      <x:c r="E433" s="2" t="n">
        <x:v>-0.9788029009762346</x:v>
      </x:c>
      <x:c r="F433" s="2" t="n">
        <x:v>3.787281740528598</x:v>
      </x:c>
      <x:c r="G433" s="2" t="str">
        <x:v>原始表保留；建模表缩尾</x:v>
      </x:c>
    </x:row>
    <x:row r="434" ht="15" hidden="0" customHeight="1">
      <x:c r="A434" s="2" t="str">
        <x:v>E96</x:v>
      </x:c>
      <x:c r="B434" s="2" t="str">
        <x:v>有信贷记录</x:v>
      </x:c>
      <x:c r="C434" s="2" t="str">
        <x:v>进项_月波动率</x:v>
      </x:c>
      <x:c r="D434" s="2" t="n">
        <x:v>4.777269503111377</x:v>
      </x:c>
      <x:c r="E434" s="2" t="n">
        <x:v>-0.9788029009762346</x:v>
      </x:c>
      <x:c r="F434" s="2" t="n">
        <x:v>3.787281740528598</x:v>
      </x:c>
      <x:c r="G434" s="2" t="str">
        <x:v>原始表保留；建模表缩尾</x:v>
      </x:c>
    </x:row>
    <x:row r="435" ht="15" hidden="0" customHeight="1">
      <x:c r="A435" s="2" t="str">
        <x:v>E320</x:v>
      </x:c>
      <x:c r="B435" s="2" t="str">
        <x:v>无信贷记录</x:v>
      </x:c>
      <x:c r="C435" s="2" t="str">
        <x:v>进项_月波动率</x:v>
      </x:c>
      <x:c r="D435" s="2" t="n">
        <x:v>4.465726097544905</x:v>
      </x:c>
      <x:c r="E435" s="2" t="n">
        <x:v>-0.9788029009762346</x:v>
      </x:c>
      <x:c r="F435" s="2" t="n">
        <x:v>3.787281740528598</x:v>
      </x:c>
      <x:c r="G435" s="2" t="str">
        <x:v>原始表保留；建模表缩尾</x:v>
      </x:c>
    </x:row>
    <x:row r="436" ht="15" hidden="0" customHeight="1">
      <x:c r="A436" s="2" t="str">
        <x:v>E365</x:v>
      </x:c>
      <x:c r="B436" s="2" t="str">
        <x:v>无信贷记录</x:v>
      </x:c>
      <x:c r="C436" s="2" t="str">
        <x:v>进项_月波动率</x:v>
      </x:c>
      <x:c r="D436" s="2" t="n">
        <x:v>4.690418172952906</x:v>
      </x:c>
      <x:c r="E436" s="2" t="n">
        <x:v>-0.9788029009762346</x:v>
      </x:c>
      <x:c r="F436" s="2" t="n">
        <x:v>3.787281740528598</x:v>
      </x:c>
      <x:c r="G436" s="2" t="str">
        <x:v>原始表保留；建模表缩尾</x:v>
      </x:c>
    </x:row>
    <x:row r="437" ht="15" hidden="0" customHeight="1">
      <x:c r="A437" s="2" t="str">
        <x:v>E367</x:v>
      </x:c>
      <x:c r="B437" s="2" t="str">
        <x:v>无信贷记录</x:v>
      </x:c>
      <x:c r="C437" s="2" t="str">
        <x:v>进项_月波动率</x:v>
      </x:c>
      <x:c r="D437" s="2" t="n">
        <x:v>5.2810227720180665</x:v>
      </x:c>
      <x:c r="E437" s="2" t="n">
        <x:v>-0.9788029009762346</x:v>
      </x:c>
      <x:c r="F437" s="2" t="n">
        <x:v>3.787281740528598</x:v>
      </x:c>
      <x:c r="G437" s="2" t="str">
        <x:v>原始表保留；建模表缩尾</x:v>
      </x:c>
    </x:row>
    <x:row r="438" ht="15" hidden="0" customHeight="1">
      <x:c r="A438" s="2" t="str">
        <x:v>E376</x:v>
      </x:c>
      <x:c r="B438" s="2" t="str">
        <x:v>无信贷记录</x:v>
      </x:c>
      <x:c r="C438" s="2" t="str">
        <x:v>进项_月波动率</x:v>
      </x:c>
      <x:c r="D438" s="2" t="n">
        <x:v>3.868305370127619</x:v>
      </x:c>
      <x:c r="E438" s="2" t="n">
        <x:v>-0.9788029009762346</x:v>
      </x:c>
      <x:c r="F438" s="2" t="n">
        <x:v>3.787281740528598</x:v>
      </x:c>
      <x:c r="G438" s="2" t="str">
        <x:v>原始表保留；建模表缩尾</x:v>
      </x:c>
    </x:row>
    <x:row r="439" ht="15" hidden="0" customHeight="1">
      <x:c r="A439" s="2" t="str">
        <x:v>E383</x:v>
      </x:c>
      <x:c r="B439" s="2" t="str">
        <x:v>无信贷记录</x:v>
      </x:c>
      <x:c r="C439" s="2" t="str">
        <x:v>进项_月波动率</x:v>
      </x:c>
      <x:c r="D439" s="2" t="n">
        <x:v>4.921146854050725</x:v>
      </x:c>
      <x:c r="E439" s="2" t="n">
        <x:v>-0.9788029009762346</x:v>
      </x:c>
      <x:c r="F439" s="2" t="n">
        <x:v>3.787281740528598</x:v>
      </x:c>
      <x:c r="G439" s="2" t="str">
        <x:v>原始表保留；建模表缩尾</x:v>
      </x:c>
    </x:row>
    <x:row r="440" ht="15" hidden="0" customHeight="1">
      <x:c r="A440" s="2" t="str">
        <x:v>E397</x:v>
      </x:c>
      <x:c r="B440" s="2" t="str">
        <x:v>无信贷记录</x:v>
      </x:c>
      <x:c r="C440" s="2" t="str">
        <x:v>进项_月波动率</x:v>
      </x:c>
      <x:c r="D440" s="2" t="n">
        <x:v>4.86143938080837</x:v>
      </x:c>
      <x:c r="E440" s="2" t="n">
        <x:v>-0.9788029009762346</x:v>
      </x:c>
      <x:c r="F440" s="2" t="n">
        <x:v>3.787281740528598</x:v>
      </x:c>
      <x:c r="G440" s="2" t="str">
        <x:v>原始表保留；建模表缩尾</x:v>
      </x:c>
    </x:row>
    <x:row r="441" ht="15" hidden="0" customHeight="1">
      <x:c r="A441" s="2" t="str">
        <x:v>E400</x:v>
      </x:c>
      <x:c r="B441" s="2" t="str">
        <x:v>无信贷记录</x:v>
      </x:c>
      <x:c r="C441" s="2" t="str">
        <x:v>进项_月波动率</x:v>
      </x:c>
      <x:c r="D441" s="2" t="n">
        <x:v>4.216621435287985</x:v>
      </x:c>
      <x:c r="E441" s="2" t="n">
        <x:v>-0.9788029009762346</x:v>
      </x:c>
      <x:c r="F441" s="2" t="n">
        <x:v>3.787281740528598</x:v>
      </x:c>
      <x:c r="G441" s="2" t="str">
        <x:v>原始表保留；建模表缩尾</x:v>
      </x:c>
    </x:row>
    <x:row r="442" ht="15" hidden="0" customHeight="1">
      <x:c r="A442" s="2" t="str">
        <x:v>E405</x:v>
      </x:c>
      <x:c r="B442" s="2" t="str">
        <x:v>无信贷记录</x:v>
      </x:c>
      <x:c r="C442" s="2" t="str">
        <x:v>进项_月波动率</x:v>
      </x:c>
      <x:c r="D442" s="2" t="n">
        <x:v>4.207832904789132</x:v>
      </x:c>
      <x:c r="E442" s="2" t="n">
        <x:v>-0.9788029009762346</x:v>
      </x:c>
      <x:c r="F442" s="2" t="n">
        <x:v>3.787281740528598</x:v>
      </x:c>
      <x:c r="G442" s="2" t="str">
        <x:v>原始表保留；建模表缩尾</x:v>
      </x:c>
    </x:row>
    <x:row r="443" ht="15" hidden="0" customHeight="1">
      <x:c r="A443" s="2" t="str">
        <x:v>E416</x:v>
      </x:c>
      <x:c r="B443" s="2" t="str">
        <x:v>无信贷记录</x:v>
      </x:c>
      <x:c r="C443" s="2" t="str">
        <x:v>进项_月波动率</x:v>
      </x:c>
      <x:c r="D443" s="2" t="n">
        <x:v>3.951170251475676</x:v>
      </x:c>
      <x:c r="E443" s="2" t="n">
        <x:v>-0.9788029009762346</x:v>
      </x:c>
      <x:c r="F443" s="2" t="n">
        <x:v>3.787281740528598</x:v>
      </x:c>
      <x:c r="G443" s="2" t="str">
        <x:v>原始表保留；建模表缩尾</x:v>
      </x:c>
    </x:row>
    <x:row r="444" ht="15" hidden="0" customHeight="1">
      <x:c r="A444" s="2" t="str">
        <x:v>E29</x:v>
      </x:c>
      <x:c r="B444" s="2" t="str">
        <x:v>有信贷记录</x:v>
      </x:c>
      <x:c r="C444" s="2" t="str">
        <x:v>进项_月趋势</x:v>
      </x:c>
      <x:c r="D444" s="2" t="n">
        <x:v>-0.1435455152424753</x:v>
      </x:c>
      <x:c r="E444" s="2" t="n">
        <x:v>-0.10030080716766725</x:v>
      </x:c>
      <x:c r="F444" s="2" t="n">
        <x:v>0.14105302860061666</x:v>
      </x:c>
      <x:c r="G444" s="2" t="str">
        <x:v>原始表保留；建模表缩尾</x:v>
      </x:c>
    </x:row>
    <x:row r="445" ht="15" hidden="0" customHeight="1">
      <x:c r="A445" s="2" t="str">
        <x:v>E42</x:v>
      </x:c>
      <x:c r="B445" s="2" t="str">
        <x:v>有信贷记录</x:v>
      </x:c>
      <x:c r="C445" s="2" t="str">
        <x:v>进项_月趋势</x:v>
      </x:c>
      <x:c r="D445" s="2" t="n">
        <x:v>0.15599605594471672</x:v>
      </x:c>
      <x:c r="E445" s="2" t="n">
        <x:v>-0.10030080716766725</x:v>
      </x:c>
      <x:c r="F445" s="2" t="n">
        <x:v>0.14105302860061666</x:v>
      </x:c>
      <x:c r="G445" s="2" t="str">
        <x:v>原始表保留；建模表缩尾</x:v>
      </x:c>
    </x:row>
    <x:row r="446" ht="15" hidden="0" customHeight="1">
      <x:c r="A446" s="2" t="str">
        <x:v>E50</x:v>
      </x:c>
      <x:c r="B446" s="2" t="str">
        <x:v>有信贷记录</x:v>
      </x:c>
      <x:c r="C446" s="2" t="str">
        <x:v>进项_月趋势</x:v>
      </x:c>
      <x:c r="D446" s="2" t="n">
        <x:v>0.16516646908980923</x:v>
      </x:c>
      <x:c r="E446" s="2" t="n">
        <x:v>-0.10030080716766725</x:v>
      </x:c>
      <x:c r="F446" s="2" t="n">
        <x:v>0.14105302860061666</x:v>
      </x:c>
      <x:c r="G446" s="2" t="str">
        <x:v>原始表保留；建模表缩尾</x:v>
      </x:c>
    </x:row>
    <x:row r="447" ht="15" hidden="0" customHeight="1">
      <x:c r="A447" s="2" t="str">
        <x:v>E74</x:v>
      </x:c>
      <x:c r="B447" s="2" t="str">
        <x:v>有信贷记录</x:v>
      </x:c>
      <x:c r="C447" s="2" t="str">
        <x:v>进项_月趋势</x:v>
      </x:c>
      <x:c r="D447" s="2" t="n">
        <x:v>0.17186412152985045</x:v>
      </x:c>
      <x:c r="E447" s="2" t="n">
        <x:v>-0.10030080716766725</x:v>
      </x:c>
      <x:c r="F447" s="2" t="n">
        <x:v>0.14105302860061666</x:v>
      </x:c>
      <x:c r="G447" s="2" t="str">
        <x:v>原始表保留；建模表缩尾</x:v>
      </x:c>
    </x:row>
    <x:row r="448" ht="15" hidden="0" customHeight="1">
      <x:c r="A448" s="2" t="str">
        <x:v>E89</x:v>
      </x:c>
      <x:c r="B448" s="2" t="str">
        <x:v>有信贷记录</x:v>
      </x:c>
      <x:c r="C448" s="2" t="str">
        <x:v>进项_月趋势</x:v>
      </x:c>
      <x:c r="D448" s="2" t="n">
        <x:v>-0.16368305241029632</x:v>
      </x:c>
      <x:c r="E448" s="2" t="n">
        <x:v>-0.10030080716766725</x:v>
      </x:c>
      <x:c r="F448" s="2" t="n">
        <x:v>0.14105302860061666</x:v>
      </x:c>
      <x:c r="G448" s="2" t="str">
        <x:v>原始表保留；建模表缩尾</x:v>
      </x:c>
    </x:row>
    <x:row r="449" ht="15" hidden="0" customHeight="1">
      <x:c r="A449" s="2" t="str">
        <x:v>E101</x:v>
      </x:c>
      <x:c r="B449" s="2" t="str">
        <x:v>有信贷记录</x:v>
      </x:c>
      <x:c r="C449" s="2" t="str">
        <x:v>进项_月趋势</x:v>
      </x:c>
      <x:c r="D449" s="2" t="n">
        <x:v>-0.1581515079036172</x:v>
      </x:c>
      <x:c r="E449" s="2" t="n">
        <x:v>-0.10030080716766725</x:v>
      </x:c>
      <x:c r="F449" s="2" t="n">
        <x:v>0.14105302860061666</x:v>
      </x:c>
      <x:c r="G449" s="2" t="str">
        <x:v>原始表保留；建模表缩尾</x:v>
      </x:c>
    </x:row>
    <x:row r="450" ht="15" hidden="0" customHeight="1">
      <x:c r="A450" s="2" t="str">
        <x:v>E105</x:v>
      </x:c>
      <x:c r="B450" s="2" t="str">
        <x:v>有信贷记录</x:v>
      </x:c>
      <x:c r="C450" s="2" t="str">
        <x:v>进项_月趋势</x:v>
      </x:c>
      <x:c r="D450" s="2" t="n">
        <x:v>-0.22971698113156064</x:v>
      </x:c>
      <x:c r="E450" s="2" t="n">
        <x:v>-0.10030080716766725</x:v>
      </x:c>
      <x:c r="F450" s="2" t="n">
        <x:v>0.14105302860061666</x:v>
      </x:c>
      <x:c r="G450" s="2" t="str">
        <x:v>原始表保留；建模表缩尾</x:v>
      </x:c>
    </x:row>
    <x:row r="451" ht="15" hidden="0" customHeight="1">
      <x:c r="A451" s="2" t="str">
        <x:v>E109</x:v>
      </x:c>
      <x:c r="B451" s="2" t="str">
        <x:v>有信贷记录</x:v>
      </x:c>
      <x:c r="C451" s="2" t="str">
        <x:v>进项_月趋势</x:v>
      </x:c>
      <x:c r="D451" s="2" t="n">
        <x:v>0.17535934845229337</x:v>
      </x:c>
      <x:c r="E451" s="2" t="n">
        <x:v>-0.10030080716766725</x:v>
      </x:c>
      <x:c r="F451" s="2" t="n">
        <x:v>0.14105302860061666</x:v>
      </x:c>
      <x:c r="G451" s="2" t="str">
        <x:v>原始表保留；建模表缩尾</x:v>
      </x:c>
    </x:row>
    <x:row r="452" ht="15" hidden="0" customHeight="1">
      <x:c r="A452" s="2" t="str">
        <x:v>E120</x:v>
      </x:c>
      <x:c r="B452" s="2" t="str">
        <x:v>有信贷记录</x:v>
      </x:c>
      <x:c r="C452" s="2" t="str">
        <x:v>进项_月趋势</x:v>
      </x:c>
      <x:c r="D452" s="2" t="n">
        <x:v>-0.1736273532937767</x:v>
      </x:c>
      <x:c r="E452" s="2" t="n">
        <x:v>-0.10030080716766725</x:v>
      </x:c>
      <x:c r="F452" s="2" t="n">
        <x:v>0.14105302860061666</x:v>
      </x:c>
      <x:c r="G452" s="2" t="str">
        <x:v>原始表保留；建模表缩尾</x:v>
      </x:c>
    </x:row>
    <x:row r="453" ht="15" hidden="0" customHeight="1">
      <x:c r="A453" s="2" t="str">
        <x:v>E168</x:v>
      </x:c>
      <x:c r="B453" s="2" t="str">
        <x:v>无信贷记录</x:v>
      </x:c>
      <x:c r="C453" s="2" t="str">
        <x:v>进项_月趋势</x:v>
      </x:c>
      <x:c r="D453" s="2" t="n">
        <x:v>0.1441334857258348</x:v>
      </x:c>
      <x:c r="E453" s="2" t="n">
        <x:v>-0.10030080716766725</x:v>
      </x:c>
      <x:c r="F453" s="2" t="n">
        <x:v>0.14105302860061666</x:v>
      </x:c>
      <x:c r="G453" s="2" t="str">
        <x:v>原始表保留；建模表缩尾</x:v>
      </x:c>
    </x:row>
    <x:row r="454" ht="15" hidden="0" customHeight="1">
      <x:c r="A454" s="2" t="str">
        <x:v>E274</x:v>
      </x:c>
      <x:c r="B454" s="2" t="str">
        <x:v>无信贷记录</x:v>
      </x:c>
      <x:c r="C454" s="2" t="str">
        <x:v>进项_月趋势</x:v>
      </x:c>
      <x:c r="D454" s="2" t="n">
        <x:v>0.17284984233979478</x:v>
      </x:c>
      <x:c r="E454" s="2" t="n">
        <x:v>-0.10030080716766725</x:v>
      </x:c>
      <x:c r="F454" s="2" t="n">
        <x:v>0.14105302860061666</x:v>
      </x:c>
      <x:c r="G454" s="2" t="str">
        <x:v>原始表保留；建模表缩尾</x:v>
      </x:c>
    </x:row>
    <x:row r="455" ht="15" hidden="0" customHeight="1">
      <x:c r="A455" s="2" t="str">
        <x:v>E323</x:v>
      </x:c>
      <x:c r="B455" s="2" t="str">
        <x:v>无信贷记录</x:v>
      </x:c>
      <x:c r="C455" s="2" t="str">
        <x:v>进项_月趋势</x:v>
      </x:c>
      <x:c r="D455" s="2" t="n">
        <x:v>0.15116525482987914</x:v>
      </x:c>
      <x:c r="E455" s="2" t="n">
        <x:v>-0.10030080716766725</x:v>
      </x:c>
      <x:c r="F455" s="2" t="n">
        <x:v>0.14105302860061666</x:v>
      </x:c>
      <x:c r="G455" s="2" t="str">
        <x:v>原始表保留；建模表缩尾</x:v>
      </x:c>
    </x:row>
    <x:row r="456" ht="15" hidden="0" customHeight="1">
      <x:c r="A456" s="2" t="str">
        <x:v>E355</x:v>
      </x:c>
      <x:c r="B456" s="2" t="str">
        <x:v>无信贷记录</x:v>
      </x:c>
      <x:c r="C456" s="2" t="str">
        <x:v>进项_月趋势</x:v>
      </x:c>
      <x:c r="D456" s="2" t="n">
        <x:v>0.42811907633981366</x:v>
      </x:c>
      <x:c r="E456" s="2" t="n">
        <x:v>-0.10030080716766725</x:v>
      </x:c>
      <x:c r="F456" s="2" t="n">
        <x:v>0.14105302860061666</x:v>
      </x:c>
      <x:c r="G456" s="2" t="str">
        <x:v>原始表保留；建模表缩尾</x:v>
      </x:c>
    </x:row>
    <x:row r="457" ht="15" hidden="0" customHeight="1">
      <x:c r="A457" s="2" t="str">
        <x:v>E356</x:v>
      </x:c>
      <x:c r="B457" s="2" t="str">
        <x:v>无信贷记录</x:v>
      </x:c>
      <x:c r="C457" s="2" t="str">
        <x:v>进项_月趋势</x:v>
      </x:c>
      <x:c r="D457" s="2" t="n">
        <x:v>-0.33744903902121487</x:v>
      </x:c>
      <x:c r="E457" s="2" t="n">
        <x:v>-0.10030080716766725</x:v>
      </x:c>
      <x:c r="F457" s="2" t="n">
        <x:v>0.14105302860061666</x:v>
      </x:c>
      <x:c r="G457" s="2" t="str">
        <x:v>原始表保留；建模表缩尾</x:v>
      </x:c>
    </x:row>
    <x:row r="458" ht="15" hidden="0" customHeight="1">
      <x:c r="A458" s="2" t="str">
        <x:v>E360</x:v>
      </x:c>
      <x:c r="B458" s="2" t="str">
        <x:v>无信贷记录</x:v>
      </x:c>
      <x:c r="C458" s="2" t="str">
        <x:v>进项_月趋势</x:v>
      </x:c>
      <x:c r="D458" s="2" t="n">
        <x:v>-0.33333333333134935</x:v>
      </x:c>
      <x:c r="E458" s="2" t="n">
        <x:v>-0.10030080716766725</x:v>
      </x:c>
      <x:c r="F458" s="2" t="n">
        <x:v>0.14105302860061666</x:v>
      </x:c>
      <x:c r="G458" s="2" t="str">
        <x:v>原始表保留；建模表缩尾</x:v>
      </x:c>
    </x:row>
    <x:row r="459" ht="15" hidden="0" customHeight="1">
      <x:c r="A459" s="2" t="str">
        <x:v>E366</x:v>
      </x:c>
      <x:c r="B459" s="2" t="str">
        <x:v>无信贷记录</x:v>
      </x:c>
      <x:c r="C459" s="2" t="str">
        <x:v>进项_月趋势</x:v>
      </x:c>
      <x:c r="D459" s="2" t="n">
        <x:v>0.16789304871091063</x:v>
      </x:c>
      <x:c r="E459" s="2" t="n">
        <x:v>-0.10030080716766725</x:v>
      </x:c>
      <x:c r="F459" s="2" t="n">
        <x:v>0.14105302860061666</x:v>
      </x:c>
      <x:c r="G459" s="2" t="str">
        <x:v>原始表保留；建模表缩尾</x:v>
      </x:c>
    </x:row>
    <x:row r="460" ht="15" hidden="0" customHeight="1">
      <x:c r="A460" s="2" t="str">
        <x:v>E374</x:v>
      </x:c>
      <x:c r="B460" s="2" t="str">
        <x:v>无信贷记录</x:v>
      </x:c>
      <x:c r="C460" s="2" t="str">
        <x:v>进项_月趋势</x:v>
      </x:c>
      <x:c r="D460" s="2" t="n">
        <x:v>0.39503231529579297</x:v>
      </x:c>
      <x:c r="E460" s="2" t="n">
        <x:v>-0.10030080716766725</x:v>
      </x:c>
      <x:c r="F460" s="2" t="n">
        <x:v>0.14105302860061666</x:v>
      </x:c>
      <x:c r="G460" s="2" t="str">
        <x:v>原始表保留；建模表缩尾</x:v>
      </x:c>
    </x:row>
    <x:row r="461" ht="15" hidden="0" customHeight="1">
      <x:c r="A461" s="2" t="str">
        <x:v>E376</x:v>
      </x:c>
      <x:c r="B461" s="2" t="str">
        <x:v>无信贷记录</x:v>
      </x:c>
      <x:c r="C461" s="2" t="str">
        <x:v>进项_月趋势</x:v>
      </x:c>
      <x:c r="D461" s="2" t="n">
        <x:v>-0.2686991869910917</x:v>
      </x:c>
      <x:c r="E461" s="2" t="n">
        <x:v>-0.10030080716766725</x:v>
      </x:c>
      <x:c r="F461" s="2" t="n">
        <x:v>0.14105302860061666</x:v>
      </x:c>
      <x:c r="G461" s="2" t="str">
        <x:v>原始表保留；建模表缩尾</x:v>
      </x:c>
    </x:row>
    <x:row r="462" ht="15" hidden="0" customHeight="1">
      <x:c r="A462" s="2" t="str">
        <x:v>E382</x:v>
      </x:c>
      <x:c r="B462" s="2" t="str">
        <x:v>无信贷记录</x:v>
      </x:c>
      <x:c r="C462" s="2" t="str">
        <x:v>进项_月趋势</x:v>
      </x:c>
      <x:c r="D462" s="2" t="n">
        <x:v>-0.11278195488528908</x:v>
      </x:c>
      <x:c r="E462" s="2" t="n">
        <x:v>-0.10030080716766725</x:v>
      </x:c>
      <x:c r="F462" s="2" t="n">
        <x:v>0.14105302860061666</x:v>
      </x:c>
      <x:c r="G462" s="2" t="str">
        <x:v>原始表保留；建模表缩尾</x:v>
      </x:c>
    </x:row>
    <x:row r="463" ht="15" hidden="0" customHeight="1">
      <x:c r="A463" s="2" t="str">
        <x:v>E389</x:v>
      </x:c>
      <x:c r="B463" s="2" t="str">
        <x:v>无信贷记录</x:v>
      </x:c>
      <x:c r="C463" s="2" t="str">
        <x:v>进项_月趋势</x:v>
      </x:c>
      <x:c r="D463" s="2" t="n">
        <x:v>0.44444444444320974</x:v>
      </x:c>
      <x:c r="E463" s="2" t="n">
        <x:v>-0.10030080716766725</x:v>
      </x:c>
      <x:c r="F463" s="2" t="n">
        <x:v>0.14105302860061666</x:v>
      </x:c>
      <x:c r="G463" s="2" t="str">
        <x:v>原始表保留；建模表缩尾</x:v>
      </x:c>
    </x:row>
    <x:row r="464" ht="15" hidden="0" customHeight="1">
      <x:c r="A464" s="2" t="str">
        <x:v>E405</x:v>
      </x:c>
      <x:c r="B464" s="2" t="str">
        <x:v>无信贷记录</x:v>
      </x:c>
      <x:c r="C464" s="2" t="str">
        <x:v>进项_月趋势</x:v>
      </x:c>
      <x:c r="D464" s="2" t="n">
        <x:v>-0.23912158637747166</x:v>
      </x:c>
      <x:c r="E464" s="2" t="n">
        <x:v>-0.10030080716766725</x:v>
      </x:c>
      <x:c r="F464" s="2" t="n">
        <x:v>0.14105302860061666</x:v>
      </x:c>
      <x:c r="G464" s="2" t="str">
        <x:v>原始表保留；建模表缩尾</x:v>
      </x:c>
    </x:row>
    <x:row r="465" ht="15" hidden="0" customHeight="1">
      <x:c r="A465" s="2" t="str">
        <x:v>E416</x:v>
      </x:c>
      <x:c r="B465" s="2" t="str">
        <x:v>无信贷记录</x:v>
      </x:c>
      <x:c r="C465" s="2" t="str">
        <x:v>进项_月趋势</x:v>
      </x:c>
      <x:c r="D465" s="2" t="n">
        <x:v>0.16049843581271195</x:v>
      </x:c>
      <x:c r="E465" s="2" t="n">
        <x:v>-0.10030080716766725</x:v>
      </x:c>
      <x:c r="F465" s="2" t="n">
        <x:v>0.14105302860061666</x:v>
      </x:c>
      <x:c r="G465" s="2" t="str">
        <x:v>原始表保留；建模表缩尾</x:v>
      </x:c>
    </x:row>
    <x:row r="466" ht="15" hidden="0" customHeight="1">
      <x:c r="A466" s="2" t="str">
        <x:v>E417</x:v>
      </x:c>
      <x:c r="B466" s="2" t="str">
        <x:v>无信贷记录</x:v>
      </x:c>
      <x:c r="C466" s="2" t="str">
        <x:v>进项_月趋势</x:v>
      </x:c>
      <x:c r="D466" s="2" t="n">
        <x:v>-0.10249819758579934</x:v>
      </x:c>
      <x:c r="E466" s="2" t="n">
        <x:v>-0.10030080716766725</x:v>
      </x:c>
      <x:c r="F466" s="2" t="n">
        <x:v>0.14105302860061666</x:v>
      </x:c>
      <x:c r="G466" s="2" t="str">
        <x:v>原始表保留；建模表缩尾</x:v>
      </x:c>
    </x:row>
    <x:row r="467" ht="15" hidden="0" customHeight="1">
      <x:c r="A467" s="2" t="str">
        <x:v>E68</x:v>
      </x:c>
      <x:c r="B467" s="2" t="str">
        <x:v>有信贷记录</x:v>
      </x:c>
      <x:c r="C467" s="2" t="str">
        <x:v>进项_活跃月数</x:v>
      </x:c>
      <x:c r="D467" s="2" t="n">
        <x:v>3</x:v>
      </x:c>
      <x:c r="E467" s="2" t="n">
        <x:v>7</x:v>
      </x:c>
      <x:c r="F467" s="2" t="n">
        <x:v>55</x:v>
      </x:c>
      <x:c r="G467" s="2" t="str">
        <x:v>原始表保留；建模表缩尾</x:v>
      </x:c>
    </x:row>
    <x:row r="468" ht="15" hidden="0" customHeight="1">
      <x:c r="A468" s="2" t="str">
        <x:v>E69</x:v>
      </x:c>
      <x:c r="B468" s="2" t="str">
        <x:v>有信贷记录</x:v>
      </x:c>
      <x:c r="C468" s="2" t="str">
        <x:v>进项_活跃月数</x:v>
      </x:c>
      <x:c r="D468" s="2" t="n">
        <x:v>1</x:v>
      </x:c>
      <x:c r="E468" s="2" t="n">
        <x:v>7</x:v>
      </x:c>
      <x:c r="F468" s="2" t="n">
        <x:v>55</x:v>
      </x:c>
      <x:c r="G468" s="2" t="str">
        <x:v>原始表保留；建模表缩尾</x:v>
      </x:c>
    </x:row>
    <x:row r="469" ht="15" hidden="0" customHeight="1">
      <x:c r="A469" s="2" t="str">
        <x:v>E94</x:v>
      </x:c>
      <x:c r="B469" s="2" t="str">
        <x:v>有信贷记录</x:v>
      </x:c>
      <x:c r="C469" s="2" t="str">
        <x:v>进项_活跃月数</x:v>
      </x:c>
      <x:c r="D469" s="2" t="n">
        <x:v>3</x:v>
      </x:c>
      <x:c r="E469" s="2" t="n">
        <x:v>7</x:v>
      </x:c>
      <x:c r="F469" s="2" t="n">
        <x:v>55</x:v>
      </x:c>
      <x:c r="G469" s="2" t="str">
        <x:v>原始表保留；建模表缩尾</x:v>
      </x:c>
    </x:row>
    <x:row r="470" ht="15" hidden="0" customHeight="1">
      <x:c r="A470" s="2" t="str">
        <x:v>E95</x:v>
      </x:c>
      <x:c r="B470" s="2" t="str">
        <x:v>有信贷记录</x:v>
      </x:c>
      <x:c r="C470" s="2" t="str">
        <x:v>进项_活跃月数</x:v>
      </x:c>
      <x:c r="D470" s="2" t="n">
        <x:v>3</x:v>
      </x:c>
      <x:c r="E470" s="2" t="n">
        <x:v>7</x:v>
      </x:c>
      <x:c r="F470" s="2" t="n">
        <x:v>55</x:v>
      </x:c>
      <x:c r="G470" s="2" t="str">
        <x:v>原始表保留；建模表缩尾</x:v>
      </x:c>
    </x:row>
    <x:row r="471" ht="15" hidden="0" customHeight="1">
      <x:c r="A471" s="2" t="str">
        <x:v>E104</x:v>
      </x:c>
      <x:c r="B471" s="2" t="str">
        <x:v>有信贷记录</x:v>
      </x:c>
      <x:c r="C471" s="2" t="str">
        <x:v>进项_活跃月数</x:v>
      </x:c>
      <x:c r="D471" s="2" t="n">
        <x:v>1</x:v>
      </x:c>
      <x:c r="E471" s="2" t="n">
        <x:v>7</x:v>
      </x:c>
      <x:c r="F471" s="2" t="n">
        <x:v>55</x:v>
      </x:c>
      <x:c r="G471" s="2" t="str">
        <x:v>原始表保留；建模表缩尾</x:v>
      </x:c>
    </x:row>
    <x:row r="472" ht="15" hidden="0" customHeight="1">
      <x:c r="A472" s="2" t="str">
        <x:v>E105</x:v>
      </x:c>
      <x:c r="B472" s="2" t="str">
        <x:v>有信贷记录</x:v>
      </x:c>
      <x:c r="C472" s="2" t="str">
        <x:v>进项_活跃月数</x:v>
      </x:c>
      <x:c r="D472" s="2" t="n">
        <x:v>5</x:v>
      </x:c>
      <x:c r="E472" s="2" t="n">
        <x:v>7</x:v>
      </x:c>
      <x:c r="F472" s="2" t="n">
        <x:v>55</x:v>
      </x:c>
      <x:c r="G472" s="2" t="str">
        <x:v>原始表保留；建模表缩尾</x:v>
      </x:c>
    </x:row>
    <x:row r="473" ht="15" hidden="0" customHeight="1">
      <x:c r="A473" s="2" t="str">
        <x:v>E110</x:v>
      </x:c>
      <x:c r="B473" s="2" t="str">
        <x:v>有信贷记录</x:v>
      </x:c>
      <x:c r="C473" s="2" t="str">
        <x:v>进项_活跃月数</x:v>
      </x:c>
      <x:c r="D473" s="2" t="n">
        <x:v>3</x:v>
      </x:c>
      <x:c r="E473" s="2" t="n">
        <x:v>7</x:v>
      </x:c>
      <x:c r="F473" s="2" t="n">
        <x:v>55</x:v>
      </x:c>
      <x:c r="G473" s="2" t="str">
        <x:v>原始表保留；建模表缩尾</x:v>
      </x:c>
    </x:row>
    <x:row r="474" ht="15" hidden="0" customHeight="1">
      <x:c r="A474" s="2" t="str">
        <x:v>E115</x:v>
      </x:c>
      <x:c r="B474" s="2" t="str">
        <x:v>有信贷记录</x:v>
      </x:c>
      <x:c r="C474" s="2" t="str">
        <x:v>进项_活跃月数</x:v>
      </x:c>
      <x:c r="D474" s="2" t="n">
        <x:v>2</x:v>
      </x:c>
      <x:c r="E474" s="2" t="n">
        <x:v>7</x:v>
      </x:c>
      <x:c r="F474" s="2" t="n">
        <x:v>55</x:v>
      </x:c>
      <x:c r="G474" s="2" t="str">
        <x:v>原始表保留；建模表缩尾</x:v>
      </x:c>
    </x:row>
    <x:row r="475" ht="15" hidden="0" customHeight="1">
      <x:c r="A475" s="2" t="str">
        <x:v>E117</x:v>
      </x:c>
      <x:c r="B475" s="2" t="str">
        <x:v>有信贷记录</x:v>
      </x:c>
      <x:c r="C475" s="2" t="str">
        <x:v>进项_活跃月数</x:v>
      </x:c>
      <x:c r="D475" s="2" t="n">
        <x:v>4</x:v>
      </x:c>
      <x:c r="E475" s="2" t="n">
        <x:v>7</x:v>
      </x:c>
      <x:c r="F475" s="2" t="n">
        <x:v>55</x:v>
      </x:c>
      <x:c r="G475" s="2" t="str">
        <x:v>原始表保留；建模表缩尾</x:v>
      </x:c>
    </x:row>
    <x:row r="476" ht="15" hidden="0" customHeight="1">
      <x:c r="A476" s="2" t="str">
        <x:v>E123</x:v>
      </x:c>
      <x:c r="B476" s="2" t="str">
        <x:v>有信贷记录</x:v>
      </x:c>
      <x:c r="C476" s="2" t="str">
        <x:v>进项_活跃月数</x:v>
      </x:c>
      <x:c r="D476" s="2" t="n">
        <x:v>3</x:v>
      </x:c>
      <x:c r="E476" s="2" t="n">
        <x:v>7</x:v>
      </x:c>
      <x:c r="F476" s="2" t="n">
        <x:v>55</x:v>
      </x:c>
      <x:c r="G476" s="2" t="str">
        <x:v>原始表保留；建模表缩尾</x:v>
      </x:c>
    </x:row>
    <x:row r="477" ht="15" hidden="0" customHeight="1">
      <x:c r="A477" s="2" t="str">
        <x:v>E329</x:v>
      </x:c>
      <x:c r="B477" s="2" t="str">
        <x:v>无信贷记录</x:v>
      </x:c>
      <x:c r="C477" s="2" t="str">
        <x:v>进项_活跃月数</x:v>
      </x:c>
      <x:c r="D477" s="2" t="n">
        <x:v>4</x:v>
      </x:c>
      <x:c r="E477" s="2" t="n">
        <x:v>7</x:v>
      </x:c>
      <x:c r="F477" s="2" t="n">
        <x:v>55</x:v>
      </x:c>
      <x:c r="G477" s="2" t="str">
        <x:v>原始表保留；建模表缩尾</x:v>
      </x:c>
    </x:row>
    <x:row r="478" ht="15" hidden="0" customHeight="1">
      <x:c r="A478" s="2" t="str">
        <x:v>E336</x:v>
      </x:c>
      <x:c r="B478" s="2" t="str">
        <x:v>无信贷记录</x:v>
      </x:c>
      <x:c r="C478" s="2" t="str">
        <x:v>进项_活跃月数</x:v>
      </x:c>
      <x:c r="D478" s="2" t="n">
        <x:v>5</x:v>
      </x:c>
      <x:c r="E478" s="2" t="n">
        <x:v>7</x:v>
      </x:c>
      <x:c r="F478" s="2" t="n">
        <x:v>55</x:v>
      </x:c>
      <x:c r="G478" s="2" t="str">
        <x:v>原始表保留；建模表缩尾</x:v>
      </x:c>
    </x:row>
    <x:row r="479" ht="15" hidden="0" customHeight="1">
      <x:c r="A479" s="2" t="str">
        <x:v>E343</x:v>
      </x:c>
      <x:c r="B479" s="2" t="str">
        <x:v>无信贷记录</x:v>
      </x:c>
      <x:c r="C479" s="2" t="str">
        <x:v>进项_活跃月数</x:v>
      </x:c>
      <x:c r="D479" s="2" t="n">
        <x:v>3</x:v>
      </x:c>
      <x:c r="E479" s="2" t="n">
        <x:v>7</x:v>
      </x:c>
      <x:c r="F479" s="2" t="n">
        <x:v>55</x:v>
      </x:c>
      <x:c r="G479" s="2" t="str">
        <x:v>原始表保留；建模表缩尾</x:v>
      </x:c>
    </x:row>
    <x:row r="480" ht="15" hidden="0" customHeight="1">
      <x:c r="A480" s="2" t="str">
        <x:v>E349</x:v>
      </x:c>
      <x:c r="B480" s="2" t="str">
        <x:v>无信贷记录</x:v>
      </x:c>
      <x:c r="C480" s="2" t="str">
        <x:v>进项_活跃月数</x:v>
      </x:c>
      <x:c r="D480" s="2" t="n">
        <x:v>6</x:v>
      </x:c>
      <x:c r="E480" s="2" t="n">
        <x:v>7</x:v>
      </x:c>
      <x:c r="F480" s="2" t="n">
        <x:v>55</x:v>
      </x:c>
      <x:c r="G480" s="2" t="str">
        <x:v>原始表保留；建模表缩尾</x:v>
      </x:c>
    </x:row>
    <x:row r="481" ht="15" hidden="0" customHeight="1">
      <x:c r="A481" s="2" t="str">
        <x:v>E355</x:v>
      </x:c>
      <x:c r="B481" s="2" t="str">
        <x:v>无信贷记录</x:v>
      </x:c>
      <x:c r="C481" s="2" t="str">
        <x:v>进项_活跃月数</x:v>
      </x:c>
      <x:c r="D481" s="2" t="n">
        <x:v>2</x:v>
      </x:c>
      <x:c r="E481" s="2" t="n">
        <x:v>7</x:v>
      </x:c>
      <x:c r="F481" s="2" t="n">
        <x:v>55</x:v>
      </x:c>
      <x:c r="G481" s="2" t="str">
        <x:v>原始表保留；建模表缩尾</x:v>
      </x:c>
    </x:row>
    <x:row r="482" ht="15" hidden="0" customHeight="1">
      <x:c r="A482" s="2" t="str">
        <x:v>E356</x:v>
      </x:c>
      <x:c r="B482" s="2" t="str">
        <x:v>无信贷记录</x:v>
      </x:c>
      <x:c r="C482" s="2" t="str">
        <x:v>进项_活跃月数</x:v>
      </x:c>
      <x:c r="D482" s="2" t="n">
        <x:v>3</x:v>
      </x:c>
      <x:c r="E482" s="2" t="n">
        <x:v>7</x:v>
      </x:c>
      <x:c r="F482" s="2" t="n">
        <x:v>55</x:v>
      </x:c>
      <x:c r="G482" s="2" t="str">
        <x:v>原始表保留；建模表缩尾</x:v>
      </x:c>
    </x:row>
    <x:row r="483" ht="15" hidden="0" customHeight="1">
      <x:c r="A483" s="2" t="str">
        <x:v>E358</x:v>
      </x:c>
      <x:c r="B483" s="2" t="str">
        <x:v>无信贷记录</x:v>
      </x:c>
      <x:c r="C483" s="2" t="str">
        <x:v>进项_活跃月数</x:v>
      </x:c>
      <x:c r="D483" s="2" t="n">
        <x:v>2</x:v>
      </x:c>
      <x:c r="E483" s="2" t="n">
        <x:v>7</x:v>
      </x:c>
      <x:c r="F483" s="2" t="n">
        <x:v>55</x:v>
      </x:c>
      <x:c r="G483" s="2" t="str">
        <x:v>原始表保留；建模表缩尾</x:v>
      </x:c>
    </x:row>
    <x:row r="484" ht="15" hidden="0" customHeight="1">
      <x:c r="A484" s="2" t="str">
        <x:v>E359</x:v>
      </x:c>
      <x:c r="B484" s="2" t="str">
        <x:v>无信贷记录</x:v>
      </x:c>
      <x:c r="C484" s="2" t="str">
        <x:v>进项_活跃月数</x:v>
      </x:c>
      <x:c r="D484" s="2" t="n">
        <x:v>2</x:v>
      </x:c>
      <x:c r="E484" s="2" t="n">
        <x:v>7</x:v>
      </x:c>
      <x:c r="F484" s="2" t="n">
        <x:v>55</x:v>
      </x:c>
      <x:c r="G484" s="2" t="str">
        <x:v>原始表保留；建模表缩尾</x:v>
      </x:c>
    </x:row>
    <x:row r="485" ht="15" hidden="0" customHeight="1">
      <x:c r="A485" s="2" t="str">
        <x:v>E360</x:v>
      </x:c>
      <x:c r="B485" s="2" t="str">
        <x:v>无信贷记录</x:v>
      </x:c>
      <x:c r="C485" s="2" t="str">
        <x:v>进项_活跃月数</x:v>
      </x:c>
      <x:c r="D485" s="2" t="n">
        <x:v>2</x:v>
      </x:c>
      <x:c r="E485" s="2" t="n">
        <x:v>7</x:v>
      </x:c>
      <x:c r="F485" s="2" t="n">
        <x:v>55</x:v>
      </x:c>
      <x:c r="G485" s="2" t="str">
        <x:v>原始表保留；建模表缩尾</x:v>
      </x:c>
    </x:row>
    <x:row r="486" ht="15" hidden="0" customHeight="1">
      <x:c r="A486" s="2" t="str">
        <x:v>E370</x:v>
      </x:c>
      <x:c r="B486" s="2" t="str">
        <x:v>无信贷记录</x:v>
      </x:c>
      <x:c r="C486" s="2" t="str">
        <x:v>进项_活跃月数</x:v>
      </x:c>
      <x:c r="D486" s="2" t="n">
        <x:v>3</x:v>
      </x:c>
      <x:c r="E486" s="2" t="n">
        <x:v>7</x:v>
      </x:c>
      <x:c r="F486" s="2" t="n">
        <x:v>55</x:v>
      </x:c>
      <x:c r="G486" s="2" t="str">
        <x:v>原始表保留；建模表缩尾</x:v>
      </x:c>
    </x:row>
    <x:row r="487" ht="15" hidden="0" customHeight="1">
      <x:c r="A487" s="2" t="str">
        <x:v>E374</x:v>
      </x:c>
      <x:c r="B487" s="2" t="str">
        <x:v>无信贷记录</x:v>
      </x:c>
      <x:c r="C487" s="2" t="str">
        <x:v>进项_活跃月数</x:v>
      </x:c>
      <x:c r="D487" s="2" t="n">
        <x:v>3</x:v>
      </x:c>
      <x:c r="E487" s="2" t="n">
        <x:v>7</x:v>
      </x:c>
      <x:c r="F487" s="2" t="n">
        <x:v>55</x:v>
      </x:c>
      <x:c r="G487" s="2" t="str">
        <x:v>原始表保留；建模表缩尾</x:v>
      </x:c>
    </x:row>
    <x:row r="488" ht="15" hidden="0" customHeight="1">
      <x:c r="A488" s="2" t="str">
        <x:v>E375</x:v>
      </x:c>
      <x:c r="B488" s="2" t="str">
        <x:v>无信贷记录</x:v>
      </x:c>
      <x:c r="C488" s="2" t="str">
        <x:v>进项_活跃月数</x:v>
      </x:c>
      <x:c r="D488" s="2" t="n">
        <x:v>2</x:v>
      </x:c>
      <x:c r="E488" s="2" t="n">
        <x:v>7</x:v>
      </x:c>
      <x:c r="F488" s="2" t="n">
        <x:v>55</x:v>
      </x:c>
      <x:c r="G488" s="2" t="str">
        <x:v>原始表保留；建模表缩尾</x:v>
      </x:c>
    </x:row>
    <x:row r="489" ht="15" hidden="0" customHeight="1">
      <x:c r="A489" s="2" t="str">
        <x:v>E376</x:v>
      </x:c>
      <x:c r="B489" s="2" t="str">
        <x:v>无信贷记录</x:v>
      </x:c>
      <x:c r="C489" s="2" t="str">
        <x:v>进项_活跃月数</x:v>
      </x:c>
      <x:c r="D489" s="2" t="n">
        <x:v>3</x:v>
      </x:c>
      <x:c r="E489" s="2" t="n">
        <x:v>7</x:v>
      </x:c>
      <x:c r="F489" s="2" t="n">
        <x:v>55</x:v>
      </x:c>
      <x:c r="G489" s="2" t="str">
        <x:v>原始表保留；建模表缩尾</x:v>
      </x:c>
    </x:row>
    <x:row r="490" ht="15" hidden="0" customHeight="1">
      <x:c r="A490" s="2" t="str">
        <x:v>E380</x:v>
      </x:c>
      <x:c r="B490" s="2" t="str">
        <x:v>无信贷记录</x:v>
      </x:c>
      <x:c r="C490" s="2" t="str">
        <x:v>进项_活跃月数</x:v>
      </x:c>
      <x:c r="D490" s="2" t="n">
        <x:v>2</x:v>
      </x:c>
      <x:c r="E490" s="2" t="n">
        <x:v>7</x:v>
      </x:c>
      <x:c r="F490" s="2" t="n">
        <x:v>55</x:v>
      </x:c>
      <x:c r="G490" s="2" t="str">
        <x:v>原始表保留；建模表缩尾</x:v>
      </x:c>
    </x:row>
    <x:row r="491" ht="15" hidden="0" customHeight="1">
      <x:c r="A491" s="2" t="str">
        <x:v>E382</x:v>
      </x:c>
      <x:c r="B491" s="2" t="str">
        <x:v>无信贷记录</x:v>
      </x:c>
      <x:c r="C491" s="2" t="str">
        <x:v>进项_活跃月数</x:v>
      </x:c>
      <x:c r="D491" s="2" t="n">
        <x:v>2</x:v>
      </x:c>
      <x:c r="E491" s="2" t="n">
        <x:v>7</x:v>
      </x:c>
      <x:c r="F491" s="2" t="n">
        <x:v>55</x:v>
      </x:c>
      <x:c r="G491" s="2" t="str">
        <x:v>原始表保留；建模表缩尾</x:v>
      </x:c>
    </x:row>
    <x:row r="492" ht="15" hidden="0" customHeight="1">
      <x:c r="A492" s="2" t="str">
        <x:v>E387</x:v>
      </x:c>
      <x:c r="B492" s="2" t="str">
        <x:v>无信贷记录</x:v>
      </x:c>
      <x:c r="C492" s="2" t="str">
        <x:v>进项_活跃月数</x:v>
      </x:c>
      <x:c r="D492" s="2" t="n">
        <x:v>3</x:v>
      </x:c>
      <x:c r="E492" s="2" t="n">
        <x:v>7</x:v>
      </x:c>
      <x:c r="F492" s="2" t="n">
        <x:v>55</x:v>
      </x:c>
      <x:c r="G492" s="2" t="str">
        <x:v>原始表保留；建模表缩尾</x:v>
      </x:c>
    </x:row>
    <x:row r="493" ht="15" hidden="0" customHeight="1">
      <x:c r="A493" s="2" t="str">
        <x:v>E389</x:v>
      </x:c>
      <x:c r="B493" s="2" t="str">
        <x:v>无信贷记录</x:v>
      </x:c>
      <x:c r="C493" s="2" t="str">
        <x:v>进项_活跃月数</x:v>
      </x:c>
      <x:c r="D493" s="2" t="n">
        <x:v>2</x:v>
      </x:c>
      <x:c r="E493" s="2" t="n">
        <x:v>7</x:v>
      </x:c>
      <x:c r="F493" s="2" t="n">
        <x:v>55</x:v>
      </x:c>
      <x:c r="G493" s="2" t="str">
        <x:v>原始表保留；建模表缩尾</x:v>
      </x:c>
    </x:row>
    <x:row r="494" ht="15" hidden="0" customHeight="1">
      <x:c r="A494" s="2" t="str">
        <x:v>E391</x:v>
      </x:c>
      <x:c r="B494" s="2" t="str">
        <x:v>无信贷记录</x:v>
      </x:c>
      <x:c r="C494" s="2" t="str">
        <x:v>进项_活跃月数</x:v>
      </x:c>
      <x:c r="D494" s="2" t="n">
        <x:v>3</x:v>
      </x:c>
      <x:c r="E494" s="2" t="n">
        <x:v>7</x:v>
      </x:c>
      <x:c r="F494" s="2" t="n">
        <x:v>55</x:v>
      </x:c>
      <x:c r="G494" s="2" t="str">
        <x:v>原始表保留；建模表缩尾</x:v>
      </x:c>
    </x:row>
    <x:row r="495" ht="15" hidden="0" customHeight="1">
      <x:c r="A495" s="2" t="str">
        <x:v>E405</x:v>
      </x:c>
      <x:c r="B495" s="2" t="str">
        <x:v>无信贷记录</x:v>
      </x:c>
      <x:c r="C495" s="2" t="str">
        <x:v>进项_活跃月数</x:v>
      </x:c>
      <x:c r="D495" s="2" t="n">
        <x:v>5</x:v>
      </x:c>
      <x:c r="E495" s="2" t="n">
        <x:v>7</x:v>
      </x:c>
      <x:c r="F495" s="2" t="n">
        <x:v>55</x:v>
      </x:c>
      <x:c r="G495" s="2" t="str">
        <x:v>原始表保留；建模表缩尾</x:v>
      </x:c>
    </x:row>
    <x:row r="496" ht="15" hidden="0" customHeight="1">
      <x:c r="A496" s="2" t="str">
        <x:v>E414</x:v>
      </x:c>
      <x:c r="B496" s="2" t="str">
        <x:v>无信贷记录</x:v>
      </x:c>
      <x:c r="C496" s="2" t="str">
        <x:v>进项_活跃月数</x:v>
      </x:c>
      <x:c r="D496" s="2" t="n">
        <x:v>5</x:v>
      </x:c>
      <x:c r="E496" s="2" t="n">
        <x:v>7</x:v>
      </x:c>
      <x:c r="F496" s="2" t="n">
        <x:v>55</x:v>
      </x:c>
      <x:c r="G496" s="2" t="str">
        <x:v>原始表保留；建模表缩尾</x:v>
      </x:c>
    </x:row>
    <x:row r="497" ht="15" hidden="0" customHeight="1">
      <x:c r="A497" s="2" t="str">
        <x:v>E415</x:v>
      </x:c>
      <x:c r="B497" s="2" t="str">
        <x:v>无信贷记录</x:v>
      </x:c>
      <x:c r="C497" s="2" t="str">
        <x:v>进项_活跃月数</x:v>
      </x:c>
      <x:c r="D497" s="2" t="n">
        <x:v>2</x:v>
      </x:c>
      <x:c r="E497" s="2" t="n">
        <x:v>7</x:v>
      </x:c>
      <x:c r="F497" s="2" t="n">
        <x:v>55</x:v>
      </x:c>
      <x:c r="G497" s="2" t="str">
        <x:v>原始表保留；建模表缩尾</x:v>
      </x:c>
    </x:row>
    <x:row r="498" ht="15" hidden="0" customHeight="1">
      <x:c r="A498" s="2" t="str">
        <x:v>E422</x:v>
      </x:c>
      <x:c r="B498" s="2" t="str">
        <x:v>无信贷记录</x:v>
      </x:c>
      <x:c r="C498" s="2" t="str">
        <x:v>进项_活跃月数</x:v>
      </x:c>
      <x:c r="D498" s="2" t="n">
        <x:v>3</x:v>
      </x:c>
      <x:c r="E498" s="2" t="n">
        <x:v>7</x:v>
      </x:c>
      <x:c r="F498" s="2" t="n">
        <x:v>55</x:v>
      </x:c>
      <x:c r="G498" s="2" t="str">
        <x:v>原始表保留；建模表缩尾</x:v>
      </x:c>
    </x:row>
    <x:row r="499" ht="15" hidden="0" customHeight="1">
      <x:c r="A499" s="2" t="str">
        <x:v>E1</x:v>
      </x:c>
      <x:c r="B499" s="2" t="str">
        <x:v>有信贷记录</x:v>
      </x:c>
      <x:c r="C499" s="2" t="str">
        <x:v>销项_发票总数</x:v>
      </x:c>
      <x:c r="D499" s="2" t="n">
        <x:v>8110</x:v>
      </x:c>
      <x:c r="E499" s="2" t="n">
        <x:v>-1173</x:v>
      </x:c>
      <x:c r="F499" s="2" t="n">
        <x:v>2387</x:v>
      </x:c>
      <x:c r="G499" s="2" t="str">
        <x:v>原始表保留；建模表缩尾</x:v>
      </x:c>
    </x:row>
    <x:row r="500" ht="15" hidden="0" customHeight="1">
      <x:c r="A500" s="2" t="str">
        <x:v>E2</x:v>
      </x:c>
      <x:c r="B500" s="2" t="str">
        <x:v>有信贷记录</x:v>
      </x:c>
      <x:c r="C500" s="2" t="str">
        <x:v>销项_发票总数</x:v>
      </x:c>
      <x:c r="D500" s="2" t="n">
        <x:v>10552</x:v>
      </x:c>
      <x:c r="E500" s="2" t="n">
        <x:v>-1173</x:v>
      </x:c>
      <x:c r="F500" s="2" t="n">
        <x:v>2387</x:v>
      </x:c>
      <x:c r="G500" s="2" t="str">
        <x:v>原始表保留；建模表缩尾</x:v>
      </x:c>
    </x:row>
    <x:row r="501" ht="15" hidden="0" customHeight="1">
      <x:c r="A501" s="2" t="str">
        <x:v>E3</x:v>
      </x:c>
      <x:c r="B501" s="2" t="str">
        <x:v>有信贷记录</x:v>
      </x:c>
      <x:c r="C501" s="2" t="str">
        <x:v>销项_发票总数</x:v>
      </x:c>
      <x:c r="D501" s="2" t="n">
        <x:v>24073</x:v>
      </x:c>
      <x:c r="E501" s="2" t="n">
        <x:v>-1173</x:v>
      </x:c>
      <x:c r="F501" s="2" t="n">
        <x:v>2387</x:v>
      </x:c>
      <x:c r="G501" s="2" t="str">
        <x:v>原始表保留；建模表缩尾</x:v>
      </x:c>
    </x:row>
    <x:row r="502" ht="15" hidden="0" customHeight="1">
      <x:c r="A502" s="2" t="str">
        <x:v>E7</x:v>
      </x:c>
      <x:c r="B502" s="2" t="str">
        <x:v>有信贷记录</x:v>
      </x:c>
      <x:c r="C502" s="2" t="str">
        <x:v>销项_发票总数</x:v>
      </x:c>
      <x:c r="D502" s="2" t="n">
        <x:v>8149</x:v>
      </x:c>
      <x:c r="E502" s="2" t="n">
        <x:v>-1173</x:v>
      </x:c>
      <x:c r="F502" s="2" t="n">
        <x:v>2387</x:v>
      </x:c>
      <x:c r="G502" s="2" t="str">
        <x:v>原始表保留；建模表缩尾</x:v>
      </x:c>
    </x:row>
    <x:row r="503" ht="15" hidden="0" customHeight="1">
      <x:c r="A503" s="2" t="str">
        <x:v>E8</x:v>
      </x:c>
      <x:c r="B503" s="2" t="str">
        <x:v>有信贷记录</x:v>
      </x:c>
      <x:c r="C503" s="2" t="str">
        <x:v>销项_发票总数</x:v>
      </x:c>
      <x:c r="D503" s="2" t="n">
        <x:v>9425</x:v>
      </x:c>
      <x:c r="E503" s="2" t="n">
        <x:v>-1173</x:v>
      </x:c>
      <x:c r="F503" s="2" t="n">
        <x:v>2387</x:v>
      </x:c>
      <x:c r="G503" s="2" t="str">
        <x:v>原始表保留；建模表缩尾</x:v>
      </x:c>
    </x:row>
    <x:row r="504" ht="15" hidden="0" customHeight="1">
      <x:c r="A504" s="2" t="str">
        <x:v>E9</x:v>
      </x:c>
      <x:c r="B504" s="2" t="str">
        <x:v>有信贷记录</x:v>
      </x:c>
      <x:c r="C504" s="2" t="str">
        <x:v>销项_发票总数</x:v>
      </x:c>
      <x:c r="D504" s="2" t="n">
        <x:v>5906</x:v>
      </x:c>
      <x:c r="E504" s="2" t="n">
        <x:v>-1173</x:v>
      </x:c>
      <x:c r="F504" s="2" t="n">
        <x:v>2387</x:v>
      </x:c>
      <x:c r="G504" s="2" t="str">
        <x:v>原始表保留；建模表缩尾</x:v>
      </x:c>
    </x:row>
    <x:row r="505" ht="15" hidden="0" customHeight="1">
      <x:c r="A505" s="2" t="str">
        <x:v>E13</x:v>
      </x:c>
      <x:c r="B505" s="2" t="str">
        <x:v>有信贷记录</x:v>
      </x:c>
      <x:c r="C505" s="2" t="str">
        <x:v>销项_发票总数</x:v>
      </x:c>
      <x:c r="D505" s="2" t="n">
        <x:v>8005</x:v>
      </x:c>
      <x:c r="E505" s="2" t="n">
        <x:v>-1173</x:v>
      </x:c>
      <x:c r="F505" s="2" t="n">
        <x:v>2387</x:v>
      </x:c>
      <x:c r="G505" s="2" t="str">
        <x:v>原始表保留；建模表缩尾</x:v>
      </x:c>
    </x:row>
    <x:row r="506" ht="15" hidden="0" customHeight="1">
      <x:c r="A506" s="2" t="str">
        <x:v>E14</x:v>
      </x:c>
      <x:c r="B506" s="2" t="str">
        <x:v>有信贷记录</x:v>
      </x:c>
      <x:c r="C506" s="2" t="str">
        <x:v>销项_发票总数</x:v>
      </x:c>
      <x:c r="D506" s="2" t="n">
        <x:v>3336</x:v>
      </x:c>
      <x:c r="E506" s="2" t="n">
        <x:v>-1173</x:v>
      </x:c>
      <x:c r="F506" s="2" t="n">
        <x:v>2387</x:v>
      </x:c>
      <x:c r="G506" s="2" t="str">
        <x:v>原始表保留；建模表缩尾</x:v>
      </x:c>
    </x:row>
    <x:row r="507" ht="15" hidden="0" customHeight="1">
      <x:c r="A507" s="2" t="str">
        <x:v>E15</x:v>
      </x:c>
      <x:c r="B507" s="2" t="str">
        <x:v>有信贷记录</x:v>
      </x:c>
      <x:c r="C507" s="2" t="str">
        <x:v>销项_发票总数</x:v>
      </x:c>
      <x:c r="D507" s="2" t="n">
        <x:v>2412</x:v>
      </x:c>
      <x:c r="E507" s="2" t="n">
        <x:v>-1173</x:v>
      </x:c>
      <x:c r="F507" s="2" t="n">
        <x:v>2387</x:v>
      </x:c>
      <x:c r="G507" s="2" t="str">
        <x:v>原始表保留；建模表缩尾</x:v>
      </x:c>
    </x:row>
    <x:row r="508" ht="15" hidden="0" customHeight="1">
      <x:c r="A508" s="2" t="str">
        <x:v>E19</x:v>
      </x:c>
      <x:c r="B508" s="2" t="str">
        <x:v>有信贷记录</x:v>
      </x:c>
      <x:c r="C508" s="2" t="str">
        <x:v>销项_发票总数</x:v>
      </x:c>
      <x:c r="D508" s="2" t="n">
        <x:v>3099</x:v>
      </x:c>
      <x:c r="E508" s="2" t="n">
        <x:v>-1173</x:v>
      </x:c>
      <x:c r="F508" s="2" t="n">
        <x:v>2387</x:v>
      </x:c>
      <x:c r="G508" s="2" t="str">
        <x:v>原始表保留；建模表缩尾</x:v>
      </x:c>
    </x:row>
    <x:row r="509" ht="15" hidden="0" customHeight="1">
      <x:c r="A509" s="2" t="str">
        <x:v>E23</x:v>
      </x:c>
      <x:c r="B509" s="2" t="str">
        <x:v>有信贷记录</x:v>
      </x:c>
      <x:c r="C509" s="2" t="str">
        <x:v>销项_发票总数</x:v>
      </x:c>
      <x:c r="D509" s="2" t="n">
        <x:v>3570</x:v>
      </x:c>
      <x:c r="E509" s="2" t="n">
        <x:v>-1173</x:v>
      </x:c>
      <x:c r="F509" s="2" t="n">
        <x:v>2387</x:v>
      </x:c>
      <x:c r="G509" s="2" t="str">
        <x:v>原始表保留；建模表缩尾</x:v>
      </x:c>
    </x:row>
    <x:row r="510" ht="15" hidden="0" customHeight="1">
      <x:c r="A510" s="2" t="str">
        <x:v>E31</x:v>
      </x:c>
      <x:c r="B510" s="2" t="str">
        <x:v>有信贷记录</x:v>
      </x:c>
      <x:c r="C510" s="2" t="str">
        <x:v>销项_发票总数</x:v>
      </x:c>
      <x:c r="D510" s="2" t="n">
        <x:v>2608</x:v>
      </x:c>
      <x:c r="E510" s="2" t="n">
        <x:v>-1173</x:v>
      </x:c>
      <x:c r="F510" s="2" t="n">
        <x:v>2387</x:v>
      </x:c>
      <x:c r="G510" s="2" t="str">
        <x:v>原始表保留；建模表缩尾</x:v>
      </x:c>
    </x:row>
    <x:row r="511" ht="15" hidden="0" customHeight="1">
      <x:c r="A511" s="2" t="str">
        <x:v>E44</x:v>
      </x:c>
      <x:c r="B511" s="2" t="str">
        <x:v>有信贷记录</x:v>
      </x:c>
      <x:c r="C511" s="2" t="str">
        <x:v>销项_发票总数</x:v>
      </x:c>
      <x:c r="D511" s="2" t="n">
        <x:v>2435</x:v>
      </x:c>
      <x:c r="E511" s="2" t="n">
        <x:v>-1173</x:v>
      </x:c>
      <x:c r="F511" s="2" t="n">
        <x:v>2387</x:v>
      </x:c>
      <x:c r="G511" s="2" t="str">
        <x:v>原始表保留；建模表缩尾</x:v>
      </x:c>
    </x:row>
    <x:row r="512" ht="15" hidden="0" customHeight="1">
      <x:c r="A512" s="2" t="str">
        <x:v>E47</x:v>
      </x:c>
      <x:c r="B512" s="2" t="str">
        <x:v>有信贷记录</x:v>
      </x:c>
      <x:c r="C512" s="2" t="str">
        <x:v>销项_发票总数</x:v>
      </x:c>
      <x:c r="D512" s="2" t="n">
        <x:v>3518</x:v>
      </x:c>
      <x:c r="E512" s="2" t="n">
        <x:v>-1173</x:v>
      </x:c>
      <x:c r="F512" s="2" t="n">
        <x:v>2387</x:v>
      </x:c>
      <x:c r="G512" s="2" t="str">
        <x:v>原始表保留；建模表缩尾</x:v>
      </x:c>
    </x:row>
    <x:row r="513" ht="15" hidden="0" customHeight="1">
      <x:c r="A513" s="2" t="str">
        <x:v>E54</x:v>
      </x:c>
      <x:c r="B513" s="2" t="str">
        <x:v>有信贷记录</x:v>
      </x:c>
      <x:c r="C513" s="2" t="str">
        <x:v>销项_发票总数</x:v>
      </x:c>
      <x:c r="D513" s="2" t="n">
        <x:v>3501</x:v>
      </x:c>
      <x:c r="E513" s="2" t="n">
        <x:v>-1173</x:v>
      </x:c>
      <x:c r="F513" s="2" t="n">
        <x:v>2387</x:v>
      </x:c>
      <x:c r="G513" s="2" t="str">
        <x:v>原始表保留；建模表缩尾</x:v>
      </x:c>
    </x:row>
    <x:row r="514" ht="15" hidden="0" customHeight="1">
      <x:c r="A514" s="2" t="str">
        <x:v>E75</x:v>
      </x:c>
      <x:c r="B514" s="2" t="str">
        <x:v>有信贷记录</x:v>
      </x:c>
      <x:c r="C514" s="2" t="str">
        <x:v>销项_发票总数</x:v>
      </x:c>
      <x:c r="D514" s="2" t="n">
        <x:v>8317</x:v>
      </x:c>
      <x:c r="E514" s="2" t="n">
        <x:v>-1173</x:v>
      </x:c>
      <x:c r="F514" s="2" t="n">
        <x:v>2387</x:v>
      </x:c>
      <x:c r="G514" s="2" t="str">
        <x:v>原始表保留；建模表缩尾</x:v>
      </x:c>
    </x:row>
    <x:row r="515" ht="15" hidden="0" customHeight="1">
      <x:c r="A515" s="2" t="str">
        <x:v>E127</x:v>
      </x:c>
      <x:c r="B515" s="2" t="str">
        <x:v>无信贷记录</x:v>
      </x:c>
      <x:c r="C515" s="2" t="str">
        <x:v>销项_发票总数</x:v>
      </x:c>
      <x:c r="D515" s="2" t="n">
        <x:v>4026</x:v>
      </x:c>
      <x:c r="E515" s="2" t="n">
        <x:v>-1173</x:v>
      </x:c>
      <x:c r="F515" s="2" t="n">
        <x:v>2387</x:v>
      </x:c>
      <x:c r="G515" s="2" t="str">
        <x:v>原始表保留；建模表缩尾</x:v>
      </x:c>
    </x:row>
    <x:row r="516" ht="15" hidden="0" customHeight="1">
      <x:c r="A516" s="2" t="str">
        <x:v>E129</x:v>
      </x:c>
      <x:c r="B516" s="2" t="str">
        <x:v>无信贷记录</x:v>
      </x:c>
      <x:c r="C516" s="2" t="str">
        <x:v>销项_发票总数</x:v>
      </x:c>
      <x:c r="D516" s="2" t="n">
        <x:v>5817</x:v>
      </x:c>
      <x:c r="E516" s="2" t="n">
        <x:v>-1173</x:v>
      </x:c>
      <x:c r="F516" s="2" t="n">
        <x:v>2387</x:v>
      </x:c>
      <x:c r="G516" s="2" t="str">
        <x:v>原始表保留；建模表缩尾</x:v>
      </x:c>
    </x:row>
    <x:row r="517" ht="15" hidden="0" customHeight="1">
      <x:c r="A517" s="2" t="str">
        <x:v>E131</x:v>
      </x:c>
      <x:c r="B517" s="2" t="str">
        <x:v>无信贷记录</x:v>
      </x:c>
      <x:c r="C517" s="2" t="str">
        <x:v>销项_发票总数</x:v>
      </x:c>
      <x:c r="D517" s="2" t="n">
        <x:v>3336</x:v>
      </x:c>
      <x:c r="E517" s="2" t="n">
        <x:v>-1173</x:v>
      </x:c>
      <x:c r="F517" s="2" t="n">
        <x:v>2387</x:v>
      </x:c>
      <x:c r="G517" s="2" t="str">
        <x:v>原始表保留；建模表缩尾</x:v>
      </x:c>
    </x:row>
    <x:row r="518" ht="15" hidden="0" customHeight="1">
      <x:c r="A518" s="2" t="str">
        <x:v>E134</x:v>
      </x:c>
      <x:c r="B518" s="2" t="str">
        <x:v>无信贷记录</x:v>
      </x:c>
      <x:c r="C518" s="2" t="str">
        <x:v>销项_发票总数</x:v>
      </x:c>
      <x:c r="D518" s="2" t="n">
        <x:v>3070</x:v>
      </x:c>
      <x:c r="E518" s="2" t="n">
        <x:v>-1173</x:v>
      </x:c>
      <x:c r="F518" s="2" t="n">
        <x:v>2387</x:v>
      </x:c>
      <x:c r="G518" s="2" t="str">
        <x:v>原始表保留；建模表缩尾</x:v>
      </x:c>
    </x:row>
    <x:row r="519" ht="15" hidden="0" customHeight="1">
      <x:c r="A519" s="2" t="str">
        <x:v>E139</x:v>
      </x:c>
      <x:c r="B519" s="2" t="str">
        <x:v>无信贷记录</x:v>
      </x:c>
      <x:c r="C519" s="2" t="str">
        <x:v>销项_发票总数</x:v>
      </x:c>
      <x:c r="D519" s="2" t="n">
        <x:v>12822</x:v>
      </x:c>
      <x:c r="E519" s="2" t="n">
        <x:v>-1173</x:v>
      </x:c>
      <x:c r="F519" s="2" t="n">
        <x:v>2387</x:v>
      </x:c>
      <x:c r="G519" s="2" t="str">
        <x:v>原始表保留；建模表缩尾</x:v>
      </x:c>
    </x:row>
    <x:row r="520" ht="15" hidden="0" customHeight="1">
      <x:c r="A520" s="2" t="str">
        <x:v>E141</x:v>
      </x:c>
      <x:c r="B520" s="2" t="str">
        <x:v>无信贷记录</x:v>
      </x:c>
      <x:c r="C520" s="2" t="str">
        <x:v>销项_发票总数</x:v>
      </x:c>
      <x:c r="D520" s="2" t="n">
        <x:v>4740</x:v>
      </x:c>
      <x:c r="E520" s="2" t="n">
        <x:v>-1173</x:v>
      </x:c>
      <x:c r="F520" s="2" t="n">
        <x:v>2387</x:v>
      </x:c>
      <x:c r="G520" s="2" t="str">
        <x:v>原始表保留；建模表缩尾</x:v>
      </x:c>
    </x:row>
    <x:row r="521" ht="15" hidden="0" customHeight="1">
      <x:c r="A521" s="2" t="str">
        <x:v>E145</x:v>
      </x:c>
      <x:c r="B521" s="2" t="str">
        <x:v>无信贷记录</x:v>
      </x:c>
      <x:c r="C521" s="2" t="str">
        <x:v>销项_发票总数</x:v>
      </x:c>
      <x:c r="D521" s="2" t="n">
        <x:v>4271</x:v>
      </x:c>
      <x:c r="E521" s="2" t="n">
        <x:v>-1173</x:v>
      </x:c>
      <x:c r="F521" s="2" t="n">
        <x:v>2387</x:v>
      </x:c>
      <x:c r="G521" s="2" t="str">
        <x:v>原始表保留；建模表缩尾</x:v>
      </x:c>
    </x:row>
    <x:row r="522" ht="15" hidden="0" customHeight="1">
      <x:c r="A522" s="2" t="str">
        <x:v>E165</x:v>
      </x:c>
      <x:c r="B522" s="2" t="str">
        <x:v>无信贷记录</x:v>
      </x:c>
      <x:c r="C522" s="2" t="str">
        <x:v>销项_发票总数</x:v>
      </x:c>
      <x:c r="D522" s="2" t="n">
        <x:v>2606</x:v>
      </x:c>
      <x:c r="E522" s="2" t="n">
        <x:v>-1173</x:v>
      </x:c>
      <x:c r="F522" s="2" t="n">
        <x:v>2387</x:v>
      </x:c>
      <x:c r="G522" s="2" t="str">
        <x:v>原始表保留；建模表缩尾</x:v>
      </x:c>
    </x:row>
    <x:row r="523" ht="15" hidden="0" customHeight="1">
      <x:c r="A523" s="2" t="str">
        <x:v>E167</x:v>
      </x:c>
      <x:c r="B523" s="2" t="str">
        <x:v>无信贷记录</x:v>
      </x:c>
      <x:c r="C523" s="2" t="str">
        <x:v>销项_发票总数</x:v>
      </x:c>
      <x:c r="D523" s="2" t="n">
        <x:v>4979</x:v>
      </x:c>
      <x:c r="E523" s="2" t="n">
        <x:v>-1173</x:v>
      </x:c>
      <x:c r="F523" s="2" t="n">
        <x:v>2387</x:v>
      </x:c>
      <x:c r="G523" s="2" t="str">
        <x:v>原始表保留；建模表缩尾</x:v>
      </x:c>
    </x:row>
    <x:row r="524" ht="15" hidden="0" customHeight="1">
      <x:c r="A524" s="2" t="str">
        <x:v>E171</x:v>
      </x:c>
      <x:c r="B524" s="2" t="str">
        <x:v>无信贷记录</x:v>
      </x:c>
      <x:c r="C524" s="2" t="str">
        <x:v>销项_发票总数</x:v>
      </x:c>
      <x:c r="D524" s="2" t="n">
        <x:v>7508</x:v>
      </x:c>
      <x:c r="E524" s="2" t="n">
        <x:v>-1173</x:v>
      </x:c>
      <x:c r="F524" s="2" t="n">
        <x:v>2387</x:v>
      </x:c>
      <x:c r="G524" s="2" t="str">
        <x:v>原始表保留；建模表缩尾</x:v>
      </x:c>
    </x:row>
    <x:row r="525" ht="15" hidden="0" customHeight="1">
      <x:c r="A525" s="2" t="str">
        <x:v>E173</x:v>
      </x:c>
      <x:c r="B525" s="2" t="str">
        <x:v>无信贷记录</x:v>
      </x:c>
      <x:c r="C525" s="2" t="str">
        <x:v>销项_发票总数</x:v>
      </x:c>
      <x:c r="D525" s="2" t="n">
        <x:v>2501</x:v>
      </x:c>
      <x:c r="E525" s="2" t="n">
        <x:v>-1173</x:v>
      </x:c>
      <x:c r="F525" s="2" t="n">
        <x:v>2387</x:v>
      </x:c>
      <x:c r="G525" s="2" t="str">
        <x:v>原始表保留；建模表缩尾</x:v>
      </x:c>
    </x:row>
    <x:row r="526" ht="15" hidden="0" customHeight="1">
      <x:c r="A526" s="2" t="str">
        <x:v>E175</x:v>
      </x:c>
      <x:c r="B526" s="2" t="str">
        <x:v>无信贷记录</x:v>
      </x:c>
      <x:c r="C526" s="2" t="str">
        <x:v>销项_发票总数</x:v>
      </x:c>
      <x:c r="D526" s="2" t="n">
        <x:v>4085</x:v>
      </x:c>
      <x:c r="E526" s="2" t="n">
        <x:v>-1173</x:v>
      </x:c>
      <x:c r="F526" s="2" t="n">
        <x:v>2387</x:v>
      </x:c>
      <x:c r="G526" s="2" t="str">
        <x:v>原始表保留；建模表缩尾</x:v>
      </x:c>
    </x:row>
    <x:row r="527" ht="15" hidden="0" customHeight="1">
      <x:c r="A527" s="2" t="str">
        <x:v>E185</x:v>
      </x:c>
      <x:c r="B527" s="2" t="str">
        <x:v>无信贷记录</x:v>
      </x:c>
      <x:c r="C527" s="2" t="str">
        <x:v>销项_发票总数</x:v>
      </x:c>
      <x:c r="D527" s="2" t="n">
        <x:v>5479</x:v>
      </x:c>
      <x:c r="E527" s="2" t="n">
        <x:v>-1173</x:v>
      </x:c>
      <x:c r="F527" s="2" t="n">
        <x:v>2387</x:v>
      </x:c>
      <x:c r="G527" s="2" t="str">
        <x:v>原始表保留；建模表缩尾</x:v>
      </x:c>
    </x:row>
    <x:row r="528" ht="15" hidden="0" customHeight="1">
      <x:c r="A528" s="2" t="str">
        <x:v>E191</x:v>
      </x:c>
      <x:c r="B528" s="2" t="str">
        <x:v>无信贷记录</x:v>
      </x:c>
      <x:c r="C528" s="2" t="str">
        <x:v>销项_发票总数</x:v>
      </x:c>
      <x:c r="D528" s="2" t="n">
        <x:v>2871</x:v>
      </x:c>
      <x:c r="E528" s="2" t="n">
        <x:v>-1173</x:v>
      </x:c>
      <x:c r="F528" s="2" t="n">
        <x:v>2387</x:v>
      </x:c>
      <x:c r="G528" s="2" t="str">
        <x:v>原始表保留；建模表缩尾</x:v>
      </x:c>
    </x:row>
    <x:row r="529" ht="15" hidden="0" customHeight="1">
      <x:c r="A529" s="2" t="str">
        <x:v>E193</x:v>
      </x:c>
      <x:c r="B529" s="2" t="str">
        <x:v>无信贷记录</x:v>
      </x:c>
      <x:c r="C529" s="2" t="str">
        <x:v>销项_发票总数</x:v>
      </x:c>
      <x:c r="D529" s="2" t="n">
        <x:v>32311</x:v>
      </x:c>
      <x:c r="E529" s="2" t="n">
        <x:v>-1173</x:v>
      </x:c>
      <x:c r="F529" s="2" t="n">
        <x:v>2387</x:v>
      </x:c>
      <x:c r="G529" s="2" t="str">
        <x:v>原始表保留；建模表缩尾</x:v>
      </x:c>
    </x:row>
    <x:row r="530" ht="15" hidden="0" customHeight="1">
      <x:c r="A530" s="2" t="str">
        <x:v>E194</x:v>
      </x:c>
      <x:c r="B530" s="2" t="str">
        <x:v>无信贷记录</x:v>
      </x:c>
      <x:c r="C530" s="2" t="str">
        <x:v>销项_发票总数</x:v>
      </x:c>
      <x:c r="D530" s="2" t="n">
        <x:v>11741</x:v>
      </x:c>
      <x:c r="E530" s="2" t="n">
        <x:v>-1173</x:v>
      </x:c>
      <x:c r="F530" s="2" t="n">
        <x:v>2387</x:v>
      </x:c>
      <x:c r="G530" s="2" t="str">
        <x:v>原始表保留；建模表缩尾</x:v>
      </x:c>
    </x:row>
    <x:row r="531" ht="15" hidden="0" customHeight="1">
      <x:c r="A531" s="2" t="str">
        <x:v>E195</x:v>
      </x:c>
      <x:c r="B531" s="2" t="str">
        <x:v>无信贷记录</x:v>
      </x:c>
      <x:c r="C531" s="2" t="str">
        <x:v>销项_发票总数</x:v>
      </x:c>
      <x:c r="D531" s="2" t="n">
        <x:v>4857</x:v>
      </x:c>
      <x:c r="E531" s="2" t="n">
        <x:v>-1173</x:v>
      </x:c>
      <x:c r="F531" s="2" t="n">
        <x:v>2387</x:v>
      </x:c>
      <x:c r="G531" s="2" t="str">
        <x:v>原始表保留；建模表缩尾</x:v>
      </x:c>
    </x:row>
    <x:row r="532" ht="15" hidden="0" customHeight="1">
      <x:c r="A532" s="2" t="str">
        <x:v>E196</x:v>
      </x:c>
      <x:c r="B532" s="2" t="str">
        <x:v>无信贷记录</x:v>
      </x:c>
      <x:c r="C532" s="2" t="str">
        <x:v>销项_发票总数</x:v>
      </x:c>
      <x:c r="D532" s="2" t="n">
        <x:v>2962</x:v>
      </x:c>
      <x:c r="E532" s="2" t="n">
        <x:v>-1173</x:v>
      </x:c>
      <x:c r="F532" s="2" t="n">
        <x:v>2387</x:v>
      </x:c>
      <x:c r="G532" s="2" t="str">
        <x:v>原始表保留；建模表缩尾</x:v>
      </x:c>
    </x:row>
    <x:row r="533" ht="15" hidden="0" customHeight="1">
      <x:c r="A533" s="2" t="str">
        <x:v>E197</x:v>
      </x:c>
      <x:c r="B533" s="2" t="str">
        <x:v>无信贷记录</x:v>
      </x:c>
      <x:c r="C533" s="2" t="str">
        <x:v>销项_发票总数</x:v>
      </x:c>
      <x:c r="D533" s="2" t="n">
        <x:v>3828</x:v>
      </x:c>
      <x:c r="E533" s="2" t="n">
        <x:v>-1173</x:v>
      </x:c>
      <x:c r="F533" s="2" t="n">
        <x:v>2387</x:v>
      </x:c>
      <x:c r="G533" s="2" t="str">
        <x:v>原始表保留；建模表缩尾</x:v>
      </x:c>
    </x:row>
    <x:row r="534" ht="15" hidden="0" customHeight="1">
      <x:c r="A534" s="2" t="str">
        <x:v>E225</x:v>
      </x:c>
      <x:c r="B534" s="2" t="str">
        <x:v>无信贷记录</x:v>
      </x:c>
      <x:c r="C534" s="2" t="str">
        <x:v>销项_发票总数</x:v>
      </x:c>
      <x:c r="D534" s="2" t="n">
        <x:v>8872</x:v>
      </x:c>
      <x:c r="E534" s="2" t="n">
        <x:v>-1173</x:v>
      </x:c>
      <x:c r="F534" s="2" t="n">
        <x:v>2387</x:v>
      </x:c>
      <x:c r="G534" s="2" t="str">
        <x:v>原始表保留；建模表缩尾</x:v>
      </x:c>
    </x:row>
    <x:row r="535" ht="15" hidden="0" customHeight="1">
      <x:c r="A535" s="2" t="str">
        <x:v>E238</x:v>
      </x:c>
      <x:c r="B535" s="2" t="str">
        <x:v>无信贷记录</x:v>
      </x:c>
      <x:c r="C535" s="2" t="str">
        <x:v>销项_发票总数</x:v>
      </x:c>
      <x:c r="D535" s="2" t="n">
        <x:v>12084</x:v>
      </x:c>
      <x:c r="E535" s="2" t="n">
        <x:v>-1173</x:v>
      </x:c>
      <x:c r="F535" s="2" t="n">
        <x:v>2387</x:v>
      </x:c>
      <x:c r="G535" s="2" t="str">
        <x:v>原始表保留；建模表缩尾</x:v>
      </x:c>
    </x:row>
    <x:row r="536" ht="15" hidden="0" customHeight="1">
      <x:c r="A536" s="2" t="str">
        <x:v>E258</x:v>
      </x:c>
      <x:c r="B536" s="2" t="str">
        <x:v>无信贷记录</x:v>
      </x:c>
      <x:c r="C536" s="2" t="str">
        <x:v>销项_发票总数</x:v>
      </x:c>
      <x:c r="D536" s="2" t="n">
        <x:v>2495</x:v>
      </x:c>
      <x:c r="E536" s="2" t="n">
        <x:v>-1173</x:v>
      </x:c>
      <x:c r="F536" s="2" t="n">
        <x:v>2387</x:v>
      </x:c>
      <x:c r="G536" s="2" t="str">
        <x:v>原始表保留；建模表缩尾</x:v>
      </x:c>
    </x:row>
    <x:row r="537" ht="15" hidden="0" customHeight="1">
      <x:c r="A537" s="2" t="str">
        <x:v>E273</x:v>
      </x:c>
      <x:c r="B537" s="2" t="str">
        <x:v>无信贷记录</x:v>
      </x:c>
      <x:c r="C537" s="2" t="str">
        <x:v>销项_发票总数</x:v>
      </x:c>
      <x:c r="D537" s="2" t="n">
        <x:v>8046</x:v>
      </x:c>
      <x:c r="E537" s="2" t="n">
        <x:v>-1173</x:v>
      </x:c>
      <x:c r="F537" s="2" t="n">
        <x:v>2387</x:v>
      </x:c>
      <x:c r="G537" s="2" t="str">
        <x:v>原始表保留；建模表缩尾</x:v>
      </x:c>
    </x:row>
    <x:row r="538" ht="15" hidden="0" customHeight="1">
      <x:c r="A538" s="2" t="str">
        <x:v>E282</x:v>
      </x:c>
      <x:c r="B538" s="2" t="str">
        <x:v>无信贷记录</x:v>
      </x:c>
      <x:c r="C538" s="2" t="str">
        <x:v>销项_发票总数</x:v>
      </x:c>
      <x:c r="D538" s="2" t="n">
        <x:v>2711</x:v>
      </x:c>
      <x:c r="E538" s="2" t="n">
        <x:v>-1173</x:v>
      </x:c>
      <x:c r="F538" s="2" t="n">
        <x:v>2387</x:v>
      </x:c>
      <x:c r="G538" s="2" t="str">
        <x:v>原始表保留；建模表缩尾</x:v>
      </x:c>
    </x:row>
    <x:row r="539" ht="15" hidden="0" customHeight="1">
      <x:c r="A539" s="2" t="str">
        <x:v>E298</x:v>
      </x:c>
      <x:c r="B539" s="2" t="str">
        <x:v>无信贷记录</x:v>
      </x:c>
      <x:c r="C539" s="2" t="str">
        <x:v>销项_发票总数</x:v>
      </x:c>
      <x:c r="D539" s="2" t="n">
        <x:v>2813</x:v>
      </x:c>
      <x:c r="E539" s="2" t="n">
        <x:v>-1173</x:v>
      </x:c>
      <x:c r="F539" s="2" t="n">
        <x:v>2387</x:v>
      </x:c>
      <x:c r="G539" s="2" t="str">
        <x:v>原始表保留；建模表缩尾</x:v>
      </x:c>
    </x:row>
    <x:row r="540" ht="15" hidden="0" customHeight="1">
      <x:c r="A540" s="2" t="str">
        <x:v>E325</x:v>
      </x:c>
      <x:c r="B540" s="2" t="str">
        <x:v>无信贷记录</x:v>
      </x:c>
      <x:c r="C540" s="2" t="str">
        <x:v>销项_发票总数</x:v>
      </x:c>
      <x:c r="D540" s="2" t="n">
        <x:v>4180</x:v>
      </x:c>
      <x:c r="E540" s="2" t="n">
        <x:v>-1173</x:v>
      </x:c>
      <x:c r="F540" s="2" t="n">
        <x:v>2387</x:v>
      </x:c>
      <x:c r="G540" s="2" t="str">
        <x:v>原始表保留；建模表缩尾</x:v>
      </x:c>
    </x:row>
    <x:row r="541" ht="15" hidden="0" customHeight="1">
      <x:c r="A541" s="2" t="str">
        <x:v>E330</x:v>
      </x:c>
      <x:c r="B541" s="2" t="str">
        <x:v>无信贷记录</x:v>
      </x:c>
      <x:c r="C541" s="2" t="str">
        <x:v>销项_发票总数</x:v>
      </x:c>
      <x:c r="D541" s="2" t="n">
        <x:v>7833</x:v>
      </x:c>
      <x:c r="E541" s="2" t="n">
        <x:v>-1173</x:v>
      </x:c>
      <x:c r="F541" s="2" t="n">
        <x:v>2387</x:v>
      </x:c>
      <x:c r="G541" s="2" t="str">
        <x:v>原始表保留；建模表缩尾</x:v>
      </x:c>
    </x:row>
    <x:row r="542" ht="15" hidden="0" customHeight="1">
      <x:c r="A542" s="2" t="str">
        <x:v>E348</x:v>
      </x:c>
      <x:c r="B542" s="2" t="str">
        <x:v>无信贷记录</x:v>
      </x:c>
      <x:c r="C542" s="2" t="str">
        <x:v>销项_发票总数</x:v>
      </x:c>
      <x:c r="D542" s="2" t="n">
        <x:v>4269</x:v>
      </x:c>
      <x:c r="E542" s="2" t="n">
        <x:v>-1173</x:v>
      </x:c>
      <x:c r="F542" s="2" t="n">
        <x:v>2387</x:v>
      </x:c>
      <x:c r="G542" s="2" t="str">
        <x:v>原始表保留；建模表缩尾</x:v>
      </x:c>
    </x:row>
    <x:row r="543" ht="15" hidden="0" customHeight="1">
      <x:c r="A543" s="2" t="str">
        <x:v>E1</x:v>
      </x:c>
      <x:c r="B543" s="2" t="str">
        <x:v>有信贷记录</x:v>
      </x:c>
      <x:c r="C543" s="2" t="str">
        <x:v>销项_有效票数</x:v>
      </x:c>
      <x:c r="D543" s="2" t="n">
        <x:v>7886</x:v>
      </x:c>
      <x:c r="E543" s="2" t="n">
        <x:v>-1076</x:v>
      </x:c>
      <x:c r="F543" s="2" t="n">
        <x:v>2156</x:v>
      </x:c>
      <x:c r="G543" s="2" t="str">
        <x:v>原始表保留；建模表缩尾</x:v>
      </x:c>
    </x:row>
    <x:row r="544" ht="15" hidden="0" customHeight="1">
      <x:c r="A544" s="2" t="str">
        <x:v>E2</x:v>
      </x:c>
      <x:c r="B544" s="2" t="str">
        <x:v>有信贷记录</x:v>
      </x:c>
      <x:c r="C544" s="2" t="str">
        <x:v>销项_有效票数</x:v>
      </x:c>
      <x:c r="D544" s="2" t="n">
        <x:v>9677</x:v>
      </x:c>
      <x:c r="E544" s="2" t="n">
        <x:v>-1076</x:v>
      </x:c>
      <x:c r="F544" s="2" t="n">
        <x:v>2156</x:v>
      </x:c>
      <x:c r="G544" s="2" t="str">
        <x:v>原始表保留；建模表缩尾</x:v>
      </x:c>
    </x:row>
    <x:row r="545" ht="15" hidden="0" customHeight="1">
      <x:c r="A545" s="2" t="str">
        <x:v>E3</x:v>
      </x:c>
      <x:c r="B545" s="2" t="str">
        <x:v>有信贷记录</x:v>
      </x:c>
      <x:c r="C545" s="2" t="str">
        <x:v>销项_有效票数</x:v>
      </x:c>
      <x:c r="D545" s="2" t="n">
        <x:v>23688</x:v>
      </x:c>
      <x:c r="E545" s="2" t="n">
        <x:v>-1076</x:v>
      </x:c>
      <x:c r="F545" s="2" t="n">
        <x:v>2156</x:v>
      </x:c>
      <x:c r="G545" s="2" t="str">
        <x:v>原始表保留；建模表缩尾</x:v>
      </x:c>
    </x:row>
    <x:row r="546" ht="15" hidden="0" customHeight="1">
      <x:c r="A546" s="2" t="str">
        <x:v>E7</x:v>
      </x:c>
      <x:c r="B546" s="2" t="str">
        <x:v>有信贷记录</x:v>
      </x:c>
      <x:c r="C546" s="2" t="str">
        <x:v>销项_有效票数</x:v>
      </x:c>
      <x:c r="D546" s="2" t="n">
        <x:v>8032</x:v>
      </x:c>
      <x:c r="E546" s="2" t="n">
        <x:v>-1076</x:v>
      </x:c>
      <x:c r="F546" s="2" t="n">
        <x:v>2156</x:v>
      </x:c>
      <x:c r="G546" s="2" t="str">
        <x:v>原始表保留；建模表缩尾</x:v>
      </x:c>
    </x:row>
    <x:row r="547" ht="15" hidden="0" customHeight="1">
      <x:c r="A547" s="2" t="str">
        <x:v>E8</x:v>
      </x:c>
      <x:c r="B547" s="2" t="str">
        <x:v>有信贷记录</x:v>
      </x:c>
      <x:c r="C547" s="2" t="str">
        <x:v>销项_有效票数</x:v>
      </x:c>
      <x:c r="D547" s="2" t="n">
        <x:v>8359</x:v>
      </x:c>
      <x:c r="E547" s="2" t="n">
        <x:v>-1076</x:v>
      </x:c>
      <x:c r="F547" s="2" t="n">
        <x:v>2156</x:v>
      </x:c>
      <x:c r="G547" s="2" t="str">
        <x:v>原始表保留；建模表缩尾</x:v>
      </x:c>
    </x:row>
    <x:row r="548" ht="15" hidden="0" customHeight="1">
      <x:c r="A548" s="2" t="str">
        <x:v>E9</x:v>
      </x:c>
      <x:c r="B548" s="2" t="str">
        <x:v>有信贷记录</x:v>
      </x:c>
      <x:c r="C548" s="2" t="str">
        <x:v>销项_有效票数</x:v>
      </x:c>
      <x:c r="D548" s="2" t="n">
        <x:v>5760</x:v>
      </x:c>
      <x:c r="E548" s="2" t="n">
        <x:v>-1076</x:v>
      </x:c>
      <x:c r="F548" s="2" t="n">
        <x:v>2156</x:v>
      </x:c>
      <x:c r="G548" s="2" t="str">
        <x:v>原始表保留；建模表缩尾</x:v>
      </x:c>
    </x:row>
    <x:row r="549" ht="15" hidden="0" customHeight="1">
      <x:c r="A549" s="2" t="str">
        <x:v>E13</x:v>
      </x:c>
      <x:c r="B549" s="2" t="str">
        <x:v>有信贷记录</x:v>
      </x:c>
      <x:c r="C549" s="2" t="str">
        <x:v>销项_有效票数</x:v>
      </x:c>
      <x:c r="D549" s="2" t="n">
        <x:v>6808</x:v>
      </x:c>
      <x:c r="E549" s="2" t="n">
        <x:v>-1076</x:v>
      </x:c>
      <x:c r="F549" s="2" t="n">
        <x:v>2156</x:v>
      </x:c>
      <x:c r="G549" s="2" t="str">
        <x:v>原始表保留；建模表缩尾</x:v>
      </x:c>
    </x:row>
    <x:row r="550" ht="15" hidden="0" customHeight="1">
      <x:c r="A550" s="2" t="str">
        <x:v>E14</x:v>
      </x:c>
      <x:c r="B550" s="2" t="str">
        <x:v>有信贷记录</x:v>
      </x:c>
      <x:c r="C550" s="2" t="str">
        <x:v>销项_有效票数</x:v>
      </x:c>
      <x:c r="D550" s="2" t="n">
        <x:v>3097</x:v>
      </x:c>
      <x:c r="E550" s="2" t="n">
        <x:v>-1076</x:v>
      </x:c>
      <x:c r="F550" s="2" t="n">
        <x:v>2156</x:v>
      </x:c>
      <x:c r="G550" s="2" t="str">
        <x:v>原始表保留；建模表缩尾</x:v>
      </x:c>
    </x:row>
    <x:row r="551" ht="15" hidden="0" customHeight="1">
      <x:c r="A551" s="2" t="str">
        <x:v>E15</x:v>
      </x:c>
      <x:c r="B551" s="2" t="str">
        <x:v>有信贷记录</x:v>
      </x:c>
      <x:c r="C551" s="2" t="str">
        <x:v>销项_有效票数</x:v>
      </x:c>
      <x:c r="D551" s="2" t="n">
        <x:v>2260</x:v>
      </x:c>
      <x:c r="E551" s="2" t="n">
        <x:v>-1076</x:v>
      </x:c>
      <x:c r="F551" s="2" t="n">
        <x:v>2156</x:v>
      </x:c>
      <x:c r="G551" s="2" t="str">
        <x:v>原始表保留；建模表缩尾</x:v>
      </x:c>
    </x:row>
    <x:row r="552" ht="15" hidden="0" customHeight="1">
      <x:c r="A552" s="2" t="str">
        <x:v>E19</x:v>
      </x:c>
      <x:c r="B552" s="2" t="str">
        <x:v>有信贷记录</x:v>
      </x:c>
      <x:c r="C552" s="2" t="str">
        <x:v>销项_有效票数</x:v>
      </x:c>
      <x:c r="D552" s="2" t="n">
        <x:v>2821</x:v>
      </x:c>
      <x:c r="E552" s="2" t="n">
        <x:v>-1076</x:v>
      </x:c>
      <x:c r="F552" s="2" t="n">
        <x:v>2156</x:v>
      </x:c>
      <x:c r="G552" s="2" t="str">
        <x:v>原始表保留；建模表缩尾</x:v>
      </x:c>
    </x:row>
    <x:row r="553" ht="15" hidden="0" customHeight="1">
      <x:c r="A553" s="2" t="str">
        <x:v>E23</x:v>
      </x:c>
      <x:c r="B553" s="2" t="str">
        <x:v>有信贷记录</x:v>
      </x:c>
      <x:c r="C553" s="2" t="str">
        <x:v>销项_有效票数</x:v>
      </x:c>
      <x:c r="D553" s="2" t="n">
        <x:v>3441</x:v>
      </x:c>
      <x:c r="E553" s="2" t="n">
        <x:v>-1076</x:v>
      </x:c>
      <x:c r="F553" s="2" t="n">
        <x:v>2156</x:v>
      </x:c>
      <x:c r="G553" s="2" t="str">
        <x:v>原始表保留；建模表缩尾</x:v>
      </x:c>
    </x:row>
    <x:row r="554" ht="15" hidden="0" customHeight="1">
      <x:c r="A554" s="2" t="str">
        <x:v>E31</x:v>
      </x:c>
      <x:c r="B554" s="2" t="str">
        <x:v>有信贷记录</x:v>
      </x:c>
      <x:c r="C554" s="2" t="str">
        <x:v>销项_有效票数</x:v>
      </x:c>
      <x:c r="D554" s="2" t="n">
        <x:v>2501</x:v>
      </x:c>
      <x:c r="E554" s="2" t="n">
        <x:v>-1076</x:v>
      </x:c>
      <x:c r="F554" s="2" t="n">
        <x:v>2156</x:v>
      </x:c>
      <x:c r="G554" s="2" t="str">
        <x:v>原始表保留；建模表缩尾</x:v>
      </x:c>
    </x:row>
    <x:row r="555" ht="15" hidden="0" customHeight="1">
      <x:c r="A555" s="2" t="str">
        <x:v>E44</x:v>
      </x:c>
      <x:c r="B555" s="2" t="str">
        <x:v>有信贷记录</x:v>
      </x:c>
      <x:c r="C555" s="2" t="str">
        <x:v>销项_有效票数</x:v>
      </x:c>
      <x:c r="D555" s="2" t="n">
        <x:v>2242</x:v>
      </x:c>
      <x:c r="E555" s="2" t="n">
        <x:v>-1076</x:v>
      </x:c>
      <x:c r="F555" s="2" t="n">
        <x:v>2156</x:v>
      </x:c>
      <x:c r="G555" s="2" t="str">
        <x:v>原始表保留；建模表缩尾</x:v>
      </x:c>
    </x:row>
    <x:row r="556" ht="15" hidden="0" customHeight="1">
      <x:c r="A556" s="2" t="str">
        <x:v>E47</x:v>
      </x:c>
      <x:c r="B556" s="2" t="str">
        <x:v>有信贷记录</x:v>
      </x:c>
      <x:c r="C556" s="2" t="str">
        <x:v>销项_有效票数</x:v>
      </x:c>
      <x:c r="D556" s="2" t="n">
        <x:v>3356</x:v>
      </x:c>
      <x:c r="E556" s="2" t="n">
        <x:v>-1076</x:v>
      </x:c>
      <x:c r="F556" s="2" t="n">
        <x:v>2156</x:v>
      </x:c>
      <x:c r="G556" s="2" t="str">
        <x:v>原始表保留；建模表缩尾</x:v>
      </x:c>
    </x:row>
    <x:row r="557" ht="15" hidden="0" customHeight="1">
      <x:c r="A557" s="2" t="str">
        <x:v>E54</x:v>
      </x:c>
      <x:c r="B557" s="2" t="str">
        <x:v>有信贷记录</x:v>
      </x:c>
      <x:c r="C557" s="2" t="str">
        <x:v>销项_有效票数</x:v>
      </x:c>
      <x:c r="D557" s="2" t="n">
        <x:v>3215</x:v>
      </x:c>
      <x:c r="E557" s="2" t="n">
        <x:v>-1076</x:v>
      </x:c>
      <x:c r="F557" s="2" t="n">
        <x:v>2156</x:v>
      </x:c>
      <x:c r="G557" s="2" t="str">
        <x:v>原始表保留；建模表缩尾</x:v>
      </x:c>
    </x:row>
    <x:row r="558" ht="15" hidden="0" customHeight="1">
      <x:c r="A558" s="2" t="str">
        <x:v>E75</x:v>
      </x:c>
      <x:c r="B558" s="2" t="str">
        <x:v>有信贷记录</x:v>
      </x:c>
      <x:c r="C558" s="2" t="str">
        <x:v>销项_有效票数</x:v>
      </x:c>
      <x:c r="D558" s="2" t="n">
        <x:v>7766</x:v>
      </x:c>
      <x:c r="E558" s="2" t="n">
        <x:v>-1076</x:v>
      </x:c>
      <x:c r="F558" s="2" t="n">
        <x:v>2156</x:v>
      </x:c>
      <x:c r="G558" s="2" t="str">
        <x:v>原始表保留；建模表缩尾</x:v>
      </x:c>
    </x:row>
    <x:row r="559" ht="15" hidden="0" customHeight="1">
      <x:c r="A559" s="2" t="str">
        <x:v>E127</x:v>
      </x:c>
      <x:c r="B559" s="2" t="str">
        <x:v>无信贷记录</x:v>
      </x:c>
      <x:c r="C559" s="2" t="str">
        <x:v>销项_有效票数</x:v>
      </x:c>
      <x:c r="D559" s="2" t="n">
        <x:v>3904</x:v>
      </x:c>
      <x:c r="E559" s="2" t="n">
        <x:v>-1076</x:v>
      </x:c>
      <x:c r="F559" s="2" t="n">
        <x:v>2156</x:v>
      </x:c>
      <x:c r="G559" s="2" t="str">
        <x:v>原始表保留；建模表缩尾</x:v>
      </x:c>
    </x:row>
    <x:row r="560" ht="15" hidden="0" customHeight="1">
      <x:c r="A560" s="2" t="str">
        <x:v>E129</x:v>
      </x:c>
      <x:c r="B560" s="2" t="str">
        <x:v>无信贷记录</x:v>
      </x:c>
      <x:c r="C560" s="2" t="str">
        <x:v>销项_有效票数</x:v>
      </x:c>
      <x:c r="D560" s="2" t="n">
        <x:v>5181</x:v>
      </x:c>
      <x:c r="E560" s="2" t="n">
        <x:v>-1076</x:v>
      </x:c>
      <x:c r="F560" s="2" t="n">
        <x:v>2156</x:v>
      </x:c>
      <x:c r="G560" s="2" t="str">
        <x:v>原始表保留；建模表缩尾</x:v>
      </x:c>
    </x:row>
    <x:row r="561" ht="15" hidden="0" customHeight="1">
      <x:c r="A561" s="2" t="str">
        <x:v>E131</x:v>
      </x:c>
      <x:c r="B561" s="2" t="str">
        <x:v>无信贷记录</x:v>
      </x:c>
      <x:c r="C561" s="2" t="str">
        <x:v>销项_有效票数</x:v>
      </x:c>
      <x:c r="D561" s="2" t="n">
        <x:v>3097</x:v>
      </x:c>
      <x:c r="E561" s="2" t="n">
        <x:v>-1076</x:v>
      </x:c>
      <x:c r="F561" s="2" t="n">
        <x:v>2156</x:v>
      </x:c>
      <x:c r="G561" s="2" t="str">
        <x:v>原始表保留；建模表缩尾</x:v>
      </x:c>
    </x:row>
    <x:row r="562" ht="15" hidden="0" customHeight="1">
      <x:c r="A562" s="2" t="str">
        <x:v>E134</x:v>
      </x:c>
      <x:c r="B562" s="2" t="str">
        <x:v>无信贷记录</x:v>
      </x:c>
      <x:c r="C562" s="2" t="str">
        <x:v>销项_有效票数</x:v>
      </x:c>
      <x:c r="D562" s="2" t="n">
        <x:v>2835</x:v>
      </x:c>
      <x:c r="E562" s="2" t="n">
        <x:v>-1076</x:v>
      </x:c>
      <x:c r="F562" s="2" t="n">
        <x:v>2156</x:v>
      </x:c>
      <x:c r="G562" s="2" t="str">
        <x:v>原始表保留；建模表缩尾</x:v>
      </x:c>
    </x:row>
    <x:row r="563" ht="15" hidden="0" customHeight="1">
      <x:c r="A563" s="2" t="str">
        <x:v>E139</x:v>
      </x:c>
      <x:c r="B563" s="2" t="str">
        <x:v>无信贷记录</x:v>
      </x:c>
      <x:c r="C563" s="2" t="str">
        <x:v>销项_有效票数</x:v>
      </x:c>
      <x:c r="D563" s="2" t="n">
        <x:v>12209</x:v>
      </x:c>
      <x:c r="E563" s="2" t="n">
        <x:v>-1076</x:v>
      </x:c>
      <x:c r="F563" s="2" t="n">
        <x:v>2156</x:v>
      </x:c>
      <x:c r="G563" s="2" t="str">
        <x:v>原始表保留；建模表缩尾</x:v>
      </x:c>
    </x:row>
    <x:row r="564" ht="15" hidden="0" customHeight="1">
      <x:c r="A564" s="2" t="str">
        <x:v>E141</x:v>
      </x:c>
      <x:c r="B564" s="2" t="str">
        <x:v>无信贷记录</x:v>
      </x:c>
      <x:c r="C564" s="2" t="str">
        <x:v>销项_有效票数</x:v>
      </x:c>
      <x:c r="D564" s="2" t="n">
        <x:v>4458</x:v>
      </x:c>
      <x:c r="E564" s="2" t="n">
        <x:v>-1076</x:v>
      </x:c>
      <x:c r="F564" s="2" t="n">
        <x:v>2156</x:v>
      </x:c>
      <x:c r="G564" s="2" t="str">
        <x:v>原始表保留；建模表缩尾</x:v>
      </x:c>
    </x:row>
    <x:row r="565" ht="15" hidden="0" customHeight="1">
      <x:c r="A565" s="2" t="str">
        <x:v>E145</x:v>
      </x:c>
      <x:c r="B565" s="2" t="str">
        <x:v>无信贷记录</x:v>
      </x:c>
      <x:c r="C565" s="2" t="str">
        <x:v>销项_有效票数</x:v>
      </x:c>
      <x:c r="D565" s="2" t="n">
        <x:v>3844</x:v>
      </x:c>
      <x:c r="E565" s="2" t="n">
        <x:v>-1076</x:v>
      </x:c>
      <x:c r="F565" s="2" t="n">
        <x:v>2156</x:v>
      </x:c>
      <x:c r="G565" s="2" t="str">
        <x:v>原始表保留；建模表缩尾</x:v>
      </x:c>
    </x:row>
    <x:row r="566" ht="15" hidden="0" customHeight="1">
      <x:c r="A566" s="2" t="str">
        <x:v>E147</x:v>
      </x:c>
      <x:c r="B566" s="2" t="str">
        <x:v>无信贷记录</x:v>
      </x:c>
      <x:c r="C566" s="2" t="str">
        <x:v>销项_有效票数</x:v>
      </x:c>
      <x:c r="D566" s="2" t="n">
        <x:v>2314</x:v>
      </x:c>
      <x:c r="E566" s="2" t="n">
        <x:v>-1076</x:v>
      </x:c>
      <x:c r="F566" s="2" t="n">
        <x:v>2156</x:v>
      </x:c>
      <x:c r="G566" s="2" t="str">
        <x:v>原始表保留；建模表缩尾</x:v>
      </x:c>
    </x:row>
    <x:row r="567" ht="15" hidden="0" customHeight="1">
      <x:c r="A567" s="2" t="str">
        <x:v>E165</x:v>
      </x:c>
      <x:c r="B567" s="2" t="str">
        <x:v>无信贷记录</x:v>
      </x:c>
      <x:c r="C567" s="2" t="str">
        <x:v>销项_有效票数</x:v>
      </x:c>
      <x:c r="D567" s="2" t="n">
        <x:v>2346</x:v>
      </x:c>
      <x:c r="E567" s="2" t="n">
        <x:v>-1076</x:v>
      </x:c>
      <x:c r="F567" s="2" t="n">
        <x:v>2156</x:v>
      </x:c>
      <x:c r="G567" s="2" t="str">
        <x:v>原始表保留；建模表缩尾</x:v>
      </x:c>
    </x:row>
    <x:row r="568" ht="15" hidden="0" customHeight="1">
      <x:c r="A568" s="2" t="str">
        <x:v>E167</x:v>
      </x:c>
      <x:c r="B568" s="2" t="str">
        <x:v>无信贷记录</x:v>
      </x:c>
      <x:c r="C568" s="2" t="str">
        <x:v>销项_有效票数</x:v>
      </x:c>
      <x:c r="D568" s="2" t="n">
        <x:v>4642</x:v>
      </x:c>
      <x:c r="E568" s="2" t="n">
        <x:v>-1076</x:v>
      </x:c>
      <x:c r="F568" s="2" t="n">
        <x:v>2156</x:v>
      </x:c>
      <x:c r="G568" s="2" t="str">
        <x:v>原始表保留；建模表缩尾</x:v>
      </x:c>
    </x:row>
    <x:row r="569" ht="15" hidden="0" customHeight="1">
      <x:c r="A569" s="2" t="str">
        <x:v>E171</x:v>
      </x:c>
      <x:c r="B569" s="2" t="str">
        <x:v>无信贷记录</x:v>
      </x:c>
      <x:c r="C569" s="2" t="str">
        <x:v>销项_有效票数</x:v>
      </x:c>
      <x:c r="D569" s="2" t="n">
        <x:v>7013</x:v>
      </x:c>
      <x:c r="E569" s="2" t="n">
        <x:v>-1076</x:v>
      </x:c>
      <x:c r="F569" s="2" t="n">
        <x:v>2156</x:v>
      </x:c>
      <x:c r="G569" s="2" t="str">
        <x:v>原始表保留；建模表缩尾</x:v>
      </x:c>
    </x:row>
    <x:row r="570" ht="15" hidden="0" customHeight="1">
      <x:c r="A570" s="2" t="str">
        <x:v>E173</x:v>
      </x:c>
      <x:c r="B570" s="2" t="str">
        <x:v>无信贷记录</x:v>
      </x:c>
      <x:c r="C570" s="2" t="str">
        <x:v>销项_有效票数</x:v>
      </x:c>
      <x:c r="D570" s="2" t="n">
        <x:v>2370</x:v>
      </x:c>
      <x:c r="E570" s="2" t="n">
        <x:v>-1076</x:v>
      </x:c>
      <x:c r="F570" s="2" t="n">
        <x:v>2156</x:v>
      </x:c>
      <x:c r="G570" s="2" t="str">
        <x:v>原始表保留；建模表缩尾</x:v>
      </x:c>
    </x:row>
    <x:row r="571" ht="15" hidden="0" customHeight="1">
      <x:c r="A571" s="2" t="str">
        <x:v>E175</x:v>
      </x:c>
      <x:c r="B571" s="2" t="str">
        <x:v>无信贷记录</x:v>
      </x:c>
      <x:c r="C571" s="2" t="str">
        <x:v>销项_有效票数</x:v>
      </x:c>
      <x:c r="D571" s="2" t="n">
        <x:v>3771</x:v>
      </x:c>
      <x:c r="E571" s="2" t="n">
        <x:v>-1076</x:v>
      </x:c>
      <x:c r="F571" s="2" t="n">
        <x:v>2156</x:v>
      </x:c>
      <x:c r="G571" s="2" t="str">
        <x:v>原始表保留；建模表缩尾</x:v>
      </x:c>
    </x:row>
    <x:row r="572" ht="15" hidden="0" customHeight="1">
      <x:c r="A572" s="2" t="str">
        <x:v>E185</x:v>
      </x:c>
      <x:c r="B572" s="2" t="str">
        <x:v>无信贷记录</x:v>
      </x:c>
      <x:c r="C572" s="2" t="str">
        <x:v>销项_有效票数</x:v>
      </x:c>
      <x:c r="D572" s="2" t="n">
        <x:v>5442</x:v>
      </x:c>
      <x:c r="E572" s="2" t="n">
        <x:v>-1076</x:v>
      </x:c>
      <x:c r="F572" s="2" t="n">
        <x:v>2156</x:v>
      </x:c>
      <x:c r="G572" s="2" t="str">
        <x:v>原始表保留；建模表缩尾</x:v>
      </x:c>
    </x:row>
    <x:row r="573" ht="15" hidden="0" customHeight="1">
      <x:c r="A573" s="2" t="str">
        <x:v>E191</x:v>
      </x:c>
      <x:c r="B573" s="2" t="str">
        <x:v>无信贷记录</x:v>
      </x:c>
      <x:c r="C573" s="2" t="str">
        <x:v>销项_有效票数</x:v>
      </x:c>
      <x:c r="D573" s="2" t="n">
        <x:v>2731</x:v>
      </x:c>
      <x:c r="E573" s="2" t="n">
        <x:v>-1076</x:v>
      </x:c>
      <x:c r="F573" s="2" t="n">
        <x:v>2156</x:v>
      </x:c>
      <x:c r="G573" s="2" t="str">
        <x:v>原始表保留；建模表缩尾</x:v>
      </x:c>
    </x:row>
    <x:row r="574" ht="15" hidden="0" customHeight="1">
      <x:c r="A574" s="2" t="str">
        <x:v>E193</x:v>
      </x:c>
      <x:c r="B574" s="2" t="str">
        <x:v>无信贷记录</x:v>
      </x:c>
      <x:c r="C574" s="2" t="str">
        <x:v>销项_有效票数</x:v>
      </x:c>
      <x:c r="D574" s="2" t="n">
        <x:v>30077</x:v>
      </x:c>
      <x:c r="E574" s="2" t="n">
        <x:v>-1076</x:v>
      </x:c>
      <x:c r="F574" s="2" t="n">
        <x:v>2156</x:v>
      </x:c>
      <x:c r="G574" s="2" t="str">
        <x:v>原始表保留；建模表缩尾</x:v>
      </x:c>
    </x:row>
    <x:row r="575" ht="15" hidden="0" customHeight="1">
      <x:c r="A575" s="2" t="str">
        <x:v>E194</x:v>
      </x:c>
      <x:c r="B575" s="2" t="str">
        <x:v>无信贷记录</x:v>
      </x:c>
      <x:c r="C575" s="2" t="str">
        <x:v>销项_有效票数</x:v>
      </x:c>
      <x:c r="D575" s="2" t="n">
        <x:v>11053</x:v>
      </x:c>
      <x:c r="E575" s="2" t="n">
        <x:v>-1076</x:v>
      </x:c>
      <x:c r="F575" s="2" t="n">
        <x:v>2156</x:v>
      </x:c>
      <x:c r="G575" s="2" t="str">
        <x:v>原始表保留；建模表缩尾</x:v>
      </x:c>
    </x:row>
    <x:row r="576" ht="15" hidden="0" customHeight="1">
      <x:c r="A576" s="2" t="str">
        <x:v>E195</x:v>
      </x:c>
      <x:c r="B576" s="2" t="str">
        <x:v>无信贷记录</x:v>
      </x:c>
      <x:c r="C576" s="2" t="str">
        <x:v>销项_有效票数</x:v>
      </x:c>
      <x:c r="D576" s="2" t="n">
        <x:v>4626</x:v>
      </x:c>
      <x:c r="E576" s="2" t="n">
        <x:v>-1076</x:v>
      </x:c>
      <x:c r="F576" s="2" t="n">
        <x:v>2156</x:v>
      </x:c>
      <x:c r="G576" s="2" t="str">
        <x:v>原始表保留；建模表缩尾</x:v>
      </x:c>
    </x:row>
    <x:row r="577" ht="15" hidden="0" customHeight="1">
      <x:c r="A577" s="2" t="str">
        <x:v>E196</x:v>
      </x:c>
      <x:c r="B577" s="2" t="str">
        <x:v>无信贷记录</x:v>
      </x:c>
      <x:c r="C577" s="2" t="str">
        <x:v>销项_有效票数</x:v>
      </x:c>
      <x:c r="D577" s="2" t="n">
        <x:v>2755</x:v>
      </x:c>
      <x:c r="E577" s="2" t="n">
        <x:v>-1076</x:v>
      </x:c>
      <x:c r="F577" s="2" t="n">
        <x:v>2156</x:v>
      </x:c>
      <x:c r="G577" s="2" t="str">
        <x:v>原始表保留；建模表缩尾</x:v>
      </x:c>
    </x:row>
    <x:row r="578" ht="15" hidden="0" customHeight="1">
      <x:c r="A578" s="2" t="str">
        <x:v>E197</x:v>
      </x:c>
      <x:c r="B578" s="2" t="str">
        <x:v>无信贷记录</x:v>
      </x:c>
      <x:c r="C578" s="2" t="str">
        <x:v>销项_有效票数</x:v>
      </x:c>
      <x:c r="D578" s="2" t="n">
        <x:v>3568</x:v>
      </x:c>
      <x:c r="E578" s="2" t="n">
        <x:v>-1076</x:v>
      </x:c>
      <x:c r="F578" s="2" t="n">
        <x:v>2156</x:v>
      </x:c>
      <x:c r="G578" s="2" t="str">
        <x:v>原始表保留；建模表缩尾</x:v>
      </x:c>
    </x:row>
    <x:row r="579" ht="15" hidden="0" customHeight="1">
      <x:c r="A579" s="2" t="str">
        <x:v>E225</x:v>
      </x:c>
      <x:c r="B579" s="2" t="str">
        <x:v>无信贷记录</x:v>
      </x:c>
      <x:c r="C579" s="2" t="str">
        <x:v>销项_有效票数</x:v>
      </x:c>
      <x:c r="D579" s="2" t="n">
        <x:v>8315</x:v>
      </x:c>
      <x:c r="E579" s="2" t="n">
        <x:v>-1076</x:v>
      </x:c>
      <x:c r="F579" s="2" t="n">
        <x:v>2156</x:v>
      </x:c>
      <x:c r="G579" s="2" t="str">
        <x:v>原始表保留；建模表缩尾</x:v>
      </x:c>
    </x:row>
    <x:row r="580" ht="15" hidden="0" customHeight="1">
      <x:c r="A580" s="2" t="str">
        <x:v>E238</x:v>
      </x:c>
      <x:c r="B580" s="2" t="str">
        <x:v>无信贷记录</x:v>
      </x:c>
      <x:c r="C580" s="2" t="str">
        <x:v>销项_有效票数</x:v>
      </x:c>
      <x:c r="D580" s="2" t="n">
        <x:v>11256</x:v>
      </x:c>
      <x:c r="E580" s="2" t="n">
        <x:v>-1076</x:v>
      </x:c>
      <x:c r="F580" s="2" t="n">
        <x:v>2156</x:v>
      </x:c>
      <x:c r="G580" s="2" t="str">
        <x:v>原始表保留；建模表缩尾</x:v>
      </x:c>
    </x:row>
    <x:row r="581" ht="15" hidden="0" customHeight="1">
      <x:c r="A581" s="2" t="str">
        <x:v>E258</x:v>
      </x:c>
      <x:c r="B581" s="2" t="str">
        <x:v>无信贷记录</x:v>
      </x:c>
      <x:c r="C581" s="2" t="str">
        <x:v>销项_有效票数</x:v>
      </x:c>
      <x:c r="D581" s="2" t="n">
        <x:v>2380</x:v>
      </x:c>
      <x:c r="E581" s="2" t="n">
        <x:v>-1076</x:v>
      </x:c>
      <x:c r="F581" s="2" t="n">
        <x:v>2156</x:v>
      </x:c>
      <x:c r="G581" s="2" t="str">
        <x:v>原始表保留；建模表缩尾</x:v>
      </x:c>
    </x:row>
    <x:row r="582" ht="15" hidden="0" customHeight="1">
      <x:c r="A582" s="2" t="str">
        <x:v>E273</x:v>
      </x:c>
      <x:c r="B582" s="2" t="str">
        <x:v>无信贷记录</x:v>
      </x:c>
      <x:c r="C582" s="2" t="str">
        <x:v>销项_有效票数</x:v>
      </x:c>
      <x:c r="D582" s="2" t="n">
        <x:v>7961</x:v>
      </x:c>
      <x:c r="E582" s="2" t="n">
        <x:v>-1076</x:v>
      </x:c>
      <x:c r="F582" s="2" t="n">
        <x:v>2156</x:v>
      </x:c>
      <x:c r="G582" s="2" t="str">
        <x:v>原始表保留；建模表缩尾</x:v>
      </x:c>
    </x:row>
    <x:row r="583" ht="15" hidden="0" customHeight="1">
      <x:c r="A583" s="2" t="str">
        <x:v>E298</x:v>
      </x:c>
      <x:c r="B583" s="2" t="str">
        <x:v>无信贷记录</x:v>
      </x:c>
      <x:c r="C583" s="2" t="str">
        <x:v>销项_有效票数</x:v>
      </x:c>
      <x:c r="D583" s="2" t="n">
        <x:v>2436</x:v>
      </x:c>
      <x:c r="E583" s="2" t="n">
        <x:v>-1076</x:v>
      </x:c>
      <x:c r="F583" s="2" t="n">
        <x:v>2156</x:v>
      </x:c>
      <x:c r="G583" s="2" t="str">
        <x:v>原始表保留；建模表缩尾</x:v>
      </x:c>
    </x:row>
    <x:row r="584" ht="15" hidden="0" customHeight="1">
      <x:c r="A584" s="2" t="str">
        <x:v>E325</x:v>
      </x:c>
      <x:c r="B584" s="2" t="str">
        <x:v>无信贷记录</x:v>
      </x:c>
      <x:c r="C584" s="2" t="str">
        <x:v>销项_有效票数</x:v>
      </x:c>
      <x:c r="D584" s="2" t="n">
        <x:v>4001</x:v>
      </x:c>
      <x:c r="E584" s="2" t="n">
        <x:v>-1076</x:v>
      </x:c>
      <x:c r="F584" s="2" t="n">
        <x:v>2156</x:v>
      </x:c>
      <x:c r="G584" s="2" t="str">
        <x:v>原始表保留；建模表缩尾</x:v>
      </x:c>
    </x:row>
    <x:row r="585" ht="15" hidden="0" customHeight="1">
      <x:c r="A585" s="2" t="str">
        <x:v>E330</x:v>
      </x:c>
      <x:c r="B585" s="2" t="str">
        <x:v>无信贷记录</x:v>
      </x:c>
      <x:c r="C585" s="2" t="str">
        <x:v>销项_有效票数</x:v>
      </x:c>
      <x:c r="D585" s="2" t="n">
        <x:v>7773</x:v>
      </x:c>
      <x:c r="E585" s="2" t="n">
        <x:v>-1076</x:v>
      </x:c>
      <x:c r="F585" s="2" t="n">
        <x:v>2156</x:v>
      </x:c>
      <x:c r="G585" s="2" t="str">
        <x:v>原始表保留；建模表缩尾</x:v>
      </x:c>
    </x:row>
    <x:row r="586" ht="15" hidden="0" customHeight="1">
      <x:c r="A586" s="2" t="str">
        <x:v>E348</x:v>
      </x:c>
      <x:c r="B586" s="2" t="str">
        <x:v>无信贷记录</x:v>
      </x:c>
      <x:c r="C586" s="2" t="str">
        <x:v>销项_有效票数</x:v>
      </x:c>
      <x:c r="D586" s="2" t="n">
        <x:v>4050</x:v>
      </x:c>
      <x:c r="E586" s="2" t="n">
        <x:v>-1076</x:v>
      </x:c>
      <x:c r="F586" s="2" t="n">
        <x:v>2156</x:v>
      </x:c>
      <x:c r="G586" s="2" t="str">
        <x:v>原始表保留；建模表缩尾</x:v>
      </x:c>
    </x:row>
    <x:row r="587" ht="15" hidden="0" customHeight="1">
      <x:c r="A587" s="2" t="str">
        <x:v>E1</x:v>
      </x:c>
      <x:c r="B587" s="2" t="str">
        <x:v>有信贷记录</x:v>
      </x:c>
      <x:c r="C587" s="2" t="str">
        <x:v>销项_作废票数</x:v>
      </x:c>
      <x:c r="D587" s="2" t="n">
        <x:v>224</x:v>
      </x:c>
      <x:c r="E587" s="2" t="n">
        <x:v>-93.5</x:v>
      </x:c>
      <x:c r="F587" s="2" t="n">
        <x:v>198.5</x:v>
      </x:c>
      <x:c r="G587" s="2" t="str">
        <x:v>原始表保留；建模表缩尾</x:v>
      </x:c>
    </x:row>
    <x:row r="588" ht="15" hidden="0" customHeight="1">
      <x:c r="A588" s="2" t="str">
        <x:v>E2</x:v>
      </x:c>
      <x:c r="B588" s="2" t="str">
        <x:v>有信贷记录</x:v>
      </x:c>
      <x:c r="C588" s="2" t="str">
        <x:v>销项_作废票数</x:v>
      </x:c>
      <x:c r="D588" s="2" t="n">
        <x:v>875</x:v>
      </x:c>
      <x:c r="E588" s="2" t="n">
        <x:v>-93.5</x:v>
      </x:c>
      <x:c r="F588" s="2" t="n">
        <x:v>198.5</x:v>
      </x:c>
      <x:c r="G588" s="2" t="str">
        <x:v>原始表保留；建模表缩尾</x:v>
      </x:c>
    </x:row>
    <x:row r="589" ht="15" hidden="0" customHeight="1">
      <x:c r="A589" s="2" t="str">
        <x:v>E3</x:v>
      </x:c>
      <x:c r="B589" s="2" t="str">
        <x:v>有信贷记录</x:v>
      </x:c>
      <x:c r="C589" s="2" t="str">
        <x:v>销项_作废票数</x:v>
      </x:c>
      <x:c r="D589" s="2" t="n">
        <x:v>385</x:v>
      </x:c>
      <x:c r="E589" s="2" t="n">
        <x:v>-93.5</x:v>
      </x:c>
      <x:c r="F589" s="2" t="n">
        <x:v>198.5</x:v>
      </x:c>
      <x:c r="G589" s="2" t="str">
        <x:v>原始表保留；建模表缩尾</x:v>
      </x:c>
    </x:row>
    <x:row r="590" ht="15" hidden="0" customHeight="1">
      <x:c r="A590" s="2" t="str">
        <x:v>E8</x:v>
      </x:c>
      <x:c r="B590" s="2" t="str">
        <x:v>有信贷记录</x:v>
      </x:c>
      <x:c r="C590" s="2" t="str">
        <x:v>销项_作废票数</x:v>
      </x:c>
      <x:c r="D590" s="2" t="n">
        <x:v>1066</x:v>
      </x:c>
      <x:c r="E590" s="2" t="n">
        <x:v>-93.5</x:v>
      </x:c>
      <x:c r="F590" s="2" t="n">
        <x:v>198.5</x:v>
      </x:c>
      <x:c r="G590" s="2" t="str">
        <x:v>原始表保留；建模表缩尾</x:v>
      </x:c>
    </x:row>
    <x:row r="591" ht="15" hidden="0" customHeight="1">
      <x:c r="A591" s="2" t="str">
        <x:v>E13</x:v>
      </x:c>
      <x:c r="B591" s="2" t="str">
        <x:v>有信贷记录</x:v>
      </x:c>
      <x:c r="C591" s="2" t="str">
        <x:v>销项_作废票数</x:v>
      </x:c>
      <x:c r="D591" s="2" t="n">
        <x:v>1197</x:v>
      </x:c>
      <x:c r="E591" s="2" t="n">
        <x:v>-93.5</x:v>
      </x:c>
      <x:c r="F591" s="2" t="n">
        <x:v>198.5</x:v>
      </x:c>
      <x:c r="G591" s="2" t="str">
        <x:v>原始表保留；建模表缩尾</x:v>
      </x:c>
    </x:row>
    <x:row r="592" ht="15" hidden="0" customHeight="1">
      <x:c r="A592" s="2" t="str">
        <x:v>E14</x:v>
      </x:c>
      <x:c r="B592" s="2" t="str">
        <x:v>有信贷记录</x:v>
      </x:c>
      <x:c r="C592" s="2" t="str">
        <x:v>销项_作废票数</x:v>
      </x:c>
      <x:c r="D592" s="2" t="n">
        <x:v>239</x:v>
      </x:c>
      <x:c r="E592" s="2" t="n">
        <x:v>-93.5</x:v>
      </x:c>
      <x:c r="F592" s="2" t="n">
        <x:v>198.5</x:v>
      </x:c>
      <x:c r="G592" s="2" t="str">
        <x:v>原始表保留；建模表缩尾</x:v>
      </x:c>
    </x:row>
    <x:row r="593" ht="15" hidden="0" customHeight="1">
      <x:c r="A593" s="2" t="str">
        <x:v>E19</x:v>
      </x:c>
      <x:c r="B593" s="2" t="str">
        <x:v>有信贷记录</x:v>
      </x:c>
      <x:c r="C593" s="2" t="str">
        <x:v>销项_作废票数</x:v>
      </x:c>
      <x:c r="D593" s="2" t="n">
        <x:v>278</x:v>
      </x:c>
      <x:c r="E593" s="2" t="n">
        <x:v>-93.5</x:v>
      </x:c>
      <x:c r="F593" s="2" t="n">
        <x:v>198.5</x:v>
      </x:c>
      <x:c r="G593" s="2" t="str">
        <x:v>原始表保留；建模表缩尾</x:v>
      </x:c>
    </x:row>
    <x:row r="594" ht="15" hidden="0" customHeight="1">
      <x:c r="A594" s="2" t="str">
        <x:v>E54</x:v>
      </x:c>
      <x:c r="B594" s="2" t="str">
        <x:v>有信贷记录</x:v>
      </x:c>
      <x:c r="C594" s="2" t="str">
        <x:v>销项_作废票数</x:v>
      </x:c>
      <x:c r="D594" s="2" t="n">
        <x:v>286</x:v>
      </x:c>
      <x:c r="E594" s="2" t="n">
        <x:v>-93.5</x:v>
      </x:c>
      <x:c r="F594" s="2" t="n">
        <x:v>198.5</x:v>
      </x:c>
      <x:c r="G594" s="2" t="str">
        <x:v>原始表保留；建模表缩尾</x:v>
      </x:c>
    </x:row>
    <x:row r="595" ht="15" hidden="0" customHeight="1">
      <x:c r="A595" s="2" t="str">
        <x:v>E75</x:v>
      </x:c>
      <x:c r="B595" s="2" t="str">
        <x:v>有信贷记录</x:v>
      </x:c>
      <x:c r="C595" s="2" t="str">
        <x:v>销项_作废票数</x:v>
      </x:c>
      <x:c r="D595" s="2" t="n">
        <x:v>551</x:v>
      </x:c>
      <x:c r="E595" s="2" t="n">
        <x:v>-93.5</x:v>
      </x:c>
      <x:c r="F595" s="2" t="n">
        <x:v>198.5</x:v>
      </x:c>
      <x:c r="G595" s="2" t="str">
        <x:v>原始表保留；建模表缩尾</x:v>
      </x:c>
    </x:row>
    <x:row r="596" ht="15" hidden="0" customHeight="1">
      <x:c r="A596" s="2" t="str">
        <x:v>E125</x:v>
      </x:c>
      <x:c r="B596" s="2" t="str">
        <x:v>无信贷记录</x:v>
      </x:c>
      <x:c r="C596" s="2" t="str">
        <x:v>销项_作废票数</x:v>
      </x:c>
      <x:c r="D596" s="2" t="n">
        <x:v>215</x:v>
      </x:c>
      <x:c r="E596" s="2" t="n">
        <x:v>-93.5</x:v>
      </x:c>
      <x:c r="F596" s="2" t="n">
        <x:v>198.5</x:v>
      </x:c>
      <x:c r="G596" s="2" t="str">
        <x:v>原始表保留；建模表缩尾</x:v>
      </x:c>
    </x:row>
    <x:row r="597" ht="15" hidden="0" customHeight="1">
      <x:c r="A597" s="2" t="str">
        <x:v>E126</x:v>
      </x:c>
      <x:c r="B597" s="2" t="str">
        <x:v>无信贷记录</x:v>
      </x:c>
      <x:c r="C597" s="2" t="str">
        <x:v>销项_作废票数</x:v>
      </x:c>
      <x:c r="D597" s="2" t="n">
        <x:v>252</x:v>
      </x:c>
      <x:c r="E597" s="2" t="n">
        <x:v>-93.5</x:v>
      </x:c>
      <x:c r="F597" s="2" t="n">
        <x:v>198.5</x:v>
      </x:c>
      <x:c r="G597" s="2" t="str">
        <x:v>原始表保留；建模表缩尾</x:v>
      </x:c>
    </x:row>
    <x:row r="598" ht="15" hidden="0" customHeight="1">
      <x:c r="A598" s="2" t="str">
        <x:v>E129</x:v>
      </x:c>
      <x:c r="B598" s="2" t="str">
        <x:v>无信贷记录</x:v>
      </x:c>
      <x:c r="C598" s="2" t="str">
        <x:v>销项_作废票数</x:v>
      </x:c>
      <x:c r="D598" s="2" t="n">
        <x:v>636</x:v>
      </x:c>
      <x:c r="E598" s="2" t="n">
        <x:v>-93.5</x:v>
      </x:c>
      <x:c r="F598" s="2" t="n">
        <x:v>198.5</x:v>
      </x:c>
      <x:c r="G598" s="2" t="str">
        <x:v>原始表保留；建模表缩尾</x:v>
      </x:c>
    </x:row>
    <x:row r="599" ht="15" hidden="0" customHeight="1">
      <x:c r="A599" s="2" t="str">
        <x:v>E131</x:v>
      </x:c>
      <x:c r="B599" s="2" t="str">
        <x:v>无信贷记录</x:v>
      </x:c>
      <x:c r="C599" s="2" t="str">
        <x:v>销项_作废票数</x:v>
      </x:c>
      <x:c r="D599" s="2" t="n">
        <x:v>239</x:v>
      </x:c>
      <x:c r="E599" s="2" t="n">
        <x:v>-93.5</x:v>
      </x:c>
      <x:c r="F599" s="2" t="n">
        <x:v>198.5</x:v>
      </x:c>
      <x:c r="G599" s="2" t="str">
        <x:v>原始表保留；建模表缩尾</x:v>
      </x:c>
    </x:row>
    <x:row r="600" ht="15" hidden="0" customHeight="1">
      <x:c r="A600" s="2" t="str">
        <x:v>E134</x:v>
      </x:c>
      <x:c r="B600" s="2" t="str">
        <x:v>无信贷记录</x:v>
      </x:c>
      <x:c r="C600" s="2" t="str">
        <x:v>销项_作废票数</x:v>
      </x:c>
      <x:c r="D600" s="2" t="n">
        <x:v>235</x:v>
      </x:c>
      <x:c r="E600" s="2" t="n">
        <x:v>-93.5</x:v>
      </x:c>
      <x:c r="F600" s="2" t="n">
        <x:v>198.5</x:v>
      </x:c>
      <x:c r="G600" s="2" t="str">
        <x:v>原始表保留；建模表缩尾</x:v>
      </x:c>
    </x:row>
    <x:row r="601" ht="15" hidden="0" customHeight="1">
      <x:c r="A601" s="2" t="str">
        <x:v>E139</x:v>
      </x:c>
      <x:c r="B601" s="2" t="str">
        <x:v>无信贷记录</x:v>
      </x:c>
      <x:c r="C601" s="2" t="str">
        <x:v>销项_作废票数</x:v>
      </x:c>
      <x:c r="D601" s="2" t="n">
        <x:v>613</x:v>
      </x:c>
      <x:c r="E601" s="2" t="n">
        <x:v>-93.5</x:v>
      </x:c>
      <x:c r="F601" s="2" t="n">
        <x:v>198.5</x:v>
      </x:c>
      <x:c r="G601" s="2" t="str">
        <x:v>原始表保留；建模表缩尾</x:v>
      </x:c>
    </x:row>
    <x:row r="602" ht="15" hidden="0" customHeight="1">
      <x:c r="A602" s="2" t="str">
        <x:v>E141</x:v>
      </x:c>
      <x:c r="B602" s="2" t="str">
        <x:v>无信贷记录</x:v>
      </x:c>
      <x:c r="C602" s="2" t="str">
        <x:v>销项_作废票数</x:v>
      </x:c>
      <x:c r="D602" s="2" t="n">
        <x:v>282</x:v>
      </x:c>
      <x:c r="E602" s="2" t="n">
        <x:v>-93.5</x:v>
      </x:c>
      <x:c r="F602" s="2" t="n">
        <x:v>198.5</x:v>
      </x:c>
      <x:c r="G602" s="2" t="str">
        <x:v>原始表保留；建模表缩尾</x:v>
      </x:c>
    </x:row>
    <x:row r="603" ht="15" hidden="0" customHeight="1">
      <x:c r="A603" s="2" t="str">
        <x:v>E145</x:v>
      </x:c>
      <x:c r="B603" s="2" t="str">
        <x:v>无信贷记录</x:v>
      </x:c>
      <x:c r="C603" s="2" t="str">
        <x:v>销项_作废票数</x:v>
      </x:c>
      <x:c r="D603" s="2" t="n">
        <x:v>427</x:v>
      </x:c>
      <x:c r="E603" s="2" t="n">
        <x:v>-93.5</x:v>
      </x:c>
      <x:c r="F603" s="2" t="n">
        <x:v>198.5</x:v>
      </x:c>
      <x:c r="G603" s="2" t="str">
        <x:v>原始表保留；建模表缩尾</x:v>
      </x:c>
    </x:row>
    <x:row r="604" ht="15" hidden="0" customHeight="1">
      <x:c r="A604" s="2" t="str">
        <x:v>E160</x:v>
      </x:c>
      <x:c r="B604" s="2" t="str">
        <x:v>无信贷记录</x:v>
      </x:c>
      <x:c r="C604" s="2" t="str">
        <x:v>销项_作废票数</x:v>
      </x:c>
      <x:c r="D604" s="2" t="n">
        <x:v>334</x:v>
      </x:c>
      <x:c r="E604" s="2" t="n">
        <x:v>-93.5</x:v>
      </x:c>
      <x:c r="F604" s="2" t="n">
        <x:v>198.5</x:v>
      </x:c>
      <x:c r="G604" s="2" t="str">
        <x:v>原始表保留；建模表缩尾</x:v>
      </x:c>
    </x:row>
    <x:row r="605" ht="15" hidden="0" customHeight="1">
      <x:c r="A605" s="2" t="str">
        <x:v>E164</x:v>
      </x:c>
      <x:c r="B605" s="2" t="str">
        <x:v>无信贷记录</x:v>
      </x:c>
      <x:c r="C605" s="2" t="str">
        <x:v>销项_作废票数</x:v>
      </x:c>
      <x:c r="D605" s="2" t="n">
        <x:v>208</x:v>
      </x:c>
      <x:c r="E605" s="2" t="n">
        <x:v>-93.5</x:v>
      </x:c>
      <x:c r="F605" s="2" t="n">
        <x:v>198.5</x:v>
      </x:c>
      <x:c r="G605" s="2" t="str">
        <x:v>原始表保留；建模表缩尾</x:v>
      </x:c>
    </x:row>
    <x:row r="606" ht="15" hidden="0" customHeight="1">
      <x:c r="A606" s="2" t="str">
        <x:v>E165</x:v>
      </x:c>
      <x:c r="B606" s="2" t="str">
        <x:v>无信贷记录</x:v>
      </x:c>
      <x:c r="C606" s="2" t="str">
        <x:v>销项_作废票数</x:v>
      </x:c>
      <x:c r="D606" s="2" t="n">
        <x:v>260</x:v>
      </x:c>
      <x:c r="E606" s="2" t="n">
        <x:v>-93.5</x:v>
      </x:c>
      <x:c r="F606" s="2" t="n">
        <x:v>198.5</x:v>
      </x:c>
      <x:c r="G606" s="2" t="str">
        <x:v>原始表保留；建模表缩尾</x:v>
      </x:c>
    </x:row>
    <x:row r="607" ht="15" hidden="0" customHeight="1">
      <x:c r="A607" s="2" t="str">
        <x:v>E167</x:v>
      </x:c>
      <x:c r="B607" s="2" t="str">
        <x:v>无信贷记录</x:v>
      </x:c>
      <x:c r="C607" s="2" t="str">
        <x:v>销项_作废票数</x:v>
      </x:c>
      <x:c r="D607" s="2" t="n">
        <x:v>337</x:v>
      </x:c>
      <x:c r="E607" s="2" t="n">
        <x:v>-93.5</x:v>
      </x:c>
      <x:c r="F607" s="2" t="n">
        <x:v>198.5</x:v>
      </x:c>
      <x:c r="G607" s="2" t="str">
        <x:v>原始表保留；建模表缩尾</x:v>
      </x:c>
    </x:row>
    <x:row r="608" ht="15" hidden="0" customHeight="1">
      <x:c r="A608" s="2" t="str">
        <x:v>E171</x:v>
      </x:c>
      <x:c r="B608" s="2" t="str">
        <x:v>无信贷记录</x:v>
      </x:c>
      <x:c r="C608" s="2" t="str">
        <x:v>销项_作废票数</x:v>
      </x:c>
      <x:c r="D608" s="2" t="n">
        <x:v>495</x:v>
      </x:c>
      <x:c r="E608" s="2" t="n">
        <x:v>-93.5</x:v>
      </x:c>
      <x:c r="F608" s="2" t="n">
        <x:v>198.5</x:v>
      </x:c>
      <x:c r="G608" s="2" t="str">
        <x:v>原始表保留；建模表缩尾</x:v>
      </x:c>
    </x:row>
    <x:row r="609" ht="15" hidden="0" customHeight="1">
      <x:c r="A609" s="2" t="str">
        <x:v>E175</x:v>
      </x:c>
      <x:c r="B609" s="2" t="str">
        <x:v>无信贷记录</x:v>
      </x:c>
      <x:c r="C609" s="2" t="str">
        <x:v>销项_作废票数</x:v>
      </x:c>
      <x:c r="D609" s="2" t="n">
        <x:v>314</x:v>
      </x:c>
      <x:c r="E609" s="2" t="n">
        <x:v>-93.5</x:v>
      </x:c>
      <x:c r="F609" s="2" t="n">
        <x:v>198.5</x:v>
      </x:c>
      <x:c r="G609" s="2" t="str">
        <x:v>原始表保留；建模表缩尾</x:v>
      </x:c>
    </x:row>
    <x:row r="610" ht="15" hidden="0" customHeight="1">
      <x:c r="A610" s="2" t="str">
        <x:v>E176</x:v>
      </x:c>
      <x:c r="B610" s="2" t="str">
        <x:v>无信贷记录</x:v>
      </x:c>
      <x:c r="C610" s="2" t="str">
        <x:v>销项_作废票数</x:v>
      </x:c>
      <x:c r="D610" s="2" t="n">
        <x:v>232</x:v>
      </x:c>
      <x:c r="E610" s="2" t="n">
        <x:v>-93.5</x:v>
      </x:c>
      <x:c r="F610" s="2" t="n">
        <x:v>198.5</x:v>
      </x:c>
      <x:c r="G610" s="2" t="str">
        <x:v>原始表保留；建模表缩尾</x:v>
      </x:c>
    </x:row>
    <x:row r="611" ht="15" hidden="0" customHeight="1">
      <x:c r="A611" s="2" t="str">
        <x:v>E193</x:v>
      </x:c>
      <x:c r="B611" s="2" t="str">
        <x:v>无信贷记录</x:v>
      </x:c>
      <x:c r="C611" s="2" t="str">
        <x:v>销项_作废票数</x:v>
      </x:c>
      <x:c r="D611" s="2" t="n">
        <x:v>2234</x:v>
      </x:c>
      <x:c r="E611" s="2" t="n">
        <x:v>-93.5</x:v>
      </x:c>
      <x:c r="F611" s="2" t="n">
        <x:v>198.5</x:v>
      </x:c>
      <x:c r="G611" s="2" t="str">
        <x:v>原始表保留；建模表缩尾</x:v>
      </x:c>
    </x:row>
    <x:row r="612" ht="15" hidden="0" customHeight="1">
      <x:c r="A612" s="2" t="str">
        <x:v>E194</x:v>
      </x:c>
      <x:c r="B612" s="2" t="str">
        <x:v>无信贷记录</x:v>
      </x:c>
      <x:c r="C612" s="2" t="str">
        <x:v>销项_作废票数</x:v>
      </x:c>
      <x:c r="D612" s="2" t="n">
        <x:v>688</x:v>
      </x:c>
      <x:c r="E612" s="2" t="n">
        <x:v>-93.5</x:v>
      </x:c>
      <x:c r="F612" s="2" t="n">
        <x:v>198.5</x:v>
      </x:c>
      <x:c r="G612" s="2" t="str">
        <x:v>原始表保留；建模表缩尾</x:v>
      </x:c>
    </x:row>
    <x:row r="613" ht="15" hidden="0" customHeight="1">
      <x:c r="A613" s="2" t="str">
        <x:v>E195</x:v>
      </x:c>
      <x:c r="B613" s="2" t="str">
        <x:v>无信贷记录</x:v>
      </x:c>
      <x:c r="C613" s="2" t="str">
        <x:v>销项_作废票数</x:v>
      </x:c>
      <x:c r="D613" s="2" t="n">
        <x:v>231</x:v>
      </x:c>
      <x:c r="E613" s="2" t="n">
        <x:v>-93.5</x:v>
      </x:c>
      <x:c r="F613" s="2" t="n">
        <x:v>198.5</x:v>
      </x:c>
      <x:c r="G613" s="2" t="str">
        <x:v>原始表保留；建模表缩尾</x:v>
      </x:c>
    </x:row>
    <x:row r="614" ht="15" hidden="0" customHeight="1">
      <x:c r="A614" s="2" t="str">
        <x:v>E196</x:v>
      </x:c>
      <x:c r="B614" s="2" t="str">
        <x:v>无信贷记录</x:v>
      </x:c>
      <x:c r="C614" s="2" t="str">
        <x:v>销项_作废票数</x:v>
      </x:c>
      <x:c r="D614" s="2" t="n">
        <x:v>207</x:v>
      </x:c>
      <x:c r="E614" s="2" t="n">
        <x:v>-93.5</x:v>
      </x:c>
      <x:c r="F614" s="2" t="n">
        <x:v>198.5</x:v>
      </x:c>
      <x:c r="G614" s="2" t="str">
        <x:v>原始表保留；建模表缩尾</x:v>
      </x:c>
    </x:row>
    <x:row r="615" ht="15" hidden="0" customHeight="1">
      <x:c r="A615" s="2" t="str">
        <x:v>E197</x:v>
      </x:c>
      <x:c r="B615" s="2" t="str">
        <x:v>无信贷记录</x:v>
      </x:c>
      <x:c r="C615" s="2" t="str">
        <x:v>销项_作废票数</x:v>
      </x:c>
      <x:c r="D615" s="2" t="n">
        <x:v>260</x:v>
      </x:c>
      <x:c r="E615" s="2" t="n">
        <x:v>-93.5</x:v>
      </x:c>
      <x:c r="F615" s="2" t="n">
        <x:v>198.5</x:v>
      </x:c>
      <x:c r="G615" s="2" t="str">
        <x:v>原始表保留；建模表缩尾</x:v>
      </x:c>
    </x:row>
    <x:row r="616" ht="15" hidden="0" customHeight="1">
      <x:c r="A616" s="2" t="str">
        <x:v>E204</x:v>
      </x:c>
      <x:c r="B616" s="2" t="str">
        <x:v>无信贷记录</x:v>
      </x:c>
      <x:c r="C616" s="2" t="str">
        <x:v>销项_作废票数</x:v>
      </x:c>
      <x:c r="D616" s="2" t="n">
        <x:v>341</x:v>
      </x:c>
      <x:c r="E616" s="2" t="n">
        <x:v>-93.5</x:v>
      </x:c>
      <x:c r="F616" s="2" t="n">
        <x:v>198.5</x:v>
      </x:c>
      <x:c r="G616" s="2" t="str">
        <x:v>原始表保留；建模表缩尾</x:v>
      </x:c>
    </x:row>
    <x:row r="617" ht="15" hidden="0" customHeight="1">
      <x:c r="A617" s="2" t="str">
        <x:v>E209</x:v>
      </x:c>
      <x:c r="B617" s="2" t="str">
        <x:v>无信贷记录</x:v>
      </x:c>
      <x:c r="C617" s="2" t="str">
        <x:v>销项_作废票数</x:v>
      </x:c>
      <x:c r="D617" s="2" t="n">
        <x:v>252</x:v>
      </x:c>
      <x:c r="E617" s="2" t="n">
        <x:v>-93.5</x:v>
      </x:c>
      <x:c r="F617" s="2" t="n">
        <x:v>198.5</x:v>
      </x:c>
      <x:c r="G617" s="2" t="str">
        <x:v>原始表保留；建模表缩尾</x:v>
      </x:c>
    </x:row>
    <x:row r="618" ht="15" hidden="0" customHeight="1">
      <x:c r="A618" s="2" t="str">
        <x:v>E217</x:v>
      </x:c>
      <x:c r="B618" s="2" t="str">
        <x:v>无信贷记录</x:v>
      </x:c>
      <x:c r="C618" s="2" t="str">
        <x:v>销项_作废票数</x:v>
      </x:c>
      <x:c r="D618" s="2" t="n">
        <x:v>715</x:v>
      </x:c>
      <x:c r="E618" s="2" t="n">
        <x:v>-93.5</x:v>
      </x:c>
      <x:c r="F618" s="2" t="n">
        <x:v>198.5</x:v>
      </x:c>
      <x:c r="G618" s="2" t="str">
        <x:v>原始表保留；建模表缩尾</x:v>
      </x:c>
    </x:row>
    <x:row r="619" ht="15" hidden="0" customHeight="1">
      <x:c r="A619" s="2" t="str">
        <x:v>E222</x:v>
      </x:c>
      <x:c r="B619" s="2" t="str">
        <x:v>无信贷记录</x:v>
      </x:c>
      <x:c r="C619" s="2" t="str">
        <x:v>销项_作废票数</x:v>
      </x:c>
      <x:c r="D619" s="2" t="n">
        <x:v>353</x:v>
      </x:c>
      <x:c r="E619" s="2" t="n">
        <x:v>-93.5</x:v>
      </x:c>
      <x:c r="F619" s="2" t="n">
        <x:v>198.5</x:v>
      </x:c>
      <x:c r="G619" s="2" t="str">
        <x:v>原始表保留；建模表缩尾</x:v>
      </x:c>
    </x:row>
    <x:row r="620" ht="15" hidden="0" customHeight="1">
      <x:c r="A620" s="2" t="str">
        <x:v>E225</x:v>
      </x:c>
      <x:c r="B620" s="2" t="str">
        <x:v>无信贷记录</x:v>
      </x:c>
      <x:c r="C620" s="2" t="str">
        <x:v>销项_作废票数</x:v>
      </x:c>
      <x:c r="D620" s="2" t="n">
        <x:v>557</x:v>
      </x:c>
      <x:c r="E620" s="2" t="n">
        <x:v>-93.5</x:v>
      </x:c>
      <x:c r="F620" s="2" t="n">
        <x:v>198.5</x:v>
      </x:c>
      <x:c r="G620" s="2" t="str">
        <x:v>原始表保留；建模表缩尾</x:v>
      </x:c>
    </x:row>
    <x:row r="621" ht="15" hidden="0" customHeight="1">
      <x:c r="A621" s="2" t="str">
        <x:v>E238</x:v>
      </x:c>
      <x:c r="B621" s="2" t="str">
        <x:v>无信贷记录</x:v>
      </x:c>
      <x:c r="C621" s="2" t="str">
        <x:v>销项_作废票数</x:v>
      </x:c>
      <x:c r="D621" s="2" t="n">
        <x:v>828</x:v>
      </x:c>
      <x:c r="E621" s="2" t="n">
        <x:v>-93.5</x:v>
      </x:c>
      <x:c r="F621" s="2" t="n">
        <x:v>198.5</x:v>
      </x:c>
      <x:c r="G621" s="2" t="str">
        <x:v>原始表保留；建模表缩尾</x:v>
      </x:c>
    </x:row>
    <x:row r="622" ht="15" hidden="0" customHeight="1">
      <x:c r="A622" s="2" t="str">
        <x:v>E242</x:v>
      </x:c>
      <x:c r="B622" s="2" t="str">
        <x:v>无信贷记录</x:v>
      </x:c>
      <x:c r="C622" s="2" t="str">
        <x:v>销项_作废票数</x:v>
      </x:c>
      <x:c r="D622" s="2" t="n">
        <x:v>245</x:v>
      </x:c>
      <x:c r="E622" s="2" t="n">
        <x:v>-93.5</x:v>
      </x:c>
      <x:c r="F622" s="2" t="n">
        <x:v>198.5</x:v>
      </x:c>
      <x:c r="G622" s="2" t="str">
        <x:v>原始表保留；建模表缩尾</x:v>
      </x:c>
    </x:row>
    <x:row r="623" ht="15" hidden="0" customHeight="1">
      <x:c r="A623" s="2" t="str">
        <x:v>E264</x:v>
      </x:c>
      <x:c r="B623" s="2" t="str">
        <x:v>无信贷记录</x:v>
      </x:c>
      <x:c r="C623" s="2" t="str">
        <x:v>销项_作废票数</x:v>
      </x:c>
      <x:c r="D623" s="2" t="n">
        <x:v>399</x:v>
      </x:c>
      <x:c r="E623" s="2" t="n">
        <x:v>-93.5</x:v>
      </x:c>
      <x:c r="F623" s="2" t="n">
        <x:v>198.5</x:v>
      </x:c>
      <x:c r="G623" s="2" t="str">
        <x:v>原始表保留；建模表缩尾</x:v>
      </x:c>
    </x:row>
    <x:row r="624" ht="15" hidden="0" customHeight="1">
      <x:c r="A624" s="2" t="str">
        <x:v>E282</x:v>
      </x:c>
      <x:c r="B624" s="2" t="str">
        <x:v>无信贷记录</x:v>
      </x:c>
      <x:c r="C624" s="2" t="str">
        <x:v>销项_作废票数</x:v>
      </x:c>
      <x:c r="D624" s="2" t="n">
        <x:v>752</x:v>
      </x:c>
      <x:c r="E624" s="2" t="n">
        <x:v>-93.5</x:v>
      </x:c>
      <x:c r="F624" s="2" t="n">
        <x:v>198.5</x:v>
      </x:c>
      <x:c r="G624" s="2" t="str">
        <x:v>原始表保留；建模表缩尾</x:v>
      </x:c>
    </x:row>
    <x:row r="625" ht="15" hidden="0" customHeight="1">
      <x:c r="A625" s="2" t="str">
        <x:v>E298</x:v>
      </x:c>
      <x:c r="B625" s="2" t="str">
        <x:v>无信贷记录</x:v>
      </x:c>
      <x:c r="C625" s="2" t="str">
        <x:v>销项_作废票数</x:v>
      </x:c>
      <x:c r="D625" s="2" t="n">
        <x:v>377</x:v>
      </x:c>
      <x:c r="E625" s="2" t="n">
        <x:v>-93.5</x:v>
      </x:c>
      <x:c r="F625" s="2" t="n">
        <x:v>198.5</x:v>
      </x:c>
      <x:c r="G625" s="2" t="str">
        <x:v>原始表保留；建模表缩尾</x:v>
      </x:c>
    </x:row>
    <x:row r="626" ht="15" hidden="0" customHeight="1">
      <x:c r="A626" s="2" t="str">
        <x:v>E308</x:v>
      </x:c>
      <x:c r="B626" s="2" t="str">
        <x:v>无信贷记录</x:v>
      </x:c>
      <x:c r="C626" s="2" t="str">
        <x:v>销项_作废票数</x:v>
      </x:c>
      <x:c r="D626" s="2" t="n">
        <x:v>402</x:v>
      </x:c>
      <x:c r="E626" s="2" t="n">
        <x:v>-93.5</x:v>
      </x:c>
      <x:c r="F626" s="2" t="n">
        <x:v>198.5</x:v>
      </x:c>
      <x:c r="G626" s="2" t="str">
        <x:v>原始表保留；建模表缩尾</x:v>
      </x:c>
    </x:row>
    <x:row r="627" ht="15" hidden="0" customHeight="1">
      <x:c r="A627" s="2" t="str">
        <x:v>E348</x:v>
      </x:c>
      <x:c r="B627" s="2" t="str">
        <x:v>无信贷记录</x:v>
      </x:c>
      <x:c r="C627" s="2" t="str">
        <x:v>销项_作废票数</x:v>
      </x:c>
      <x:c r="D627" s="2" t="n">
        <x:v>219</x:v>
      </x:c>
      <x:c r="E627" s="2" t="n">
        <x:v>-93.5</x:v>
      </x:c>
      <x:c r="F627" s="2" t="n">
        <x:v>198.5</x:v>
      </x:c>
      <x:c r="G627" s="2" t="str">
        <x:v>原始表保留；建模表缩尾</x:v>
      </x:c>
    </x:row>
    <x:row r="628" ht="15" hidden="0" customHeight="1">
      <x:c r="A628" s="2" t="str">
        <x:v>E1</x:v>
      </x:c>
      <x:c r="B628" s="2" t="str">
        <x:v>有信贷记录</x:v>
      </x:c>
      <x:c r="C628" s="2" t="str">
        <x:v>销项_负数票数</x:v>
      </x:c>
      <x:c r="D628" s="2" t="n">
        <x:v>228</x:v>
      </x:c>
      <x:c r="E628" s="2" t="n">
        <x:v>-24</x:v>
      </x:c>
      <x:c r="F628" s="2" t="n">
        <x:v>40</x:v>
      </x:c>
      <x:c r="G628" s="2" t="str">
        <x:v>原始表保留；建模表缩尾</x:v>
      </x:c>
    </x:row>
    <x:row r="629" ht="15" hidden="0" customHeight="1">
      <x:c r="A629" s="2" t="str">
        <x:v>E2</x:v>
      </x:c>
      <x:c r="B629" s="2" t="str">
        <x:v>有信贷记录</x:v>
      </x:c>
      <x:c r="C629" s="2" t="str">
        <x:v>销项_负数票数</x:v>
      </x:c>
      <x:c r="D629" s="2" t="n">
        <x:v>308</x:v>
      </x:c>
      <x:c r="E629" s="2" t="n">
        <x:v>-24</x:v>
      </x:c>
      <x:c r="F629" s="2" t="n">
        <x:v>40</x:v>
      </x:c>
      <x:c r="G629" s="2" t="str">
        <x:v>原始表保留；建模表缩尾</x:v>
      </x:c>
    </x:row>
    <x:row r="630" ht="15" hidden="0" customHeight="1">
      <x:c r="A630" s="2" t="str">
        <x:v>E3</x:v>
      </x:c>
      <x:c r="B630" s="2" t="str">
        <x:v>有信贷记录</x:v>
      </x:c>
      <x:c r="C630" s="2" t="str">
        <x:v>销项_负数票数</x:v>
      </x:c>
      <x:c r="D630" s="2" t="n">
        <x:v>4406</x:v>
      </x:c>
      <x:c r="E630" s="2" t="n">
        <x:v>-24</x:v>
      </x:c>
      <x:c r="F630" s="2" t="n">
        <x:v>40</x:v>
      </x:c>
      <x:c r="G630" s="2" t="str">
        <x:v>原始表保留；建模表缩尾</x:v>
      </x:c>
    </x:row>
    <x:row r="631" ht="15" hidden="0" customHeight="1">
      <x:c r="A631" s="2" t="str">
        <x:v>E7</x:v>
      </x:c>
      <x:c r="B631" s="2" t="str">
        <x:v>有信贷记录</x:v>
      </x:c>
      <x:c r="C631" s="2" t="str">
        <x:v>销项_负数票数</x:v>
      </x:c>
      <x:c r="D631" s="2" t="n">
        <x:v>1899</x:v>
      </x:c>
      <x:c r="E631" s="2" t="n">
        <x:v>-24</x:v>
      </x:c>
      <x:c r="F631" s="2" t="n">
        <x:v>40</x:v>
      </x:c>
      <x:c r="G631" s="2" t="str">
        <x:v>原始表保留；建模表缩尾</x:v>
      </x:c>
    </x:row>
    <x:row r="632" ht="15" hidden="0" customHeight="1">
      <x:c r="A632" s="2" t="str">
        <x:v>E8</x:v>
      </x:c>
      <x:c r="B632" s="2" t="str">
        <x:v>有信贷记录</x:v>
      </x:c>
      <x:c r="C632" s="2" t="str">
        <x:v>销项_负数票数</x:v>
      </x:c>
      <x:c r="D632" s="2" t="n">
        <x:v>245</x:v>
      </x:c>
      <x:c r="E632" s="2" t="n">
        <x:v>-24</x:v>
      </x:c>
      <x:c r="F632" s="2" t="n">
        <x:v>40</x:v>
      </x:c>
      <x:c r="G632" s="2" t="str">
        <x:v>原始表保留；建模表缩尾</x:v>
      </x:c>
    </x:row>
    <x:row r="633" ht="15" hidden="0" customHeight="1">
      <x:c r="A633" s="2" t="str">
        <x:v>E9</x:v>
      </x:c>
      <x:c r="B633" s="2" t="str">
        <x:v>有信贷记录</x:v>
      </x:c>
      <x:c r="C633" s="2" t="str">
        <x:v>销项_负数票数</x:v>
      </x:c>
      <x:c r="D633" s="2" t="n">
        <x:v>122</x:v>
      </x:c>
      <x:c r="E633" s="2" t="n">
        <x:v>-24</x:v>
      </x:c>
      <x:c r="F633" s="2" t="n">
        <x:v>40</x:v>
      </x:c>
      <x:c r="G633" s="2" t="str">
        <x:v>原始表保留；建模表缩尾</x:v>
      </x:c>
    </x:row>
    <x:row r="634" ht="15" hidden="0" customHeight="1">
      <x:c r="A634" s="2" t="str">
        <x:v>E13</x:v>
      </x:c>
      <x:c r="B634" s="2" t="str">
        <x:v>有信贷记录</x:v>
      </x:c>
      <x:c r="C634" s="2" t="str">
        <x:v>销项_负数票数</x:v>
      </x:c>
      <x:c r="D634" s="2" t="n">
        <x:v>73</x:v>
      </x:c>
      <x:c r="E634" s="2" t="n">
        <x:v>-24</x:v>
      </x:c>
      <x:c r="F634" s="2" t="n">
        <x:v>40</x:v>
      </x:c>
      <x:c r="G634" s="2" t="str">
        <x:v>原始表保留；建模表缩尾</x:v>
      </x:c>
    </x:row>
    <x:row r="635" ht="15" hidden="0" customHeight="1">
      <x:c r="A635" s="2" t="str">
        <x:v>E14</x:v>
      </x:c>
      <x:c r="B635" s="2" t="str">
        <x:v>有信贷记录</x:v>
      </x:c>
      <x:c r="C635" s="2" t="str">
        <x:v>销项_负数票数</x:v>
      </x:c>
      <x:c r="D635" s="2" t="n">
        <x:v>42</x:v>
      </x:c>
      <x:c r="E635" s="2" t="n">
        <x:v>-24</x:v>
      </x:c>
      <x:c r="F635" s="2" t="n">
        <x:v>40</x:v>
      </x:c>
      <x:c r="G635" s="2" t="str">
        <x:v>原始表保留；建模表缩尾</x:v>
      </x:c>
    </x:row>
    <x:row r="636" ht="15" hidden="0" customHeight="1">
      <x:c r="A636" s="2" t="str">
        <x:v>E19</x:v>
      </x:c>
      <x:c r="B636" s="2" t="str">
        <x:v>有信贷记录</x:v>
      </x:c>
      <x:c r="C636" s="2" t="str">
        <x:v>销项_负数票数</x:v>
      </x:c>
      <x:c r="D636" s="2" t="n">
        <x:v>65</x:v>
      </x:c>
      <x:c r="E636" s="2" t="n">
        <x:v>-24</x:v>
      </x:c>
      <x:c r="F636" s="2" t="n">
        <x:v>40</x:v>
      </x:c>
      <x:c r="G636" s="2" t="str">
        <x:v>原始表保留；建模表缩尾</x:v>
      </x:c>
    </x:row>
    <x:row r="637" ht="15" hidden="0" customHeight="1">
      <x:c r="A637" s="2" t="str">
        <x:v>E21</x:v>
      </x:c>
      <x:c r="B637" s="2" t="str">
        <x:v>有信贷记录</x:v>
      </x:c>
      <x:c r="C637" s="2" t="str">
        <x:v>销项_负数票数</x:v>
      </x:c>
      <x:c r="D637" s="2" t="n">
        <x:v>46</x:v>
      </x:c>
      <x:c r="E637" s="2" t="n">
        <x:v>-24</x:v>
      </x:c>
      <x:c r="F637" s="2" t="n">
        <x:v>40</x:v>
      </x:c>
      <x:c r="G637" s="2" t="str">
        <x:v>原始表保留；建模表缩尾</x:v>
      </x:c>
    </x:row>
    <x:row r="638" ht="15" hidden="0" customHeight="1">
      <x:c r="A638" s="2" t="str">
        <x:v>E40</x:v>
      </x:c>
      <x:c r="B638" s="2" t="str">
        <x:v>有信贷记录</x:v>
      </x:c>
      <x:c r="C638" s="2" t="str">
        <x:v>销项_负数票数</x:v>
      </x:c>
      <x:c r="D638" s="2" t="n">
        <x:v>42</x:v>
      </x:c>
      <x:c r="E638" s="2" t="n">
        <x:v>-24</x:v>
      </x:c>
      <x:c r="F638" s="2" t="n">
        <x:v>40</x:v>
      </x:c>
      <x:c r="G638" s="2" t="str">
        <x:v>原始表保留；建模表缩尾</x:v>
      </x:c>
    </x:row>
    <x:row r="639" ht="15" hidden="0" customHeight="1">
      <x:c r="A639" s="2" t="str">
        <x:v>E44</x:v>
      </x:c>
      <x:c r="B639" s="2" t="str">
        <x:v>有信贷记录</x:v>
      </x:c>
      <x:c r="C639" s="2" t="str">
        <x:v>销项_负数票数</x:v>
      </x:c>
      <x:c r="D639" s="2" t="n">
        <x:v>56</x:v>
      </x:c>
      <x:c r="E639" s="2" t="n">
        <x:v>-24</x:v>
      </x:c>
      <x:c r="F639" s="2" t="n">
        <x:v>40</x:v>
      </x:c>
      <x:c r="G639" s="2" t="str">
        <x:v>原始表保留；建模表缩尾</x:v>
      </x:c>
    </x:row>
    <x:row r="640" ht="15" hidden="0" customHeight="1">
      <x:c r="A640" s="2" t="str">
        <x:v>E55</x:v>
      </x:c>
      <x:c r="B640" s="2" t="str">
        <x:v>有信贷记录</x:v>
      </x:c>
      <x:c r="C640" s="2" t="str">
        <x:v>销项_负数票数</x:v>
      </x:c>
      <x:c r="D640" s="2" t="n">
        <x:v>70</x:v>
      </x:c>
      <x:c r="E640" s="2" t="n">
        <x:v>-24</x:v>
      </x:c>
      <x:c r="F640" s="2" t="n">
        <x:v>40</x:v>
      </x:c>
      <x:c r="G640" s="2" t="str">
        <x:v>原始表保留；建模表缩尾</x:v>
      </x:c>
    </x:row>
    <x:row r="641" ht="15" hidden="0" customHeight="1">
      <x:c r="A641" s="2" t="str">
        <x:v>E124</x:v>
      </x:c>
      <x:c r="B641" s="2" t="str">
        <x:v>无信贷记录</x:v>
      </x:c>
      <x:c r="C641" s="2" t="str">
        <x:v>销项_负数票数</x:v>
      </x:c>
      <x:c r="D641" s="2" t="n">
        <x:v>41</x:v>
      </x:c>
      <x:c r="E641" s="2" t="n">
        <x:v>-24</x:v>
      </x:c>
      <x:c r="F641" s="2" t="n">
        <x:v>40</x:v>
      </x:c>
      <x:c r="G641" s="2" t="str">
        <x:v>原始表保留；建模表缩尾</x:v>
      </x:c>
    </x:row>
    <x:row r="642" ht="15" hidden="0" customHeight="1">
      <x:c r="A642" s="2" t="str">
        <x:v>E125</x:v>
      </x:c>
      <x:c r="B642" s="2" t="str">
        <x:v>无信贷记录</x:v>
      </x:c>
      <x:c r="C642" s="2" t="str">
        <x:v>销项_负数票数</x:v>
      </x:c>
      <x:c r="D642" s="2" t="n">
        <x:v>42</x:v>
      </x:c>
      <x:c r="E642" s="2" t="n">
        <x:v>-24</x:v>
      </x:c>
      <x:c r="F642" s="2" t="n">
        <x:v>40</x:v>
      </x:c>
      <x:c r="G642" s="2" t="str">
        <x:v>原始表保留；建模表缩尾</x:v>
      </x:c>
    </x:row>
    <x:row r="643" ht="15" hidden="0" customHeight="1">
      <x:c r="A643" s="2" t="str">
        <x:v>E129</x:v>
      </x:c>
      <x:c r="B643" s="2" t="str">
        <x:v>无信贷记录</x:v>
      </x:c>
      <x:c r="C643" s="2" t="str">
        <x:v>销项_负数票数</x:v>
      </x:c>
      <x:c r="D643" s="2" t="n">
        <x:v>86</x:v>
      </x:c>
      <x:c r="E643" s="2" t="n">
        <x:v>-24</x:v>
      </x:c>
      <x:c r="F643" s="2" t="n">
        <x:v>40</x:v>
      </x:c>
      <x:c r="G643" s="2" t="str">
        <x:v>原始表保留；建模表缩尾</x:v>
      </x:c>
    </x:row>
    <x:row r="644" ht="15" hidden="0" customHeight="1">
      <x:c r="A644" s="2" t="str">
        <x:v>E131</x:v>
      </x:c>
      <x:c r="B644" s="2" t="str">
        <x:v>无信贷记录</x:v>
      </x:c>
      <x:c r="C644" s="2" t="str">
        <x:v>销项_负数票数</x:v>
      </x:c>
      <x:c r="D644" s="2" t="n">
        <x:v>42</x:v>
      </x:c>
      <x:c r="E644" s="2" t="n">
        <x:v>-24</x:v>
      </x:c>
      <x:c r="F644" s="2" t="n">
        <x:v>40</x:v>
      </x:c>
      <x:c r="G644" s="2" t="str">
        <x:v>原始表保留；建模表缩尾</x:v>
      </x:c>
    </x:row>
    <x:row r="645" ht="15" hidden="0" customHeight="1">
      <x:c r="A645" s="2" t="str">
        <x:v>E134</x:v>
      </x:c>
      <x:c r="B645" s="2" t="str">
        <x:v>无信贷记录</x:v>
      </x:c>
      <x:c r="C645" s="2" t="str">
        <x:v>销项_负数票数</x:v>
      </x:c>
      <x:c r="D645" s="2" t="n">
        <x:v>58</x:v>
      </x:c>
      <x:c r="E645" s="2" t="n">
        <x:v>-24</x:v>
      </x:c>
      <x:c r="F645" s="2" t="n">
        <x:v>40</x:v>
      </x:c>
      <x:c r="G645" s="2" t="str">
        <x:v>原始表保留；建模表缩尾</x:v>
      </x:c>
    </x:row>
    <x:row r="646" ht="15" hidden="0" customHeight="1">
      <x:c r="A646" s="2" t="str">
        <x:v>E141</x:v>
      </x:c>
      <x:c r="B646" s="2" t="str">
        <x:v>无信贷记录</x:v>
      </x:c>
      <x:c r="C646" s="2" t="str">
        <x:v>销项_负数票数</x:v>
      </x:c>
      <x:c r="D646" s="2" t="n">
        <x:v>144</x:v>
      </x:c>
      <x:c r="E646" s="2" t="n">
        <x:v>-24</x:v>
      </x:c>
      <x:c r="F646" s="2" t="n">
        <x:v>40</x:v>
      </x:c>
      <x:c r="G646" s="2" t="str">
        <x:v>原始表保留；建模表缩尾</x:v>
      </x:c>
    </x:row>
    <x:row r="647" ht="15" hidden="0" customHeight="1">
      <x:c r="A647" s="2" t="str">
        <x:v>E144</x:v>
      </x:c>
      <x:c r="B647" s="2" t="str">
        <x:v>无信贷记录</x:v>
      </x:c>
      <x:c r="C647" s="2" t="str">
        <x:v>销项_负数票数</x:v>
      </x:c>
      <x:c r="D647" s="2" t="n">
        <x:v>58</x:v>
      </x:c>
      <x:c r="E647" s="2" t="n">
        <x:v>-24</x:v>
      </x:c>
      <x:c r="F647" s="2" t="n">
        <x:v>40</x:v>
      </x:c>
      <x:c r="G647" s="2" t="str">
        <x:v>原始表保留；建模表缩尾</x:v>
      </x:c>
    </x:row>
    <x:row r="648" ht="15" hidden="0" customHeight="1">
      <x:c r="A648" s="2" t="str">
        <x:v>E145</x:v>
      </x:c>
      <x:c r="B648" s="2" t="str">
        <x:v>无信贷记录</x:v>
      </x:c>
      <x:c r="C648" s="2" t="str">
        <x:v>销项_负数票数</x:v>
      </x:c>
      <x:c r="D648" s="2" t="n">
        <x:v>80</x:v>
      </x:c>
      <x:c r="E648" s="2" t="n">
        <x:v>-24</x:v>
      </x:c>
      <x:c r="F648" s="2" t="n">
        <x:v>40</x:v>
      </x:c>
      <x:c r="G648" s="2" t="str">
        <x:v>原始表保留；建模表缩尾</x:v>
      </x:c>
    </x:row>
    <x:row r="649" ht="15" hidden="0" customHeight="1">
      <x:c r="A649" s="2" t="str">
        <x:v>E157</x:v>
      </x:c>
      <x:c r="B649" s="2" t="str">
        <x:v>无信贷记录</x:v>
      </x:c>
      <x:c r="C649" s="2" t="str">
        <x:v>销项_负数票数</x:v>
      </x:c>
      <x:c r="D649" s="2" t="n">
        <x:v>75</x:v>
      </x:c>
      <x:c r="E649" s="2" t="n">
        <x:v>-24</x:v>
      </x:c>
      <x:c r="F649" s="2" t="n">
        <x:v>40</x:v>
      </x:c>
      <x:c r="G649" s="2" t="str">
        <x:v>原始表保留；建模表缩尾</x:v>
      </x:c>
    </x:row>
    <x:row r="650" ht="15" hidden="0" customHeight="1">
      <x:c r="A650" s="2" t="str">
        <x:v>E160</x:v>
      </x:c>
      <x:c r="B650" s="2" t="str">
        <x:v>无信贷记录</x:v>
      </x:c>
      <x:c r="C650" s="2" t="str">
        <x:v>销项_负数票数</x:v>
      </x:c>
      <x:c r="D650" s="2" t="n">
        <x:v>66</x:v>
      </x:c>
      <x:c r="E650" s="2" t="n">
        <x:v>-24</x:v>
      </x:c>
      <x:c r="F650" s="2" t="n">
        <x:v>40</x:v>
      </x:c>
      <x:c r="G650" s="2" t="str">
        <x:v>原始表保留；建模表缩尾</x:v>
      </x:c>
    </x:row>
    <x:row r="651" ht="15" hidden="0" customHeight="1">
      <x:c r="A651" s="2" t="str">
        <x:v>E165</x:v>
      </x:c>
      <x:c r="B651" s="2" t="str">
        <x:v>无信贷记录</x:v>
      </x:c>
      <x:c r="C651" s="2" t="str">
        <x:v>销项_负数票数</x:v>
      </x:c>
      <x:c r="D651" s="2" t="n">
        <x:v>114</x:v>
      </x:c>
      <x:c r="E651" s="2" t="n">
        <x:v>-24</x:v>
      </x:c>
      <x:c r="F651" s="2" t="n">
        <x:v>40</x:v>
      </x:c>
      <x:c r="G651" s="2" t="str">
        <x:v>原始表保留；建模表缩尾</x:v>
      </x:c>
    </x:row>
    <x:row r="652" ht="15" hidden="0" customHeight="1">
      <x:c r="A652" s="2" t="str">
        <x:v>E166</x:v>
      </x:c>
      <x:c r="B652" s="2" t="str">
        <x:v>无信贷记录</x:v>
      </x:c>
      <x:c r="C652" s="2" t="str">
        <x:v>销项_负数票数</x:v>
      </x:c>
      <x:c r="D652" s="2" t="n">
        <x:v>258</x:v>
      </x:c>
      <x:c r="E652" s="2" t="n">
        <x:v>-24</x:v>
      </x:c>
      <x:c r="F652" s="2" t="n">
        <x:v>40</x:v>
      </x:c>
      <x:c r="G652" s="2" t="str">
        <x:v>原始表保留；建模表缩尾</x:v>
      </x:c>
    </x:row>
    <x:row r="653" ht="15" hidden="0" customHeight="1">
      <x:c r="A653" s="2" t="str">
        <x:v>E167</x:v>
      </x:c>
      <x:c r="B653" s="2" t="str">
        <x:v>无信贷记录</x:v>
      </x:c>
      <x:c r="C653" s="2" t="str">
        <x:v>销项_负数票数</x:v>
      </x:c>
      <x:c r="D653" s="2" t="n">
        <x:v>91</x:v>
      </x:c>
      <x:c r="E653" s="2" t="n">
        <x:v>-24</x:v>
      </x:c>
      <x:c r="F653" s="2" t="n">
        <x:v>40</x:v>
      </x:c>
      <x:c r="G653" s="2" t="str">
        <x:v>原始表保留；建模表缩尾</x:v>
      </x:c>
    </x:row>
    <x:row r="654" ht="15" hidden="0" customHeight="1">
      <x:c r="A654" s="2" t="str">
        <x:v>E171</x:v>
      </x:c>
      <x:c r="B654" s="2" t="str">
        <x:v>无信贷记录</x:v>
      </x:c>
      <x:c r="C654" s="2" t="str">
        <x:v>销项_负数票数</x:v>
      </x:c>
      <x:c r="D654" s="2" t="n">
        <x:v>113</x:v>
      </x:c>
      <x:c r="E654" s="2" t="n">
        <x:v>-24</x:v>
      </x:c>
      <x:c r="F654" s="2" t="n">
        <x:v>40</x:v>
      </x:c>
      <x:c r="G654" s="2" t="str">
        <x:v>原始表保留；建模表缩尾</x:v>
      </x:c>
    </x:row>
    <x:row r="655" ht="15" hidden="0" customHeight="1">
      <x:c r="A655" s="2" t="str">
        <x:v>E175</x:v>
      </x:c>
      <x:c r="B655" s="2" t="str">
        <x:v>无信贷记录</x:v>
      </x:c>
      <x:c r="C655" s="2" t="str">
        <x:v>销项_负数票数</x:v>
      </x:c>
      <x:c r="D655" s="2" t="n">
        <x:v>66</x:v>
      </x:c>
      <x:c r="E655" s="2" t="n">
        <x:v>-24</x:v>
      </x:c>
      <x:c r="F655" s="2" t="n">
        <x:v>40</x:v>
      </x:c>
      <x:c r="G655" s="2" t="str">
        <x:v>原始表保留；建模表缩尾</x:v>
      </x:c>
    </x:row>
    <x:row r="656" ht="15" hidden="0" customHeight="1">
      <x:c r="A656" s="2" t="str">
        <x:v>E176</x:v>
      </x:c>
      <x:c r="B656" s="2" t="str">
        <x:v>无信贷记录</x:v>
      </x:c>
      <x:c r="C656" s="2" t="str">
        <x:v>销项_负数票数</x:v>
      </x:c>
      <x:c r="D656" s="2" t="n">
        <x:v>67</x:v>
      </x:c>
      <x:c r="E656" s="2" t="n">
        <x:v>-24</x:v>
      </x:c>
      <x:c r="F656" s="2" t="n">
        <x:v>40</x:v>
      </x:c>
      <x:c r="G656" s="2" t="str">
        <x:v>原始表保留；建模表缩尾</x:v>
      </x:c>
    </x:row>
    <x:row r="657" ht="15" hidden="0" customHeight="1">
      <x:c r="A657" s="2" t="str">
        <x:v>E193</x:v>
      </x:c>
      <x:c r="B657" s="2" t="str">
        <x:v>无信贷记录</x:v>
      </x:c>
      <x:c r="C657" s="2" t="str">
        <x:v>销项_负数票数</x:v>
      </x:c>
      <x:c r="D657" s="2" t="n">
        <x:v>367</x:v>
      </x:c>
      <x:c r="E657" s="2" t="n">
        <x:v>-24</x:v>
      </x:c>
      <x:c r="F657" s="2" t="n">
        <x:v>40</x:v>
      </x:c>
      <x:c r="G657" s="2" t="str">
        <x:v>原始表保留；建模表缩尾</x:v>
      </x:c>
    </x:row>
    <x:row r="658" ht="15" hidden="0" customHeight="1">
      <x:c r="A658" s="2" t="str">
        <x:v>E194</x:v>
      </x:c>
      <x:c r="B658" s="2" t="str">
        <x:v>无信贷记录</x:v>
      </x:c>
      <x:c r="C658" s="2" t="str">
        <x:v>销项_负数票数</x:v>
      </x:c>
      <x:c r="D658" s="2" t="n">
        <x:v>391</x:v>
      </x:c>
      <x:c r="E658" s="2" t="n">
        <x:v>-24</x:v>
      </x:c>
      <x:c r="F658" s="2" t="n">
        <x:v>40</x:v>
      </x:c>
      <x:c r="G658" s="2" t="str">
        <x:v>原始表保留；建模表缩尾</x:v>
      </x:c>
    </x:row>
    <x:row r="659" ht="15" hidden="0" customHeight="1">
      <x:c r="A659" s="2" t="str">
        <x:v>E195</x:v>
      </x:c>
      <x:c r="B659" s="2" t="str">
        <x:v>无信贷记录</x:v>
      </x:c>
      <x:c r="C659" s="2" t="str">
        <x:v>销项_负数票数</x:v>
      </x:c>
      <x:c r="D659" s="2" t="n">
        <x:v>81</x:v>
      </x:c>
      <x:c r="E659" s="2" t="n">
        <x:v>-24</x:v>
      </x:c>
      <x:c r="F659" s="2" t="n">
        <x:v>40</x:v>
      </x:c>
      <x:c r="G659" s="2" t="str">
        <x:v>原始表保留；建模表缩尾</x:v>
      </x:c>
    </x:row>
    <x:row r="660" ht="15" hidden="0" customHeight="1">
      <x:c r="A660" s="2" t="str">
        <x:v>E196</x:v>
      </x:c>
      <x:c r="B660" s="2" t="str">
        <x:v>无信贷记录</x:v>
      </x:c>
      <x:c r="C660" s="2" t="str">
        <x:v>销项_负数票数</x:v>
      </x:c>
      <x:c r="D660" s="2" t="n">
        <x:v>86</x:v>
      </x:c>
      <x:c r="E660" s="2" t="n">
        <x:v>-24</x:v>
      </x:c>
      <x:c r="F660" s="2" t="n">
        <x:v>40</x:v>
      </x:c>
      <x:c r="G660" s="2" t="str">
        <x:v>原始表保留；建模表缩尾</x:v>
      </x:c>
    </x:row>
    <x:row r="661" ht="15" hidden="0" customHeight="1">
      <x:c r="A661" s="2" t="str">
        <x:v>E197</x:v>
      </x:c>
      <x:c r="B661" s="2" t="str">
        <x:v>无信贷记录</x:v>
      </x:c>
      <x:c r="C661" s="2" t="str">
        <x:v>销项_负数票数</x:v>
      </x:c>
      <x:c r="D661" s="2" t="n">
        <x:v>46</x:v>
      </x:c>
      <x:c r="E661" s="2" t="n">
        <x:v>-24</x:v>
      </x:c>
      <x:c r="F661" s="2" t="n">
        <x:v>40</x:v>
      </x:c>
      <x:c r="G661" s="2" t="str">
        <x:v>原始表保留；建模表缩尾</x:v>
      </x:c>
    </x:row>
    <x:row r="662" ht="15" hidden="0" customHeight="1">
      <x:c r="A662" s="2" t="str">
        <x:v>E198</x:v>
      </x:c>
      <x:c r="B662" s="2" t="str">
        <x:v>无信贷记录</x:v>
      </x:c>
      <x:c r="C662" s="2" t="str">
        <x:v>销项_负数票数</x:v>
      </x:c>
      <x:c r="D662" s="2" t="n">
        <x:v>55</x:v>
      </x:c>
      <x:c r="E662" s="2" t="n">
        <x:v>-24</x:v>
      </x:c>
      <x:c r="F662" s="2" t="n">
        <x:v>40</x:v>
      </x:c>
      <x:c r="G662" s="2" t="str">
        <x:v>原始表保留；建模表缩尾</x:v>
      </x:c>
    </x:row>
    <x:row r="663" ht="15" hidden="0" customHeight="1">
      <x:c r="A663" s="2" t="str">
        <x:v>E199</x:v>
      </x:c>
      <x:c r="B663" s="2" t="str">
        <x:v>无信贷记录</x:v>
      </x:c>
      <x:c r="C663" s="2" t="str">
        <x:v>销项_负数票数</x:v>
      </x:c>
      <x:c r="D663" s="2" t="n">
        <x:v>90</x:v>
      </x:c>
      <x:c r="E663" s="2" t="n">
        <x:v>-24</x:v>
      </x:c>
      <x:c r="F663" s="2" t="n">
        <x:v>40</x:v>
      </x:c>
      <x:c r="G663" s="2" t="str">
        <x:v>原始表保留；建模表缩尾</x:v>
      </x:c>
    </x:row>
    <x:row r="664" ht="15" hidden="0" customHeight="1">
      <x:c r="A664" s="2" t="str">
        <x:v>E209</x:v>
      </x:c>
      <x:c r="B664" s="2" t="str">
        <x:v>无信贷记录</x:v>
      </x:c>
      <x:c r="C664" s="2" t="str">
        <x:v>销项_负数票数</x:v>
      </x:c>
      <x:c r="D664" s="2" t="n">
        <x:v>61</x:v>
      </x:c>
      <x:c r="E664" s="2" t="n">
        <x:v>-24</x:v>
      </x:c>
      <x:c r="F664" s="2" t="n">
        <x:v>40</x:v>
      </x:c>
      <x:c r="G664" s="2" t="str">
        <x:v>原始表保留；建模表缩尾</x:v>
      </x:c>
    </x:row>
    <x:row r="665" ht="15" hidden="0" customHeight="1">
      <x:c r="A665" s="2" t="str">
        <x:v>E225</x:v>
      </x:c>
      <x:c r="B665" s="2" t="str">
        <x:v>无信贷记录</x:v>
      </x:c>
      <x:c r="C665" s="2" t="str">
        <x:v>销项_负数票数</x:v>
      </x:c>
      <x:c r="D665" s="2" t="n">
        <x:v>100</x:v>
      </x:c>
      <x:c r="E665" s="2" t="n">
        <x:v>-24</x:v>
      </x:c>
      <x:c r="F665" s="2" t="n">
        <x:v>40</x:v>
      </x:c>
      <x:c r="G665" s="2" t="str">
        <x:v>原始表保留；建模表缩尾</x:v>
      </x:c>
    </x:row>
    <x:row r="666" ht="15" hidden="0" customHeight="1">
      <x:c r="A666" s="2" t="str">
        <x:v>E228</x:v>
      </x:c>
      <x:c r="B666" s="2" t="str">
        <x:v>无信贷记录</x:v>
      </x:c>
      <x:c r="C666" s="2" t="str">
        <x:v>销项_负数票数</x:v>
      </x:c>
      <x:c r="D666" s="2" t="n">
        <x:v>104</x:v>
      </x:c>
      <x:c r="E666" s="2" t="n">
        <x:v>-24</x:v>
      </x:c>
      <x:c r="F666" s="2" t="n">
        <x:v>40</x:v>
      </x:c>
      <x:c r="G666" s="2" t="str">
        <x:v>原始表保留；建模表缩尾</x:v>
      </x:c>
    </x:row>
    <x:row r="667" ht="15" hidden="0" customHeight="1">
      <x:c r="A667" s="2" t="str">
        <x:v>E238</x:v>
      </x:c>
      <x:c r="B667" s="2" t="str">
        <x:v>无信贷记录</x:v>
      </x:c>
      <x:c r="C667" s="2" t="str">
        <x:v>销项_负数票数</x:v>
      </x:c>
      <x:c r="D667" s="2" t="n">
        <x:v>557</x:v>
      </x:c>
      <x:c r="E667" s="2" t="n">
        <x:v>-24</x:v>
      </x:c>
      <x:c r="F667" s="2" t="n">
        <x:v>40</x:v>
      </x:c>
      <x:c r="G667" s="2" t="str">
        <x:v>原始表保留；建模表缩尾</x:v>
      </x:c>
    </x:row>
    <x:row r="668" ht="15" hidden="0" customHeight="1">
      <x:c r="A668" s="2" t="str">
        <x:v>E258</x:v>
      </x:c>
      <x:c r="B668" s="2" t="str">
        <x:v>无信贷记录</x:v>
      </x:c>
      <x:c r="C668" s="2" t="str">
        <x:v>销项_负数票数</x:v>
      </x:c>
      <x:c r="D668" s="2" t="n">
        <x:v>52</x:v>
      </x:c>
      <x:c r="E668" s="2" t="n">
        <x:v>-24</x:v>
      </x:c>
      <x:c r="F668" s="2" t="n">
        <x:v>40</x:v>
      </x:c>
      <x:c r="G668" s="2" t="str">
        <x:v>原始表保留；建模表缩尾</x:v>
      </x:c>
    </x:row>
    <x:row r="669" ht="15" hidden="0" customHeight="1">
      <x:c r="A669" s="2" t="str">
        <x:v>E322</x:v>
      </x:c>
      <x:c r="B669" s="2" t="str">
        <x:v>无信贷记录</x:v>
      </x:c>
      <x:c r="C669" s="2" t="str">
        <x:v>销项_负数票数</x:v>
      </x:c>
      <x:c r="D669" s="2" t="n">
        <x:v>43</x:v>
      </x:c>
      <x:c r="E669" s="2" t="n">
        <x:v>-24</x:v>
      </x:c>
      <x:c r="F669" s="2" t="n">
        <x:v>40</x:v>
      </x:c>
      <x:c r="G669" s="2" t="str">
        <x:v>原始表保留；建模表缩尾</x:v>
      </x:c>
    </x:row>
    <x:row r="670" ht="15" hidden="0" customHeight="1">
      <x:c r="A670" s="2" t="str">
        <x:v>E1</x:v>
      </x:c>
      <x:c r="B670" s="2" t="str">
        <x:v>有信贷记录</x:v>
      </x:c>
      <x:c r="C670" s="2" t="str">
        <x:v>销项_有效价税合计</x:v>
      </x:c>
      <x:c r="D670" s="2" t="n">
        <x:v>4698633440.6</x:v>
      </x:c>
      <x:c r="E670" s="2" t="n">
        <x:v>-98382872.18</x:v>
      </x:c>
      <x:c r="F670" s="2" t="n">
        <x:v>170596232.3</x:v>
      </x:c>
      <x:c r="G670" s="2" t="str">
        <x:v>原始表保留；建模表缩尾</x:v>
      </x:c>
    </x:row>
    <x:row r="671" ht="15" hidden="0" customHeight="1">
      <x:c r="A671" s="2" t="str">
        <x:v>E2</x:v>
      </x:c>
      <x:c r="B671" s="2" t="str">
        <x:v>有信贷记录</x:v>
      </x:c>
      <x:c r="C671" s="2" t="str">
        <x:v>销项_有效价税合计</x:v>
      </x:c>
      <x:c r="D671" s="2" t="n">
        <x:v>528056997.79</x:v>
      </x:c>
      <x:c r="E671" s="2" t="n">
        <x:v>-98382872.18</x:v>
      </x:c>
      <x:c r="F671" s="2" t="n">
        <x:v>170596232.3</x:v>
      </x:c>
      <x:c r="G671" s="2" t="str">
        <x:v>原始表保留；建模表缩尾</x:v>
      </x:c>
    </x:row>
    <x:row r="672" ht="15" hidden="0" customHeight="1">
      <x:c r="A672" s="2" t="str">
        <x:v>E3</x:v>
      </x:c>
      <x:c r="B672" s="2" t="str">
        <x:v>有信贷记录</x:v>
      </x:c>
      <x:c r="C672" s="2" t="str">
        <x:v>销项_有效价税合计</x:v>
      </x:c>
      <x:c r="D672" s="2" t="n">
        <x:v>661070278.7</x:v>
      </x:c>
      <x:c r="E672" s="2" t="n">
        <x:v>-98382872.18</x:v>
      </x:c>
      <x:c r="F672" s="2" t="n">
        <x:v>170596232.3</x:v>
      </x:c>
      <x:c r="G672" s="2" t="str">
        <x:v>原始表保留；建模表缩尾</x:v>
      </x:c>
    </x:row>
    <x:row r="673" ht="15" hidden="0" customHeight="1">
      <x:c r="A673" s="2" t="str">
        <x:v>E4</x:v>
      </x:c>
      <x:c r="B673" s="2" t="str">
        <x:v>有信贷记录</x:v>
      </x:c>
      <x:c r="C673" s="2" t="str">
        <x:v>销项_有效价税合计</x:v>
      </x:c>
      <x:c r="D673" s="2" t="n">
        <x:v>2146540584.71</x:v>
      </x:c>
      <x:c r="E673" s="2" t="n">
        <x:v>-98382872.18</x:v>
      </x:c>
      <x:c r="F673" s="2" t="n">
        <x:v>170596232.3</x:v>
      </x:c>
      <x:c r="G673" s="2" t="str">
        <x:v>原始表保留；建模表缩尾</x:v>
      </x:c>
    </x:row>
    <x:row r="674" ht="15" hidden="0" customHeight="1">
      <x:c r="A674" s="2" t="str">
        <x:v>E5</x:v>
      </x:c>
      <x:c r="B674" s="2" t="str">
        <x:v>有信贷记录</x:v>
      </x:c>
      <x:c r="C674" s="2" t="str">
        <x:v>销项_有效价税合计</x:v>
      </x:c>
      <x:c r="D674" s="2" t="n">
        <x:v>233290699.99</x:v>
      </x:c>
      <x:c r="E674" s="2" t="n">
        <x:v>-98382872.18</x:v>
      </x:c>
      <x:c r="F674" s="2" t="n">
        <x:v>170596232.3</x:v>
      </x:c>
      <x:c r="G674" s="2" t="str">
        <x:v>原始表保留；建模表缩尾</x:v>
      </x:c>
    </x:row>
    <x:row r="675" ht="15" hidden="0" customHeight="1">
      <x:c r="A675" s="2" t="str">
        <x:v>E6</x:v>
      </x:c>
      <x:c r="B675" s="2" t="str">
        <x:v>有信贷记录</x:v>
      </x:c>
      <x:c r="C675" s="2" t="str">
        <x:v>销项_有效价税合计</x:v>
      </x:c>
      <x:c r="D675" s="2" t="n">
        <x:v>395897438.24</x:v>
      </x:c>
      <x:c r="E675" s="2" t="n">
        <x:v>-98382872.18</x:v>
      </x:c>
      <x:c r="F675" s="2" t="n">
        <x:v>170596232.3</x:v>
      </x:c>
      <x:c r="G675" s="2" t="str">
        <x:v>原始表保留；建模表缩尾</x:v>
      </x:c>
    </x:row>
    <x:row r="676" ht="15" hidden="0" customHeight="1">
      <x:c r="A676" s="2" t="str">
        <x:v>E7</x:v>
      </x:c>
      <x:c r="B676" s="2" t="str">
        <x:v>有信贷记录</x:v>
      </x:c>
      <x:c r="C676" s="2" t="str">
        <x:v>销项_有效价税合计</x:v>
      </x:c>
      <x:c r="D676" s="2" t="n">
        <x:v>596230696.76</x:v>
      </x:c>
      <x:c r="E676" s="2" t="n">
        <x:v>-98382872.18</x:v>
      </x:c>
      <x:c r="F676" s="2" t="n">
        <x:v>170596232.3</x:v>
      </x:c>
      <x:c r="G676" s="2" t="str">
        <x:v>原始表保留；建模表缩尾</x:v>
      </x:c>
    </x:row>
    <x:row r="677" ht="15" hidden="0" customHeight="1">
      <x:c r="A677" s="2" t="str">
        <x:v>E8</x:v>
      </x:c>
      <x:c r="B677" s="2" t="str">
        <x:v>有信贷记录</x:v>
      </x:c>
      <x:c r="C677" s="2" t="str">
        <x:v>销项_有效价税合计</x:v>
      </x:c>
      <x:c r="D677" s="2" t="n">
        <x:v>380793887.66999996</x:v>
      </x:c>
      <x:c r="E677" s="2" t="n">
        <x:v>-98382872.18</x:v>
      </x:c>
      <x:c r="F677" s="2" t="n">
        <x:v>170596232.3</x:v>
      </x:c>
      <x:c r="G677" s="2" t="str">
        <x:v>原始表保留；建模表缩尾</x:v>
      </x:c>
    </x:row>
    <x:row r="678" ht="15" hidden="0" customHeight="1">
      <x:c r="A678" s="2" t="str">
        <x:v>E9</x:v>
      </x:c>
      <x:c r="B678" s="2" t="str">
        <x:v>有信贷记录</x:v>
      </x:c>
      <x:c r="C678" s="2" t="str">
        <x:v>销项_有效价税合计</x:v>
      </x:c>
      <x:c r="D678" s="2" t="n">
        <x:v>369412037.87</x:v>
      </x:c>
      <x:c r="E678" s="2" t="n">
        <x:v>-98382872.18</x:v>
      </x:c>
      <x:c r="F678" s="2" t="n">
        <x:v>170596232.3</x:v>
      </x:c>
      <x:c r="G678" s="2" t="str">
        <x:v>原始表保留；建模表缩尾</x:v>
      </x:c>
    </x:row>
    <x:row r="679" ht="15" hidden="0" customHeight="1">
      <x:c r="A679" s="2" t="str">
        <x:v>E10</x:v>
      </x:c>
      <x:c r="B679" s="2" t="str">
        <x:v>有信贷记录</x:v>
      </x:c>
      <x:c r="C679" s="2" t="str">
        <x:v>销项_有效价税合计</x:v>
      </x:c>
      <x:c r="D679" s="2" t="n">
        <x:v>351461531.5</x:v>
      </x:c>
      <x:c r="E679" s="2" t="n">
        <x:v>-98382872.18</x:v>
      </x:c>
      <x:c r="F679" s="2" t="n">
        <x:v>170596232.3</x:v>
      </x:c>
      <x:c r="G679" s="2" t="str">
        <x:v>原始表保留；建模表缩尾</x:v>
      </x:c>
    </x:row>
    <x:row r="680" ht="15" hidden="0" customHeight="1">
      <x:c r="A680" s="2" t="str">
        <x:v>E12</x:v>
      </x:c>
      <x:c r="B680" s="2" t="str">
        <x:v>有信贷记录</x:v>
      </x:c>
      <x:c r="C680" s="2" t="str">
        <x:v>销项_有效价税合计</x:v>
      </x:c>
      <x:c r="D680" s="2" t="n">
        <x:v>243003020.51</x:v>
      </x:c>
      <x:c r="E680" s="2" t="n">
        <x:v>-98382872.18</x:v>
      </x:c>
      <x:c r="F680" s="2" t="n">
        <x:v>170596232.3</x:v>
      </x:c>
      <x:c r="G680" s="2" t="str">
        <x:v>原始表保留；建模表缩尾</x:v>
      </x:c>
    </x:row>
    <x:row r="681" ht="15" hidden="0" customHeight="1">
      <x:c r="A681" s="2" t="str">
        <x:v>E13</x:v>
      </x:c>
      <x:c r="B681" s="2" t="str">
        <x:v>有信贷记录</x:v>
      </x:c>
      <x:c r="C681" s="2" t="str">
        <x:v>销项_有效价税合计</x:v>
      </x:c>
      <x:c r="D681" s="2" t="n">
        <x:v>243978023.32</x:v>
      </x:c>
      <x:c r="E681" s="2" t="n">
        <x:v>-98382872.18</x:v>
      </x:c>
      <x:c r="F681" s="2" t="n">
        <x:v>170596232.3</x:v>
      </x:c>
      <x:c r="G681" s="2" t="str">
        <x:v>原始表保留；建模表缩尾</x:v>
      </x:c>
    </x:row>
    <x:row r="682" ht="15" hidden="0" customHeight="1">
      <x:c r="A682" s="2" t="str">
        <x:v>E14</x:v>
      </x:c>
      <x:c r="B682" s="2" t="str">
        <x:v>有信贷记录</x:v>
      </x:c>
      <x:c r="C682" s="2" t="str">
        <x:v>销项_有效价税合计</x:v>
      </x:c>
      <x:c r="D682" s="2" t="n">
        <x:v>241760597.37</x:v>
      </x:c>
      <x:c r="E682" s="2" t="n">
        <x:v>-98382872.18</x:v>
      </x:c>
      <x:c r="F682" s="2" t="n">
        <x:v>170596232.3</x:v>
      </x:c>
      <x:c r="G682" s="2" t="str">
        <x:v>原始表保留；建模表缩尾</x:v>
      </x:c>
    </x:row>
    <x:row r="683" ht="15" hidden="0" customHeight="1">
      <x:c r="A683" s="2" t="str">
        <x:v>E15</x:v>
      </x:c>
      <x:c r="B683" s="2" t="str">
        <x:v>有信贷记录</x:v>
      </x:c>
      <x:c r="C683" s="2" t="str">
        <x:v>销项_有效价税合计</x:v>
      </x:c>
      <x:c r="D683" s="2" t="n">
        <x:v>219600852.16000003</x:v>
      </x:c>
      <x:c r="E683" s="2" t="n">
        <x:v>-98382872.18</x:v>
      </x:c>
      <x:c r="F683" s="2" t="n">
        <x:v>170596232.3</x:v>
      </x:c>
      <x:c r="G683" s="2" t="str">
        <x:v>原始表保留；建模表缩尾</x:v>
      </x:c>
    </x:row>
    <x:row r="684" ht="15" hidden="0" customHeight="1">
      <x:c r="A684" s="2" t="str">
        <x:v>E16</x:v>
      </x:c>
      <x:c r="B684" s="2" t="str">
        <x:v>有信贷记录</x:v>
      </x:c>
      <x:c r="C684" s="2" t="str">
        <x:v>销项_有效价税合计</x:v>
      </x:c>
      <x:c r="D684" s="2" t="n">
        <x:v>213556685.94</x:v>
      </x:c>
      <x:c r="E684" s="2" t="n">
        <x:v>-98382872.18</x:v>
      </x:c>
      <x:c r="F684" s="2" t="n">
        <x:v>170596232.3</x:v>
      </x:c>
      <x:c r="G684" s="2" t="str">
        <x:v>原始表保留；建模表缩尾</x:v>
      </x:c>
    </x:row>
    <x:row r="685" ht="15" hidden="0" customHeight="1">
      <x:c r="A685" s="2" t="str">
        <x:v>E18</x:v>
      </x:c>
      <x:c r="B685" s="2" t="str">
        <x:v>有信贷记录</x:v>
      </x:c>
      <x:c r="C685" s="2" t="str">
        <x:v>销项_有效价税合计</x:v>
      </x:c>
      <x:c r="D685" s="2" t="n">
        <x:v>197656390.76999998</x:v>
      </x:c>
      <x:c r="E685" s="2" t="n">
        <x:v>-98382872.18</x:v>
      </x:c>
      <x:c r="F685" s="2" t="n">
        <x:v>170596232.3</x:v>
      </x:c>
      <x:c r="G685" s="2" t="str">
        <x:v>原始表保留；建模表缩尾</x:v>
      </x:c>
    </x:row>
    <x:row r="686" ht="15" hidden="0" customHeight="1">
      <x:c r="A686" s="2" t="str">
        <x:v>E19</x:v>
      </x:c>
      <x:c r="B686" s="2" t="str">
        <x:v>有信贷记录</x:v>
      </x:c>
      <x:c r="C686" s="2" t="str">
        <x:v>销项_有效价税合计</x:v>
      </x:c>
      <x:c r="D686" s="2" t="n">
        <x:v>209115169.14000002</x:v>
      </x:c>
      <x:c r="E686" s="2" t="n">
        <x:v>-98382872.18</x:v>
      </x:c>
      <x:c r="F686" s="2" t="n">
        <x:v>170596232.3</x:v>
      </x:c>
      <x:c r="G686" s="2" t="str">
        <x:v>原始表保留；建模表缩尾</x:v>
      </x:c>
    </x:row>
    <x:row r="687" ht="15" hidden="0" customHeight="1">
      <x:c r="A687" s="2" t="str">
        <x:v>E20</x:v>
      </x:c>
      <x:c r="B687" s="2" t="str">
        <x:v>有信贷记录</x:v>
      </x:c>
      <x:c r="C687" s="2" t="str">
        <x:v>销项_有效价税合计</x:v>
      </x:c>
      <x:c r="D687" s="2" t="n">
        <x:v>222122058.8</x:v>
      </x:c>
      <x:c r="E687" s="2" t="n">
        <x:v>-98382872.18</x:v>
      </x:c>
      <x:c r="F687" s="2" t="n">
        <x:v>170596232.3</x:v>
      </x:c>
      <x:c r="G687" s="2" t="str">
        <x:v>原始表保留；建模表缩尾</x:v>
      </x:c>
    </x:row>
    <x:row r="688" ht="15" hidden="0" customHeight="1">
      <x:c r="A688" s="2" t="str">
        <x:v>E23</x:v>
      </x:c>
      <x:c r="B688" s="2" t="str">
        <x:v>有信贷记录</x:v>
      </x:c>
      <x:c r="C688" s="2" t="str">
        <x:v>销项_有效价税合计</x:v>
      </x:c>
      <x:c r="D688" s="2" t="n">
        <x:v>212044592.53</x:v>
      </x:c>
      <x:c r="E688" s="2" t="n">
        <x:v>-98382872.18</x:v>
      </x:c>
      <x:c r="F688" s="2" t="n">
        <x:v>170596232.3</x:v>
      </x:c>
      <x:c r="G688" s="2" t="str">
        <x:v>原始表保留；建模表缩尾</x:v>
      </x:c>
    </x:row>
    <x:row r="689" ht="15" hidden="0" customHeight="1">
      <x:c r="A689" s="2" t="str">
        <x:v>E124</x:v>
      </x:c>
      <x:c r="B689" s="2" t="str">
        <x:v>无信贷记录</x:v>
      </x:c>
      <x:c r="C689" s="2" t="str">
        <x:v>销项_有效价税合计</x:v>
      </x:c>
      <x:c r="D689" s="2" t="n">
        <x:v>808437748.17</x:v>
      </x:c>
      <x:c r="E689" s="2" t="n">
        <x:v>-98382872.18</x:v>
      </x:c>
      <x:c r="F689" s="2" t="n">
        <x:v>170596232.3</x:v>
      </x:c>
      <x:c r="G689" s="2" t="str">
        <x:v>原始表保留；建模表缩尾</x:v>
      </x:c>
    </x:row>
    <x:row r="690" ht="15" hidden="0" customHeight="1">
      <x:c r="A690" s="2" t="str">
        <x:v>E125</x:v>
      </x:c>
      <x:c r="B690" s="2" t="str">
        <x:v>无信贷记录</x:v>
      </x:c>
      <x:c r="C690" s="2" t="str">
        <x:v>销项_有效价税合计</x:v>
      </x:c>
      <x:c r="D690" s="2" t="n">
        <x:v>1024841109.95</x:v>
      </x:c>
      <x:c r="E690" s="2" t="n">
        <x:v>-98382872.18</x:v>
      </x:c>
      <x:c r="F690" s="2" t="n">
        <x:v>170596232.3</x:v>
      </x:c>
      <x:c r="G690" s="2" t="str">
        <x:v>原始表保留；建模表缩尾</x:v>
      </x:c>
    </x:row>
    <x:row r="691" ht="15" hidden="0" customHeight="1">
      <x:c r="A691" s="2" t="str">
        <x:v>E126</x:v>
      </x:c>
      <x:c r="B691" s="2" t="str">
        <x:v>无信贷记录</x:v>
      </x:c>
      <x:c r="C691" s="2" t="str">
        <x:v>销项_有效价税合计</x:v>
      </x:c>
      <x:c r="D691" s="2" t="n">
        <x:v>538007376.38</x:v>
      </x:c>
      <x:c r="E691" s="2" t="n">
        <x:v>-98382872.18</x:v>
      </x:c>
      <x:c r="F691" s="2" t="n">
        <x:v>170596232.3</x:v>
      </x:c>
      <x:c r="G691" s="2" t="str">
        <x:v>原始表保留；建模表缩尾</x:v>
      </x:c>
    </x:row>
    <x:row r="692" ht="15" hidden="0" customHeight="1">
      <x:c r="A692" s="2" t="str">
        <x:v>E127</x:v>
      </x:c>
      <x:c r="B692" s="2" t="str">
        <x:v>无信贷记录</x:v>
      </x:c>
      <x:c r="C692" s="2" t="str">
        <x:v>销项_有效价税合计</x:v>
      </x:c>
      <x:c r="D692" s="2" t="n">
        <x:v>671508175.53</x:v>
      </x:c>
      <x:c r="E692" s="2" t="n">
        <x:v>-98382872.18</x:v>
      </x:c>
      <x:c r="F692" s="2" t="n">
        <x:v>170596232.3</x:v>
      </x:c>
      <x:c r="G692" s="2" t="str">
        <x:v>原始表保留；建模表缩尾</x:v>
      </x:c>
    </x:row>
    <x:row r="693" ht="15" hidden="0" customHeight="1">
      <x:c r="A693" s="2" t="str">
        <x:v>E128</x:v>
      </x:c>
      <x:c r="B693" s="2" t="str">
        <x:v>无信贷记录</x:v>
      </x:c>
      <x:c r="C693" s="2" t="str">
        <x:v>销项_有效价税合计</x:v>
      </x:c>
      <x:c r="D693" s="2" t="n">
        <x:v>250689218.79</x:v>
      </x:c>
      <x:c r="E693" s="2" t="n">
        <x:v>-98382872.18</x:v>
      </x:c>
      <x:c r="F693" s="2" t="n">
        <x:v>170596232.3</x:v>
      </x:c>
      <x:c r="G693" s="2" t="str">
        <x:v>原始表保留；建模表缩尾</x:v>
      </x:c>
    </x:row>
    <x:row r="694" ht="15" hidden="0" customHeight="1">
      <x:c r="A694" s="2" t="str">
        <x:v>E129</x:v>
      </x:c>
      <x:c r="B694" s="2" t="str">
        <x:v>无信贷记录</x:v>
      </x:c>
      <x:c r="C694" s="2" t="str">
        <x:v>销项_有效价税合计</x:v>
      </x:c>
      <x:c r="D694" s="2" t="n">
        <x:v>374399072.29999995</x:v>
      </x:c>
      <x:c r="E694" s="2" t="n">
        <x:v>-98382872.18</x:v>
      </x:c>
      <x:c r="F694" s="2" t="n">
        <x:v>170596232.3</x:v>
      </x:c>
      <x:c r="G694" s="2" t="str">
        <x:v>原始表保留；建模表缩尾</x:v>
      </x:c>
    </x:row>
    <x:row r="695" ht="15" hidden="0" customHeight="1">
      <x:c r="A695" s="2" t="str">
        <x:v>E131</x:v>
      </x:c>
      <x:c r="B695" s="2" t="str">
        <x:v>无信贷记录</x:v>
      </x:c>
      <x:c r="C695" s="2" t="str">
        <x:v>销项_有效价税合计</x:v>
      </x:c>
      <x:c r="D695" s="2" t="n">
        <x:v>241760597.37</x:v>
      </x:c>
      <x:c r="E695" s="2" t="n">
        <x:v>-98382872.18</x:v>
      </x:c>
      <x:c r="F695" s="2" t="n">
        <x:v>170596232.3</x:v>
      </x:c>
      <x:c r="G695" s="2" t="str">
        <x:v>原始表保留；建模表缩尾</x:v>
      </x:c>
    </x:row>
    <x:row r="696" ht="15" hidden="0" customHeight="1">
      <x:c r="A696" s="2" t="str">
        <x:v>E132</x:v>
      </x:c>
      <x:c r="B696" s="2" t="str">
        <x:v>无信贷记录</x:v>
      </x:c>
      <x:c r="C696" s="2" t="str">
        <x:v>销项_有效价税合计</x:v>
      </x:c>
      <x:c r="D696" s="2" t="n">
        <x:v>221026234.73999995</x:v>
      </x:c>
      <x:c r="E696" s="2" t="n">
        <x:v>-98382872.18</x:v>
      </x:c>
      <x:c r="F696" s="2" t="n">
        <x:v>170596232.3</x:v>
      </x:c>
      <x:c r="G696" s="2" t="str">
        <x:v>原始表保留；建模表缩尾</x:v>
      </x:c>
    </x:row>
    <x:row r="697" ht="15" hidden="0" customHeight="1">
      <x:c r="A697" s="2" t="str">
        <x:v>E139</x:v>
      </x:c>
      <x:c r="B697" s="2" t="str">
        <x:v>无信贷记录</x:v>
      </x:c>
      <x:c r="C697" s="2" t="str">
        <x:v>销项_有效价税合计</x:v>
      </x:c>
      <x:c r="D697" s="2" t="n">
        <x:v>197108305.55</x:v>
      </x:c>
      <x:c r="E697" s="2" t="n">
        <x:v>-98382872.18</x:v>
      </x:c>
      <x:c r="F697" s="2" t="n">
        <x:v>170596232.3</x:v>
      </x:c>
      <x:c r="G697" s="2" t="str">
        <x:v>原始表保留；建模表缩尾</x:v>
      </x:c>
    </x:row>
    <x:row r="698" ht="15" hidden="0" customHeight="1">
      <x:c r="A698" s="2" t="str">
        <x:v>E140</x:v>
      </x:c>
      <x:c r="B698" s="2" t="str">
        <x:v>无信贷记录</x:v>
      </x:c>
      <x:c r="C698" s="2" t="str">
        <x:v>销项_有效价税合计</x:v>
      </x:c>
      <x:c r="D698" s="2" t="n">
        <x:v>188193665.98</x:v>
      </x:c>
      <x:c r="E698" s="2" t="n">
        <x:v>-98382872.18</x:v>
      </x:c>
      <x:c r="F698" s="2" t="n">
        <x:v>170596232.3</x:v>
      </x:c>
      <x:c r="G698" s="2" t="str">
        <x:v>原始表保留；建模表缩尾</x:v>
      </x:c>
    </x:row>
    <x:row r="699" ht="15" hidden="0" customHeight="1">
      <x:c r="A699" s="2" t="str">
        <x:v>E147</x:v>
      </x:c>
      <x:c r="B699" s="2" t="str">
        <x:v>无信贷记录</x:v>
      </x:c>
      <x:c r="C699" s="2" t="str">
        <x:v>销项_有效价税合计</x:v>
      </x:c>
      <x:c r="D699" s="2" t="n">
        <x:v>199817103.33</x:v>
      </x:c>
      <x:c r="E699" s="2" t="n">
        <x:v>-98382872.18</x:v>
      </x:c>
      <x:c r="F699" s="2" t="n">
        <x:v>170596232.3</x:v>
      </x:c>
      <x:c r="G699" s="2" t="str">
        <x:v>原始表保留；建模表缩尾</x:v>
      </x:c>
    </x:row>
    <x:row r="700" ht="15" hidden="0" customHeight="1">
      <x:c r="A700" s="2" t="str">
        <x:v>E153</x:v>
      </x:c>
      <x:c r="B700" s="2" t="str">
        <x:v>无信贷记录</x:v>
      </x:c>
      <x:c r="C700" s="2" t="str">
        <x:v>销项_有效价税合计</x:v>
      </x:c>
      <x:c r="D700" s="2" t="n">
        <x:v>254667102.28</x:v>
      </x:c>
      <x:c r="E700" s="2" t="n">
        <x:v>-98382872.18</x:v>
      </x:c>
      <x:c r="F700" s="2" t="n">
        <x:v>170596232.3</x:v>
      </x:c>
      <x:c r="G700" s="2" t="str">
        <x:v>原始表保留；建模表缩尾</x:v>
      </x:c>
    </x:row>
    <x:row r="701" ht="15" hidden="0" customHeight="1">
      <x:c r="A701" s="2" t="str">
        <x:v>E191</x:v>
      </x:c>
      <x:c r="B701" s="2" t="str">
        <x:v>无信贷记录</x:v>
      </x:c>
      <x:c r="C701" s="2" t="str">
        <x:v>销项_有效价税合计</x:v>
      </x:c>
      <x:c r="D701" s="2" t="n">
        <x:v>298532981.41999996</x:v>
      </x:c>
      <x:c r="E701" s="2" t="n">
        <x:v>-98382872.18</x:v>
      </x:c>
      <x:c r="F701" s="2" t="n">
        <x:v>170596232.3</x:v>
      </x:c>
      <x:c r="G701" s="2" t="str">
        <x:v>原始表保留；建模表缩尾</x:v>
      </x:c>
    </x:row>
    <x:row r="702" ht="15" hidden="0" customHeight="1">
      <x:c r="A702" s="2" t="str">
        <x:v>E1</x:v>
      </x:c>
      <x:c r="B702" s="2" t="str">
        <x:v>有信贷记录</x:v>
      </x:c>
      <x:c r="C702" s="2" t="str">
        <x:v>销项_有效绝对额</x:v>
      </x:c>
      <x:c r="D702" s="2" t="n">
        <x:v>4999150122.120001</x:v>
      </x:c>
      <x:c r="E702" s="2" t="n">
        <x:v>-108891858.095</x:v>
      </x:c>
      <x:c r="F702" s="2" t="n">
        <x:v>188656259.785</x:v>
      </x:c>
      <x:c r="G702" s="2" t="str">
        <x:v>原始表保留；建模表缩尾</x:v>
      </x:c>
    </x:row>
    <x:row r="703" ht="15" hidden="0" customHeight="1">
      <x:c r="A703" s="2" t="str">
        <x:v>E2</x:v>
      </x:c>
      <x:c r="B703" s="2" t="str">
        <x:v>有信贷记录</x:v>
      </x:c>
      <x:c r="C703" s="2" t="str">
        <x:v>销项_有效绝对额</x:v>
      </x:c>
      <x:c r="D703" s="2" t="n">
        <x:v>564582486.4300001</x:v>
      </x:c>
      <x:c r="E703" s="2" t="n">
        <x:v>-108891858.095</x:v>
      </x:c>
      <x:c r="F703" s="2" t="n">
        <x:v>188656259.785</x:v>
      </x:c>
      <x:c r="G703" s="2" t="str">
        <x:v>原始表保留；建模表缩尾</x:v>
      </x:c>
    </x:row>
    <x:row r="704" ht="15" hidden="0" customHeight="1">
      <x:c r="A704" s="2" t="str">
        <x:v>E3</x:v>
      </x:c>
      <x:c r="B704" s="2" t="str">
        <x:v>有信贷记录</x:v>
      </x:c>
      <x:c r="C704" s="2" t="str">
        <x:v>销项_有效绝对额</x:v>
      </x:c>
      <x:c r="D704" s="2" t="n">
        <x:v>1127455712.3600001</x:v>
      </x:c>
      <x:c r="E704" s="2" t="n">
        <x:v>-108891858.095</x:v>
      </x:c>
      <x:c r="F704" s="2" t="n">
        <x:v>188656259.785</x:v>
      </x:c>
      <x:c r="G704" s="2" t="str">
        <x:v>原始表保留；建模表缩尾</x:v>
      </x:c>
    </x:row>
    <x:row r="705" ht="15" hidden="0" customHeight="1">
      <x:c r="A705" s="2" t="str">
        <x:v>E4</x:v>
      </x:c>
      <x:c r="B705" s="2" t="str">
        <x:v>有信贷记录</x:v>
      </x:c>
      <x:c r="C705" s="2" t="str">
        <x:v>销项_有效绝对额</x:v>
      </x:c>
      <x:c r="D705" s="2" t="n">
        <x:v>2163364627.15</x:v>
      </x:c>
      <x:c r="E705" s="2" t="n">
        <x:v>-108891858.095</x:v>
      </x:c>
      <x:c r="F705" s="2" t="n">
        <x:v>188656259.785</x:v>
      </x:c>
      <x:c r="G705" s="2" t="str">
        <x:v>原始表保留；建模表缩尾</x:v>
      </x:c>
    </x:row>
    <x:row r="706" ht="15" hidden="0" customHeight="1">
      <x:c r="A706" s="2" t="str">
        <x:v>E5</x:v>
      </x:c>
      <x:c r="B706" s="2" t="str">
        <x:v>有信贷记录</x:v>
      </x:c>
      <x:c r="C706" s="2" t="str">
        <x:v>销项_有效绝对额</x:v>
      </x:c>
      <x:c r="D706" s="2" t="n">
        <x:v>235530147.19</x:v>
      </x:c>
      <x:c r="E706" s="2" t="n">
        <x:v>-108891858.095</x:v>
      </x:c>
      <x:c r="F706" s="2" t="n">
        <x:v>188656259.785</x:v>
      </x:c>
      <x:c r="G706" s="2" t="str">
        <x:v>原始表保留；建模表缩尾</x:v>
      </x:c>
    </x:row>
    <x:row r="707" ht="15" hidden="0" customHeight="1">
      <x:c r="A707" s="2" t="str">
        <x:v>E6</x:v>
      </x:c>
      <x:c r="B707" s="2" t="str">
        <x:v>有信贷记录</x:v>
      </x:c>
      <x:c r="C707" s="2" t="str">
        <x:v>销项_有效绝对额</x:v>
      </x:c>
      <x:c r="D707" s="2" t="n">
        <x:v>400113425.32000005</x:v>
      </x:c>
      <x:c r="E707" s="2" t="n">
        <x:v>-108891858.095</x:v>
      </x:c>
      <x:c r="F707" s="2" t="n">
        <x:v>188656259.785</x:v>
      </x:c>
      <x:c r="G707" s="2" t="str">
        <x:v>原始表保留；建模表缩尾</x:v>
      </x:c>
    </x:row>
    <x:row r="708" ht="15" hidden="0" customHeight="1">
      <x:c r="A708" s="2" t="str">
        <x:v>E7</x:v>
      </x:c>
      <x:c r="B708" s="2" t="str">
        <x:v>有信贷记录</x:v>
      </x:c>
      <x:c r="C708" s="2" t="str">
        <x:v>销项_有效绝对额</x:v>
      </x:c>
      <x:c r="D708" s="2" t="n">
        <x:v>1054333371.88</x:v>
      </x:c>
      <x:c r="E708" s="2" t="n">
        <x:v>-108891858.095</x:v>
      </x:c>
      <x:c r="F708" s="2" t="n">
        <x:v>188656259.785</x:v>
      </x:c>
      <x:c r="G708" s="2" t="str">
        <x:v>原始表保留；建模表缩尾</x:v>
      </x:c>
    </x:row>
    <x:row r="709" ht="15" hidden="0" customHeight="1">
      <x:c r="A709" s="2" t="str">
        <x:v>E8</x:v>
      </x:c>
      <x:c r="B709" s="2" t="str">
        <x:v>有信贷记录</x:v>
      </x:c>
      <x:c r="C709" s="2" t="str">
        <x:v>销项_有效绝对额</x:v>
      </x:c>
      <x:c r="D709" s="2" t="n">
        <x:v>411376253.66999996</x:v>
      </x:c>
      <x:c r="E709" s="2" t="n">
        <x:v>-108891858.095</x:v>
      </x:c>
      <x:c r="F709" s="2" t="n">
        <x:v>188656259.785</x:v>
      </x:c>
      <x:c r="G709" s="2" t="str">
        <x:v>原始表保留；建模表缩尾</x:v>
      </x:c>
    </x:row>
    <x:row r="710" ht="15" hidden="0" customHeight="1">
      <x:c r="A710" s="2" t="str">
        <x:v>E9</x:v>
      </x:c>
      <x:c r="B710" s="2" t="str">
        <x:v>有信贷记录</x:v>
      </x:c>
      <x:c r="C710" s="2" t="str">
        <x:v>销项_有效绝对额</x:v>
      </x:c>
      <x:c r="D710" s="2" t="n">
        <x:v>390731046.55</x:v>
      </x:c>
      <x:c r="E710" s="2" t="n">
        <x:v>-108891858.095</x:v>
      </x:c>
      <x:c r="F710" s="2" t="n">
        <x:v>188656259.785</x:v>
      </x:c>
      <x:c r="G710" s="2" t="str">
        <x:v>原始表保留；建模表缩尾</x:v>
      </x:c>
    </x:row>
    <x:row r="711" ht="15" hidden="0" customHeight="1">
      <x:c r="A711" s="2" t="str">
        <x:v>E10</x:v>
      </x:c>
      <x:c r="B711" s="2" t="str">
        <x:v>有信贷记录</x:v>
      </x:c>
      <x:c r="C711" s="2" t="str">
        <x:v>销项_有效绝对额</x:v>
      </x:c>
      <x:c r="D711" s="2" t="n">
        <x:v>353606289.58</x:v>
      </x:c>
      <x:c r="E711" s="2" t="n">
        <x:v>-108891858.095</x:v>
      </x:c>
      <x:c r="F711" s="2" t="n">
        <x:v>188656259.785</x:v>
      </x:c>
      <x:c r="G711" s="2" t="str">
        <x:v>原始表保留；建模表缩尾</x:v>
      </x:c>
    </x:row>
    <x:row r="712" ht="15" hidden="0" customHeight="1">
      <x:c r="A712" s="2" t="str">
        <x:v>E12</x:v>
      </x:c>
      <x:c r="B712" s="2" t="str">
        <x:v>有信贷记录</x:v>
      </x:c>
      <x:c r="C712" s="2" t="str">
        <x:v>销项_有效绝对额</x:v>
      </x:c>
      <x:c r="D712" s="2" t="n">
        <x:v>245003020.51</x:v>
      </x:c>
      <x:c r="E712" s="2" t="n">
        <x:v>-108891858.095</x:v>
      </x:c>
      <x:c r="F712" s="2" t="n">
        <x:v>188656259.785</x:v>
      </x:c>
      <x:c r="G712" s="2" t="str">
        <x:v>原始表保留；建模表缩尾</x:v>
      </x:c>
    </x:row>
    <x:row r="713" ht="15" hidden="0" customHeight="1">
      <x:c r="A713" s="2" t="str">
        <x:v>E13</x:v>
      </x:c>
      <x:c r="B713" s="2" t="str">
        <x:v>有信贷记录</x:v>
      </x:c>
      <x:c r="C713" s="2" t="str">
        <x:v>销项_有效绝对额</x:v>
      </x:c>
      <x:c r="D713" s="2" t="n">
        <x:v>252910519.78</x:v>
      </x:c>
      <x:c r="E713" s="2" t="n">
        <x:v>-108891858.095</x:v>
      </x:c>
      <x:c r="F713" s="2" t="n">
        <x:v>188656259.785</x:v>
      </x:c>
      <x:c r="G713" s="2" t="str">
        <x:v>原始表保留；建模表缩尾</x:v>
      </x:c>
    </x:row>
    <x:row r="714" ht="15" hidden="0" customHeight="1">
      <x:c r="A714" s="2" t="str">
        <x:v>E14</x:v>
      </x:c>
      <x:c r="B714" s="2" t="str">
        <x:v>有信贷记录</x:v>
      </x:c>
      <x:c r="C714" s="2" t="str">
        <x:v>销项_有效绝对额</x:v>
      </x:c>
      <x:c r="D714" s="2" t="n">
        <x:v>246959854.71</x:v>
      </x:c>
      <x:c r="E714" s="2" t="n">
        <x:v>-108891858.095</x:v>
      </x:c>
      <x:c r="F714" s="2" t="n">
        <x:v>188656259.785</x:v>
      </x:c>
      <x:c r="G714" s="2" t="str">
        <x:v>原始表保留；建模表缩尾</x:v>
      </x:c>
    </x:row>
    <x:row r="715" ht="15" hidden="0" customHeight="1">
      <x:c r="A715" s="2" t="str">
        <x:v>E15</x:v>
      </x:c>
      <x:c r="B715" s="2" t="str">
        <x:v>有信贷记录</x:v>
      </x:c>
      <x:c r="C715" s="2" t="str">
        <x:v>销项_有效绝对额</x:v>
      </x:c>
      <x:c r="D715" s="2" t="n">
        <x:v>219600852.16000003</x:v>
      </x:c>
      <x:c r="E715" s="2" t="n">
        <x:v>-108891858.095</x:v>
      </x:c>
      <x:c r="F715" s="2" t="n">
        <x:v>188656259.785</x:v>
      </x:c>
      <x:c r="G715" s="2" t="str">
        <x:v>原始表保留；建模表缩尾</x:v>
      </x:c>
    </x:row>
    <x:row r="716" ht="15" hidden="0" customHeight="1">
      <x:c r="A716" s="2" t="str">
        <x:v>E16</x:v>
      </x:c>
      <x:c r="B716" s="2" t="str">
        <x:v>有信贷记录</x:v>
      </x:c>
      <x:c r="C716" s="2" t="str">
        <x:v>销项_有效绝对额</x:v>
      </x:c>
      <x:c r="D716" s="2" t="n">
        <x:v>213556685.94</x:v>
      </x:c>
      <x:c r="E716" s="2" t="n">
        <x:v>-108891858.095</x:v>
      </x:c>
      <x:c r="F716" s="2" t="n">
        <x:v>188656259.785</x:v>
      </x:c>
      <x:c r="G716" s="2" t="str">
        <x:v>原始表保留；建模表缩尾</x:v>
      </x:c>
    </x:row>
    <x:row r="717" ht="15" hidden="0" customHeight="1">
      <x:c r="A717" s="2" t="str">
        <x:v>E18</x:v>
      </x:c>
      <x:c r="B717" s="2" t="str">
        <x:v>有信贷记录</x:v>
      </x:c>
      <x:c r="C717" s="2" t="str">
        <x:v>销项_有效绝对额</x:v>
      </x:c>
      <x:c r="D717" s="2" t="n">
        <x:v>199796470.97</x:v>
      </x:c>
      <x:c r="E717" s="2" t="n">
        <x:v>-108891858.095</x:v>
      </x:c>
      <x:c r="F717" s="2" t="n">
        <x:v>188656259.785</x:v>
      </x:c>
      <x:c r="G717" s="2" t="str">
        <x:v>原始表保留；建模表缩尾</x:v>
      </x:c>
    </x:row>
    <x:row r="718" ht="15" hidden="0" customHeight="1">
      <x:c r="A718" s="2" t="str">
        <x:v>E19</x:v>
      </x:c>
      <x:c r="B718" s="2" t="str">
        <x:v>有信贷记录</x:v>
      </x:c>
      <x:c r="C718" s="2" t="str">
        <x:v>销项_有效绝对额</x:v>
      </x:c>
      <x:c r="D718" s="2" t="n">
        <x:v>218754375.16000003</x:v>
      </x:c>
      <x:c r="E718" s="2" t="n">
        <x:v>-108891858.095</x:v>
      </x:c>
      <x:c r="F718" s="2" t="n">
        <x:v>188656259.785</x:v>
      </x:c>
      <x:c r="G718" s="2" t="str">
        <x:v>原始表保留；建模表缩尾</x:v>
      </x:c>
    </x:row>
    <x:row r="719" ht="15" hidden="0" customHeight="1">
      <x:c r="A719" s="2" t="str">
        <x:v>E20</x:v>
      </x:c>
      <x:c r="B719" s="2" t="str">
        <x:v>有信贷记录</x:v>
      </x:c>
      <x:c r="C719" s="2" t="str">
        <x:v>销项_有效绝对额</x:v>
      </x:c>
      <x:c r="D719" s="2" t="n">
        <x:v>222122058.8</x:v>
      </x:c>
      <x:c r="E719" s="2" t="n">
        <x:v>-108891858.095</x:v>
      </x:c>
      <x:c r="F719" s="2" t="n">
        <x:v>188656259.785</x:v>
      </x:c>
      <x:c r="G719" s="2" t="str">
        <x:v>原始表保留；建模表缩尾</x:v>
      </x:c>
    </x:row>
    <x:row r="720" ht="15" hidden="0" customHeight="1">
      <x:c r="A720" s="2" t="str">
        <x:v>E23</x:v>
      </x:c>
      <x:c r="B720" s="2" t="str">
        <x:v>有信贷记录</x:v>
      </x:c>
      <x:c r="C720" s="2" t="str">
        <x:v>销项_有效绝对额</x:v>
      </x:c>
      <x:c r="D720" s="2" t="n">
        <x:v>214276359.81</x:v>
      </x:c>
      <x:c r="E720" s="2" t="n">
        <x:v>-108891858.095</x:v>
      </x:c>
      <x:c r="F720" s="2" t="n">
        <x:v>188656259.785</x:v>
      </x:c>
      <x:c r="G720" s="2" t="str">
        <x:v>原始表保留；建模表缩尾</x:v>
      </x:c>
    </x:row>
    <x:row r="721" ht="15" hidden="0" customHeight="1">
      <x:c r="A721" s="2" t="str">
        <x:v>E124</x:v>
      </x:c>
      <x:c r="B721" s="2" t="str">
        <x:v>无信贷记录</x:v>
      </x:c>
      <x:c r="C721" s="2" t="str">
        <x:v>销项_有效绝对额</x:v>
      </x:c>
      <x:c r="D721" s="2" t="n">
        <x:v>880804606.17</x:v>
      </x:c>
      <x:c r="E721" s="2" t="n">
        <x:v>-108891858.095</x:v>
      </x:c>
      <x:c r="F721" s="2" t="n">
        <x:v>188656259.785</x:v>
      </x:c>
      <x:c r="G721" s="2" t="str">
        <x:v>原始表保留；建模表缩尾</x:v>
      </x:c>
    </x:row>
    <x:row r="722" ht="15" hidden="0" customHeight="1">
      <x:c r="A722" s="2" t="str">
        <x:v>E125</x:v>
      </x:c>
      <x:c r="B722" s="2" t="str">
        <x:v>无信贷记录</x:v>
      </x:c>
      <x:c r="C722" s="2" t="str">
        <x:v>销项_有效绝对额</x:v>
      </x:c>
      <x:c r="D722" s="2" t="n">
        <x:v>1097347967.9499998</x:v>
      </x:c>
      <x:c r="E722" s="2" t="n">
        <x:v>-108891858.095</x:v>
      </x:c>
      <x:c r="F722" s="2" t="n">
        <x:v>188656259.785</x:v>
      </x:c>
      <x:c r="G722" s="2" t="str">
        <x:v>原始表保留；建模表缩尾</x:v>
      </x:c>
    </x:row>
    <x:row r="723" ht="15" hidden="0" customHeight="1">
      <x:c r="A723" s="2" t="str">
        <x:v>E126</x:v>
      </x:c>
      <x:c r="B723" s="2" t="str">
        <x:v>无信贷记录</x:v>
      </x:c>
      <x:c r="C723" s="2" t="str">
        <x:v>销项_有效绝对额</x:v>
      </x:c>
      <x:c r="D723" s="2" t="n">
        <x:v>573569899.72</x:v>
      </x:c>
      <x:c r="E723" s="2" t="n">
        <x:v>-108891858.095</x:v>
      </x:c>
      <x:c r="F723" s="2" t="n">
        <x:v>188656259.785</x:v>
      </x:c>
      <x:c r="G723" s="2" t="str">
        <x:v>原始表保留；建模表缩尾</x:v>
      </x:c>
    </x:row>
    <x:row r="724" ht="15" hidden="0" customHeight="1">
      <x:c r="A724" s="2" t="str">
        <x:v>E127</x:v>
      </x:c>
      <x:c r="B724" s="2" t="str">
        <x:v>无信贷记录</x:v>
      </x:c>
      <x:c r="C724" s="2" t="str">
        <x:v>销项_有效绝对额</x:v>
      </x:c>
      <x:c r="D724" s="2" t="n">
        <x:v>674253327.53</x:v>
      </x:c>
      <x:c r="E724" s="2" t="n">
        <x:v>-108891858.095</x:v>
      </x:c>
      <x:c r="F724" s="2" t="n">
        <x:v>188656259.785</x:v>
      </x:c>
      <x:c r="G724" s="2" t="str">
        <x:v>原始表保留；建模表缩尾</x:v>
      </x:c>
    </x:row>
    <x:row r="725" ht="15" hidden="0" customHeight="1">
      <x:c r="A725" s="2" t="str">
        <x:v>E128</x:v>
      </x:c>
      <x:c r="B725" s="2" t="str">
        <x:v>无信贷记录</x:v>
      </x:c>
      <x:c r="C725" s="2" t="str">
        <x:v>销项_有效绝对额</x:v>
      </x:c>
      <x:c r="D725" s="2" t="n">
        <x:v>250689218.79</x:v>
      </x:c>
      <x:c r="E725" s="2" t="n">
        <x:v>-108891858.095</x:v>
      </x:c>
      <x:c r="F725" s="2" t="n">
        <x:v>188656259.785</x:v>
      </x:c>
      <x:c r="G725" s="2" t="str">
        <x:v>原始表保留；建模表缩尾</x:v>
      </x:c>
    </x:row>
    <x:row r="726" ht="15" hidden="0" customHeight="1">
      <x:c r="A726" s="2" t="str">
        <x:v>E129</x:v>
      </x:c>
      <x:c r="B726" s="2" t="str">
        <x:v>无信贷记录</x:v>
      </x:c>
      <x:c r="C726" s="2" t="str">
        <x:v>销项_有效绝对额</x:v>
      </x:c>
      <x:c r="D726" s="2" t="n">
        <x:v>388511348.32</x:v>
      </x:c>
      <x:c r="E726" s="2" t="n">
        <x:v>-108891858.095</x:v>
      </x:c>
      <x:c r="F726" s="2" t="n">
        <x:v>188656259.785</x:v>
      </x:c>
      <x:c r="G726" s="2" t="str">
        <x:v>原始表保留；建模表缩尾</x:v>
      </x:c>
    </x:row>
    <x:row r="727" ht="15" hidden="0" customHeight="1">
      <x:c r="A727" s="2" t="str">
        <x:v>E131</x:v>
      </x:c>
      <x:c r="B727" s="2" t="str">
        <x:v>无信贷记录</x:v>
      </x:c>
      <x:c r="C727" s="2" t="str">
        <x:v>销项_有效绝对额</x:v>
      </x:c>
      <x:c r="D727" s="2" t="n">
        <x:v>246959854.71</x:v>
      </x:c>
      <x:c r="E727" s="2" t="n">
        <x:v>-108891858.095</x:v>
      </x:c>
      <x:c r="F727" s="2" t="n">
        <x:v>188656259.785</x:v>
      </x:c>
      <x:c r="G727" s="2" t="str">
        <x:v>原始表保留；建模表缩尾</x:v>
      </x:c>
    </x:row>
    <x:row r="728" ht="15" hidden="0" customHeight="1">
      <x:c r="A728" s="2" t="str">
        <x:v>E132</x:v>
      </x:c>
      <x:c r="B728" s="2" t="str">
        <x:v>无信贷记录</x:v>
      </x:c>
      <x:c r="C728" s="2" t="str">
        <x:v>销项_有效绝对额</x:v>
      </x:c>
      <x:c r="D728" s="2" t="n">
        <x:v>226278037.94</x:v>
      </x:c>
      <x:c r="E728" s="2" t="n">
        <x:v>-108891858.095</x:v>
      </x:c>
      <x:c r="F728" s="2" t="n">
        <x:v>188656259.785</x:v>
      </x:c>
      <x:c r="G728" s="2" t="str">
        <x:v>原始表保留；建模表缩尾</x:v>
      </x:c>
    </x:row>
    <x:row r="729" ht="15" hidden="0" customHeight="1">
      <x:c r="A729" s="2" t="str">
        <x:v>E139</x:v>
      </x:c>
      <x:c r="B729" s="2" t="str">
        <x:v>无信贷记录</x:v>
      </x:c>
      <x:c r="C729" s="2" t="str">
        <x:v>销项_有效绝对额</x:v>
      </x:c>
      <x:c r="D729" s="2" t="n">
        <x:v>198566456.93</x:v>
      </x:c>
      <x:c r="E729" s="2" t="n">
        <x:v>-108891858.095</x:v>
      </x:c>
      <x:c r="F729" s="2" t="n">
        <x:v>188656259.785</x:v>
      </x:c>
      <x:c r="G729" s="2" t="str">
        <x:v>原始表保留；建模表缩尾</x:v>
      </x:c>
    </x:row>
    <x:row r="730" ht="15" hidden="0" customHeight="1">
      <x:c r="A730" s="2" t="str">
        <x:v>E140</x:v>
      </x:c>
      <x:c r="B730" s="2" t="str">
        <x:v>无信贷记录</x:v>
      </x:c>
      <x:c r="C730" s="2" t="str">
        <x:v>销项_有效绝对额</x:v>
      </x:c>
      <x:c r="D730" s="2" t="n">
        <x:v>196294104.92000002</x:v>
      </x:c>
      <x:c r="E730" s="2" t="n">
        <x:v>-108891858.095</x:v>
      </x:c>
      <x:c r="F730" s="2" t="n">
        <x:v>188656259.785</x:v>
      </x:c>
      <x:c r="G730" s="2" t="str">
        <x:v>原始表保留；建模表缩尾</x:v>
      </x:c>
    </x:row>
    <x:row r="731" ht="15" hidden="0" customHeight="1">
      <x:c r="A731" s="2" t="str">
        <x:v>E147</x:v>
      </x:c>
      <x:c r="B731" s="2" t="str">
        <x:v>无信贷记录</x:v>
      </x:c>
      <x:c r="C731" s="2" t="str">
        <x:v>销项_有效绝对额</x:v>
      </x:c>
      <x:c r="D731" s="2" t="n">
        <x:v>202654229.19</x:v>
      </x:c>
      <x:c r="E731" s="2" t="n">
        <x:v>-108891858.095</x:v>
      </x:c>
      <x:c r="F731" s="2" t="n">
        <x:v>188656259.785</x:v>
      </x:c>
      <x:c r="G731" s="2" t="str">
        <x:v>原始表保留；建模表缩尾</x:v>
      </x:c>
    </x:row>
    <x:row r="732" ht="15" hidden="0" customHeight="1">
      <x:c r="A732" s="2" t="str">
        <x:v>E153</x:v>
      </x:c>
      <x:c r="B732" s="2" t="str">
        <x:v>无信贷记录</x:v>
      </x:c>
      <x:c r="C732" s="2" t="str">
        <x:v>销项_有效绝对额</x:v>
      </x:c>
      <x:c r="D732" s="2" t="n">
        <x:v>256439442.28</x:v>
      </x:c>
      <x:c r="E732" s="2" t="n">
        <x:v>-108891858.095</x:v>
      </x:c>
      <x:c r="F732" s="2" t="n">
        <x:v>188656259.785</x:v>
      </x:c>
      <x:c r="G732" s="2" t="str">
        <x:v>原始表保留；建模表缩尾</x:v>
      </x:c>
    </x:row>
    <x:row r="733" ht="15" hidden="0" customHeight="1">
      <x:c r="A733" s="2" t="str">
        <x:v>E156</x:v>
      </x:c>
      <x:c r="B733" s="2" t="str">
        <x:v>无信贷记录</x:v>
      </x:c>
      <x:c r="C733" s="2" t="str">
        <x:v>销项_有效绝对额</x:v>
      </x:c>
      <x:c r="D733" s="2" t="n">
        <x:v>198042232.14</x:v>
      </x:c>
      <x:c r="E733" s="2" t="n">
        <x:v>-108891858.095</x:v>
      </x:c>
      <x:c r="F733" s="2" t="n">
        <x:v>188656259.785</x:v>
      </x:c>
      <x:c r="G733" s="2" t="str">
        <x:v>原始表保留；建模表缩尾</x:v>
      </x:c>
    </x:row>
    <x:row r="734" ht="15" hidden="0" customHeight="1">
      <x:c r="A734" s="2" t="str">
        <x:v>E162</x:v>
      </x:c>
      <x:c r="B734" s="2" t="str">
        <x:v>无信贷记录</x:v>
      </x:c>
      <x:c r="C734" s="2" t="str">
        <x:v>销项_有效绝对额</x:v>
      </x:c>
      <x:c r="D734" s="2" t="n">
        <x:v>198120519.29000002</x:v>
      </x:c>
      <x:c r="E734" s="2" t="n">
        <x:v>-108891858.095</x:v>
      </x:c>
      <x:c r="F734" s="2" t="n">
        <x:v>188656259.785</x:v>
      </x:c>
      <x:c r="G734" s="2" t="str">
        <x:v>原始表保留；建模表缩尾</x:v>
      </x:c>
    </x:row>
    <x:row r="735" ht="15" hidden="0" customHeight="1">
      <x:c r="A735" s="2" t="str">
        <x:v>E191</x:v>
      </x:c>
      <x:c r="B735" s="2" t="str">
        <x:v>无信贷记录</x:v>
      </x:c>
      <x:c r="C735" s="2" t="str">
        <x:v>销项_有效绝对额</x:v>
      </x:c>
      <x:c r="D735" s="2" t="n">
        <x:v>298536797.41999996</x:v>
      </x:c>
      <x:c r="E735" s="2" t="n">
        <x:v>-108891858.095</x:v>
      </x:c>
      <x:c r="F735" s="2" t="n">
        <x:v>188656259.785</x:v>
      </x:c>
      <x:c r="G735" s="2" t="str">
        <x:v>原始表保留；建模表缩尾</x:v>
      </x:c>
    </x:row>
    <x:row r="736" ht="15" hidden="0" customHeight="1">
      <x:c r="A736" s="2" t="str">
        <x:v>E1</x:v>
      </x:c>
      <x:c r="B736" s="2" t="str">
        <x:v>有信贷记录</x:v>
      </x:c>
      <x:c r="C736" s="2" t="str">
        <x:v>销项_交易对手数</x:v>
      </x:c>
      <x:c r="D736" s="2" t="n">
        <x:v>360</x:v>
      </x:c>
      <x:c r="E736" s="2" t="n">
        <x:v>-144</x:v>
      </x:c>
      <x:c r="F736" s="2" t="n">
        <x:v>280</x:v>
      </x:c>
      <x:c r="G736" s="2" t="str">
        <x:v>原始表保留；建模表缩尾</x:v>
      </x:c>
    </x:row>
    <x:row r="737" ht="15" hidden="0" customHeight="1">
      <x:c r="A737" s="2" t="str">
        <x:v>E2</x:v>
      </x:c>
      <x:c r="B737" s="2" t="str">
        <x:v>有信贷记录</x:v>
      </x:c>
      <x:c r="C737" s="2" t="str">
        <x:v>销项_交易对手数</x:v>
      </x:c>
      <x:c r="D737" s="2" t="n">
        <x:v>1611</x:v>
      </x:c>
      <x:c r="E737" s="2" t="n">
        <x:v>-144</x:v>
      </x:c>
      <x:c r="F737" s="2" t="n">
        <x:v>280</x:v>
      </x:c>
      <x:c r="G737" s="2" t="str">
        <x:v>原始表保留；建模表缩尾</x:v>
      </x:c>
    </x:row>
    <x:row r="738" ht="15" hidden="0" customHeight="1">
      <x:c r="A738" s="2" t="str">
        <x:v>E7</x:v>
      </x:c>
      <x:c r="B738" s="2" t="str">
        <x:v>有信贷记录</x:v>
      </x:c>
      <x:c r="C738" s="2" t="str">
        <x:v>销项_交易对手数</x:v>
      </x:c>
      <x:c r="D738" s="2" t="n">
        <x:v>1216</x:v>
      </x:c>
      <x:c r="E738" s="2" t="n">
        <x:v>-144</x:v>
      </x:c>
      <x:c r="F738" s="2" t="n">
        <x:v>280</x:v>
      </x:c>
      <x:c r="G738" s="2" t="str">
        <x:v>原始表保留；建模表缩尾</x:v>
      </x:c>
    </x:row>
    <x:row r="739" ht="15" hidden="0" customHeight="1">
      <x:c r="A739" s="2" t="str">
        <x:v>E8</x:v>
      </x:c>
      <x:c r="B739" s="2" t="str">
        <x:v>有信贷记录</x:v>
      </x:c>
      <x:c r="C739" s="2" t="str">
        <x:v>销项_交易对手数</x:v>
      </x:c>
      <x:c r="D739" s="2" t="n">
        <x:v>2731</x:v>
      </x:c>
      <x:c r="E739" s="2" t="n">
        <x:v>-144</x:v>
      </x:c>
      <x:c r="F739" s="2" t="n">
        <x:v>280</x:v>
      </x:c>
      <x:c r="G739" s="2" t="str">
        <x:v>原始表保留；建模表缩尾</x:v>
      </x:c>
    </x:row>
    <x:row r="740" ht="15" hidden="0" customHeight="1">
      <x:c r="A740" s="2" t="str">
        <x:v>E13</x:v>
      </x:c>
      <x:c r="B740" s="2" t="str">
        <x:v>有信贷记录</x:v>
      </x:c>
      <x:c r="C740" s="2" t="str">
        <x:v>销项_交易对手数</x:v>
      </x:c>
      <x:c r="D740" s="2" t="n">
        <x:v>3265</x:v>
      </x:c>
      <x:c r="E740" s="2" t="n">
        <x:v>-144</x:v>
      </x:c>
      <x:c r="F740" s="2" t="n">
        <x:v>280</x:v>
      </x:c>
      <x:c r="G740" s="2" t="str">
        <x:v>原始表保留；建模表缩尾</x:v>
      </x:c>
    </x:row>
    <x:row r="741" ht="15" hidden="0" customHeight="1">
      <x:c r="A741" s="2" t="str">
        <x:v>E14</x:v>
      </x:c>
      <x:c r="B741" s="2" t="str">
        <x:v>有信贷记录</x:v>
      </x:c>
      <x:c r="C741" s="2" t="str">
        <x:v>销项_交易对手数</x:v>
      </x:c>
      <x:c r="D741" s="2" t="n">
        <x:v>829</x:v>
      </x:c>
      <x:c r="E741" s="2" t="n">
        <x:v>-144</x:v>
      </x:c>
      <x:c r="F741" s="2" t="n">
        <x:v>280</x:v>
      </x:c>
      <x:c r="G741" s="2" t="str">
        <x:v>原始表保留；建模表缩尾</x:v>
      </x:c>
    </x:row>
    <x:row r="742" ht="15" hidden="0" customHeight="1">
      <x:c r="A742" s="2" t="str">
        <x:v>E19</x:v>
      </x:c>
      <x:c r="B742" s="2" t="str">
        <x:v>有信贷记录</x:v>
      </x:c>
      <x:c r="C742" s="2" t="str">
        <x:v>销项_交易对手数</x:v>
      </x:c>
      <x:c r="D742" s="2" t="n">
        <x:v>516</x:v>
      </x:c>
      <x:c r="E742" s="2" t="n">
        <x:v>-144</x:v>
      </x:c>
      <x:c r="F742" s="2" t="n">
        <x:v>280</x:v>
      </x:c>
      <x:c r="G742" s="2" t="str">
        <x:v>原始表保留；建模表缩尾</x:v>
      </x:c>
    </x:row>
    <x:row r="743" ht="15" hidden="0" customHeight="1">
      <x:c r="A743" s="2" t="str">
        <x:v>E21</x:v>
      </x:c>
      <x:c r="B743" s="2" t="str">
        <x:v>有信贷记录</x:v>
      </x:c>
      <x:c r="C743" s="2" t="str">
        <x:v>销项_交易对手数</x:v>
      </x:c>
      <x:c r="D743" s="2" t="n">
        <x:v>338</x:v>
      </x:c>
      <x:c r="E743" s="2" t="n">
        <x:v>-144</x:v>
      </x:c>
      <x:c r="F743" s="2" t="n">
        <x:v>280</x:v>
      </x:c>
      <x:c r="G743" s="2" t="str">
        <x:v>原始表保留；建模表缩尾</x:v>
      </x:c>
    </x:row>
    <x:row r="744" ht="15" hidden="0" customHeight="1">
      <x:c r="A744" s="2" t="str">
        <x:v>E40</x:v>
      </x:c>
      <x:c r="B744" s="2" t="str">
        <x:v>有信贷记录</x:v>
      </x:c>
      <x:c r="C744" s="2" t="str">
        <x:v>销项_交易对手数</x:v>
      </x:c>
      <x:c r="D744" s="2" t="n">
        <x:v>535</x:v>
      </x:c>
      <x:c r="E744" s="2" t="n">
        <x:v>-144</x:v>
      </x:c>
      <x:c r="F744" s="2" t="n">
        <x:v>280</x:v>
      </x:c>
      <x:c r="G744" s="2" t="str">
        <x:v>原始表保留；建模表缩尾</x:v>
      </x:c>
    </x:row>
    <x:row r="745" ht="15" hidden="0" customHeight="1">
      <x:c r="A745" s="2" t="str">
        <x:v>E47</x:v>
      </x:c>
      <x:c r="B745" s="2" t="str">
        <x:v>有信贷记录</x:v>
      </x:c>
      <x:c r="C745" s="2" t="str">
        <x:v>销项_交易对手数</x:v>
      </x:c>
      <x:c r="D745" s="2" t="n">
        <x:v>767</x:v>
      </x:c>
      <x:c r="E745" s="2" t="n">
        <x:v>-144</x:v>
      </x:c>
      <x:c r="F745" s="2" t="n">
        <x:v>280</x:v>
      </x:c>
      <x:c r="G745" s="2" t="str">
        <x:v>原始表保留；建模表缩尾</x:v>
      </x:c>
    </x:row>
    <x:row r="746" ht="15" hidden="0" customHeight="1">
      <x:c r="A746" s="2" t="str">
        <x:v>E49</x:v>
      </x:c>
      <x:c r="B746" s="2" t="str">
        <x:v>有信贷记录</x:v>
      </x:c>
      <x:c r="C746" s="2" t="str">
        <x:v>销项_交易对手数</x:v>
      </x:c>
      <x:c r="D746" s="2" t="n">
        <x:v>295</x:v>
      </x:c>
      <x:c r="E746" s="2" t="n">
        <x:v>-144</x:v>
      </x:c>
      <x:c r="F746" s="2" t="n">
        <x:v>280</x:v>
      </x:c>
      <x:c r="G746" s="2" t="str">
        <x:v>原始表保留；建模表缩尾</x:v>
      </x:c>
    </x:row>
    <x:row r="747" ht="15" hidden="0" customHeight="1">
      <x:c r="A747" s="2" t="str">
        <x:v>E54</x:v>
      </x:c>
      <x:c r="B747" s="2" t="str">
        <x:v>有信贷记录</x:v>
      </x:c>
      <x:c r="C747" s="2" t="str">
        <x:v>销项_交易对手数</x:v>
      </x:c>
      <x:c r="D747" s="2" t="n">
        <x:v>1132</x:v>
      </x:c>
      <x:c r="E747" s="2" t="n">
        <x:v>-144</x:v>
      </x:c>
      <x:c r="F747" s="2" t="n">
        <x:v>280</x:v>
      </x:c>
      <x:c r="G747" s="2" t="str">
        <x:v>原始表保留；建模表缩尾</x:v>
      </x:c>
    </x:row>
    <x:row r="748" ht="15" hidden="0" customHeight="1">
      <x:c r="A748" s="2" t="str">
        <x:v>E71</x:v>
      </x:c>
      <x:c r="B748" s="2" t="str">
        <x:v>有信贷记录</x:v>
      </x:c>
      <x:c r="C748" s="2" t="str">
        <x:v>销项_交易对手数</x:v>
      </x:c>
      <x:c r="D748" s="2" t="n">
        <x:v>289</x:v>
      </x:c>
      <x:c r="E748" s="2" t="n">
        <x:v>-144</x:v>
      </x:c>
      <x:c r="F748" s="2" t="n">
        <x:v>280</x:v>
      </x:c>
      <x:c r="G748" s="2" t="str">
        <x:v>原始表保留；建模表缩尾</x:v>
      </x:c>
    </x:row>
    <x:row r="749" ht="15" hidden="0" customHeight="1">
      <x:c r="A749" s="2" t="str">
        <x:v>E75</x:v>
      </x:c>
      <x:c r="B749" s="2" t="str">
        <x:v>有信贷记录</x:v>
      </x:c>
      <x:c r="C749" s="2" t="str">
        <x:v>销项_交易对手数</x:v>
      </x:c>
      <x:c r="D749" s="2" t="n">
        <x:v>7978</x:v>
      </x:c>
      <x:c r="E749" s="2" t="n">
        <x:v>-144</x:v>
      </x:c>
      <x:c r="F749" s="2" t="n">
        <x:v>280</x:v>
      </x:c>
      <x:c r="G749" s="2" t="str">
        <x:v>原始表保留；建模表缩尾</x:v>
      </x:c>
    </x:row>
    <x:row r="750" ht="15" hidden="0" customHeight="1">
      <x:c r="A750" s="2" t="str">
        <x:v>E95</x:v>
      </x:c>
      <x:c r="B750" s="2" t="str">
        <x:v>有信贷记录</x:v>
      </x:c>
      <x:c r="C750" s="2" t="str">
        <x:v>销项_交易对手数</x:v>
      </x:c>
      <x:c r="D750" s="2" t="n">
        <x:v>489</x:v>
      </x:c>
      <x:c r="E750" s="2" t="n">
        <x:v>-144</x:v>
      </x:c>
      <x:c r="F750" s="2" t="n">
        <x:v>280</x:v>
      </x:c>
      <x:c r="G750" s="2" t="str">
        <x:v>原始表保留；建模表缩尾</x:v>
      </x:c>
    </x:row>
    <x:row r="751" ht="15" hidden="0" customHeight="1">
      <x:c r="A751" s="2" t="str">
        <x:v>E129</x:v>
      </x:c>
      <x:c r="B751" s="2" t="str">
        <x:v>无信贷记录</x:v>
      </x:c>
      <x:c r="C751" s="2" t="str">
        <x:v>销项_交易对手数</x:v>
      </x:c>
      <x:c r="D751" s="2" t="n">
        <x:v>799</x:v>
      </x:c>
      <x:c r="E751" s="2" t="n">
        <x:v>-144</x:v>
      </x:c>
      <x:c r="F751" s="2" t="n">
        <x:v>280</x:v>
      </x:c>
      <x:c r="G751" s="2" t="str">
        <x:v>原始表保留；建模表缩尾</x:v>
      </x:c>
    </x:row>
    <x:row r="752" ht="15" hidden="0" customHeight="1">
      <x:c r="A752" s="2" t="str">
        <x:v>E131</x:v>
      </x:c>
      <x:c r="B752" s="2" t="str">
        <x:v>无信贷记录</x:v>
      </x:c>
      <x:c r="C752" s="2" t="str">
        <x:v>销项_交易对手数</x:v>
      </x:c>
      <x:c r="D752" s="2" t="n">
        <x:v>826</x:v>
      </x:c>
      <x:c r="E752" s="2" t="n">
        <x:v>-144</x:v>
      </x:c>
      <x:c r="F752" s="2" t="n">
        <x:v>280</x:v>
      </x:c>
      <x:c r="G752" s="2" t="str">
        <x:v>原始表保留；建模表缩尾</x:v>
      </x:c>
    </x:row>
    <x:row r="753" ht="15" hidden="0" customHeight="1">
      <x:c r="A753" s="2" t="str">
        <x:v>E134</x:v>
      </x:c>
      <x:c r="B753" s="2" t="str">
        <x:v>无信贷记录</x:v>
      </x:c>
      <x:c r="C753" s="2" t="str">
        <x:v>销项_交易对手数</x:v>
      </x:c>
      <x:c r="D753" s="2" t="n">
        <x:v>1762</x:v>
      </x:c>
      <x:c r="E753" s="2" t="n">
        <x:v>-144</x:v>
      </x:c>
      <x:c r="F753" s="2" t="n">
        <x:v>280</x:v>
      </x:c>
      <x:c r="G753" s="2" t="str">
        <x:v>原始表保留；建模表缩尾</x:v>
      </x:c>
    </x:row>
    <x:row r="754" ht="15" hidden="0" customHeight="1">
      <x:c r="A754" s="2" t="str">
        <x:v>E141</x:v>
      </x:c>
      <x:c r="B754" s="2" t="str">
        <x:v>无信贷记录</x:v>
      </x:c>
      <x:c r="C754" s="2" t="str">
        <x:v>销项_交易对手数</x:v>
      </x:c>
      <x:c r="D754" s="2" t="n">
        <x:v>1191</x:v>
      </x:c>
      <x:c r="E754" s="2" t="n">
        <x:v>-144</x:v>
      </x:c>
      <x:c r="F754" s="2" t="n">
        <x:v>280</x:v>
      </x:c>
      <x:c r="G754" s="2" t="str">
        <x:v>原始表保留；建模表缩尾</x:v>
      </x:c>
    </x:row>
    <x:row r="755" ht="15" hidden="0" customHeight="1">
      <x:c r="A755" s="2" t="str">
        <x:v>E145</x:v>
      </x:c>
      <x:c r="B755" s="2" t="str">
        <x:v>无信贷记录</x:v>
      </x:c>
      <x:c r="C755" s="2" t="str">
        <x:v>销项_交易对手数</x:v>
      </x:c>
      <x:c r="D755" s="2" t="n">
        <x:v>412</x:v>
      </x:c>
      <x:c r="E755" s="2" t="n">
        <x:v>-144</x:v>
      </x:c>
      <x:c r="F755" s="2" t="n">
        <x:v>280</x:v>
      </x:c>
      <x:c r="G755" s="2" t="str">
        <x:v>原始表保留；建模表缩尾</x:v>
      </x:c>
    </x:row>
    <x:row r="756" ht="15" hidden="0" customHeight="1">
      <x:c r="A756" s="2" t="str">
        <x:v>E154</x:v>
      </x:c>
      <x:c r="B756" s="2" t="str">
        <x:v>无信贷记录</x:v>
      </x:c>
      <x:c r="C756" s="2" t="str">
        <x:v>销项_交易对手数</x:v>
      </x:c>
      <x:c r="D756" s="2" t="n">
        <x:v>309</x:v>
      </x:c>
      <x:c r="E756" s="2" t="n">
        <x:v>-144</x:v>
      </x:c>
      <x:c r="F756" s="2" t="n">
        <x:v>280</x:v>
      </x:c>
      <x:c r="G756" s="2" t="str">
        <x:v>原始表保留；建模表缩尾</x:v>
      </x:c>
    </x:row>
    <x:row r="757" ht="15" hidden="0" customHeight="1">
      <x:c r="A757" s="2" t="str">
        <x:v>E167</x:v>
      </x:c>
      <x:c r="B757" s="2" t="str">
        <x:v>无信贷记录</x:v>
      </x:c>
      <x:c r="C757" s="2" t="str">
        <x:v>销项_交易对手数</x:v>
      </x:c>
      <x:c r="D757" s="2" t="n">
        <x:v>2578</x:v>
      </x:c>
      <x:c r="E757" s="2" t="n">
        <x:v>-144</x:v>
      </x:c>
      <x:c r="F757" s="2" t="n">
        <x:v>280</x:v>
      </x:c>
      <x:c r="G757" s="2" t="str">
        <x:v>原始表保留；建模表缩尾</x:v>
      </x:c>
    </x:row>
    <x:row r="758" ht="15" hidden="0" customHeight="1">
      <x:c r="A758" s="2" t="str">
        <x:v>E171</x:v>
      </x:c>
      <x:c r="B758" s="2" t="str">
        <x:v>无信贷记录</x:v>
      </x:c>
      <x:c r="C758" s="2" t="str">
        <x:v>销项_交易对手数</x:v>
      </x:c>
      <x:c r="D758" s="2" t="n">
        <x:v>1458</x:v>
      </x:c>
      <x:c r="E758" s="2" t="n">
        <x:v>-144</x:v>
      </x:c>
      <x:c r="F758" s="2" t="n">
        <x:v>280</x:v>
      </x:c>
      <x:c r="G758" s="2" t="str">
        <x:v>原始表保留；建模表缩尾</x:v>
      </x:c>
    </x:row>
    <x:row r="759" ht="15" hidden="0" customHeight="1">
      <x:c r="A759" s="2" t="str">
        <x:v>E173</x:v>
      </x:c>
      <x:c r="B759" s="2" t="str">
        <x:v>无信贷记录</x:v>
      </x:c>
      <x:c r="C759" s="2" t="str">
        <x:v>销项_交易对手数</x:v>
      </x:c>
      <x:c r="D759" s="2" t="n">
        <x:v>350</x:v>
      </x:c>
      <x:c r="E759" s="2" t="n">
        <x:v>-144</x:v>
      </x:c>
      <x:c r="F759" s="2" t="n">
        <x:v>280</x:v>
      </x:c>
      <x:c r="G759" s="2" t="str">
        <x:v>原始表保留；建模表缩尾</x:v>
      </x:c>
    </x:row>
    <x:row r="760" ht="15" hidden="0" customHeight="1">
      <x:c r="A760" s="2" t="str">
        <x:v>E175</x:v>
      </x:c>
      <x:c r="B760" s="2" t="str">
        <x:v>无信贷记录</x:v>
      </x:c>
      <x:c r="C760" s="2" t="str">
        <x:v>销项_交易对手数</x:v>
      </x:c>
      <x:c r="D760" s="2" t="n">
        <x:v>1827</x:v>
      </x:c>
      <x:c r="E760" s="2" t="n">
        <x:v>-144</x:v>
      </x:c>
      <x:c r="F760" s="2" t="n">
        <x:v>280</x:v>
      </x:c>
      <x:c r="G760" s="2" t="str">
        <x:v>原始表保留；建模表缩尾</x:v>
      </x:c>
    </x:row>
    <x:row r="761" ht="15" hidden="0" customHeight="1">
      <x:c r="A761" s="2" t="str">
        <x:v>E180</x:v>
      </x:c>
      <x:c r="B761" s="2" t="str">
        <x:v>无信贷记录</x:v>
      </x:c>
      <x:c r="C761" s="2" t="str">
        <x:v>销项_交易对手数</x:v>
      </x:c>
      <x:c r="D761" s="2" t="n">
        <x:v>479</x:v>
      </x:c>
      <x:c r="E761" s="2" t="n">
        <x:v>-144</x:v>
      </x:c>
      <x:c r="F761" s="2" t="n">
        <x:v>280</x:v>
      </x:c>
      <x:c r="G761" s="2" t="str">
        <x:v>原始表保留；建模表缩尾</x:v>
      </x:c>
    </x:row>
    <x:row r="762" ht="15" hidden="0" customHeight="1">
      <x:c r="A762" s="2" t="str">
        <x:v>E185</x:v>
      </x:c>
      <x:c r="B762" s="2" t="str">
        <x:v>无信贷记录</x:v>
      </x:c>
      <x:c r="C762" s="2" t="str">
        <x:v>销项_交易对手数</x:v>
      </x:c>
      <x:c r="D762" s="2" t="n">
        <x:v>314</x:v>
      </x:c>
      <x:c r="E762" s="2" t="n">
        <x:v>-144</x:v>
      </x:c>
      <x:c r="F762" s="2" t="n">
        <x:v>280</x:v>
      </x:c>
      <x:c r="G762" s="2" t="str">
        <x:v>原始表保留；建模表缩尾</x:v>
      </x:c>
    </x:row>
    <x:row r="763" ht="15" hidden="0" customHeight="1">
      <x:c r="A763" s="2" t="str">
        <x:v>E193</x:v>
      </x:c>
      <x:c r="B763" s="2" t="str">
        <x:v>无信贷记录</x:v>
      </x:c>
      <x:c r="C763" s="2" t="str">
        <x:v>销项_交易对手数</x:v>
      </x:c>
      <x:c r="D763" s="2" t="n">
        <x:v>2537</x:v>
      </x:c>
      <x:c r="E763" s="2" t="n">
        <x:v>-144</x:v>
      </x:c>
      <x:c r="F763" s="2" t="n">
        <x:v>280</x:v>
      </x:c>
      <x:c r="G763" s="2" t="str">
        <x:v>原始表保留；建模表缩尾</x:v>
      </x:c>
    </x:row>
    <x:row r="764" ht="15" hidden="0" customHeight="1">
      <x:c r="A764" s="2" t="str">
        <x:v>E194</x:v>
      </x:c>
      <x:c r="B764" s="2" t="str">
        <x:v>无信贷记录</x:v>
      </x:c>
      <x:c r="C764" s="2" t="str">
        <x:v>销项_交易对手数</x:v>
      </x:c>
      <x:c r="D764" s="2" t="n">
        <x:v>3264</x:v>
      </x:c>
      <x:c r="E764" s="2" t="n">
        <x:v>-144</x:v>
      </x:c>
      <x:c r="F764" s="2" t="n">
        <x:v>280</x:v>
      </x:c>
      <x:c r="G764" s="2" t="str">
        <x:v>原始表保留；建模表缩尾</x:v>
      </x:c>
    </x:row>
    <x:row r="765" ht="15" hidden="0" customHeight="1">
      <x:c r="A765" s="2" t="str">
        <x:v>E195</x:v>
      </x:c>
      <x:c r="B765" s="2" t="str">
        <x:v>无信贷记录</x:v>
      </x:c>
      <x:c r="C765" s="2" t="str">
        <x:v>销项_交易对手数</x:v>
      </x:c>
      <x:c r="D765" s="2" t="n">
        <x:v>402</x:v>
      </x:c>
      <x:c r="E765" s="2" t="n">
        <x:v>-144</x:v>
      </x:c>
      <x:c r="F765" s="2" t="n">
        <x:v>280</x:v>
      </x:c>
      <x:c r="G765" s="2" t="str">
        <x:v>原始表保留；建模表缩尾</x:v>
      </x:c>
    </x:row>
    <x:row r="766" ht="15" hidden="0" customHeight="1">
      <x:c r="A766" s="2" t="str">
        <x:v>E196</x:v>
      </x:c>
      <x:c r="B766" s="2" t="str">
        <x:v>无信贷记录</x:v>
      </x:c>
      <x:c r="C766" s="2" t="str">
        <x:v>销项_交易对手数</x:v>
      </x:c>
      <x:c r="D766" s="2" t="n">
        <x:v>700</x:v>
      </x:c>
      <x:c r="E766" s="2" t="n">
        <x:v>-144</x:v>
      </x:c>
      <x:c r="F766" s="2" t="n">
        <x:v>280</x:v>
      </x:c>
      <x:c r="G766" s="2" t="str">
        <x:v>原始表保留；建模表缩尾</x:v>
      </x:c>
    </x:row>
    <x:row r="767" ht="15" hidden="0" customHeight="1">
      <x:c r="A767" s="2" t="str">
        <x:v>E197</x:v>
      </x:c>
      <x:c r="B767" s="2" t="str">
        <x:v>无信贷记录</x:v>
      </x:c>
      <x:c r="C767" s="2" t="str">
        <x:v>销项_交易对手数</x:v>
      </x:c>
      <x:c r="D767" s="2" t="n">
        <x:v>1263</x:v>
      </x:c>
      <x:c r="E767" s="2" t="n">
        <x:v>-144</x:v>
      </x:c>
      <x:c r="F767" s="2" t="n">
        <x:v>280</x:v>
      </x:c>
      <x:c r="G767" s="2" t="str">
        <x:v>原始表保留；建模表缩尾</x:v>
      </x:c>
    </x:row>
    <x:row r="768" ht="15" hidden="0" customHeight="1">
      <x:c r="A768" s="2" t="str">
        <x:v>E204</x:v>
      </x:c>
      <x:c r="B768" s="2" t="str">
        <x:v>无信贷记录</x:v>
      </x:c>
      <x:c r="C768" s="2" t="str">
        <x:v>销项_交易对手数</x:v>
      </x:c>
      <x:c r="D768" s="2" t="n">
        <x:v>418</x:v>
      </x:c>
      <x:c r="E768" s="2" t="n">
        <x:v>-144</x:v>
      </x:c>
      <x:c r="F768" s="2" t="n">
        <x:v>280</x:v>
      </x:c>
      <x:c r="G768" s="2" t="str">
        <x:v>原始表保留；建模表缩尾</x:v>
      </x:c>
    </x:row>
    <x:row r="769" ht="15" hidden="0" customHeight="1">
      <x:c r="A769" s="2" t="str">
        <x:v>E206</x:v>
      </x:c>
      <x:c r="B769" s="2" t="str">
        <x:v>无信贷记录</x:v>
      </x:c>
      <x:c r="C769" s="2" t="str">
        <x:v>销项_交易对手数</x:v>
      </x:c>
      <x:c r="D769" s="2" t="n">
        <x:v>313</x:v>
      </x:c>
      <x:c r="E769" s="2" t="n">
        <x:v>-144</x:v>
      </x:c>
      <x:c r="F769" s="2" t="n">
        <x:v>280</x:v>
      </x:c>
      <x:c r="G769" s="2" t="str">
        <x:v>原始表保留；建模表缩尾</x:v>
      </x:c>
    </x:row>
    <x:row r="770" ht="15" hidden="0" customHeight="1">
      <x:c r="A770" s="2" t="str">
        <x:v>E209</x:v>
      </x:c>
      <x:c r="B770" s="2" t="str">
        <x:v>无信贷记录</x:v>
      </x:c>
      <x:c r="C770" s="2" t="str">
        <x:v>销项_交易对手数</x:v>
      </x:c>
      <x:c r="D770" s="2" t="n">
        <x:v>574</x:v>
      </x:c>
      <x:c r="E770" s="2" t="n">
        <x:v>-144</x:v>
      </x:c>
      <x:c r="F770" s="2" t="n">
        <x:v>280</x:v>
      </x:c>
      <x:c r="G770" s="2" t="str">
        <x:v>原始表保留；建模表缩尾</x:v>
      </x:c>
    </x:row>
    <x:row r="771" ht="15" hidden="0" customHeight="1">
      <x:c r="A771" s="2" t="str">
        <x:v>E221</x:v>
      </x:c>
      <x:c r="B771" s="2" t="str">
        <x:v>无信贷记录</x:v>
      </x:c>
      <x:c r="C771" s="2" t="str">
        <x:v>销项_交易对手数</x:v>
      </x:c>
      <x:c r="D771" s="2" t="n">
        <x:v>312</x:v>
      </x:c>
      <x:c r="E771" s="2" t="n">
        <x:v>-144</x:v>
      </x:c>
      <x:c r="F771" s="2" t="n">
        <x:v>280</x:v>
      </x:c>
      <x:c r="G771" s="2" t="str">
        <x:v>原始表保留；建模表缩尾</x:v>
      </x:c>
    </x:row>
    <x:row r="772" ht="15" hidden="0" customHeight="1">
      <x:c r="A772" s="2" t="str">
        <x:v>E225</x:v>
      </x:c>
      <x:c r="B772" s="2" t="str">
        <x:v>无信贷记录</x:v>
      </x:c>
      <x:c r="C772" s="2" t="str">
        <x:v>销项_交易对手数</x:v>
      </x:c>
      <x:c r="D772" s="2" t="n">
        <x:v>476</x:v>
      </x:c>
      <x:c r="E772" s="2" t="n">
        <x:v>-144</x:v>
      </x:c>
      <x:c r="F772" s="2" t="n">
        <x:v>280</x:v>
      </x:c>
      <x:c r="G772" s="2" t="str">
        <x:v>原始表保留；建模表缩尾</x:v>
      </x:c>
    </x:row>
    <x:row r="773" ht="15" hidden="0" customHeight="1">
      <x:c r="A773" s="2" t="str">
        <x:v>E238</x:v>
      </x:c>
      <x:c r="B773" s="2" t="str">
        <x:v>无信贷记录</x:v>
      </x:c>
      <x:c r="C773" s="2" t="str">
        <x:v>销项_交易对手数</x:v>
      </x:c>
      <x:c r="D773" s="2" t="n">
        <x:v>2259</x:v>
      </x:c>
      <x:c r="E773" s="2" t="n">
        <x:v>-144</x:v>
      </x:c>
      <x:c r="F773" s="2" t="n">
        <x:v>280</x:v>
      </x:c>
      <x:c r="G773" s="2" t="str">
        <x:v>原始表保留；建模表缩尾</x:v>
      </x:c>
    </x:row>
    <x:row r="774" ht="15" hidden="0" customHeight="1">
      <x:c r="A774" s="2" t="str">
        <x:v>E260</x:v>
      </x:c>
      <x:c r="B774" s="2" t="str">
        <x:v>无信贷记录</x:v>
      </x:c>
      <x:c r="C774" s="2" t="str">
        <x:v>销项_交易对手数</x:v>
      </x:c>
      <x:c r="D774" s="2" t="n">
        <x:v>309</x:v>
      </x:c>
      <x:c r="E774" s="2" t="n">
        <x:v>-144</x:v>
      </x:c>
      <x:c r="F774" s="2" t="n">
        <x:v>280</x:v>
      </x:c>
      <x:c r="G774" s="2" t="str">
        <x:v>原始表保留；建模表缩尾</x:v>
      </x:c>
    </x:row>
    <x:row r="775" ht="15" hidden="0" customHeight="1">
      <x:c r="A775" s="2" t="str">
        <x:v>E273</x:v>
      </x:c>
      <x:c r="B775" s="2" t="str">
        <x:v>无信贷记录</x:v>
      </x:c>
      <x:c r="C775" s="2" t="str">
        <x:v>销项_交易对手数</x:v>
      </x:c>
      <x:c r="D775" s="2" t="n">
        <x:v>5133</x:v>
      </x:c>
      <x:c r="E775" s="2" t="n">
        <x:v>-144</x:v>
      </x:c>
      <x:c r="F775" s="2" t="n">
        <x:v>280</x:v>
      </x:c>
      <x:c r="G775" s="2" t="str">
        <x:v>原始表保留；建模表缩尾</x:v>
      </x:c>
    </x:row>
    <x:row r="776" ht="15" hidden="0" customHeight="1">
      <x:c r="A776" s="2" t="str">
        <x:v>E282</x:v>
      </x:c>
      <x:c r="B776" s="2" t="str">
        <x:v>无信贷记录</x:v>
      </x:c>
      <x:c r="C776" s="2" t="str">
        <x:v>销项_交易对手数</x:v>
      </x:c>
      <x:c r="D776" s="2" t="n">
        <x:v>593</x:v>
      </x:c>
      <x:c r="E776" s="2" t="n">
        <x:v>-144</x:v>
      </x:c>
      <x:c r="F776" s="2" t="n">
        <x:v>280</x:v>
      </x:c>
      <x:c r="G776" s="2" t="str">
        <x:v>原始表保留；建模表缩尾</x:v>
      </x:c>
    </x:row>
    <x:row r="777" ht="15" hidden="0" customHeight="1">
      <x:c r="A777" s="2" t="str">
        <x:v>E289</x:v>
      </x:c>
      <x:c r="B777" s="2" t="str">
        <x:v>无信贷记录</x:v>
      </x:c>
      <x:c r="C777" s="2" t="str">
        <x:v>销项_交易对手数</x:v>
      </x:c>
      <x:c r="D777" s="2" t="n">
        <x:v>405</x:v>
      </x:c>
      <x:c r="E777" s="2" t="n">
        <x:v>-144</x:v>
      </x:c>
      <x:c r="F777" s="2" t="n">
        <x:v>280</x:v>
      </x:c>
      <x:c r="G777" s="2" t="str">
        <x:v>原始表保留；建模表缩尾</x:v>
      </x:c>
    </x:row>
    <x:row r="778" ht="15" hidden="0" customHeight="1">
      <x:c r="A778" s="2" t="str">
        <x:v>E308</x:v>
      </x:c>
      <x:c r="B778" s="2" t="str">
        <x:v>无信贷记录</x:v>
      </x:c>
      <x:c r="C778" s="2" t="str">
        <x:v>销项_交易对手数</x:v>
      </x:c>
      <x:c r="D778" s="2" t="n">
        <x:v>1713</x:v>
      </x:c>
      <x:c r="E778" s="2" t="n">
        <x:v>-144</x:v>
      </x:c>
      <x:c r="F778" s="2" t="n">
        <x:v>280</x:v>
      </x:c>
      <x:c r="G778" s="2" t="str">
        <x:v>原始表保留；建模表缩尾</x:v>
      </x:c>
    </x:row>
    <x:row r="779" ht="15" hidden="0" customHeight="1">
      <x:c r="A779" s="2" t="str">
        <x:v>E310</x:v>
      </x:c>
      <x:c r="B779" s="2" t="str">
        <x:v>无信贷记录</x:v>
      </x:c>
      <x:c r="C779" s="2" t="str">
        <x:v>销项_交易对手数</x:v>
      </x:c>
      <x:c r="D779" s="2" t="n">
        <x:v>456</x:v>
      </x:c>
      <x:c r="E779" s="2" t="n">
        <x:v>-144</x:v>
      </x:c>
      <x:c r="F779" s="2" t="n">
        <x:v>280</x:v>
      </x:c>
      <x:c r="G779" s="2" t="str">
        <x:v>原始表保留；建模表缩尾</x:v>
      </x:c>
    </x:row>
    <x:row r="780" ht="15" hidden="0" customHeight="1">
      <x:c r="A780" s="2" t="str">
        <x:v>E325</x:v>
      </x:c>
      <x:c r="B780" s="2" t="str">
        <x:v>无信贷记录</x:v>
      </x:c>
      <x:c r="C780" s="2" t="str">
        <x:v>销项_交易对手数</x:v>
      </x:c>
      <x:c r="D780" s="2" t="n">
        <x:v>1519</x:v>
      </x:c>
      <x:c r="E780" s="2" t="n">
        <x:v>-144</x:v>
      </x:c>
      <x:c r="F780" s="2" t="n">
        <x:v>280</x:v>
      </x:c>
      <x:c r="G780" s="2" t="str">
        <x:v>原始表保留；建模表缩尾</x:v>
      </x:c>
    </x:row>
    <x:row r="781" ht="15" hidden="0" customHeight="1">
      <x:c r="A781" s="2" t="str">
        <x:v>E330</x:v>
      </x:c>
      <x:c r="B781" s="2" t="str">
        <x:v>无信贷记录</x:v>
      </x:c>
      <x:c r="C781" s="2" t="str">
        <x:v>销项_交易对手数</x:v>
      </x:c>
      <x:c r="D781" s="2" t="n">
        <x:v>1421</x:v>
      </x:c>
      <x:c r="E781" s="2" t="n">
        <x:v>-144</x:v>
      </x:c>
      <x:c r="F781" s="2" t="n">
        <x:v>280</x:v>
      </x:c>
      <x:c r="G781" s="2" t="str">
        <x:v>原始表保留；建模表缩尾</x:v>
      </x:c>
    </x:row>
    <x:row r="782" ht="15" hidden="0" customHeight="1">
      <x:c r="A782" s="2" t="str">
        <x:v>E348</x:v>
      </x:c>
      <x:c r="B782" s="2" t="str">
        <x:v>无信贷记录</x:v>
      </x:c>
      <x:c r="C782" s="2" t="str">
        <x:v>销项_交易对手数</x:v>
      </x:c>
      <x:c r="D782" s="2" t="n">
        <x:v>1010</x:v>
      </x:c>
      <x:c r="E782" s="2" t="n">
        <x:v>-144</x:v>
      </x:c>
      <x:c r="F782" s="2" t="n">
        <x:v>280</x:v>
      </x:c>
      <x:c r="G782" s="2" t="str">
        <x:v>原始表保留；建模表缩尾</x:v>
      </x:c>
    </x:row>
    <x:row r="783" ht="15" hidden="0" customHeight="1">
      <x:c r="A783" s="2" t="str">
        <x:v>E72</x:v>
      </x:c>
      <x:c r="B783" s="2" t="str">
        <x:v>有信贷记录</x:v>
      </x:c>
      <x:c r="C783" s="2" t="str">
        <x:v>销项_作废率</x:v>
      </x:c>
      <x:c r="D783" s="2" t="n">
        <x:v>0.2903225806451613</x:v>
      </x:c>
      <x:c r="E783" s="2" t="n">
        <x:v>-0.06634188279123085</x:v>
      </x:c>
      <x:c r="F783" s="2" t="n">
        <x:v>0.2683765582461671</x:v>
      </x:c>
      <x:c r="G783" s="2" t="str">
        <x:v>原始表保留；建模表缩尾</x:v>
      </x:c>
    </x:row>
    <x:row r="784" ht="15" hidden="0" customHeight="1">
      <x:c r="A784" s="2" t="str">
        <x:v>E90</x:v>
      </x:c>
      <x:c r="B784" s="2" t="str">
        <x:v>有信贷记录</x:v>
      </x:c>
      <x:c r="C784" s="2" t="str">
        <x:v>销项_作废率</x:v>
      </x:c>
      <x:c r="D784" s="2" t="n">
        <x:v>0.2835249042145594</x:v>
      </x:c>
      <x:c r="E784" s="2" t="n">
        <x:v>-0.06634188279123085</x:v>
      </x:c>
      <x:c r="F784" s="2" t="n">
        <x:v>0.2683765582461671</x:v>
      </x:c>
      <x:c r="G784" s="2" t="str">
        <x:v>原始表保留；建模表缩尾</x:v>
      </x:c>
    </x:row>
    <x:row r="785" ht="15" hidden="0" customHeight="1">
      <x:c r="A785" s="2" t="str">
        <x:v>E99</x:v>
      </x:c>
      <x:c r="B785" s="2" t="str">
        <x:v>有信贷记录</x:v>
      </x:c>
      <x:c r="C785" s="2" t="str">
        <x:v>销项_作废率</x:v>
      </x:c>
      <x:c r="D785" s="2" t="n">
        <x:v>0.375</x:v>
      </x:c>
      <x:c r="E785" s="2" t="n">
        <x:v>-0.06634188279123085</x:v>
      </x:c>
      <x:c r="F785" s="2" t="n">
        <x:v>0.2683765582461671</x:v>
      </x:c>
      <x:c r="G785" s="2" t="str">
        <x:v>原始表保留；建模表缩尾</x:v>
      </x:c>
    </x:row>
    <x:row r="786" ht="15" hidden="0" customHeight="1">
      <x:c r="A786" s="2" t="str">
        <x:v>E101</x:v>
      </x:c>
      <x:c r="B786" s="2" t="str">
        <x:v>有信贷记录</x:v>
      </x:c>
      <x:c r="C786" s="2" t="str">
        <x:v>销项_作废率</x:v>
      </x:c>
      <x:c r="D786" s="2" t="n">
        <x:v>0.49206349206349204</x:v>
      </x:c>
      <x:c r="E786" s="2" t="n">
        <x:v>-0.06634188279123085</x:v>
      </x:c>
      <x:c r="F786" s="2" t="n">
        <x:v>0.2683765582461671</x:v>
      </x:c>
      <x:c r="G786" s="2" t="str">
        <x:v>原始表保留；建模表缩尾</x:v>
      </x:c>
    </x:row>
    <x:row r="787" ht="15" hidden="0" customHeight="1">
      <x:c r="A787" s="2" t="str">
        <x:v>E107</x:v>
      </x:c>
      <x:c r="B787" s="2" t="str">
        <x:v>有信贷记录</x:v>
      </x:c>
      <x:c r="C787" s="2" t="str">
        <x:v>销项_作废率</x:v>
      </x:c>
      <x:c r="D787" s="2" t="n">
        <x:v>0.37037037037037035</x:v>
      </x:c>
      <x:c r="E787" s="2" t="n">
        <x:v>-0.06634188279123085</x:v>
      </x:c>
      <x:c r="F787" s="2" t="n">
        <x:v>0.2683765582461671</x:v>
      </x:c>
      <x:c r="G787" s="2" t="str">
        <x:v>原始表保留；建模表缩尾</x:v>
      </x:c>
    </x:row>
    <x:row r="788" ht="15" hidden="0" customHeight="1">
      <x:c r="A788" s="2" t="str">
        <x:v>E109</x:v>
      </x:c>
      <x:c r="B788" s="2" t="str">
        <x:v>有信贷记录</x:v>
      </x:c>
      <x:c r="C788" s="2" t="str">
        <x:v>销项_作废率</x:v>
      </x:c>
      <x:c r="D788" s="2" t="n">
        <x:v>0.30303030303030304</x:v>
      </x:c>
      <x:c r="E788" s="2" t="n">
        <x:v>-0.06634188279123085</x:v>
      </x:c>
      <x:c r="F788" s="2" t="n">
        <x:v>0.2683765582461671</x:v>
      </x:c>
      <x:c r="G788" s="2" t="str">
        <x:v>原始表保留；建模表缩尾</x:v>
      </x:c>
    </x:row>
    <x:row r="789" ht="15" hidden="0" customHeight="1">
      <x:c r="A789" s="2" t="str">
        <x:v>E112</x:v>
      </x:c>
      <x:c r="B789" s="2" t="str">
        <x:v>有信贷记录</x:v>
      </x:c>
      <x:c r="C789" s="2" t="str">
        <x:v>销项_作废率</x:v>
      </x:c>
      <x:c r="D789" s="2" t="n">
        <x:v>0.2727272727272727</x:v>
      </x:c>
      <x:c r="E789" s="2" t="n">
        <x:v>-0.06634188279123085</x:v>
      </x:c>
      <x:c r="F789" s="2" t="n">
        <x:v>0.2683765582461671</x:v>
      </x:c>
      <x:c r="G789" s="2" t="str">
        <x:v>原始表保留；建模表缩尾</x:v>
      </x:c>
    </x:row>
    <x:row r="790" ht="15" hidden="0" customHeight="1">
      <x:c r="A790" s="2" t="str">
        <x:v>E113</x:v>
      </x:c>
      <x:c r="B790" s="2" t="str">
        <x:v>有信贷记录</x:v>
      </x:c>
      <x:c r="C790" s="2" t="str">
        <x:v>销项_作废率</x:v>
      </x:c>
      <x:c r="D790" s="2" t="n">
        <x:v>0.3404255319148936</x:v>
      </x:c>
      <x:c r="E790" s="2" t="n">
        <x:v>-0.06634188279123085</x:v>
      </x:c>
      <x:c r="F790" s="2" t="n">
        <x:v>0.2683765582461671</x:v>
      </x:c>
      <x:c r="G790" s="2" t="str">
        <x:v>原始表保留；建模表缩尾</x:v>
      </x:c>
    </x:row>
    <x:row r="791" ht="15" hidden="0" customHeight="1">
      <x:c r="A791" s="2" t="str">
        <x:v>E115</x:v>
      </x:c>
      <x:c r="B791" s="2" t="str">
        <x:v>有信贷记录</x:v>
      </x:c>
      <x:c r="C791" s="2" t="str">
        <x:v>销项_作废率</x:v>
      </x:c>
      <x:c r="D791" s="2" t="n">
        <x:v>0.3333333333333333</x:v>
      </x:c>
      <x:c r="E791" s="2" t="n">
        <x:v>-0.06634188279123085</x:v>
      </x:c>
      <x:c r="F791" s="2" t="n">
        <x:v>0.2683765582461671</x:v>
      </x:c>
      <x:c r="G791" s="2" t="str">
        <x:v>原始表保留；建模表缩尾</x:v>
      </x:c>
    </x:row>
    <x:row r="792" ht="15" hidden="0" customHeight="1">
      <x:c r="A792" s="2" t="str">
        <x:v>E117</x:v>
      </x:c>
      <x:c r="B792" s="2" t="str">
        <x:v>有信贷记录</x:v>
      </x:c>
      <x:c r="C792" s="2" t="str">
        <x:v>销项_作废率</x:v>
      </x:c>
      <x:c r="D792" s="2" t="n">
        <x:v>0.4090909090909091</x:v>
      </x:c>
      <x:c r="E792" s="2" t="n">
        <x:v>-0.06634188279123085</x:v>
      </x:c>
      <x:c r="F792" s="2" t="n">
        <x:v>0.2683765582461671</x:v>
      </x:c>
      <x:c r="G792" s="2" t="str">
        <x:v>原始表保留；建模表缩尾</x:v>
      </x:c>
    </x:row>
    <x:row r="793" ht="15" hidden="0" customHeight="1">
      <x:c r="A793" s="2" t="str">
        <x:v>E120</x:v>
      </x:c>
      <x:c r="B793" s="2" t="str">
        <x:v>有信贷记录</x:v>
      </x:c>
      <x:c r="C793" s="2" t="str">
        <x:v>销项_作废率</x:v>
      </x:c>
      <x:c r="D793" s="2" t="n">
        <x:v>0.6896551724137931</x:v>
      </x:c>
      <x:c r="E793" s="2" t="n">
        <x:v>-0.06634188279123085</x:v>
      </x:c>
      <x:c r="F793" s="2" t="n">
        <x:v>0.2683765582461671</x:v>
      </x:c>
      <x:c r="G793" s="2" t="str">
        <x:v>原始表保留；建模表缩尾</x:v>
      </x:c>
    </x:row>
    <x:row r="794" ht="15" hidden="0" customHeight="1">
      <x:c r="A794" s="2" t="str">
        <x:v>E123</x:v>
      </x:c>
      <x:c r="B794" s="2" t="str">
        <x:v>有信贷记录</x:v>
      </x:c>
      <x:c r="C794" s="2" t="str">
        <x:v>销项_作废率</x:v>
      </x:c>
      <x:c r="D794" s="2" t="n">
        <x:v>0.49230769230769234</x:v>
      </x:c>
      <x:c r="E794" s="2" t="n">
        <x:v>-0.06634188279123085</x:v>
      </x:c>
      <x:c r="F794" s="2" t="n">
        <x:v>0.2683765582461671</x:v>
      </x:c>
      <x:c r="G794" s="2" t="str">
        <x:v>原始表保留；建模表缩尾</x:v>
      </x:c>
    </x:row>
    <x:row r="795" ht="15" hidden="0" customHeight="1">
      <x:c r="A795" s="2" t="str">
        <x:v>E187</x:v>
      </x:c>
      <x:c r="B795" s="2" t="str">
        <x:v>无信贷记录</x:v>
      </x:c>
      <x:c r="C795" s="2" t="str">
        <x:v>销项_作废率</x:v>
      </x:c>
      <x:c r="D795" s="2" t="n">
        <x:v>0.9090909090909091</x:v>
      </x:c>
      <x:c r="E795" s="2" t="n">
        <x:v>-0.06634188279123085</x:v>
      </x:c>
      <x:c r="F795" s="2" t="n">
        <x:v>0.2683765582461671</x:v>
      </x:c>
      <x:c r="G795" s="2" t="str">
        <x:v>原始表保留；建模表缩尾</x:v>
      </x:c>
    </x:row>
    <x:row r="796" ht="15" hidden="0" customHeight="1">
      <x:c r="A796" s="2" t="str">
        <x:v>E217</x:v>
      </x:c>
      <x:c r="B796" s="2" t="str">
        <x:v>无信贷记录</x:v>
      </x:c>
      <x:c r="C796" s="2" t="str">
        <x:v>销项_作废率</x:v>
      </x:c>
      <x:c r="D796" s="2" t="n">
        <x:v>0.9546061415220294</x:v>
      </x:c>
      <x:c r="E796" s="2" t="n">
        <x:v>-0.06634188279123085</x:v>
      </x:c>
      <x:c r="F796" s="2" t="n">
        <x:v>0.2683765582461671</x:v>
      </x:c>
      <x:c r="G796" s="2" t="str">
        <x:v>原始表保留；建模表缩尾</x:v>
      </x:c>
    </x:row>
    <x:row r="797" ht="15" hidden="0" customHeight="1">
      <x:c r="A797" s="2" t="str">
        <x:v>E218</x:v>
      </x:c>
      <x:c r="B797" s="2" t="str">
        <x:v>无信贷记录</x:v>
      </x:c>
      <x:c r="C797" s="2" t="str">
        <x:v>销项_作废率</x:v>
      </x:c>
      <x:c r="D797" s="2" t="n">
        <x:v>0.40948275862068967</x:v>
      </x:c>
      <x:c r="E797" s="2" t="n">
        <x:v>-0.06634188279123085</x:v>
      </x:c>
      <x:c r="F797" s="2" t="n">
        <x:v>0.2683765582461671</x:v>
      </x:c>
      <x:c r="G797" s="2" t="str">
        <x:v>原始表保留；建模表缩尾</x:v>
      </x:c>
    </x:row>
    <x:row r="798" ht="15" hidden="0" customHeight="1">
      <x:c r="A798" s="2" t="str">
        <x:v>E240</x:v>
      </x:c>
      <x:c r="B798" s="2" t="str">
        <x:v>无信贷记录</x:v>
      </x:c>
      <x:c r="C798" s="2" t="str">
        <x:v>销项_作废率</x:v>
      </x:c>
      <x:c r="D798" s="2" t="n">
        <x:v>0.8387096774193549</x:v>
      </x:c>
      <x:c r="E798" s="2" t="n">
        <x:v>-0.06634188279123085</x:v>
      </x:c>
      <x:c r="F798" s="2" t="n">
        <x:v>0.2683765582461671</x:v>
      </x:c>
      <x:c r="G798" s="2" t="str">
        <x:v>原始表保留；建模表缩尾</x:v>
      </x:c>
    </x:row>
    <x:row r="799" ht="15" hidden="0" customHeight="1">
      <x:c r="A799" s="2" t="str">
        <x:v>E242</x:v>
      </x:c>
      <x:c r="B799" s="2" t="str">
        <x:v>无信贷记录</x:v>
      </x:c>
      <x:c r="C799" s="2" t="str">
        <x:v>销项_作废率</x:v>
      </x:c>
      <x:c r="D799" s="2" t="n">
        <x:v>0.9315589353612167</x:v>
      </x:c>
      <x:c r="E799" s="2" t="n">
        <x:v>-0.06634188279123085</x:v>
      </x:c>
      <x:c r="F799" s="2" t="n">
        <x:v>0.2683765582461671</x:v>
      </x:c>
      <x:c r="G799" s="2" t="str">
        <x:v>原始表保留；建模表缩尾</x:v>
      </x:c>
    </x:row>
    <x:row r="800" ht="15" hidden="0" customHeight="1">
      <x:c r="A800" s="2" t="str">
        <x:v>E264</x:v>
      </x:c>
      <x:c r="B800" s="2" t="str">
        <x:v>无信贷记录</x:v>
      </x:c>
      <x:c r="C800" s="2" t="str">
        <x:v>销项_作废率</x:v>
      </x:c>
      <x:c r="D800" s="2" t="n">
        <x:v>0.9432624113475178</x:v>
      </x:c>
      <x:c r="E800" s="2" t="n">
        <x:v>-0.06634188279123085</x:v>
      </x:c>
      <x:c r="F800" s="2" t="n">
        <x:v>0.2683765582461671</x:v>
      </x:c>
      <x:c r="G800" s="2" t="str">
        <x:v>原始表保留；建模表缩尾</x:v>
      </x:c>
    </x:row>
    <x:row r="801" ht="15" hidden="0" customHeight="1">
      <x:c r="A801" s="2" t="str">
        <x:v>E282</x:v>
      </x:c>
      <x:c r="B801" s="2" t="str">
        <x:v>无信贷记录</x:v>
      </x:c>
      <x:c r="C801" s="2" t="str">
        <x:v>销项_作废率</x:v>
      </x:c>
      <x:c r="D801" s="2" t="n">
        <x:v>0.2773884175580966</x:v>
      </x:c>
      <x:c r="E801" s="2" t="n">
        <x:v>-0.06634188279123085</x:v>
      </x:c>
      <x:c r="F801" s="2" t="n">
        <x:v>0.2683765582461671</x:v>
      </x:c>
      <x:c r="G801" s="2" t="str">
        <x:v>原始表保留；建模表缩尾</x:v>
      </x:c>
    </x:row>
    <x:row r="802" ht="15" hidden="0" customHeight="1">
      <x:c r="A802" s="2" t="str">
        <x:v>E323</x:v>
      </x:c>
      <x:c r="B802" s="2" t="str">
        <x:v>无信贷记录</x:v>
      </x:c>
      <x:c r="C802" s="2" t="str">
        <x:v>销项_作废率</x:v>
      </x:c>
      <x:c r="D802" s="2" t="n">
        <x:v>0.2909090909090909</x:v>
      </x:c>
      <x:c r="E802" s="2" t="n">
        <x:v>-0.06634188279123085</x:v>
      </x:c>
      <x:c r="F802" s="2" t="n">
        <x:v>0.2683765582461671</x:v>
      </x:c>
      <x:c r="G802" s="2" t="str">
        <x:v>原始表保留；建模表缩尾</x:v>
      </x:c>
    </x:row>
    <x:row r="803" ht="15" hidden="0" customHeight="1">
      <x:c r="A803" s="2" t="str">
        <x:v>E368</x:v>
      </x:c>
      <x:c r="B803" s="2" t="str">
        <x:v>无信贷记录</x:v>
      </x:c>
      <x:c r="C803" s="2" t="str">
        <x:v>销项_作废率</x:v>
      </x:c>
      <x:c r="D803" s="2" t="n">
        <x:v>0.3125</x:v>
      </x:c>
      <x:c r="E803" s="2" t="n">
        <x:v>-0.06634188279123085</x:v>
      </x:c>
      <x:c r="F803" s="2" t="n">
        <x:v>0.2683765582461671</x:v>
      </x:c>
      <x:c r="G803" s="2" t="str">
        <x:v>原始表保留；建模表缩尾</x:v>
      </x:c>
    </x:row>
    <x:row r="804" ht="15" hidden="0" customHeight="1">
      <x:c r="A804" s="2" t="str">
        <x:v>E377</x:v>
      </x:c>
      <x:c r="B804" s="2" t="str">
        <x:v>无信贷记录</x:v>
      </x:c>
      <x:c r="C804" s="2" t="str">
        <x:v>销项_作废率</x:v>
      </x:c>
      <x:c r="D804" s="2" t="n">
        <x:v>0.3333333333333333</x:v>
      </x:c>
      <x:c r="E804" s="2" t="n">
        <x:v>-0.06634188279123085</x:v>
      </x:c>
      <x:c r="F804" s="2" t="n">
        <x:v>0.2683765582461671</x:v>
      </x:c>
      <x:c r="G804" s="2" t="str">
        <x:v>原始表保留；建模表缩尾</x:v>
      </x:c>
    </x:row>
    <x:row r="805" ht="15" hidden="0" customHeight="1">
      <x:c r="A805" s="2" t="str">
        <x:v>E379</x:v>
      </x:c>
      <x:c r="B805" s="2" t="str">
        <x:v>无信贷记录</x:v>
      </x:c>
      <x:c r="C805" s="2" t="str">
        <x:v>销项_作废率</x:v>
      </x:c>
      <x:c r="D805" s="2" t="n">
        <x:v>0.3514644351464435</x:v>
      </x:c>
      <x:c r="E805" s="2" t="n">
        <x:v>-0.06634188279123085</x:v>
      </x:c>
      <x:c r="F805" s="2" t="n">
        <x:v>0.2683765582461671</x:v>
      </x:c>
      <x:c r="G805" s="2" t="str">
        <x:v>原始表保留；建模表缩尾</x:v>
      </x:c>
    </x:row>
    <x:row r="806" ht="15" hidden="0" customHeight="1">
      <x:c r="A806" s="2" t="str">
        <x:v>E385</x:v>
      </x:c>
      <x:c r="B806" s="2" t="str">
        <x:v>无信贷记录</x:v>
      </x:c>
      <x:c r="C806" s="2" t="str">
        <x:v>销项_作废率</x:v>
      </x:c>
      <x:c r="D806" s="2" t="n">
        <x:v>0.5714285714285714</x:v>
      </x:c>
      <x:c r="E806" s="2" t="n">
        <x:v>-0.06634188279123085</x:v>
      </x:c>
      <x:c r="F806" s="2" t="n">
        <x:v>0.2683765582461671</x:v>
      </x:c>
      <x:c r="G806" s="2" t="str">
        <x:v>原始表保留；建模表缩尾</x:v>
      </x:c>
    </x:row>
    <x:row r="807" ht="15" hidden="0" customHeight="1">
      <x:c r="A807" s="2" t="str">
        <x:v>E394</x:v>
      </x:c>
      <x:c r="B807" s="2" t="str">
        <x:v>无信贷记录</x:v>
      </x:c>
      <x:c r="C807" s="2" t="str">
        <x:v>销项_作废率</x:v>
      </x:c>
      <x:c r="D807" s="2" t="n">
        <x:v>0.7341772151898734</x:v>
      </x:c>
      <x:c r="E807" s="2" t="n">
        <x:v>-0.06634188279123085</x:v>
      </x:c>
      <x:c r="F807" s="2" t="n">
        <x:v>0.2683765582461671</x:v>
      </x:c>
      <x:c r="G807" s="2" t="str">
        <x:v>原始表保留；建模表缩尾</x:v>
      </x:c>
    </x:row>
    <x:row r="808" ht="15" hidden="0" customHeight="1">
      <x:c r="A808" s="2" t="str">
        <x:v>E395</x:v>
      </x:c>
      <x:c r="B808" s="2" t="str">
        <x:v>无信贷记录</x:v>
      </x:c>
      <x:c r="C808" s="2" t="str">
        <x:v>销项_作废率</x:v>
      </x:c>
      <x:c r="D808" s="2" t="n">
        <x:v>0.3237410071942446</x:v>
      </x:c>
      <x:c r="E808" s="2" t="n">
        <x:v>-0.06634188279123085</x:v>
      </x:c>
      <x:c r="F808" s="2" t="n">
        <x:v>0.2683765582461671</x:v>
      </x:c>
      <x:c r="G808" s="2" t="str">
        <x:v>原始表保留；建模表缩尾</x:v>
      </x:c>
    </x:row>
    <x:row r="809" ht="15" hidden="0" customHeight="1">
      <x:c r="A809" s="2" t="str">
        <x:v>E397</x:v>
      </x:c>
      <x:c r="B809" s="2" t="str">
        <x:v>无信贷记录</x:v>
      </x:c>
      <x:c r="C809" s="2" t="str">
        <x:v>销项_作废率</x:v>
      </x:c>
      <x:c r="D809" s="2" t="n">
        <x:v>0.2786885245901639</x:v>
      </x:c>
      <x:c r="E809" s="2" t="n">
        <x:v>-0.06634188279123085</x:v>
      </x:c>
      <x:c r="F809" s="2" t="n">
        <x:v>0.2683765582461671</x:v>
      </x:c>
      <x:c r="G809" s="2" t="str">
        <x:v>原始表保留；建模表缩尾</x:v>
      </x:c>
    </x:row>
    <x:row r="810" ht="15" hidden="0" customHeight="1">
      <x:c r="A810" s="2" t="str">
        <x:v>E401</x:v>
      </x:c>
      <x:c r="B810" s="2" t="str">
        <x:v>无信贷记录</x:v>
      </x:c>
      <x:c r="C810" s="2" t="str">
        <x:v>销项_作废率</x:v>
      </x:c>
      <x:c r="D810" s="2" t="n">
        <x:v>0.4935064935064935</x:v>
      </x:c>
      <x:c r="E810" s="2" t="n">
        <x:v>-0.06634188279123085</x:v>
      </x:c>
      <x:c r="F810" s="2" t="n">
        <x:v>0.2683765582461671</x:v>
      </x:c>
      <x:c r="G810" s="2" t="str">
        <x:v>原始表保留；建模表缩尾</x:v>
      </x:c>
    </x:row>
    <x:row r="811" ht="15" hidden="0" customHeight="1">
      <x:c r="A811" s="2" t="str">
        <x:v>E404</x:v>
      </x:c>
      <x:c r="B811" s="2" t="str">
        <x:v>无信贷记录</x:v>
      </x:c>
      <x:c r="C811" s="2" t="str">
        <x:v>销项_作废率</x:v>
      </x:c>
      <x:c r="D811" s="2" t="n">
        <x:v>0.2857142857142857</x:v>
      </x:c>
      <x:c r="E811" s="2" t="n">
        <x:v>-0.06634188279123085</x:v>
      </x:c>
      <x:c r="F811" s="2" t="n">
        <x:v>0.2683765582461671</x:v>
      </x:c>
      <x:c r="G811" s="2" t="str">
        <x:v>原始表保留；建模表缩尾</x:v>
      </x:c>
    </x:row>
    <x:row r="812" ht="15" hidden="0" customHeight="1">
      <x:c r="A812" s="2" t="str">
        <x:v>E405</x:v>
      </x:c>
      <x:c r="B812" s="2" t="str">
        <x:v>无信贷记录</x:v>
      </x:c>
      <x:c r="C812" s="2" t="str">
        <x:v>销项_作废率</x:v>
      </x:c>
      <x:c r="D812" s="2" t="n">
        <x:v>0.4444444444444444</x:v>
      </x:c>
      <x:c r="E812" s="2" t="n">
        <x:v>-0.06634188279123085</x:v>
      </x:c>
      <x:c r="F812" s="2" t="n">
        <x:v>0.2683765582461671</x:v>
      </x:c>
      <x:c r="G812" s="2" t="str">
        <x:v>原始表保留；建模表缩尾</x:v>
      </x:c>
    </x:row>
    <x:row r="813" ht="15" hidden="0" customHeight="1">
      <x:c r="A813" s="2" t="str">
        <x:v>E407</x:v>
      </x:c>
      <x:c r="B813" s="2" t="str">
        <x:v>无信贷记录</x:v>
      </x:c>
      <x:c r="C813" s="2" t="str">
        <x:v>销项_作废率</x:v>
      </x:c>
      <x:c r="D813" s="2" t="n">
        <x:v>0.29545454545454547</x:v>
      </x:c>
      <x:c r="E813" s="2" t="n">
        <x:v>-0.06634188279123085</x:v>
      </x:c>
      <x:c r="F813" s="2" t="n">
        <x:v>0.2683765582461671</x:v>
      </x:c>
      <x:c r="G813" s="2" t="str">
        <x:v>原始表保留；建模表缩尾</x:v>
      </x:c>
    </x:row>
    <x:row r="814" ht="15" hidden="0" customHeight="1">
      <x:c r="A814" s="2" t="str">
        <x:v>E411</x:v>
      </x:c>
      <x:c r="B814" s="2" t="str">
        <x:v>无信贷记录</x:v>
      </x:c>
      <x:c r="C814" s="2" t="str">
        <x:v>销项_作废率</x:v>
      </x:c>
      <x:c r="D814" s="2" t="n">
        <x:v>0.30927835051546393</x:v>
      </x:c>
      <x:c r="E814" s="2" t="n">
        <x:v>-0.06634188279123085</x:v>
      </x:c>
      <x:c r="F814" s="2" t="n">
        <x:v>0.2683765582461671</x:v>
      </x:c>
      <x:c r="G814" s="2" t="str">
        <x:v>原始表保留；建模表缩尾</x:v>
      </x:c>
    </x:row>
    <x:row r="815" ht="15" hidden="0" customHeight="1">
      <x:c r="A815" s="2" t="str">
        <x:v>E425</x:v>
      </x:c>
      <x:c r="B815" s="2" t="str">
        <x:v>无信贷记录</x:v>
      </x:c>
      <x:c r="C815" s="2" t="str">
        <x:v>销项_作废率</x:v>
      </x:c>
      <x:c r="D815" s="2" t="n">
        <x:v>0.4444444444444444</x:v>
      </x:c>
      <x:c r="E815" s="2" t="n">
        <x:v>-0.06634188279123085</x:v>
      </x:c>
      <x:c r="F815" s="2" t="n">
        <x:v>0.2683765582461671</x:v>
      </x:c>
      <x:c r="G815" s="2" t="str">
        <x:v>原始表保留；建模表缩尾</x:v>
      </x:c>
    </x:row>
    <x:row r="816" ht="15" hidden="0" customHeight="1">
      <x:c r="A816" s="2" t="str">
        <x:v>E3</x:v>
      </x:c>
      <x:c r="B816" s="2" t="str">
        <x:v>有信贷记录</x:v>
      </x:c>
      <x:c r="C816" s="2" t="str">
        <x:v>销项_负数率</x:v>
      </x:c>
      <x:c r="D816" s="2" t="n">
        <x:v>0.18600135089496792</x:v>
      </x:c>
      <x:c r="E816" s="2" t="n">
        <x:v>-0.041666666666666664</x:v>
      </x:c>
      <x:c r="F816" s="2" t="n">
        <x:v>0.06944444444444445</x:v>
      </x:c>
      <x:c r="G816" s="2" t="str">
        <x:v>原始表保留；建模表缩尾</x:v>
      </x:c>
    </x:row>
    <x:row r="817" ht="15" hidden="0" customHeight="1">
      <x:c r="A817" s="2" t="str">
        <x:v>E7</x:v>
      </x:c>
      <x:c r="B817" s="2" t="str">
        <x:v>有信贷记录</x:v>
      </x:c>
      <x:c r="C817" s="2" t="str">
        <x:v>销项_负数率</x:v>
      </x:c>
      <x:c r="D817" s="2" t="n">
        <x:v>0.2364292828685259</x:v>
      </x:c>
      <x:c r="E817" s="2" t="n">
        <x:v>-0.041666666666666664</x:v>
      </x:c>
      <x:c r="F817" s="2" t="n">
        <x:v>0.06944444444444445</x:v>
      </x:c>
      <x:c r="G817" s="2" t="str">
        <x:v>原始表保留；建模表缩尾</x:v>
      </x:c>
    </x:row>
    <x:row r="818" ht="15" hidden="0" customHeight="1">
      <x:c r="A818" s="2" t="str">
        <x:v>E50</x:v>
      </x:c>
      <x:c r="B818" s="2" t="str">
        <x:v>有信贷记录</x:v>
      </x:c>
      <x:c r="C818" s="2" t="str">
        <x:v>销项_负数率</x:v>
      </x:c>
      <x:c r="D818" s="2" t="n">
        <x:v>0.07058823529411765</x:v>
      </x:c>
      <x:c r="E818" s="2" t="n">
        <x:v>-0.041666666666666664</x:v>
      </x:c>
      <x:c r="F818" s="2" t="n">
        <x:v>0.06944444444444445</x:v>
      </x:c>
      <x:c r="G818" s="2" t="str">
        <x:v>原始表保留；建模表缩尾</x:v>
      </x:c>
    </x:row>
    <x:row r="819" ht="15" hidden="0" customHeight="1">
      <x:c r="A819" s="2" t="str">
        <x:v>E55</x:v>
      </x:c>
      <x:c r="B819" s="2" t="str">
        <x:v>有信贷记录</x:v>
      </x:c>
      <x:c r="C819" s="2" t="str">
        <x:v>销项_负数率</x:v>
      </x:c>
      <x:c r="D819" s="2" t="n">
        <x:v>0.1580135440180587</x:v>
      </x:c>
      <x:c r="E819" s="2" t="n">
        <x:v>-0.041666666666666664</x:v>
      </x:c>
      <x:c r="F819" s="2" t="n">
        <x:v>0.06944444444444445</x:v>
      </x:c>
      <x:c r="G819" s="2" t="str">
        <x:v>原始表保留；建模表缩尾</x:v>
      </x:c>
    </x:row>
    <x:row r="820" ht="15" hidden="0" customHeight="1">
      <x:c r="A820" s="2" t="str">
        <x:v>E62</x:v>
      </x:c>
      <x:c r="B820" s="2" t="str">
        <x:v>有信贷记录</x:v>
      </x:c>
      <x:c r="C820" s="2" t="str">
        <x:v>销项_负数率</x:v>
      </x:c>
      <x:c r="D820" s="2" t="n">
        <x:v>0.12041884816753927</x:v>
      </x:c>
      <x:c r="E820" s="2" t="n">
        <x:v>-0.041666666666666664</x:v>
      </x:c>
      <x:c r="F820" s="2" t="n">
        <x:v>0.06944444444444445</x:v>
      </x:c>
      <x:c r="G820" s="2" t="str">
        <x:v>原始表保留；建模表缩尾</x:v>
      </x:c>
    </x:row>
    <x:row r="821" ht="15" hidden="0" customHeight="1">
      <x:c r="A821" s="2" t="str">
        <x:v>E69</x:v>
      </x:c>
      <x:c r="B821" s="2" t="str">
        <x:v>有信贷记录</x:v>
      </x:c>
      <x:c r="C821" s="2" t="str">
        <x:v>销项_负数率</x:v>
      </x:c>
      <x:c r="D821" s="2" t="n">
        <x:v>0.0745697896749522</x:v>
      </x:c>
      <x:c r="E821" s="2" t="n">
        <x:v>-0.041666666666666664</x:v>
      </x:c>
      <x:c r="F821" s="2" t="n">
        <x:v>0.06944444444444445</x:v>
      </x:c>
      <x:c r="G821" s="2" t="str">
        <x:v>原始表保留；建模表缩尾</x:v>
      </x:c>
    </x:row>
    <x:row r="822" ht="15" hidden="0" customHeight="1">
      <x:c r="A822" s="2" t="str">
        <x:v>E86</x:v>
      </x:c>
      <x:c r="B822" s="2" t="str">
        <x:v>有信贷记录</x:v>
      </x:c>
      <x:c r="C822" s="2" t="str">
        <x:v>销项_负数率</x:v>
      </x:c>
      <x:c r="D822" s="2" t="n">
        <x:v>0.3157894736842105</x:v>
      </x:c>
      <x:c r="E822" s="2" t="n">
        <x:v>-0.041666666666666664</x:v>
      </x:c>
      <x:c r="F822" s="2" t="n">
        <x:v>0.06944444444444445</x:v>
      </x:c>
      <x:c r="G822" s="2" t="str">
        <x:v>原始表保留；建模表缩尾</x:v>
      </x:c>
    </x:row>
    <x:row r="823" ht="15" hidden="0" customHeight="1">
      <x:c r="A823" s="2" t="str">
        <x:v>E100</x:v>
      </x:c>
      <x:c r="B823" s="2" t="str">
        <x:v>有信贷记录</x:v>
      </x:c>
      <x:c r="C823" s="2" t="str">
        <x:v>销项_负数率</x:v>
      </x:c>
      <x:c r="D823" s="2" t="n">
        <x:v>0.15306122448979592</x:v>
      </x:c>
      <x:c r="E823" s="2" t="n">
        <x:v>-0.041666666666666664</x:v>
      </x:c>
      <x:c r="F823" s="2" t="n">
        <x:v>0.06944444444444445</x:v>
      </x:c>
      <x:c r="G823" s="2" t="str">
        <x:v>原始表保留；建模表缩尾</x:v>
      </x:c>
    </x:row>
    <x:row r="824" ht="15" hidden="0" customHeight="1">
      <x:c r="A824" s="2" t="str">
        <x:v>E111</x:v>
      </x:c>
      <x:c r="B824" s="2" t="str">
        <x:v>有信贷记录</x:v>
      </x:c>
      <x:c r="C824" s="2" t="str">
        <x:v>销项_负数率</x:v>
      </x:c>
      <x:c r="D824" s="2" t="n">
        <x:v>0.13725490196078433</x:v>
      </x:c>
      <x:c r="E824" s="2" t="n">
        <x:v>-0.041666666666666664</x:v>
      </x:c>
      <x:c r="F824" s="2" t="n">
        <x:v>0.06944444444444445</x:v>
      </x:c>
      <x:c r="G824" s="2" t="str">
        <x:v>原始表保留；建模表缩尾</x:v>
      </x:c>
    </x:row>
    <x:row r="825" ht="15" hidden="0" customHeight="1">
      <x:c r="A825" s="2" t="str">
        <x:v>E122</x:v>
      </x:c>
      <x:c r="B825" s="2" t="str">
        <x:v>有信贷记录</x:v>
      </x:c>
      <x:c r="C825" s="2" t="str">
        <x:v>销项_负数率</x:v>
      </x:c>
      <x:c r="D825" s="2" t="n">
        <x:v>0.0784313725490196</x:v>
      </x:c>
      <x:c r="E825" s="2" t="n">
        <x:v>-0.041666666666666664</x:v>
      </x:c>
      <x:c r="F825" s="2" t="n">
        <x:v>0.06944444444444445</x:v>
      </x:c>
      <x:c r="G825" s="2" t="str">
        <x:v>原始表保留；建模表缩尾</x:v>
      </x:c>
    </x:row>
    <x:row r="826" ht="15" hidden="0" customHeight="1">
      <x:c r="A826" s="2" t="str">
        <x:v>E156</x:v>
      </x:c>
      <x:c r="B826" s="2" t="str">
        <x:v>无信贷记录</x:v>
      </x:c>
      <x:c r="C826" s="2" t="str">
        <x:v>销项_负数率</x:v>
      </x:c>
      <x:c r="D826" s="2" t="n">
        <x:v>0.07291666666666667</x:v>
      </x:c>
      <x:c r="E826" s="2" t="n">
        <x:v>-0.041666666666666664</x:v>
      </x:c>
      <x:c r="F826" s="2" t="n">
        <x:v>0.06944444444444445</x:v>
      </x:c>
      <x:c r="G826" s="2" t="str">
        <x:v>原始表保留；建模表缩尾</x:v>
      </x:c>
    </x:row>
    <x:row r="827" ht="15" hidden="0" customHeight="1">
      <x:c r="A827" s="2" t="str">
        <x:v>E157</x:v>
      </x:c>
      <x:c r="B827" s="2" t="str">
        <x:v>无信贷记录</x:v>
      </x:c>
      <x:c r="C827" s="2" t="str">
        <x:v>销项_负数率</x:v>
      </x:c>
      <x:c r="D827" s="2" t="n">
        <x:v>0.08169934640522876</x:v>
      </x:c>
      <x:c r="E827" s="2" t="n">
        <x:v>-0.041666666666666664</x:v>
      </x:c>
      <x:c r="F827" s="2" t="n">
        <x:v>0.06944444444444445</x:v>
      </x:c>
      <x:c r="G827" s="2" t="str">
        <x:v>原始表保留；建模表缩尾</x:v>
      </x:c>
    </x:row>
    <x:row r="828" ht="15" hidden="0" customHeight="1">
      <x:c r="A828" s="2" t="str">
        <x:v>E166</x:v>
      </x:c>
      <x:c r="B828" s="2" t="str">
        <x:v>无信贷记录</x:v>
      </x:c>
      <x:c r="C828" s="2" t="str">
        <x:v>销项_负数率</x:v>
      </x:c>
      <x:c r="D828" s="2" t="n">
        <x:v>0.18468146027201146</x:v>
      </x:c>
      <x:c r="E828" s="2" t="n">
        <x:v>-0.041666666666666664</x:v>
      </x:c>
      <x:c r="F828" s="2" t="n">
        <x:v>0.06944444444444445</x:v>
      </x:c>
      <x:c r="G828" s="2" t="str">
        <x:v>原始表保留；建模表缩尾</x:v>
      </x:c>
    </x:row>
    <x:row r="829" ht="15" hidden="0" customHeight="1">
      <x:c r="A829" s="2" t="str">
        <x:v>E198</x:v>
      </x:c>
      <x:c r="B829" s="2" t="str">
        <x:v>无信贷记录</x:v>
      </x:c>
      <x:c r="C829" s="2" t="str">
        <x:v>销项_负数率</x:v>
      </x:c>
      <x:c r="D829" s="2" t="n">
        <x:v>0.07554945054945054</x:v>
      </x:c>
      <x:c r="E829" s="2" t="n">
        <x:v>-0.041666666666666664</x:v>
      </x:c>
      <x:c r="F829" s="2" t="n">
        <x:v>0.06944444444444445</x:v>
      </x:c>
      <x:c r="G829" s="2" t="str">
        <x:v>原始表保留；建模表缩尾</x:v>
      </x:c>
    </x:row>
    <x:row r="830" ht="15" hidden="0" customHeight="1">
      <x:c r="A830" s="2" t="str">
        <x:v>E199</x:v>
      </x:c>
      <x:c r="B830" s="2" t="str">
        <x:v>无信贷记录</x:v>
      </x:c>
      <x:c r="C830" s="2" t="str">
        <x:v>销项_负数率</x:v>
      </x:c>
      <x:c r="D830" s="2" t="n">
        <x:v>0.11138613861386139</x:v>
      </x:c>
      <x:c r="E830" s="2" t="n">
        <x:v>-0.041666666666666664</x:v>
      </x:c>
      <x:c r="F830" s="2" t="n">
        <x:v>0.06944444444444445</x:v>
      </x:c>
      <x:c r="G830" s="2" t="str">
        <x:v>原始表保留；建模表缩尾</x:v>
      </x:c>
    </x:row>
    <x:row r="831" ht="15" hidden="0" customHeight="1">
      <x:c r="A831" s="2" t="str">
        <x:v>E228</x:v>
      </x:c>
      <x:c r="B831" s="2" t="str">
        <x:v>无信贷记录</x:v>
      </x:c>
      <x:c r="C831" s="2" t="str">
        <x:v>销项_负数率</x:v>
      </x:c>
      <x:c r="D831" s="2" t="n">
        <x:v>0.10473313192346426</x:v>
      </x:c>
      <x:c r="E831" s="2" t="n">
        <x:v>-0.041666666666666664</x:v>
      </x:c>
      <x:c r="F831" s="2" t="n">
        <x:v>0.06944444444444445</x:v>
      </x:c>
      <x:c r="G831" s="2" t="str">
        <x:v>原始表保留；建模表缩尾</x:v>
      </x:c>
    </x:row>
    <x:row r="832" ht="15" hidden="0" customHeight="1">
      <x:c r="A832" s="2" t="str">
        <x:v>E232</x:v>
      </x:c>
      <x:c r="B832" s="2" t="str">
        <x:v>无信贷记录</x:v>
      </x:c>
      <x:c r="C832" s="2" t="str">
        <x:v>销项_负数率</x:v>
      </x:c>
      <x:c r="D832" s="2" t="n">
        <x:v>0.07964601769911504</x:v>
      </x:c>
      <x:c r="E832" s="2" t="n">
        <x:v>-0.041666666666666664</x:v>
      </x:c>
      <x:c r="F832" s="2" t="n">
        <x:v>0.06944444444444445</x:v>
      </x:c>
      <x:c r="G832" s="2" t="str">
        <x:v>原始表保留；建模表缩尾</x:v>
      </x:c>
    </x:row>
    <x:row r="833" ht="15" hidden="0" customHeight="1">
      <x:c r="A833" s="2" t="str">
        <x:v>E296</x:v>
      </x:c>
      <x:c r="B833" s="2" t="str">
        <x:v>无信贷记录</x:v>
      </x:c>
      <x:c r="C833" s="2" t="str">
        <x:v>销项_负数率</x:v>
      </x:c>
      <x:c r="D833" s="2" t="n">
        <x:v>0.0867579908675799</x:v>
      </x:c>
      <x:c r="E833" s="2" t="n">
        <x:v>-0.041666666666666664</x:v>
      </x:c>
      <x:c r="F833" s="2" t="n">
        <x:v>0.06944444444444445</x:v>
      </x:c>
      <x:c r="G833" s="2" t="str">
        <x:v>原始表保留；建模表缩尾</x:v>
      </x:c>
    </x:row>
    <x:row r="834" ht="15" hidden="0" customHeight="1">
      <x:c r="A834" s="2" t="str">
        <x:v>E340</x:v>
      </x:c>
      <x:c r="B834" s="2" t="str">
        <x:v>无信贷记录</x:v>
      </x:c>
      <x:c r="C834" s="2" t="str">
        <x:v>销项_负数率</x:v>
      </x:c>
      <x:c r="D834" s="2" t="n">
        <x:v>0.08029197080291971</x:v>
      </x:c>
      <x:c r="E834" s="2" t="n">
        <x:v>-0.041666666666666664</x:v>
      </x:c>
      <x:c r="F834" s="2" t="n">
        <x:v>0.06944444444444445</x:v>
      </x:c>
      <x:c r="G834" s="2" t="str">
        <x:v>原始表保留；建模表缩尾</x:v>
      </x:c>
    </x:row>
    <x:row r="835" ht="15" hidden="0" customHeight="1">
      <x:c r="A835" s="2" t="str">
        <x:v>E358</x:v>
      </x:c>
      <x:c r="B835" s="2" t="str">
        <x:v>无信贷记录</x:v>
      </x:c>
      <x:c r="C835" s="2" t="str">
        <x:v>销项_负数率</x:v>
      </x:c>
      <x:c r="D835" s="2" t="n">
        <x:v>0.13127413127413126</x:v>
      </x:c>
      <x:c r="E835" s="2" t="n">
        <x:v>-0.041666666666666664</x:v>
      </x:c>
      <x:c r="F835" s="2" t="n">
        <x:v>0.06944444444444445</x:v>
      </x:c>
      <x:c r="G835" s="2" t="str">
        <x:v>原始表保留；建模表缩尾</x:v>
      </x:c>
    </x:row>
    <x:row r="836" ht="15" hidden="0" customHeight="1">
      <x:c r="A836" s="2" t="str">
        <x:v>E380</x:v>
      </x:c>
      <x:c r="B836" s="2" t="str">
        <x:v>无信贷记录</x:v>
      </x:c>
      <x:c r="C836" s="2" t="str">
        <x:v>销项_负数率</x:v>
      </x:c>
      <x:c r="D836" s="2" t="n">
        <x:v>0.0963855421686747</x:v>
      </x:c>
      <x:c r="E836" s="2" t="n">
        <x:v>-0.041666666666666664</x:v>
      </x:c>
      <x:c r="F836" s="2" t="n">
        <x:v>0.06944444444444445</x:v>
      </x:c>
      <x:c r="G836" s="2" t="str">
        <x:v>原始表保留；建模表缩尾</x:v>
      </x:c>
    </x:row>
    <x:row r="837" ht="15" hidden="0" customHeight="1">
      <x:c r="A837" s="2" t="str">
        <x:v>E381</x:v>
      </x:c>
      <x:c r="B837" s="2" t="str">
        <x:v>无信贷记录</x:v>
      </x:c>
      <x:c r="C837" s="2" t="str">
        <x:v>销项_负数率</x:v>
      </x:c>
      <x:c r="D837" s="2" t="n">
        <x:v>0.2125</x:v>
      </x:c>
      <x:c r="E837" s="2" t="n">
        <x:v>-0.041666666666666664</x:v>
      </x:c>
      <x:c r="F837" s="2" t="n">
        <x:v>0.06944444444444445</x:v>
      </x:c>
      <x:c r="G837" s="2" t="str">
        <x:v>原始表保留；建模表缩尾</x:v>
      </x:c>
    </x:row>
    <x:row r="838" ht="15" hidden="0" customHeight="1">
      <x:c r="A838" s="2" t="str">
        <x:v>E385</x:v>
      </x:c>
      <x:c r="B838" s="2" t="str">
        <x:v>无信贷记录</x:v>
      </x:c>
      <x:c r="C838" s="2" t="str">
        <x:v>销项_负数率</x:v>
      </x:c>
      <x:c r="D838" s="2" t="n">
        <x:v>0.08333333333333333</x:v>
      </x:c>
      <x:c r="E838" s="2" t="n">
        <x:v>-0.041666666666666664</x:v>
      </x:c>
      <x:c r="F838" s="2" t="n">
        <x:v>0.06944444444444445</x:v>
      </x:c>
      <x:c r="G838" s="2" t="str">
        <x:v>原始表保留；建模表缩尾</x:v>
      </x:c>
    </x:row>
    <x:row r="839" ht="15" hidden="0" customHeight="1">
      <x:c r="A839" s="2" t="str">
        <x:v>E386</x:v>
      </x:c>
      <x:c r="B839" s="2" t="str">
        <x:v>无信贷记录</x:v>
      </x:c>
      <x:c r="C839" s="2" t="str">
        <x:v>销项_负数率</x:v>
      </x:c>
      <x:c r="D839" s="2" t="n">
        <x:v>0.07407407407407407</x:v>
      </x:c>
      <x:c r="E839" s="2" t="n">
        <x:v>-0.041666666666666664</x:v>
      </x:c>
      <x:c r="F839" s="2" t="n">
        <x:v>0.06944444444444445</x:v>
      </x:c>
      <x:c r="G839" s="2" t="str">
        <x:v>原始表保留；建模表缩尾</x:v>
      </x:c>
    </x:row>
    <x:row r="840" ht="15" hidden="0" customHeight="1">
      <x:c r="A840" s="2" t="str">
        <x:v>E402</x:v>
      </x:c>
      <x:c r="B840" s="2" t="str">
        <x:v>无信贷记录</x:v>
      </x:c>
      <x:c r="C840" s="2" t="str">
        <x:v>销项_负数率</x:v>
      </x:c>
      <x:c r="D840" s="2" t="n">
        <x:v>0.09090909090909091</x:v>
      </x:c>
      <x:c r="E840" s="2" t="n">
        <x:v>-0.041666666666666664</x:v>
      </x:c>
      <x:c r="F840" s="2" t="n">
        <x:v>0.06944444444444445</x:v>
      </x:c>
      <x:c r="G840" s="2" t="str">
        <x:v>原始表保留；建模表缩尾</x:v>
      </x:c>
    </x:row>
    <x:row r="841" ht="15" hidden="0" customHeight="1">
      <x:c r="A841" s="2" t="str">
        <x:v>E39</x:v>
      </x:c>
      <x:c r="B841" s="2" t="str">
        <x:v>有信贷记录</x:v>
      </x:c>
      <x:c r="C841" s="2" t="str">
        <x:v>销项_交易集中度HHI</x:v>
      </x:c>
      <x:c r="D841" s="2" t="n">
        <x:v>0.9424639963004893</x:v>
      </x:c>
      <x:c r="E841" s="2" t="n">
        <x:v>-0.32920523596611323</x:v>
      </x:c>
      <x:c r="F841" s="2" t="n">
        <x:v>0.7247650759073632</x:v>
      </x:c>
      <x:c r="G841" s="2" t="str">
        <x:v>原始表保留；建模表缩尾</x:v>
      </x:c>
    </x:row>
    <x:row r="842" ht="15" hidden="0" customHeight="1">
      <x:c r="A842" s="2" t="str">
        <x:v>E69</x:v>
      </x:c>
      <x:c r="B842" s="2" t="str">
        <x:v>有信贷记录</x:v>
      </x:c>
      <x:c r="C842" s="2" t="str">
        <x:v>销项_交易集中度HHI</x:v>
      </x:c>
      <x:c r="D842" s="2" t="n">
        <x:v>0.7404283944631468</x:v>
      </x:c>
      <x:c r="E842" s="2" t="n">
        <x:v>-0.32920523596611323</x:v>
      </x:c>
      <x:c r="F842" s="2" t="n">
        <x:v>0.7247650759073632</x:v>
      </x:c>
      <x:c r="G842" s="2" t="str">
        <x:v>原始表保留；建模表缩尾</x:v>
      </x:c>
    </x:row>
    <x:row r="843" ht="15" hidden="0" customHeight="1">
      <x:c r="A843" s="2" t="str">
        <x:v>E77</x:v>
      </x:c>
      <x:c r="B843" s="2" t="str">
        <x:v>有信贷记录</x:v>
      </x:c>
      <x:c r="C843" s="2" t="str">
        <x:v>销项_交易集中度HHI</x:v>
      </x:c>
      <x:c r="D843" s="2" t="n">
        <x:v>0.9854228632515281</x:v>
      </x:c>
      <x:c r="E843" s="2" t="n">
        <x:v>-0.32920523596611323</x:v>
      </x:c>
      <x:c r="F843" s="2" t="n">
        <x:v>0.7247650759073632</x:v>
      </x:c>
      <x:c r="G843" s="2" t="str">
        <x:v>原始表保留；建模表缩尾</x:v>
      </x:c>
    </x:row>
    <x:row r="844" ht="15" hidden="0" customHeight="1">
      <x:c r="A844" s="2" t="str">
        <x:v>E82</x:v>
      </x:c>
      <x:c r="B844" s="2" t="str">
        <x:v>有信贷记录</x:v>
      </x:c>
      <x:c r="C844" s="2" t="str">
        <x:v>销项_交易集中度HHI</x:v>
      </x:c>
      <x:c r="D844" s="2" t="n">
        <x:v>0.9544683481280435</x:v>
      </x:c>
      <x:c r="E844" s="2" t="n">
        <x:v>-0.32920523596611323</x:v>
      </x:c>
      <x:c r="F844" s="2" t="n">
        <x:v>0.7247650759073632</x:v>
      </x:c>
      <x:c r="G844" s="2" t="str">
        <x:v>原始表保留；建模表缩尾</x:v>
      </x:c>
    </x:row>
    <x:row r="845" ht="15" hidden="0" customHeight="1">
      <x:c r="A845" s="2" t="str">
        <x:v>E96</x:v>
      </x:c>
      <x:c r="B845" s="2" t="str">
        <x:v>有信贷记录</x:v>
      </x:c>
      <x:c r="C845" s="2" t="str">
        <x:v>销项_交易集中度HHI</x:v>
      </x:c>
      <x:c r="D845" s="2" t="n">
        <x:v>0.7469536998686117</x:v>
      </x:c>
      <x:c r="E845" s="2" t="n">
        <x:v>-0.32920523596611323</x:v>
      </x:c>
      <x:c r="F845" s="2" t="n">
        <x:v>0.7247650759073632</x:v>
      </x:c>
      <x:c r="G845" s="2" t="str">
        <x:v>原始表保留；建模表缩尾</x:v>
      </x:c>
    </x:row>
    <x:row r="846" ht="15" hidden="0" customHeight="1">
      <x:c r="A846" s="2" t="str">
        <x:v>E112</x:v>
      </x:c>
      <x:c r="B846" s="2" t="str">
        <x:v>有信贷记录</x:v>
      </x:c>
      <x:c r="C846" s="2" t="str">
        <x:v>销项_交易集中度HHI</x:v>
      </x:c>
      <x:c r="D846" s="2" t="n">
        <x:v>0.9924472539162199</x:v>
      </x:c>
      <x:c r="E846" s="2" t="n">
        <x:v>-0.32920523596611323</x:v>
      </x:c>
      <x:c r="F846" s="2" t="n">
        <x:v>0.7247650759073632</x:v>
      </x:c>
      <x:c r="G846" s="2" t="str">
        <x:v>原始表保留；建模表缩尾</x:v>
      </x:c>
    </x:row>
    <x:row r="847" ht="15" hidden="0" customHeight="1">
      <x:c r="A847" s="2" t="str">
        <x:v>E117</x:v>
      </x:c>
      <x:c r="B847" s="2" t="str">
        <x:v>有信贷记录</x:v>
      </x:c>
      <x:c r="C847" s="2" t="str">
        <x:v>销项_交易集中度HHI</x:v>
      </x:c>
      <x:c r="D847" s="2" t="n">
        <x:v>1</x:v>
      </x:c>
      <x:c r="E847" s="2" t="n">
        <x:v>-0.32920523596611323</x:v>
      </x:c>
      <x:c r="F847" s="2" t="n">
        <x:v>0.7247650759073632</x:v>
      </x:c>
      <x:c r="G847" s="2" t="str">
        <x:v>原始表保留；建模表缩尾</x:v>
      </x:c>
    </x:row>
    <x:row r="848" ht="15" hidden="0" customHeight="1">
      <x:c r="A848" s="2" t="str">
        <x:v>E128</x:v>
      </x:c>
      <x:c r="B848" s="2" t="str">
        <x:v>无信贷记录</x:v>
      </x:c>
      <x:c r="C848" s="2" t="str">
        <x:v>销项_交易集中度HHI</x:v>
      </x:c>
      <x:c r="D848" s="2" t="n">
        <x:v>0.9524462050655</x:v>
      </x:c>
      <x:c r="E848" s="2" t="n">
        <x:v>-0.32920523596611323</x:v>
      </x:c>
      <x:c r="F848" s="2" t="n">
        <x:v>0.7247650759073632</x:v>
      </x:c>
      <x:c r="G848" s="2" t="str">
        <x:v>原始表保留；建模表缩尾</x:v>
      </x:c>
    </x:row>
    <x:row r="849" ht="15" hidden="0" customHeight="1">
      <x:c r="A849" s="2" t="str">
        <x:v>E130</x:v>
      </x:c>
      <x:c r="B849" s="2" t="str">
        <x:v>无信贷记录</x:v>
      </x:c>
      <x:c r="C849" s="2" t="str">
        <x:v>销项_交易集中度HHI</x:v>
      </x:c>
      <x:c r="D849" s="2" t="n">
        <x:v>0.7656296210641086</x:v>
      </x:c>
      <x:c r="E849" s="2" t="n">
        <x:v>-0.32920523596611323</x:v>
      </x:c>
      <x:c r="F849" s="2" t="n">
        <x:v>0.7247650759073632</x:v>
      </x:c>
      <x:c r="G849" s="2" t="str">
        <x:v>原始表保留；建模表缩尾</x:v>
      </x:c>
    </x:row>
    <x:row r="850" ht="15" hidden="0" customHeight="1">
      <x:c r="A850" s="2" t="str">
        <x:v>E183</x:v>
      </x:c>
      <x:c r="B850" s="2" t="str">
        <x:v>无信贷记录</x:v>
      </x:c>
      <x:c r="C850" s="2" t="str">
        <x:v>销项_交易集中度HHI</x:v>
      </x:c>
      <x:c r="D850" s="2" t="n">
        <x:v>0.7320089226053413</x:v>
      </x:c>
      <x:c r="E850" s="2" t="n">
        <x:v>-0.32920523596611323</x:v>
      </x:c>
      <x:c r="F850" s="2" t="n">
        <x:v>0.7247650759073632</x:v>
      </x:c>
      <x:c r="G850" s="2" t="str">
        <x:v>原始表保留；建模表缩尾</x:v>
      </x:c>
    </x:row>
    <x:row r="851" ht="15" hidden="0" customHeight="1">
      <x:c r="A851" s="2" t="str">
        <x:v>E186</x:v>
      </x:c>
      <x:c r="B851" s="2" t="str">
        <x:v>无信贷记录</x:v>
      </x:c>
      <x:c r="C851" s="2" t="str">
        <x:v>销项_交易集中度HHI</x:v>
      </x:c>
      <x:c r="D851" s="2" t="n">
        <x:v>0.7600671853254684</x:v>
      </x:c>
      <x:c r="E851" s="2" t="n">
        <x:v>-0.32920523596611323</x:v>
      </x:c>
      <x:c r="F851" s="2" t="n">
        <x:v>0.7247650759073632</x:v>
      </x:c>
      <x:c r="G851" s="2" t="str">
        <x:v>原始表保留；建模表缩尾</x:v>
      </x:c>
    </x:row>
    <x:row r="852" ht="15" hidden="0" customHeight="1">
      <x:c r="A852" s="2" t="str">
        <x:v>E202</x:v>
      </x:c>
      <x:c r="B852" s="2" t="str">
        <x:v>无信贷记录</x:v>
      </x:c>
      <x:c r="C852" s="2" t="str">
        <x:v>销项_交易集中度HHI</x:v>
      </x:c>
      <x:c r="D852" s="2" t="n">
        <x:v>0.9071127873671707</x:v>
      </x:c>
      <x:c r="E852" s="2" t="n">
        <x:v>-0.32920523596611323</x:v>
      </x:c>
      <x:c r="F852" s="2" t="n">
        <x:v>0.7247650759073632</x:v>
      </x:c>
      <x:c r="G852" s="2" t="str">
        <x:v>原始表保留；建模表缩尾</x:v>
      </x:c>
    </x:row>
    <x:row r="853" ht="15" hidden="0" customHeight="1">
      <x:c r="A853" s="2" t="str">
        <x:v>E210</x:v>
      </x:c>
      <x:c r="B853" s="2" t="str">
        <x:v>无信贷记录</x:v>
      </x:c>
      <x:c r="C853" s="2" t="str">
        <x:v>销项_交易集中度HHI</x:v>
      </x:c>
      <x:c r="D853" s="2" t="n">
        <x:v>0.7826728733290812</x:v>
      </x:c>
      <x:c r="E853" s="2" t="n">
        <x:v>-0.32920523596611323</x:v>
      </x:c>
      <x:c r="F853" s="2" t="n">
        <x:v>0.7247650759073632</x:v>
      </x:c>
      <x:c r="G853" s="2" t="str">
        <x:v>原始表保留；建模表缩尾</x:v>
      </x:c>
    </x:row>
    <x:row r="854" ht="15" hidden="0" customHeight="1">
      <x:c r="A854" s="2" t="str">
        <x:v>E233</x:v>
      </x:c>
      <x:c r="B854" s="2" t="str">
        <x:v>无信贷记录</x:v>
      </x:c>
      <x:c r="C854" s="2" t="str">
        <x:v>销项_交易集中度HHI</x:v>
      </x:c>
      <x:c r="D854" s="2" t="n">
        <x:v>0.8583732714688456</x:v>
      </x:c>
      <x:c r="E854" s="2" t="n">
        <x:v>-0.32920523596611323</x:v>
      </x:c>
      <x:c r="F854" s="2" t="n">
        <x:v>0.7247650759073632</x:v>
      </x:c>
      <x:c r="G854" s="2" t="str">
        <x:v>原始表保留；建模表缩尾</x:v>
      </x:c>
    </x:row>
    <x:row r="855" ht="15" hidden="0" customHeight="1">
      <x:c r="A855" s="2" t="str">
        <x:v>E240</x:v>
      </x:c>
      <x:c r="B855" s="2" t="str">
        <x:v>无信贷记录</x:v>
      </x:c>
      <x:c r="C855" s="2" t="str">
        <x:v>销项_交易集中度HHI</x:v>
      </x:c>
      <x:c r="D855" s="2" t="n">
        <x:v>0.9570172218397113</x:v>
      </x:c>
      <x:c r="E855" s="2" t="n">
        <x:v>-0.32920523596611323</x:v>
      </x:c>
      <x:c r="F855" s="2" t="n">
        <x:v>0.7247650759073632</x:v>
      </x:c>
      <x:c r="G855" s="2" t="str">
        <x:v>原始表保留；建模表缩尾</x:v>
      </x:c>
    </x:row>
    <x:row r="856" ht="15" hidden="0" customHeight="1">
      <x:c r="A856" s="2" t="str">
        <x:v>E249</x:v>
      </x:c>
      <x:c r="B856" s="2" t="str">
        <x:v>无信贷记录</x:v>
      </x:c>
      <x:c r="C856" s="2" t="str">
        <x:v>销项_交易集中度HHI</x:v>
      </x:c>
      <x:c r="D856" s="2" t="n">
        <x:v>0.9724687771746404</x:v>
      </x:c>
      <x:c r="E856" s="2" t="n">
        <x:v>-0.32920523596611323</x:v>
      </x:c>
      <x:c r="F856" s="2" t="n">
        <x:v>0.7247650759073632</x:v>
      </x:c>
      <x:c r="G856" s="2" t="str">
        <x:v>原始表保留；建模表缩尾</x:v>
      </x:c>
    </x:row>
    <x:row r="857" ht="15" hidden="0" customHeight="1">
      <x:c r="A857" s="2" t="str">
        <x:v>E277</x:v>
      </x:c>
      <x:c r="B857" s="2" t="str">
        <x:v>无信贷记录</x:v>
      </x:c>
      <x:c r="C857" s="2" t="str">
        <x:v>销项_交易集中度HHI</x:v>
      </x:c>
      <x:c r="D857" s="2" t="n">
        <x:v>0.7491416445246173</x:v>
      </x:c>
      <x:c r="E857" s="2" t="n">
        <x:v>-0.32920523596611323</x:v>
      </x:c>
      <x:c r="F857" s="2" t="n">
        <x:v>0.7247650759073632</x:v>
      </x:c>
      <x:c r="G857" s="2" t="str">
        <x:v>原始表保留；建模表缩尾</x:v>
      </x:c>
    </x:row>
    <x:row r="858" ht="15" hidden="0" customHeight="1">
      <x:c r="A858" s="2" t="str">
        <x:v>E279</x:v>
      </x:c>
      <x:c r="B858" s="2" t="str">
        <x:v>无信贷记录</x:v>
      </x:c>
      <x:c r="C858" s="2" t="str">
        <x:v>销项_交易集中度HHI</x:v>
      </x:c>
      <x:c r="D858" s="2" t="n">
        <x:v>0.8433250786731018</x:v>
      </x:c>
      <x:c r="E858" s="2" t="n">
        <x:v>-0.32920523596611323</x:v>
      </x:c>
      <x:c r="F858" s="2" t="n">
        <x:v>0.7247650759073632</x:v>
      </x:c>
      <x:c r="G858" s="2" t="str">
        <x:v>原始表保留；建模表缩尾</x:v>
      </x:c>
    </x:row>
    <x:row r="859" ht="15" hidden="0" customHeight="1">
      <x:c r="A859" s="2" t="str">
        <x:v>E291</x:v>
      </x:c>
      <x:c r="B859" s="2" t="str">
        <x:v>无信贷记录</x:v>
      </x:c>
      <x:c r="C859" s="2" t="str">
        <x:v>销项_交易集中度HHI</x:v>
      </x:c>
      <x:c r="D859" s="2" t="n">
        <x:v>0.9446691799432569</x:v>
      </x:c>
      <x:c r="E859" s="2" t="n">
        <x:v>-0.32920523596611323</x:v>
      </x:c>
      <x:c r="F859" s="2" t="n">
        <x:v>0.7247650759073632</x:v>
      </x:c>
      <x:c r="G859" s="2" t="str">
        <x:v>原始表保留；建模表缩尾</x:v>
      </x:c>
    </x:row>
    <x:row r="860" ht="15" hidden="0" customHeight="1">
      <x:c r="A860" s="2" t="str">
        <x:v>E327</x:v>
      </x:c>
      <x:c r="B860" s="2" t="str">
        <x:v>无信贷记录</x:v>
      </x:c>
      <x:c r="C860" s="2" t="str">
        <x:v>销项_交易集中度HHI</x:v>
      </x:c>
      <x:c r="D860" s="2" t="n">
        <x:v>0.8511248558850496</x:v>
      </x:c>
      <x:c r="E860" s="2" t="n">
        <x:v>-0.32920523596611323</x:v>
      </x:c>
      <x:c r="F860" s="2" t="n">
        <x:v>0.7247650759073632</x:v>
      </x:c>
      <x:c r="G860" s="2" t="str">
        <x:v>原始表保留；建模表缩尾</x:v>
      </x:c>
    </x:row>
    <x:row r="861" ht="15" hidden="0" customHeight="1">
      <x:c r="A861" s="2" t="str">
        <x:v>E332</x:v>
      </x:c>
      <x:c r="B861" s="2" t="str">
        <x:v>无信贷记录</x:v>
      </x:c>
      <x:c r="C861" s="2" t="str">
        <x:v>销项_交易集中度HHI</x:v>
      </x:c>
      <x:c r="D861" s="2" t="n">
        <x:v>0.7822201801451009</x:v>
      </x:c>
      <x:c r="E861" s="2" t="n">
        <x:v>-0.32920523596611323</x:v>
      </x:c>
      <x:c r="F861" s="2" t="n">
        <x:v>0.7247650759073632</x:v>
      </x:c>
      <x:c r="G861" s="2" t="str">
        <x:v>原始表保留；建模表缩尾</x:v>
      </x:c>
    </x:row>
    <x:row r="862" ht="15" hidden="0" customHeight="1">
      <x:c r="A862" s="2" t="str">
        <x:v>E356</x:v>
      </x:c>
      <x:c r="B862" s="2" t="str">
        <x:v>无信贷记录</x:v>
      </x:c>
      <x:c r="C862" s="2" t="str">
        <x:v>销项_交易集中度HHI</x:v>
      </x:c>
      <x:c r="D862" s="2" t="n">
        <x:v>0.8432375814011996</x:v>
      </x:c>
      <x:c r="E862" s="2" t="n">
        <x:v>-0.32920523596611323</x:v>
      </x:c>
      <x:c r="F862" s="2" t="n">
        <x:v>0.7247650759073632</x:v>
      </x:c>
      <x:c r="G862" s="2" t="str">
        <x:v>原始表保留；建模表缩尾</x:v>
      </x:c>
    </x:row>
    <x:row r="863" ht="15" hidden="0" customHeight="1">
      <x:c r="A863" s="2" t="str">
        <x:v>E380</x:v>
      </x:c>
      <x:c r="B863" s="2" t="str">
        <x:v>无信贷记录</x:v>
      </x:c>
      <x:c r="C863" s="2" t="str">
        <x:v>销项_交易集中度HHI</x:v>
      </x:c>
      <x:c r="D863" s="2" t="n">
        <x:v>0.8949476891024764</x:v>
      </x:c>
      <x:c r="E863" s="2" t="n">
        <x:v>-0.32920523596611323</x:v>
      </x:c>
      <x:c r="F863" s="2" t="n">
        <x:v>0.7247650759073632</x:v>
      </x:c>
      <x:c r="G863" s="2" t="str">
        <x:v>原始表保留；建模表缩尾</x:v>
      </x:c>
    </x:row>
    <x:row r="864" ht="15" hidden="0" customHeight="1">
      <x:c r="A864" s="2" t="str">
        <x:v>E383</x:v>
      </x:c>
      <x:c r="B864" s="2" t="str">
        <x:v>无信贷记录</x:v>
      </x:c>
      <x:c r="C864" s="2" t="str">
        <x:v>销项_交易集中度HHI</x:v>
      </x:c>
      <x:c r="D864" s="2" t="n">
        <x:v>0.7594890837867586</x:v>
      </x:c>
      <x:c r="E864" s="2" t="n">
        <x:v>-0.32920523596611323</x:v>
      </x:c>
      <x:c r="F864" s="2" t="n">
        <x:v>0.7247650759073632</x:v>
      </x:c>
      <x:c r="G864" s="2" t="str">
        <x:v>原始表保留；建模表缩尾</x:v>
      </x:c>
    </x:row>
    <x:row r="865" ht="15" hidden="0" customHeight="1">
      <x:c r="A865" s="2" t="str">
        <x:v>E389</x:v>
      </x:c>
      <x:c r="B865" s="2" t="str">
        <x:v>无信贷记录</x:v>
      </x:c>
      <x:c r="C865" s="2" t="str">
        <x:v>销项_交易集中度HHI</x:v>
      </x:c>
      <x:c r="D865" s="2" t="n">
        <x:v>0.985386006362011</x:v>
      </x:c>
      <x:c r="E865" s="2" t="n">
        <x:v>-0.32920523596611323</x:v>
      </x:c>
      <x:c r="F865" s="2" t="n">
        <x:v>0.7247650759073632</x:v>
      </x:c>
      <x:c r="G865" s="2" t="str">
        <x:v>原始表保留；建模表缩尾</x:v>
      </x:c>
    </x:row>
    <x:row r="866" ht="15" hidden="0" customHeight="1">
      <x:c r="A866" s="2" t="str">
        <x:v>E390</x:v>
      </x:c>
      <x:c r="B866" s="2" t="str">
        <x:v>无信贷记录</x:v>
      </x:c>
      <x:c r="C866" s="2" t="str">
        <x:v>销项_交易集中度HHI</x:v>
      </x:c>
      <x:c r="D866" s="2" t="n">
        <x:v>1</x:v>
      </x:c>
      <x:c r="E866" s="2" t="n">
        <x:v>-0.32920523596611323</x:v>
      </x:c>
      <x:c r="F866" s="2" t="n">
        <x:v>0.7247650759073632</x:v>
      </x:c>
      <x:c r="G866" s="2" t="str">
        <x:v>原始表保留；建模表缩尾</x:v>
      </x:c>
    </x:row>
    <x:row r="867" ht="15" hidden="0" customHeight="1">
      <x:c r="A867" s="2" t="str">
        <x:v>E425</x:v>
      </x:c>
      <x:c r="B867" s="2" t="str">
        <x:v>无信贷记录</x:v>
      </x:c>
      <x:c r="C867" s="2" t="str">
        <x:v>销项_交易集中度HHI</x:v>
      </x:c>
      <x:c r="D867" s="2" t="n">
        <x:v>0.8924527312323514</x:v>
      </x:c>
      <x:c r="E867" s="2" t="n">
        <x:v>-0.32920523596611323</x:v>
      </x:c>
      <x:c r="F867" s="2" t="n">
        <x:v>0.7247650759073632</x:v>
      </x:c>
      <x:c r="G867" s="2" t="str">
        <x:v>原始表保留；建模表缩尾</x:v>
      </x:c>
    </x:row>
    <x:row r="868" ht="15" hidden="0" customHeight="1">
      <x:c r="A868" s="2" t="str">
        <x:v>E1</x:v>
      </x:c>
      <x:c r="B868" s="2" t="str">
        <x:v>有信贷记录</x:v>
      </x:c>
      <x:c r="C868" s="2" t="str">
        <x:v>销项_月均额</x:v>
      </x:c>
      <x:c r="D868" s="2" t="n">
        <x:v>156621114.68666664</x:v>
      </x:c>
      <x:c r="E868" s="2" t="n">
        <x:v>-2764337.2795238094</x:v>
      </x:c>
      <x:c r="F868" s="2" t="n">
        <x:v>4800216.221428571</x:v>
      </x:c>
      <x:c r="G868" s="2" t="str">
        <x:v>原始表保留；建模表缩尾</x:v>
      </x:c>
    </x:row>
    <x:row r="869" ht="15" hidden="0" customHeight="1">
      <x:c r="A869" s="2" t="str">
        <x:v>E2</x:v>
      </x:c>
      <x:c r="B869" s="2" t="str">
        <x:v>有信贷记录</x:v>
      </x:c>
      <x:c r="C869" s="2" t="str">
        <x:v>销项_月均额</x:v>
      </x:c>
      <x:c r="D869" s="2" t="n">
        <x:v>14271810.751081081</x:v>
      </x:c>
      <x:c r="E869" s="2" t="n">
        <x:v>-2764337.2795238094</x:v>
      </x:c>
      <x:c r="F869" s="2" t="n">
        <x:v>4800216.221428571</x:v>
      </x:c>
      <x:c r="G869" s="2" t="str">
        <x:v>原始表保留；建模表缩尾</x:v>
      </x:c>
    </x:row>
    <x:row r="870" ht="15" hidden="0" customHeight="1">
      <x:c r="A870" s="2" t="str">
        <x:v>E3</x:v>
      </x:c>
      <x:c r="B870" s="2" t="str">
        <x:v>有信贷记录</x:v>
      </x:c>
      <x:c r="C870" s="2" t="str">
        <x:v>销项_月均额</x:v>
      </x:c>
      <x:c r="D870" s="2" t="n">
        <x:v>17396586.281578947</x:v>
      </x:c>
      <x:c r="E870" s="2" t="n">
        <x:v>-2764337.2795238094</x:v>
      </x:c>
      <x:c r="F870" s="2" t="n">
        <x:v>4800216.221428571</x:v>
      </x:c>
      <x:c r="G870" s="2" t="str">
        <x:v>原始表保留；建模表缩尾</x:v>
      </x:c>
    </x:row>
    <x:row r="871" ht="15" hidden="0" customHeight="1">
      <x:c r="A871" s="2" t="str">
        <x:v>E4</x:v>
      </x:c>
      <x:c r="B871" s="2" t="str">
        <x:v>有信贷记录</x:v>
      </x:c>
      <x:c r="C871" s="2" t="str">
        <x:v>销项_月均额</x:v>
      </x:c>
      <x:c r="D871" s="2" t="n">
        <x:v>59626127.35305555</x:v>
      </x:c>
      <x:c r="E871" s="2" t="n">
        <x:v>-2764337.2795238094</x:v>
      </x:c>
      <x:c r="F871" s="2" t="n">
        <x:v>4800216.221428571</x:v>
      </x:c>
      <x:c r="G871" s="2" t="str">
        <x:v>原始表保留；建模表缩尾</x:v>
      </x:c>
    </x:row>
    <x:row r="872" ht="15" hidden="0" customHeight="1">
      <x:c r="A872" s="2" t="str">
        <x:v>E5</x:v>
      </x:c>
      <x:c r="B872" s="2" t="str">
        <x:v>有信贷记录</x:v>
      </x:c>
      <x:c r="C872" s="2" t="str">
        <x:v>销项_月均额</x:v>
      </x:c>
      <x:c r="D872" s="2" t="n">
        <x:v>6305154.053783784</x:v>
      </x:c>
      <x:c r="E872" s="2" t="n">
        <x:v>-2764337.2795238094</x:v>
      </x:c>
      <x:c r="F872" s="2" t="n">
        <x:v>4800216.221428571</x:v>
      </x:c>
      <x:c r="G872" s="2" t="str">
        <x:v>原始表保留；建模表缩尾</x:v>
      </x:c>
    </x:row>
    <x:row r="873" ht="15" hidden="0" customHeight="1">
      <x:c r="A873" s="2" t="str">
        <x:v>E6</x:v>
      </x:c>
      <x:c r="B873" s="2" t="str">
        <x:v>有信贷记录</x:v>
      </x:c>
      <x:c r="C873" s="2" t="str">
        <x:v>销项_月均额</x:v>
      </x:c>
      <x:c r="D873" s="2" t="n">
        <x:v>10699930.763243243</x:v>
      </x:c>
      <x:c r="E873" s="2" t="n">
        <x:v>-2764337.2795238094</x:v>
      </x:c>
      <x:c r="F873" s="2" t="n">
        <x:v>4800216.221428571</x:v>
      </x:c>
      <x:c r="G873" s="2" t="str">
        <x:v>原始表保留；建模表缩尾</x:v>
      </x:c>
    </x:row>
    <x:row r="874" ht="15" hidden="0" customHeight="1">
      <x:c r="A874" s="2" t="str">
        <x:v>E7</x:v>
      </x:c>
      <x:c r="B874" s="2" t="str">
        <x:v>有信贷记录</x:v>
      </x:c>
      <x:c r="C874" s="2" t="str">
        <x:v>销项_月均额</x:v>
      </x:c>
      <x:c r="D874" s="2" t="n">
        <x:v>15690281.49368421</x:v>
      </x:c>
      <x:c r="E874" s="2" t="n">
        <x:v>-2764337.2795238094</x:v>
      </x:c>
      <x:c r="F874" s="2" t="n">
        <x:v>4800216.221428571</x:v>
      </x:c>
      <x:c r="G874" s="2" t="str">
        <x:v>原始表保留；建模表缩尾</x:v>
      </x:c>
    </x:row>
    <x:row r="875" ht="15" hidden="0" customHeight="1">
      <x:c r="A875" s="2" t="str">
        <x:v>E8</x:v>
      </x:c>
      <x:c r="B875" s="2" t="str">
        <x:v>有信贷记录</x:v>
      </x:c>
      <x:c r="C875" s="2" t="str">
        <x:v>销项_月均额</x:v>
      </x:c>
      <x:c r="D875" s="2" t="n">
        <x:v>10020891.780789472</x:v>
      </x:c>
      <x:c r="E875" s="2" t="n">
        <x:v>-2764337.2795238094</x:v>
      </x:c>
      <x:c r="F875" s="2" t="n">
        <x:v>4800216.221428571</x:v>
      </x:c>
      <x:c r="G875" s="2" t="str">
        <x:v>原始表保留；建模表缩尾</x:v>
      </x:c>
    </x:row>
    <x:row r="876" ht="15" hidden="0" customHeight="1">
      <x:c r="A876" s="2" t="str">
        <x:v>E9</x:v>
      </x:c>
      <x:c r="B876" s="2" t="str">
        <x:v>有信贷记录</x:v>
      </x:c>
      <x:c r="C876" s="2" t="str">
        <x:v>销项_月均额</x:v>
      </x:c>
      <x:c r="D876" s="2" t="n">
        <x:v>9721369.41763158</x:v>
      </x:c>
      <x:c r="E876" s="2" t="n">
        <x:v>-2764337.2795238094</x:v>
      </x:c>
      <x:c r="F876" s="2" t="n">
        <x:v>4800216.221428571</x:v>
      </x:c>
      <x:c r="G876" s="2" t="str">
        <x:v>原始表保留；建模表缩尾</x:v>
      </x:c>
    </x:row>
    <x:row r="877" ht="15" hidden="0" customHeight="1">
      <x:c r="A877" s="2" t="str">
        <x:v>E10</x:v>
      </x:c>
      <x:c r="B877" s="2" t="str">
        <x:v>有信贷记录</x:v>
      </x:c>
      <x:c r="C877" s="2" t="str">
        <x:v>销项_月均额</x:v>
      </x:c>
      <x:c r="D877" s="2" t="n">
        <x:v>9498960.31081081</x:v>
      </x:c>
      <x:c r="E877" s="2" t="n">
        <x:v>-2764337.2795238094</x:v>
      </x:c>
      <x:c r="F877" s="2" t="n">
        <x:v>4800216.221428571</x:v>
      </x:c>
      <x:c r="G877" s="2" t="str">
        <x:v>原始表保留；建模表缩尾</x:v>
      </x:c>
    </x:row>
    <x:row r="878" ht="15" hidden="0" customHeight="1">
      <x:c r="A878" s="2" t="str">
        <x:v>E11</x:v>
      </x:c>
      <x:c r="B878" s="2" t="str">
        <x:v>有信贷记录</x:v>
      </x:c>
      <x:c r="C878" s="2" t="str">
        <x:v>销项_月均额</x:v>
      </x:c>
      <x:c r="D878" s="2" t="n">
        <x:v>6772793.547083333</x:v>
      </x:c>
      <x:c r="E878" s="2" t="n">
        <x:v>-2764337.2795238094</x:v>
      </x:c>
      <x:c r="F878" s="2" t="n">
        <x:v>4800216.221428571</x:v>
      </x:c>
      <x:c r="G878" s="2" t="str">
        <x:v>原始表保留；建模表缩尾</x:v>
      </x:c>
    </x:row>
    <x:row r="879" ht="15" hidden="0" customHeight="1">
      <x:c r="A879" s="2" t="str">
        <x:v>E12</x:v>
      </x:c>
      <x:c r="B879" s="2" t="str">
        <x:v>有信贷记录</x:v>
      </x:c>
      <x:c r="C879" s="2" t="str">
        <x:v>销项_月均额</x:v>
      </x:c>
      <x:c r="D879" s="2" t="n">
        <x:v>9720120.8204</x:v>
      </x:c>
      <x:c r="E879" s="2" t="n">
        <x:v>-2764337.2795238094</x:v>
      </x:c>
      <x:c r="F879" s="2" t="n">
        <x:v>4800216.221428571</x:v>
      </x:c>
      <x:c r="G879" s="2" t="str">
        <x:v>原始表保留；建模表缩尾</x:v>
      </x:c>
    </x:row>
    <x:row r="880" ht="15" hidden="0" customHeight="1">
      <x:c r="A880" s="2" t="str">
        <x:v>E13</x:v>
      </x:c>
      <x:c r="B880" s="2" t="str">
        <x:v>有信贷记录</x:v>
      </x:c>
      <x:c r="C880" s="2" t="str">
        <x:v>销项_月均额</x:v>
      </x:c>
      <x:c r="D880" s="2" t="n">
        <x:v>6420474.297894736</x:v>
      </x:c>
      <x:c r="E880" s="2" t="n">
        <x:v>-2764337.2795238094</x:v>
      </x:c>
      <x:c r="F880" s="2" t="n">
        <x:v>4800216.221428571</x:v>
      </x:c>
      <x:c r="G880" s="2" t="str">
        <x:v>原始表保留；建模表缩尾</x:v>
      </x:c>
    </x:row>
    <x:row r="881" ht="15" hidden="0" customHeight="1">
      <x:c r="A881" s="2" t="str">
        <x:v>E14</x:v>
      </x:c>
      <x:c r="B881" s="2" t="str">
        <x:v>有信贷记录</x:v>
      </x:c>
      <x:c r="C881" s="2" t="str">
        <x:v>销项_月均额</x:v>
      </x:c>
      <x:c r="D881" s="2" t="n">
        <x:v>6715572.149166666</x:v>
      </x:c>
      <x:c r="E881" s="2" t="n">
        <x:v>-2764337.2795238094</x:v>
      </x:c>
      <x:c r="F881" s="2" t="n">
        <x:v>4800216.221428571</x:v>
      </x:c>
      <x:c r="G881" s="2" t="str">
        <x:v>原始表保留；建模表缩尾</x:v>
      </x:c>
    </x:row>
    <x:row r="882" ht="15" hidden="0" customHeight="1">
      <x:c r="A882" s="2" t="str">
        <x:v>E15</x:v>
      </x:c>
      <x:c r="B882" s="2" t="str">
        <x:v>有信贷记录</x:v>
      </x:c>
      <x:c r="C882" s="2" t="str">
        <x:v>销项_月均额</x:v>
      </x:c>
      <x:c r="D882" s="2" t="n">
        <x:v>5935158.166486487</x:v>
      </x:c>
      <x:c r="E882" s="2" t="n">
        <x:v>-2764337.2795238094</x:v>
      </x:c>
      <x:c r="F882" s="2" t="n">
        <x:v>4800216.221428571</x:v>
      </x:c>
      <x:c r="G882" s="2" t="str">
        <x:v>原始表保留；建模表缩尾</x:v>
      </x:c>
    </x:row>
    <x:row r="883" ht="15" hidden="0" customHeight="1">
      <x:c r="A883" s="2" t="str">
        <x:v>E16</x:v>
      </x:c>
      <x:c r="B883" s="2" t="str">
        <x:v>有信贷记录</x:v>
      </x:c>
      <x:c r="C883" s="2" t="str">
        <x:v>销项_月均额</x:v>
      </x:c>
      <x:c r="D883" s="2" t="n">
        <x:v>5771802.322702703</x:v>
      </x:c>
      <x:c r="E883" s="2" t="n">
        <x:v>-2764337.2795238094</x:v>
      </x:c>
      <x:c r="F883" s="2" t="n">
        <x:v>4800216.221428571</x:v>
      </x:c>
      <x:c r="G883" s="2" t="str">
        <x:v>原始表保留；建模表缩尾</x:v>
      </x:c>
    </x:row>
    <x:row r="884" ht="15" hidden="0" customHeight="1">
      <x:c r="A884" s="2" t="str">
        <x:v>E18</x:v>
      </x:c>
      <x:c r="B884" s="2" t="str">
        <x:v>有信贷记录</x:v>
      </x:c>
      <x:c r="C884" s="2" t="str">
        <x:v>销项_月均额</x:v>
      </x:c>
      <x:c r="D884" s="2" t="n">
        <x:v>5342064.615405406</x:v>
      </x:c>
      <x:c r="E884" s="2" t="n">
        <x:v>-2764337.2795238094</x:v>
      </x:c>
      <x:c r="F884" s="2" t="n">
        <x:v>4800216.221428571</x:v>
      </x:c>
      <x:c r="G884" s="2" t="str">
        <x:v>原始表保留；建模表缩尾</x:v>
      </x:c>
    </x:row>
    <x:row r="885" ht="15" hidden="0" customHeight="1">
      <x:c r="A885" s="2" t="str">
        <x:v>E19</x:v>
      </x:c>
      <x:c r="B885" s="2" t="str">
        <x:v>有信贷记录</x:v>
      </x:c>
      <x:c r="C885" s="2" t="str">
        <x:v>销项_月均额</x:v>
      </x:c>
      <x:c r="D885" s="2" t="n">
        <x:v>5651761.328108108</x:v>
      </x:c>
      <x:c r="E885" s="2" t="n">
        <x:v>-2764337.2795238094</x:v>
      </x:c>
      <x:c r="F885" s="2" t="n">
        <x:v>4800216.221428571</x:v>
      </x:c>
      <x:c r="G885" s="2" t="str">
        <x:v>原始表保留；建模表缩尾</x:v>
      </x:c>
    </x:row>
    <x:row r="886" ht="15" hidden="0" customHeight="1">
      <x:c r="A886" s="2" t="str">
        <x:v>E20</x:v>
      </x:c>
      <x:c r="B886" s="2" t="str">
        <x:v>有信贷记录</x:v>
      </x:c>
      <x:c r="C886" s="2" t="str">
        <x:v>销项_月均额</x:v>
      </x:c>
      <x:c r="D886" s="2" t="n">
        <x:v>6003298.8864864865</x:v>
      </x:c>
      <x:c r="E886" s="2" t="n">
        <x:v>-2764337.2795238094</x:v>
      </x:c>
      <x:c r="F886" s="2" t="n">
        <x:v>4800216.221428571</x:v>
      </x:c>
      <x:c r="G886" s="2" t="str">
        <x:v>原始表保留；建模表缩尾</x:v>
      </x:c>
    </x:row>
    <x:row r="887" ht="15" hidden="0" customHeight="1">
      <x:c r="A887" s="2" t="str">
        <x:v>E23</x:v>
      </x:c>
      <x:c r="B887" s="2" t="str">
        <x:v>有信贷记录</x:v>
      </x:c>
      <x:c r="C887" s="2" t="str">
        <x:v>销项_月均额</x:v>
      </x:c>
      <x:c r="D887" s="2" t="n">
        <x:v>5730934.933243243</x:v>
      </x:c>
      <x:c r="E887" s="2" t="n">
        <x:v>-2764337.2795238094</x:v>
      </x:c>
      <x:c r="F887" s="2" t="n">
        <x:v>4800216.221428571</x:v>
      </x:c>
      <x:c r="G887" s="2" t="str">
        <x:v>原始表保留；建模表缩尾</x:v>
      </x:c>
    </x:row>
    <x:row r="888" ht="15" hidden="0" customHeight="1">
      <x:c r="A888" s="2" t="str">
        <x:v>E124</x:v>
      </x:c>
      <x:c r="B888" s="2" t="str">
        <x:v>无信贷记录</x:v>
      </x:c>
      <x:c r="C888" s="2" t="str">
        <x:v>销项_月均额</x:v>
      </x:c>
      <x:c r="D888" s="2" t="n">
        <x:v>32337509.926799998</x:v>
      </x:c>
      <x:c r="E888" s="2" t="n">
        <x:v>-2764337.2795238094</x:v>
      </x:c>
      <x:c r="F888" s="2" t="n">
        <x:v>4800216.221428571</x:v>
      </x:c>
      <x:c r="G888" s="2" t="str">
        <x:v>原始表保留；建模表缩尾</x:v>
      </x:c>
    </x:row>
    <x:row r="889" ht="15" hidden="0" customHeight="1">
      <x:c r="A889" s="2" t="str">
        <x:v>E125</x:v>
      </x:c>
      <x:c r="B889" s="2" t="str">
        <x:v>无信贷记录</x:v>
      </x:c>
      <x:c r="C889" s="2" t="str">
        <x:v>销项_月均额</x:v>
      </x:c>
      <x:c r="D889" s="2" t="n">
        <x:v>28467808.60972222</x:v>
      </x:c>
      <x:c r="E889" s="2" t="n">
        <x:v>-2764337.2795238094</x:v>
      </x:c>
      <x:c r="F889" s="2" t="n">
        <x:v>4800216.221428571</x:v>
      </x:c>
      <x:c r="G889" s="2" t="str">
        <x:v>原始表保留；建模表缩尾</x:v>
      </x:c>
    </x:row>
    <x:row r="890" ht="15" hidden="0" customHeight="1">
      <x:c r="A890" s="2" t="str">
        <x:v>E126</x:v>
      </x:c>
      <x:c r="B890" s="2" t="str">
        <x:v>无信贷记录</x:v>
      </x:c>
      <x:c r="C890" s="2" t="str">
        <x:v>销项_月均额</x:v>
      </x:c>
      <x:c r="D890" s="2" t="n">
        <x:v>14944649.343888888</x:v>
      </x:c>
      <x:c r="E890" s="2" t="n">
        <x:v>-2764337.2795238094</x:v>
      </x:c>
      <x:c r="F890" s="2" t="n">
        <x:v>4800216.221428571</x:v>
      </x:c>
      <x:c r="G890" s="2" t="str">
        <x:v>原始表保留；建模表缩尾</x:v>
      </x:c>
    </x:row>
    <x:row r="891" ht="15" hidden="0" customHeight="1">
      <x:c r="A891" s="2" t="str">
        <x:v>E127</x:v>
      </x:c>
      <x:c r="B891" s="2" t="str">
        <x:v>无信贷记录</x:v>
      </x:c>
      <x:c r="C891" s="2" t="str">
        <x:v>销项_月均额</x:v>
      </x:c>
      <x:c r="D891" s="2" t="n">
        <x:v>18653004.875833333</x:v>
      </x:c>
      <x:c r="E891" s="2" t="n">
        <x:v>-2764337.2795238094</x:v>
      </x:c>
      <x:c r="F891" s="2" t="n">
        <x:v>4800216.221428571</x:v>
      </x:c>
      <x:c r="G891" s="2" t="str">
        <x:v>原始表保留；建模表缩尾</x:v>
      </x:c>
    </x:row>
    <x:row r="892" ht="15" hidden="0" customHeight="1">
      <x:c r="A892" s="2" t="str">
        <x:v>E128</x:v>
      </x:c>
      <x:c r="B892" s="2" t="str">
        <x:v>无信贷记录</x:v>
      </x:c>
      <x:c r="C892" s="2" t="str">
        <x:v>销项_月均额</x:v>
      </x:c>
      <x:c r="D892" s="2" t="n">
        <x:v>6963589.410833334</x:v>
      </x:c>
      <x:c r="E892" s="2" t="n">
        <x:v>-2764337.2795238094</x:v>
      </x:c>
      <x:c r="F892" s="2" t="n">
        <x:v>4800216.221428571</x:v>
      </x:c>
      <x:c r="G892" s="2" t="str">
        <x:v>原始表保留；建模表缩尾</x:v>
      </x:c>
    </x:row>
    <x:row r="893" ht="15" hidden="0" customHeight="1">
      <x:c r="A893" s="2" t="str">
        <x:v>E129</x:v>
      </x:c>
      <x:c r="B893" s="2" t="str">
        <x:v>无信贷记录</x:v>
      </x:c>
      <x:c r="C893" s="2" t="str">
        <x:v>销项_月均额</x:v>
      </x:c>
      <x:c r="D893" s="2" t="n">
        <x:v>10399974.230555557</x:v>
      </x:c>
      <x:c r="E893" s="2" t="n">
        <x:v>-2764337.2795238094</x:v>
      </x:c>
      <x:c r="F893" s="2" t="n">
        <x:v>4800216.221428571</x:v>
      </x:c>
      <x:c r="G893" s="2" t="str">
        <x:v>原始表保留；建模表缩尾</x:v>
      </x:c>
    </x:row>
    <x:row r="894" ht="15" hidden="0" customHeight="1">
      <x:c r="A894" s="2" t="str">
        <x:v>E131</x:v>
      </x:c>
      <x:c r="B894" s="2" t="str">
        <x:v>无信贷记录</x:v>
      </x:c>
      <x:c r="C894" s="2" t="str">
        <x:v>销项_月均额</x:v>
      </x:c>
      <x:c r="D894" s="2" t="n">
        <x:v>6715572.149166666</x:v>
      </x:c>
      <x:c r="E894" s="2" t="n">
        <x:v>-2764337.2795238094</x:v>
      </x:c>
      <x:c r="F894" s="2" t="n">
        <x:v>4800216.221428571</x:v>
      </x:c>
      <x:c r="G894" s="2" t="str">
        <x:v>原始表保留；建模表缩尾</x:v>
      </x:c>
    </x:row>
    <x:row r="895" ht="15" hidden="0" customHeight="1">
      <x:c r="A895" s="2" t="str">
        <x:v>E132</x:v>
      </x:c>
      <x:c r="B895" s="2" t="str">
        <x:v>无信贷记录</x:v>
      </x:c>
      <x:c r="C895" s="2" t="str">
        <x:v>销项_月均额</x:v>
      </x:c>
      <x:c r="D895" s="2" t="n">
        <x:v>6500771.61</x:v>
      </x:c>
      <x:c r="E895" s="2" t="n">
        <x:v>-2764337.2795238094</x:v>
      </x:c>
      <x:c r="F895" s="2" t="n">
        <x:v>4800216.221428571</x:v>
      </x:c>
      <x:c r="G895" s="2" t="str">
        <x:v>原始表保留；建模表缩尾</x:v>
      </x:c>
    </x:row>
    <x:row r="896" ht="15" hidden="0" customHeight="1">
      <x:c r="A896" s="2" t="str">
        <x:v>E139</x:v>
      </x:c>
      <x:c r="B896" s="2" t="str">
        <x:v>无信贷记录</x:v>
      </x:c>
      <x:c r="C896" s="2" t="str">
        <x:v>销项_月均额</x:v>
      </x:c>
      <x:c r="D896" s="2" t="n">
        <x:v>5475230.709722221</x:v>
      </x:c>
      <x:c r="E896" s="2" t="n">
        <x:v>-2764337.2795238094</x:v>
      </x:c>
      <x:c r="F896" s="2" t="n">
        <x:v>4800216.221428571</x:v>
      </x:c>
      <x:c r="G896" s="2" t="str">
        <x:v>原始表保留；建模表缩尾</x:v>
      </x:c>
    </x:row>
    <x:row r="897" ht="15" hidden="0" customHeight="1">
      <x:c r="A897" s="2" t="str">
        <x:v>E140</x:v>
      </x:c>
      <x:c r="B897" s="2" t="str">
        <x:v>无信贷记录</x:v>
      </x:c>
      <x:c r="C897" s="2" t="str">
        <x:v>销项_月均额</x:v>
      </x:c>
      <x:c r="D897" s="2" t="n">
        <x:v>5086315.296756757</x:v>
      </x:c>
      <x:c r="E897" s="2" t="n">
        <x:v>-2764337.2795238094</x:v>
      </x:c>
      <x:c r="F897" s="2" t="n">
        <x:v>4800216.221428571</x:v>
      </x:c>
      <x:c r="G897" s="2" t="str">
        <x:v>原始表保留；建模表缩尾</x:v>
      </x:c>
    </x:row>
    <x:row r="898" ht="15" hidden="0" customHeight="1">
      <x:c r="A898" s="2" t="str">
        <x:v>E147</x:v>
      </x:c>
      <x:c r="B898" s="2" t="str">
        <x:v>无信贷记录</x:v>
      </x:c>
      <x:c r="C898" s="2" t="str">
        <x:v>销项_月均额</x:v>
      </x:c>
      <x:c r="D898" s="2" t="n">
        <x:v>5400462.252162161</x:v>
      </x:c>
      <x:c r="E898" s="2" t="n">
        <x:v>-2764337.2795238094</x:v>
      </x:c>
      <x:c r="F898" s="2" t="n">
        <x:v>4800216.221428571</x:v>
      </x:c>
      <x:c r="G898" s="2" t="str">
        <x:v>原始表保留；建模表缩尾</x:v>
      </x:c>
    </x:row>
    <x:row r="899" ht="15" hidden="0" customHeight="1">
      <x:c r="A899" s="2" t="str">
        <x:v>E153</x:v>
      </x:c>
      <x:c r="B899" s="2" t="str">
        <x:v>无信贷记录</x:v>
      </x:c>
      <x:c r="C899" s="2" t="str">
        <x:v>销项_月均额</x:v>
      </x:c>
      <x:c r="D899" s="2" t="n">
        <x:v>7074086.174444444</x:v>
      </x:c>
      <x:c r="E899" s="2" t="n">
        <x:v>-2764337.2795238094</x:v>
      </x:c>
      <x:c r="F899" s="2" t="n">
        <x:v>4800216.221428571</x:v>
      </x:c>
      <x:c r="G899" s="2" t="str">
        <x:v>原始表保留；建模表缩尾</x:v>
      </x:c>
    </x:row>
    <x:row r="900" ht="15" hidden="0" customHeight="1">
      <x:c r="A900" s="2" t="str">
        <x:v>E191</x:v>
      </x:c>
      <x:c r="B900" s="2" t="str">
        <x:v>无信贷记录</x:v>
      </x:c>
      <x:c r="C900" s="2" t="str">
        <x:v>销项_月均额</x:v>
      </x:c>
      <x:c r="D900" s="2" t="n">
        <x:v>10661892.19357143</x:v>
      </x:c>
      <x:c r="E900" s="2" t="n">
        <x:v>-2764337.2795238094</x:v>
      </x:c>
      <x:c r="F900" s="2" t="n">
        <x:v>4800216.221428571</x:v>
      </x:c>
      <x:c r="G900" s="2" t="str">
        <x:v>原始表保留；建模表缩尾</x:v>
      </x:c>
    </x:row>
    <x:row r="901" ht="15" hidden="0" customHeight="1">
      <x:c r="A901" s="2" t="str">
        <x:v>E197</x:v>
      </x:c>
      <x:c r="B901" s="2" t="str">
        <x:v>无信贷记录</x:v>
      </x:c>
      <x:c r="C901" s="2" t="str">
        <x:v>销项_月均额</x:v>
      </x:c>
      <x:c r="D901" s="2" t="n">
        <x:v>4816450.578823529</x:v>
      </x:c>
      <x:c r="E901" s="2" t="n">
        <x:v>-2764337.2795238094</x:v>
      </x:c>
      <x:c r="F901" s="2" t="n">
        <x:v>4800216.221428571</x:v>
      </x:c>
      <x:c r="G901" s="2" t="str">
        <x:v>原始表保留；建模表缩尾</x:v>
      </x:c>
    </x:row>
    <x:row r="902" ht="15" hidden="0" customHeight="1">
      <x:c r="A902" s="2" t="str">
        <x:v>E96</x:v>
      </x:c>
      <x:c r="B902" s="2" t="str">
        <x:v>有信贷记录</x:v>
      </x:c>
      <x:c r="C902" s="2" t="str">
        <x:v>销项_月波动率</x:v>
      </x:c>
      <x:c r="D902" s="2" t="n">
        <x:v>2.7393616492846546</x:v>
      </x:c>
      <x:c r="E902" s="2" t="n">
        <x:v>-0.5186133435530528</x:v>
      </x:c>
      <x:c r="F902" s="2" t="n">
        <x:v>2.6562708905903394</x:v>
      </x:c>
      <x:c r="G902" s="2" t="str">
        <x:v>原始表保留；建模表缩尾</x:v>
      </x:c>
    </x:row>
    <x:row r="903" ht="15" hidden="0" customHeight="1">
      <x:c r="A903" s="2" t="str">
        <x:v>E107</x:v>
      </x:c>
      <x:c r="B903" s="2" t="str">
        <x:v>有信贷记录</x:v>
      </x:c>
      <x:c r="C903" s="2" t="str">
        <x:v>销项_月波动率</x:v>
      </x:c>
      <x:c r="D903" s="2" t="n">
        <x:v>3.3389114300633955</x:v>
      </x:c>
      <x:c r="E903" s="2" t="n">
        <x:v>-0.5186133435530528</x:v>
      </x:c>
      <x:c r="F903" s="2" t="n">
        <x:v>2.6562708905903394</x:v>
      </x:c>
      <x:c r="G903" s="2" t="str">
        <x:v>原始表保留；建模表缩尾</x:v>
      </x:c>
    </x:row>
    <x:row r="904" ht="15" hidden="0" customHeight="1">
      <x:c r="A904" s="2" t="str">
        <x:v>E123</x:v>
      </x:c>
      <x:c r="B904" s="2" t="str">
        <x:v>有信贷记录</x:v>
      </x:c>
      <x:c r="C904" s="2" t="str">
        <x:v>销项_月波动率</x:v>
      </x:c>
      <x:c r="D904" s="2" t="n">
        <x:v>3.4285536963346552</x:v>
      </x:c>
      <x:c r="E904" s="2" t="n">
        <x:v>-0.5186133435530528</x:v>
      </x:c>
      <x:c r="F904" s="2" t="n">
        <x:v>2.6562708905903394</x:v>
      </x:c>
      <x:c r="G904" s="2" t="str">
        <x:v>原始表保留；建模表缩尾</x:v>
      </x:c>
    </x:row>
    <x:row r="905" ht="15" hidden="0" customHeight="1">
      <x:c r="A905" s="2" t="str">
        <x:v>E291</x:v>
      </x:c>
      <x:c r="B905" s="2" t="str">
        <x:v>无信贷记录</x:v>
      </x:c>
      <x:c r="C905" s="2" t="str">
        <x:v>销项_月波动率</x:v>
      </x:c>
      <x:c r="D905" s="2" t="n">
        <x:v>2.9949577460867824</x:v>
      </x:c>
      <x:c r="E905" s="2" t="n">
        <x:v>-0.5186133435530528</x:v>
      </x:c>
      <x:c r="F905" s="2" t="n">
        <x:v>2.6562708905903394</x:v>
      </x:c>
      <x:c r="G905" s="2" t="str">
        <x:v>原始表保留；建模表缩尾</x:v>
      </x:c>
    </x:row>
    <x:row r="906" ht="15" hidden="0" customHeight="1">
      <x:c r="A906" s="2" t="str">
        <x:v>E307</x:v>
      </x:c>
      <x:c r="B906" s="2" t="str">
        <x:v>无信贷记录</x:v>
      </x:c>
      <x:c r="C906" s="2" t="str">
        <x:v>销项_月波动率</x:v>
      </x:c>
      <x:c r="D906" s="2" t="n">
        <x:v>2.89179839600632</x:v>
      </x:c>
      <x:c r="E906" s="2" t="n">
        <x:v>-0.5186133435530528</x:v>
      </x:c>
      <x:c r="F906" s="2" t="n">
        <x:v>2.6562708905903394</x:v>
      </x:c>
      <x:c r="G906" s="2" t="str">
        <x:v>原始表保留；建模表缩尾</x:v>
      </x:c>
    </x:row>
    <x:row r="907" ht="15" hidden="0" customHeight="1">
      <x:c r="A907" s="2" t="str">
        <x:v>E336</x:v>
      </x:c>
      <x:c r="B907" s="2" t="str">
        <x:v>无信贷记录</x:v>
      </x:c>
      <x:c r="C907" s="2" t="str">
        <x:v>销项_月波动率</x:v>
      </x:c>
      <x:c r="D907" s="2" t="n">
        <x:v>3.9376947538578477</x:v>
      </x:c>
      <x:c r="E907" s="2" t="n">
        <x:v>-0.5186133435530528</x:v>
      </x:c>
      <x:c r="F907" s="2" t="n">
        <x:v>2.6562708905903394</x:v>
      </x:c>
      <x:c r="G907" s="2" t="str">
        <x:v>原始表保留；建模表缩尾</x:v>
      </x:c>
    </x:row>
    <x:row r="908" ht="15" hidden="0" customHeight="1">
      <x:c r="A908" s="2" t="str">
        <x:v>E362</x:v>
      </x:c>
      <x:c r="B908" s="2" t="str">
        <x:v>无信贷记录</x:v>
      </x:c>
      <x:c r="C908" s="2" t="str">
        <x:v>销项_月波动率</x:v>
      </x:c>
      <x:c r="D908" s="2" t="n">
        <x:v>2.794619587425908</x:v>
      </x:c>
      <x:c r="E908" s="2" t="n">
        <x:v>-0.5186133435530528</x:v>
      </x:c>
      <x:c r="F908" s="2" t="n">
        <x:v>2.6562708905903394</x:v>
      </x:c>
      <x:c r="G908" s="2" t="str">
        <x:v>原始表保留；建模表缩尾</x:v>
      </x:c>
    </x:row>
    <x:row r="909" ht="15" hidden="0" customHeight="1">
      <x:c r="A909" s="2" t="str">
        <x:v>E365</x:v>
      </x:c>
      <x:c r="B909" s="2" t="str">
        <x:v>无信贷记录</x:v>
      </x:c>
      <x:c r="C909" s="2" t="str">
        <x:v>销项_月波动率</x:v>
      </x:c>
      <x:c r="D909" s="2" t="n">
        <x:v>2.919817149922657</x:v>
      </x:c>
      <x:c r="E909" s="2" t="n">
        <x:v>-0.5186133435530528</x:v>
      </x:c>
      <x:c r="F909" s="2" t="n">
        <x:v>2.6562708905903394</x:v>
      </x:c>
      <x:c r="G909" s="2" t="str">
        <x:v>原始表保留；建模表缩尾</x:v>
      </x:c>
    </x:row>
    <x:row r="910" ht="15" hidden="0" customHeight="1">
      <x:c r="A910" s="2" t="str">
        <x:v>E368</x:v>
      </x:c>
      <x:c r="B910" s="2" t="str">
        <x:v>无信贷记录</x:v>
      </x:c>
      <x:c r="C910" s="2" t="str">
        <x:v>销项_月波动率</x:v>
      </x:c>
      <x:c r="D910" s="2" t="n">
        <x:v>2.926857879313357</x:v>
      </x:c>
      <x:c r="E910" s="2" t="n">
        <x:v>-0.5186133435530528</x:v>
      </x:c>
      <x:c r="F910" s="2" t="n">
        <x:v>2.6562708905903394</x:v>
      </x:c>
      <x:c r="G910" s="2" t="str">
        <x:v>原始表保留；建模表缩尾</x:v>
      </x:c>
    </x:row>
    <x:row r="911" ht="15" hidden="0" customHeight="1">
      <x:c r="A911" s="2" t="str">
        <x:v>E373</x:v>
      </x:c>
      <x:c r="B911" s="2" t="str">
        <x:v>无信贷记录</x:v>
      </x:c>
      <x:c r="C911" s="2" t="str">
        <x:v>销项_月波动率</x:v>
      </x:c>
      <x:c r="D911" s="2" t="n">
        <x:v>2.8798753808080444</x:v>
      </x:c>
      <x:c r="E911" s="2" t="n">
        <x:v>-0.5186133435530528</x:v>
      </x:c>
      <x:c r="F911" s="2" t="n">
        <x:v>2.6562708905903394</x:v>
      </x:c>
      <x:c r="G911" s="2" t="str">
        <x:v>原始表保留；建模表缩尾</x:v>
      </x:c>
    </x:row>
    <x:row r="912" ht="15" hidden="0" customHeight="1">
      <x:c r="A912" s="2" t="str">
        <x:v>E404</x:v>
      </x:c>
      <x:c r="B912" s="2" t="str">
        <x:v>无信贷记录</x:v>
      </x:c>
      <x:c r="C912" s="2" t="str">
        <x:v>销项_月波动率</x:v>
      </x:c>
      <x:c r="D912" s="2" t="n">
        <x:v>3.4930978023816626</x:v>
      </x:c>
      <x:c r="E912" s="2" t="n">
        <x:v>-0.5186133435530528</x:v>
      </x:c>
      <x:c r="F912" s="2" t="n">
        <x:v>2.6562708905903394</x:v>
      </x:c>
      <x:c r="G912" s="2" t="str">
        <x:v>原始表保留；建模表缩尾</x:v>
      </x:c>
    </x:row>
    <x:row r="913" ht="15" hidden="0" customHeight="1">
      <x:c r="A913" s="2" t="str">
        <x:v>E413</x:v>
      </x:c>
      <x:c r="B913" s="2" t="str">
        <x:v>无信贷记录</x:v>
      </x:c>
      <x:c r="C913" s="2" t="str">
        <x:v>销项_月波动率</x:v>
      </x:c>
      <x:c r="D913" s="2" t="n">
        <x:v>3.325920830282406</x:v>
      </x:c>
      <x:c r="E913" s="2" t="n">
        <x:v>-0.5186133435530528</x:v>
      </x:c>
      <x:c r="F913" s="2" t="n">
        <x:v>2.6562708905903394</x:v>
      </x:c>
      <x:c r="G913" s="2" t="str">
        <x:v>原始表保留；建模表缩尾</x:v>
      </x:c>
    </x:row>
    <x:row r="914" ht="15" hidden="0" customHeight="1">
      <x:c r="A914" s="2" t="str">
        <x:v>E418</x:v>
      </x:c>
      <x:c r="B914" s="2" t="str">
        <x:v>无信贷记录</x:v>
      </x:c>
      <x:c r="C914" s="2" t="str">
        <x:v>销项_月波动率</x:v>
      </x:c>
      <x:c r="D914" s="2" t="n">
        <x:v>2.9912135427407462</x:v>
      </x:c>
      <x:c r="E914" s="2" t="n">
        <x:v>-0.5186133435530528</x:v>
      </x:c>
      <x:c r="F914" s="2" t="n">
        <x:v>2.6562708905903394</x:v>
      </x:c>
      <x:c r="G914" s="2" t="str">
        <x:v>原始表保留；建模表缩尾</x:v>
      </x:c>
    </x:row>
    <x:row r="915" ht="15" hidden="0" customHeight="1">
      <x:c r="A915" s="2" t="str">
        <x:v>E421</x:v>
      </x:c>
      <x:c r="B915" s="2" t="str">
        <x:v>无信贷记录</x:v>
      </x:c>
      <x:c r="C915" s="2" t="str">
        <x:v>销项_月波动率</x:v>
      </x:c>
      <x:c r="D915" s="2" t="n">
        <x:v>3.5938621943662015</x:v>
      </x:c>
      <x:c r="E915" s="2" t="n">
        <x:v>-0.5186133435530528</x:v>
      </x:c>
      <x:c r="F915" s="2" t="n">
        <x:v>2.6562708905903394</x:v>
      </x:c>
      <x:c r="G915" s="2" t="str">
        <x:v>原始表保留；建模表缩尾</x:v>
      </x:c>
    </x:row>
    <x:row r="916" ht="15" hidden="0" customHeight="1">
      <x:c r="A916" s="2" t="str">
        <x:v>E423</x:v>
      </x:c>
      <x:c r="B916" s="2" t="str">
        <x:v>无信贷记录</x:v>
      </x:c>
      <x:c r="C916" s="2" t="str">
        <x:v>销项_月波动率</x:v>
      </x:c>
      <x:c r="D916" s="2" t="n">
        <x:v>2.742961980874312</x:v>
      </x:c>
      <x:c r="E916" s="2" t="n">
        <x:v>-0.5186133435530528</x:v>
      </x:c>
      <x:c r="F916" s="2" t="n">
        <x:v>2.6562708905903394</x:v>
      </x:c>
      <x:c r="G916" s="2" t="str">
        <x:v>原始表保留；建模表缩尾</x:v>
      </x:c>
    </x:row>
    <x:row r="917" ht="15" hidden="0" customHeight="1">
      <x:c r="A917" s="2" t="str">
        <x:v>E424</x:v>
      </x:c>
      <x:c r="B917" s="2" t="str">
        <x:v>无信贷记录</x:v>
      </x:c>
      <x:c r="C917" s="2" t="str">
        <x:v>销项_月波动率</x:v>
      </x:c>
      <x:c r="D917" s="2" t="n">
        <x:v>4.193390179025987</x:v>
      </x:c>
      <x:c r="E917" s="2" t="n">
        <x:v>-0.5186133435530528</x:v>
      </x:c>
      <x:c r="F917" s="2" t="n">
        <x:v>2.6562708905903394</x:v>
      </x:c>
      <x:c r="G917" s="2" t="str">
        <x:v>原始表保留；建模表缩尾</x:v>
      </x:c>
    </x:row>
    <x:row r="918" ht="15" hidden="0" customHeight="1">
      <x:c r="A918" s="2" t="str">
        <x:v>E96</x:v>
      </x:c>
      <x:c r="B918" s="2" t="str">
        <x:v>有信贷记录</x:v>
      </x:c>
      <x:c r="C918" s="2" t="str">
        <x:v>销项_月趋势</x:v>
      </x:c>
      <x:c r="D918" s="2" t="n">
        <x:v>0.20507254229338892</x:v>
      </x:c>
      <x:c r="E918" s="2" t="n">
        <x:v>-0.09281571990090437</x:v>
      </x:c>
      <x:c r="F918" s="2" t="n">
        <x:v>0.1249481411530046</x:v>
      </x:c>
      <x:c r="G918" s="2" t="str">
        <x:v>原始表保留；建模表缩尾</x:v>
      </x:c>
    </x:row>
    <x:row r="919" ht="15" hidden="0" customHeight="1">
      <x:c r="A919" s="2" t="str">
        <x:v>E101</x:v>
      </x:c>
      <x:c r="B919" s="2" t="str">
        <x:v>有信贷记录</x:v>
      </x:c>
      <x:c r="C919" s="2" t="str">
        <x:v>销项_月趋势</x:v>
      </x:c>
      <x:c r="D919" s="2" t="n">
        <x:v>-0.13083812038391127</x:v>
      </x:c>
      <x:c r="E919" s="2" t="n">
        <x:v>-0.09281571990090437</x:v>
      </x:c>
      <x:c r="F919" s="2" t="n">
        <x:v>0.1249481411530046</x:v>
      </x:c>
      <x:c r="G919" s="2" t="str">
        <x:v>原始表保留；建模表缩尾</x:v>
      </x:c>
    </x:row>
    <x:row r="920" ht="15" hidden="0" customHeight="1">
      <x:c r="A920" s="2" t="str">
        <x:v>E107</x:v>
      </x:c>
      <x:c r="B920" s="2" t="str">
        <x:v>有信贷记录</x:v>
      </x:c>
      <x:c r="C920" s="2" t="str">
        <x:v>销项_月趋势</x:v>
      </x:c>
      <x:c r="D920" s="2" t="n">
        <x:v>0.13141759319816512</x:v>
      </x:c>
      <x:c r="E920" s="2" t="n">
        <x:v>-0.09281571990090437</x:v>
      </x:c>
      <x:c r="F920" s="2" t="n">
        <x:v>0.1249481411530046</x:v>
      </x:c>
      <x:c r="G920" s="2" t="str">
        <x:v>原始表保留；建模表缩尾</x:v>
      </x:c>
    </x:row>
    <x:row r="921" ht="15" hidden="0" customHeight="1">
      <x:c r="A921" s="2" t="str">
        <x:v>E108</x:v>
      </x:c>
      <x:c r="B921" s="2" t="str">
        <x:v>有信贷记录</x:v>
      </x:c>
      <x:c r="C921" s="2" t="str">
        <x:v>销项_月趋势</x:v>
      </x:c>
      <x:c r="D921" s="2" t="n">
        <x:v>-0.12272136368685084</x:v>
      </x:c>
      <x:c r="E921" s="2" t="n">
        <x:v>-0.09281571990090437</x:v>
      </x:c>
      <x:c r="F921" s="2" t="n">
        <x:v>0.1249481411530046</x:v>
      </x:c>
      <x:c r="G921" s="2" t="str">
        <x:v>原始表保留；建模表缩尾</x:v>
      </x:c>
    </x:row>
    <x:row r="922" ht="15" hidden="0" customHeight="1">
      <x:c r="A922" s="2" t="str">
        <x:v>E109</x:v>
      </x:c>
      <x:c r="B922" s="2" t="str">
        <x:v>有信贷记录</x:v>
      </x:c>
      <x:c r="C922" s="2" t="str">
        <x:v>销项_月趋势</x:v>
      </x:c>
      <x:c r="D922" s="2" t="n">
        <x:v>0.1370319496989985</x:v>
      </x:c>
      <x:c r="E922" s="2" t="n">
        <x:v>-0.09281571990090437</x:v>
      </x:c>
      <x:c r="F922" s="2" t="n">
        <x:v>0.1249481411530046</x:v>
      </x:c>
      <x:c r="G922" s="2" t="str">
        <x:v>原始表保留；建模表缩尾</x:v>
      </x:c>
    </x:row>
    <x:row r="923" ht="15" hidden="0" customHeight="1">
      <x:c r="A923" s="2" t="str">
        <x:v>E113</x:v>
      </x:c>
      <x:c r="B923" s="2" t="str">
        <x:v>有信贷记录</x:v>
      </x:c>
      <x:c r="C923" s="2" t="str">
        <x:v>销项_月趋势</x:v>
      </x:c>
      <x:c r="D923" s="2" t="n">
        <x:v>-0.12392894223418202</x:v>
      </x:c>
      <x:c r="E923" s="2" t="n">
        <x:v>-0.09281571990090437</x:v>
      </x:c>
      <x:c r="F923" s="2" t="n">
        <x:v>0.1249481411530046</x:v>
      </x:c>
      <x:c r="G923" s="2" t="str">
        <x:v>原始表保留；建模表缩尾</x:v>
      </x:c>
    </x:row>
    <x:row r="924" ht="15" hidden="0" customHeight="1">
      <x:c r="A924" s="2" t="str">
        <x:v>E115</x:v>
      </x:c>
      <x:c r="B924" s="2" t="str">
        <x:v>有信贷记录</x:v>
      </x:c>
      <x:c r="C924" s="2" t="str">
        <x:v>销项_月趋势</x:v>
      </x:c>
      <x:c r="D924" s="2" t="n">
        <x:v>0.21968800430333518</x:v>
      </x:c>
      <x:c r="E924" s="2" t="n">
        <x:v>-0.09281571990090437</x:v>
      </x:c>
      <x:c r="F924" s="2" t="n">
        <x:v>0.1249481411530046</x:v>
      </x:c>
      <x:c r="G924" s="2" t="str">
        <x:v>原始表保留；建模表缩尾</x:v>
      </x:c>
    </x:row>
    <x:row r="925" ht="15" hidden="0" customHeight="1">
      <x:c r="A925" s="2" t="str">
        <x:v>E117</x:v>
      </x:c>
      <x:c r="B925" s="2" t="str">
        <x:v>有信贷记录</x:v>
      </x:c>
      <x:c r="C925" s="2" t="str">
        <x:v>销项_月趋势</x:v>
      </x:c>
      <x:c r="D925" s="2" t="n">
        <x:v>-0.23385605041760216</x:v>
      </x:c>
      <x:c r="E925" s="2" t="n">
        <x:v>-0.09281571990090437</x:v>
      </x:c>
      <x:c r="F925" s="2" t="n">
        <x:v>0.1249481411530046</x:v>
      </x:c>
      <x:c r="G925" s="2" t="str">
        <x:v>原始表保留；建模表缩尾</x:v>
      </x:c>
    </x:row>
    <x:row r="926" ht="15" hidden="0" customHeight="1">
      <x:c r="A926" s="2" t="str">
        <x:v>E217</x:v>
      </x:c>
      <x:c r="B926" s="2" t="str">
        <x:v>无信贷记录</x:v>
      </x:c>
      <x:c r="C926" s="2" t="str">
        <x:v>销项_月趋势</x:v>
      </x:c>
      <x:c r="D926" s="2" t="n">
        <x:v>-0.15710809267323764</x:v>
      </x:c>
      <x:c r="E926" s="2" t="n">
        <x:v>-0.09281571990090437</x:v>
      </x:c>
      <x:c r="F926" s="2" t="n">
        <x:v>0.1249481411530046</x:v>
      </x:c>
      <x:c r="G926" s="2" t="str">
        <x:v>原始表保留；建模表缩尾</x:v>
      </x:c>
    </x:row>
    <x:row r="927" ht="15" hidden="0" customHeight="1">
      <x:c r="A927" s="2" t="str">
        <x:v>E240</x:v>
      </x:c>
      <x:c r="B927" s="2" t="str">
        <x:v>无信贷记录</x:v>
      </x:c>
      <x:c r="C927" s="2" t="str">
        <x:v>销项_月趋势</x:v>
      </x:c>
      <x:c r="D927" s="2" t="n">
        <x:v>0.14856406982371598</x:v>
      </x:c>
      <x:c r="E927" s="2" t="n">
        <x:v>-0.09281571990090437</x:v>
      </x:c>
      <x:c r="F927" s="2" t="n">
        <x:v>0.1249481411530046</x:v>
      </x:c>
      <x:c r="G927" s="2" t="str">
        <x:v>原始表保留；建模表缩尾</x:v>
      </x:c>
    </x:row>
    <x:row r="928" ht="15" hidden="0" customHeight="1">
      <x:c r="A928" s="2" t="str">
        <x:v>E264</x:v>
      </x:c>
      <x:c r="B928" s="2" t="str">
        <x:v>无信贷记录</x:v>
      </x:c>
      <x:c r="C928" s="2" t="str">
        <x:v>销项_月趋势</x:v>
      </x:c>
      <x:c r="D928" s="2" t="n">
        <x:v>-0.10204008299261</x:v>
      </x:c>
      <x:c r="E928" s="2" t="n">
        <x:v>-0.09281571990090437</x:v>
      </x:c>
      <x:c r="F928" s="2" t="n">
        <x:v>0.1249481411530046</x:v>
      </x:c>
      <x:c r="G928" s="2" t="str">
        <x:v>原始表保留；建模表缩尾</x:v>
      </x:c>
    </x:row>
    <x:row r="929" ht="15" hidden="0" customHeight="1">
      <x:c r="A929" s="2" t="str">
        <x:v>E323</x:v>
      </x:c>
      <x:c r="B929" s="2" t="str">
        <x:v>无信贷记录</x:v>
      </x:c>
      <x:c r="C929" s="2" t="str">
        <x:v>销项_月趋势</x:v>
      </x:c>
      <x:c r="D929" s="2" t="n">
        <x:v>0.1550815472835606</x:v>
      </x:c>
      <x:c r="E929" s="2" t="n">
        <x:v>-0.09281571990090437</x:v>
      </x:c>
      <x:c r="F929" s="2" t="n">
        <x:v>0.1249481411530046</x:v>
      </x:c>
      <x:c r="G929" s="2" t="str">
        <x:v>原始表保留；建模表缩尾</x:v>
      </x:c>
    </x:row>
    <x:row r="930" ht="15" hidden="0" customHeight="1">
      <x:c r="A930" s="2" t="str">
        <x:v>E360</x:v>
      </x:c>
      <x:c r="B930" s="2" t="str">
        <x:v>无信贷记录</x:v>
      </x:c>
      <x:c r="C930" s="2" t="str">
        <x:v>销项_月趋势</x:v>
      </x:c>
      <x:c r="D930" s="2" t="n">
        <x:v>-0.14759541029696996</x:v>
      </x:c>
      <x:c r="E930" s="2" t="n">
        <x:v>-0.09281571990090437</x:v>
      </x:c>
      <x:c r="F930" s="2" t="n">
        <x:v>0.1249481411530046</x:v>
      </x:c>
      <x:c r="G930" s="2" t="str">
        <x:v>原始表保留；建模表缩尾</x:v>
      </x:c>
    </x:row>
    <x:row r="931" ht="15" hidden="0" customHeight="1">
      <x:c r="A931" s="2" t="str">
        <x:v>E413</x:v>
      </x:c>
      <x:c r="B931" s="2" t="str">
        <x:v>无信贷记录</x:v>
      </x:c>
      <x:c r="C931" s="2" t="str">
        <x:v>销项_月趋势</x:v>
      </x:c>
      <x:c r="D931" s="2" t="n">
        <x:v>0.1330474627455745</x:v>
      </x:c>
      <x:c r="E931" s="2" t="n">
        <x:v>-0.09281571990090437</x:v>
      </x:c>
      <x:c r="F931" s="2" t="n">
        <x:v>0.1249481411530046</x:v>
      </x:c>
      <x:c r="G931" s="2" t="str">
        <x:v>原始表保留；建模表缩尾</x:v>
      </x:c>
    </x:row>
    <x:row r="932" ht="15" hidden="0" customHeight="1">
      <x:c r="A932" s="2" t="str">
        <x:v>E414</x:v>
      </x:c>
      <x:c r="B932" s="2" t="str">
        <x:v>无信贷记录</x:v>
      </x:c>
      <x:c r="C932" s="2" t="str">
        <x:v>销项_月趋势</x:v>
      </x:c>
      <x:c r="D932" s="2" t="n">
        <x:v>-0.26144339697376884</x:v>
      </x:c>
      <x:c r="E932" s="2" t="n">
        <x:v>-0.09281571990090437</x:v>
      </x:c>
      <x:c r="F932" s="2" t="n">
        <x:v>0.1249481411530046</x:v>
      </x:c>
      <x:c r="G932" s="2" t="str">
        <x:v>原始表保留；建模表缩尾</x:v>
      </x:c>
    </x:row>
    <x:row r="933" ht="15" hidden="0" customHeight="1">
      <x:c r="A933" s="2" t="str">
        <x:v>E417</x:v>
      </x:c>
      <x:c r="B933" s="2" t="str">
        <x:v>无信贷记录</x:v>
      </x:c>
      <x:c r="C933" s="2" t="str">
        <x:v>销项_月趋势</x:v>
      </x:c>
      <x:c r="D933" s="2" t="n">
        <x:v>-0.12014572824083962</x:v>
      </x:c>
      <x:c r="E933" s="2" t="n">
        <x:v>-0.09281571990090437</x:v>
      </x:c>
      <x:c r="F933" s="2" t="n">
        <x:v>0.1249481411530046</x:v>
      </x:c>
      <x:c r="G933" s="2" t="str">
        <x:v>原始表保留；建模表缩尾</x:v>
      </x:c>
    </x:row>
    <x:row r="934" ht="15" hidden="0" customHeight="1">
      <x:c r="A934" s="2" t="str">
        <x:v>E418</x:v>
      </x:c>
      <x:c r="B934" s="2" t="str">
        <x:v>无信贷记录</x:v>
      </x:c>
      <x:c r="C934" s="2" t="str">
        <x:v>销项_月趋势</x:v>
      </x:c>
      <x:c r="D934" s="2" t="n">
        <x:v>-0.14606918208588426</x:v>
      </x:c>
      <x:c r="E934" s="2" t="n">
        <x:v>-0.09281571990090437</x:v>
      </x:c>
      <x:c r="F934" s="2" t="n">
        <x:v>0.1249481411530046</x:v>
      </x:c>
      <x:c r="G934" s="2" t="str">
        <x:v>原始表保留；建模表缩尾</x:v>
      </x:c>
    </x:row>
    <x:row r="935" ht="15" hidden="0" customHeight="1">
      <x:c r="A935" s="2" t="str">
        <x:v>E422</x:v>
      </x:c>
      <x:c r="B935" s="2" t="str">
        <x:v>无信贷记录</x:v>
      </x:c>
      <x:c r="C935" s="2" t="str">
        <x:v>销项_月趋势</x:v>
      </x:c>
      <x:c r="D935" s="2" t="n">
        <x:v>0.12971498323900596</x:v>
      </x:c>
      <x:c r="E935" s="2" t="n">
        <x:v>-0.09281571990090437</x:v>
      </x:c>
      <x:c r="F935" s="2" t="n">
        <x:v>0.1249481411530046</x:v>
      </x:c>
      <x:c r="G935" s="2" t="str">
        <x:v>原始表保留；建模表缩尾</x:v>
      </x:c>
    </x:row>
    <x:row r="936" ht="15" hidden="0" customHeight="1">
      <x:c r="A936" s="2" t="str">
        <x:v>E424</x:v>
      </x:c>
      <x:c r="B936" s="2" t="str">
        <x:v>无信贷记录</x:v>
      </x:c>
      <x:c r="C936" s="2" t="str">
        <x:v>销项_月趋势</x:v>
      </x:c>
      <x:c r="D936" s="2" t="n">
        <x:v>-0.1269185141976693</x:v>
      </x:c>
      <x:c r="E936" s="2" t="n">
        <x:v>-0.09281571990090437</x:v>
      </x:c>
      <x:c r="F936" s="2" t="n">
        <x:v>0.1249481411530046</x:v>
      </x:c>
      <x:c r="G936" s="2" t="str">
        <x:v>原始表保留；建模表缩尾</x:v>
      </x:c>
    </x:row>
    <x:row r="937" ht="15" hidden="0" customHeight="1">
      <x:c r="A937" s="2" t="str">
        <x:v>E425</x:v>
      </x:c>
      <x:c r="B937" s="2" t="str">
        <x:v>无信贷记录</x:v>
      </x:c>
      <x:c r="C937" s="2" t="str">
        <x:v>销项_月趋势</x:v>
      </x:c>
      <x:c r="D937" s="2" t="n">
        <x:v>-0.2949119793902424</x:v>
      </x:c>
      <x:c r="E937" s="2" t="n">
        <x:v>-0.09281571990090437</x:v>
      </x:c>
      <x:c r="F937" s="2" t="n">
        <x:v>0.1249481411530046</x:v>
      </x:c>
      <x:c r="G937" s="2" t="str">
        <x:v>原始表保留；建模表缩尾</x:v>
      </x:c>
    </x:row>
    <x:row r="938" ht="15" hidden="0" customHeight="1">
      <x:c r="A938" s="2" t="str">
        <x:v>E1</x:v>
      </x:c>
      <x:c r="B938" s="2" t="str">
        <x:v>有信贷记录</x:v>
      </x:c>
      <x:c r="C938" s="2" t="str">
        <x:v>净流入代理</x:v>
      </x:c>
      <x:c r="D938" s="2" t="n">
        <x:v>-1939308587.6899996</x:v>
      </x:c>
      <x:c r="E938" s="2" t="n">
        <x:v>-37407494.835</x:v>
      </x:c>
      <x:c r="F938" s="2" t="n">
        <x:v>64274064.725</x:v>
      </x:c>
      <x:c r="G938" s="2" t="str">
        <x:v>原始表保留；建模表缩尾</x:v>
      </x:c>
    </x:row>
    <x:row r="939" ht="15" hidden="0" customHeight="1">
      <x:c r="A939" s="2" t="str">
        <x:v>E2</x:v>
      </x:c>
      <x:c r="B939" s="2" t="str">
        <x:v>有信贷记录</x:v>
      </x:c>
      <x:c r="C939" s="2" t="str">
        <x:v>净流入代理</x:v>
      </x:c>
      <x:c r="D939" s="2" t="n">
        <x:v>365569041.17</x:v>
      </x:c>
      <x:c r="E939" s="2" t="n">
        <x:v>-37407494.835</x:v>
      </x:c>
      <x:c r="F939" s="2" t="n">
        <x:v>64274064.725</x:v>
      </x:c>
      <x:c r="G939" s="2" t="str">
        <x:v>原始表保留；建模表缩尾</x:v>
      </x:c>
    </x:row>
    <x:row r="940" ht="15" hidden="0" customHeight="1">
      <x:c r="A940" s="2" t="str">
        <x:v>E3</x:v>
      </x:c>
      <x:c r="B940" s="2" t="str">
        <x:v>有信贷记录</x:v>
      </x:c>
      <x:c r="C940" s="2" t="str">
        <x:v>净流入代理</x:v>
      </x:c>
      <x:c r="D940" s="2" t="n">
        <x:v>606890926.1800001</x:v>
      </x:c>
      <x:c r="E940" s="2" t="n">
        <x:v>-37407494.835</x:v>
      </x:c>
      <x:c r="F940" s="2" t="n">
        <x:v>64274064.725</x:v>
      </x:c>
      <x:c r="G940" s="2" t="str">
        <x:v>原始表保留；建模表缩尾</x:v>
      </x:c>
    </x:row>
    <x:row r="941" ht="15" hidden="0" customHeight="1">
      <x:c r="A941" s="2" t="str">
        <x:v>E4</x:v>
      </x:c>
      <x:c r="B941" s="2" t="str">
        <x:v>有信贷记录</x:v>
      </x:c>
      <x:c r="C941" s="2" t="str">
        <x:v>净流入代理</x:v>
      </x:c>
      <x:c r="D941" s="2" t="n">
        <x:v>1891956370.0900002</x:v>
      </x:c>
      <x:c r="E941" s="2" t="n">
        <x:v>-37407494.835</x:v>
      </x:c>
      <x:c r="F941" s="2" t="n">
        <x:v>64274064.725</x:v>
      </x:c>
      <x:c r="G941" s="2" t="str">
        <x:v>原始表保留；建模表缩尾</x:v>
      </x:c>
    </x:row>
    <x:row r="942" ht="15" hidden="0" customHeight="1">
      <x:c r="A942" s="2" t="str">
        <x:v>E6</x:v>
      </x:c>
      <x:c r="B942" s="2" t="str">
        <x:v>有信贷记录</x:v>
      </x:c>
      <x:c r="C942" s="2" t="str">
        <x:v>净流入代理</x:v>
      </x:c>
      <x:c r="D942" s="2" t="n">
        <x:v>74718874.74000001</x:v>
      </x:c>
      <x:c r="E942" s="2" t="n">
        <x:v>-37407494.835</x:v>
      </x:c>
      <x:c r="F942" s="2" t="n">
        <x:v>64274064.725</x:v>
      </x:c>
      <x:c r="G942" s="2" t="str">
        <x:v>原始表保留；建模表缩尾</x:v>
      </x:c>
    </x:row>
    <x:row r="943" ht="15" hidden="0" customHeight="1">
      <x:c r="A943" s="2" t="str">
        <x:v>E7</x:v>
      </x:c>
      <x:c r="B943" s="2" t="str">
        <x:v>有信贷记录</x:v>
      </x:c>
      <x:c r="C943" s="2" t="str">
        <x:v>净流入代理</x:v>
      </x:c>
      <x:c r="D943" s="2" t="n">
        <x:v>532738754.7</x:v>
      </x:c>
      <x:c r="E943" s="2" t="n">
        <x:v>-37407494.835</x:v>
      </x:c>
      <x:c r="F943" s="2" t="n">
        <x:v>64274064.725</x:v>
      </x:c>
      <x:c r="G943" s="2" t="str">
        <x:v>原始表保留；建模表缩尾</x:v>
      </x:c>
    </x:row>
    <x:row r="944" ht="15" hidden="0" customHeight="1">
      <x:c r="A944" s="2" t="str">
        <x:v>E8</x:v>
      </x:c>
      <x:c r="B944" s="2" t="str">
        <x:v>有信贷记录</x:v>
      </x:c>
      <x:c r="C944" s="2" t="str">
        <x:v>净流入代理</x:v>
      </x:c>
      <x:c r="D944" s="2" t="n">
        <x:v>210375193.72999996</x:v>
      </x:c>
      <x:c r="E944" s="2" t="n">
        <x:v>-37407494.835</x:v>
      </x:c>
      <x:c r="F944" s="2" t="n">
        <x:v>64274064.725</x:v>
      </x:c>
      <x:c r="G944" s="2" t="str">
        <x:v>原始表保留；建模表缩尾</x:v>
      </x:c>
    </x:row>
    <x:row r="945" ht="15" hidden="0" customHeight="1">
      <x:c r="A945" s="2" t="str">
        <x:v>E9</x:v>
      </x:c>
      <x:c r="B945" s="2" t="str">
        <x:v>有信贷记录</x:v>
      </x:c>
      <x:c r="C945" s="2" t="str">
        <x:v>净流入代理</x:v>
      </x:c>
      <x:c r="D945" s="2" t="n">
        <x:v>343078523.78000003</x:v>
      </x:c>
      <x:c r="E945" s="2" t="n">
        <x:v>-37407494.835</x:v>
      </x:c>
      <x:c r="F945" s="2" t="n">
        <x:v>64274064.725</x:v>
      </x:c>
      <x:c r="G945" s="2" t="str">
        <x:v>原始表保留；建模表缩尾</x:v>
      </x:c>
    </x:row>
    <x:row r="946" ht="15" hidden="0" customHeight="1">
      <x:c r="A946" s="2" t="str">
        <x:v>E10</x:v>
      </x:c>
      <x:c r="B946" s="2" t="str">
        <x:v>有信贷记录</x:v>
      </x:c>
      <x:c r="C946" s="2" t="str">
        <x:v>净流入代理</x:v>
      </x:c>
      <x:c r="D946" s="2" t="n">
        <x:v>346043569.86</x:v>
      </x:c>
      <x:c r="E946" s="2" t="n">
        <x:v>-37407494.835</x:v>
      </x:c>
      <x:c r="F946" s="2" t="n">
        <x:v>64274064.725</x:v>
      </x:c>
      <x:c r="G946" s="2" t="str">
        <x:v>原始表保留；建模表缩尾</x:v>
      </x:c>
    </x:row>
    <x:row r="947" ht="15" hidden="0" customHeight="1">
      <x:c r="A947" s="2" t="str">
        <x:v>E12</x:v>
      </x:c>
      <x:c r="B947" s="2" t="str">
        <x:v>有信贷记录</x:v>
      </x:c>
      <x:c r="C947" s="2" t="str">
        <x:v>净流入代理</x:v>
      </x:c>
      <x:c r="D947" s="2" t="n">
        <x:v>147556007.81</x:v>
      </x:c>
      <x:c r="E947" s="2" t="n">
        <x:v>-37407494.835</x:v>
      </x:c>
      <x:c r="F947" s="2" t="n">
        <x:v>64274064.725</x:v>
      </x:c>
      <x:c r="G947" s="2" t="str">
        <x:v>原始表保留；建模表缩尾</x:v>
      </x:c>
    </x:row>
    <x:row r="948" ht="15" hidden="0" customHeight="1">
      <x:c r="A948" s="2" t="str">
        <x:v>E13</x:v>
      </x:c>
      <x:c r="B948" s="2" t="str">
        <x:v>有信贷记录</x:v>
      </x:c>
      <x:c r="C948" s="2" t="str">
        <x:v>净流入代理</x:v>
      </x:c>
      <x:c r="D948" s="2" t="n">
        <x:v>140349520.35</x:v>
      </x:c>
      <x:c r="E948" s="2" t="n">
        <x:v>-37407494.835</x:v>
      </x:c>
      <x:c r="F948" s="2" t="n">
        <x:v>64274064.725</x:v>
      </x:c>
      <x:c r="G948" s="2" t="str">
        <x:v>原始表保留；建模表缩尾</x:v>
      </x:c>
    </x:row>
    <x:row r="949" ht="15" hidden="0" customHeight="1">
      <x:c r="A949" s="2" t="str">
        <x:v>E14</x:v>
      </x:c>
      <x:c r="B949" s="2" t="str">
        <x:v>有信贷记录</x:v>
      </x:c>
      <x:c r="C949" s="2" t="str">
        <x:v>净流入代理</x:v>
      </x:c>
      <x:c r="D949" s="2" t="n">
        <x:v>116656927.13000001</x:v>
      </x:c>
      <x:c r="E949" s="2" t="n">
        <x:v>-37407494.835</x:v>
      </x:c>
      <x:c r="F949" s="2" t="n">
        <x:v>64274064.725</x:v>
      </x:c>
      <x:c r="G949" s="2" t="str">
        <x:v>原始表保留；建模表缩尾</x:v>
      </x:c>
    </x:row>
    <x:row r="950" ht="15" hidden="0" customHeight="1">
      <x:c r="A950" s="2" t="str">
        <x:v>E15</x:v>
      </x:c>
      <x:c r="B950" s="2" t="str">
        <x:v>有信贷记录</x:v>
      </x:c>
      <x:c r="C950" s="2" t="str">
        <x:v>净流入代理</x:v>
      </x:c>
      <x:c r="D950" s="2" t="n">
        <x:v>214796907.72000003</x:v>
      </x:c>
      <x:c r="E950" s="2" t="n">
        <x:v>-37407494.835</x:v>
      </x:c>
      <x:c r="F950" s="2" t="n">
        <x:v>64274064.725</x:v>
      </x:c>
      <x:c r="G950" s="2" t="str">
        <x:v>原始表保留；建模表缩尾</x:v>
      </x:c>
    </x:row>
    <x:row r="951" ht="15" hidden="0" customHeight="1">
      <x:c r="A951" s="2" t="str">
        <x:v>E16</x:v>
      </x:c>
      <x:c r="B951" s="2" t="str">
        <x:v>有信贷记录</x:v>
      </x:c>
      <x:c r="C951" s="2" t="str">
        <x:v>净流入代理</x:v>
      </x:c>
      <x:c r="D951" s="2" t="n">
        <x:v>213263937.52</x:v>
      </x:c>
      <x:c r="E951" s="2" t="n">
        <x:v>-37407494.835</x:v>
      </x:c>
      <x:c r="F951" s="2" t="n">
        <x:v>64274064.725</x:v>
      </x:c>
      <x:c r="G951" s="2" t="str">
        <x:v>原始表保留；建模表缩尾</x:v>
      </x:c>
    </x:row>
    <x:row r="952" ht="15" hidden="0" customHeight="1">
      <x:c r="A952" s="2" t="str">
        <x:v>E24</x:v>
      </x:c>
      <x:c r="B952" s="2" t="str">
        <x:v>有信贷记录</x:v>
      </x:c>
      <x:c r="C952" s="2" t="str">
        <x:v>净流入代理</x:v>
      </x:c>
      <x:c r="D952" s="2" t="n">
        <x:v>68017783.41999999</x:v>
      </x:c>
      <x:c r="E952" s="2" t="n">
        <x:v>-37407494.835</x:v>
      </x:c>
      <x:c r="F952" s="2" t="n">
        <x:v>64274064.725</x:v>
      </x:c>
      <x:c r="G952" s="2" t="str">
        <x:v>原始表保留；建模表缩尾</x:v>
      </x:c>
    </x:row>
    <x:row r="953" ht="15" hidden="0" customHeight="1">
      <x:c r="A953" s="2" t="str">
        <x:v>E126</x:v>
      </x:c>
      <x:c r="B953" s="2" t="str">
        <x:v>无信贷记录</x:v>
      </x:c>
      <x:c r="C953" s="2" t="str">
        <x:v>净流入代理</x:v>
      </x:c>
      <x:c r="D953" s="2" t="n">
        <x:v>409188652.75</x:v>
      </x:c>
      <x:c r="E953" s="2" t="n">
        <x:v>-37407494.835</x:v>
      </x:c>
      <x:c r="F953" s="2" t="n">
        <x:v>64274064.725</x:v>
      </x:c>
      <x:c r="G953" s="2" t="str">
        <x:v>原始表保留；建模表缩尾</x:v>
      </x:c>
    </x:row>
    <x:row r="954" ht="15" hidden="0" customHeight="1">
      <x:c r="A954" s="2" t="str">
        <x:v>E127</x:v>
      </x:c>
      <x:c r="B954" s="2" t="str">
        <x:v>无信贷记录</x:v>
      </x:c>
      <x:c r="C954" s="2" t="str">
        <x:v>净流入代理</x:v>
      </x:c>
      <x:c r="D954" s="2" t="n">
        <x:v>669742616.5899999</x:v>
      </x:c>
      <x:c r="E954" s="2" t="n">
        <x:v>-37407494.835</x:v>
      </x:c>
      <x:c r="F954" s="2" t="n">
        <x:v>64274064.725</x:v>
      </x:c>
      <x:c r="G954" s="2" t="str">
        <x:v>原始表保留；建模表缩尾</x:v>
      </x:c>
    </x:row>
    <x:row r="955" ht="15" hidden="0" customHeight="1">
      <x:c r="A955" s="2" t="str">
        <x:v>E128</x:v>
      </x:c>
      <x:c r="B955" s="2" t="str">
        <x:v>无信贷记录</x:v>
      </x:c>
      <x:c r="C955" s="2" t="str">
        <x:v>净流入代理</x:v>
      </x:c>
      <x:c r="D955" s="2" t="n">
        <x:v>241328718.84</x:v>
      </x:c>
      <x:c r="E955" s="2" t="n">
        <x:v>-37407494.835</x:v>
      </x:c>
      <x:c r="F955" s="2" t="n">
        <x:v>64274064.725</x:v>
      </x:c>
      <x:c r="G955" s="2" t="str">
        <x:v>原始表保留；建模表缩尾</x:v>
      </x:c>
    </x:row>
    <x:row r="956" ht="15" hidden="0" customHeight="1">
      <x:c r="A956" s="2" t="str">
        <x:v>E129</x:v>
      </x:c>
      <x:c r="B956" s="2" t="str">
        <x:v>无信贷记录</x:v>
      </x:c>
      <x:c r="C956" s="2" t="str">
        <x:v>净流入代理</x:v>
      </x:c>
      <x:c r="D956" s="2" t="n">
        <x:v>288821265.47999996</x:v>
      </x:c>
      <x:c r="E956" s="2" t="n">
        <x:v>-37407494.835</x:v>
      </x:c>
      <x:c r="F956" s="2" t="n">
        <x:v>64274064.725</x:v>
      </x:c>
      <x:c r="G956" s="2" t="str">
        <x:v>原始表保留；建模表缩尾</x:v>
      </x:c>
    </x:row>
    <x:row r="957" ht="15" hidden="0" customHeight="1">
      <x:c r="A957" s="2" t="str">
        <x:v>E131</x:v>
      </x:c>
      <x:c r="B957" s="2" t="str">
        <x:v>无信贷记录</x:v>
      </x:c>
      <x:c r="C957" s="2" t="str">
        <x:v>净流入代理</x:v>
      </x:c>
      <x:c r="D957" s="2" t="n">
        <x:v>116656927.13000001</x:v>
      </x:c>
      <x:c r="E957" s="2" t="n">
        <x:v>-37407494.835</x:v>
      </x:c>
      <x:c r="F957" s="2" t="n">
        <x:v>64274064.725</x:v>
      </x:c>
      <x:c r="G957" s="2" t="str">
        <x:v>原始表保留；建模表缩尾</x:v>
      </x:c>
    </x:row>
    <x:row r="958" ht="15" hidden="0" customHeight="1">
      <x:c r="A958" s="2" t="str">
        <x:v>E132</x:v>
      </x:c>
      <x:c r="B958" s="2" t="str">
        <x:v>无信贷记录</x:v>
      </x:c>
      <x:c r="C958" s="2" t="str">
        <x:v>净流入代理</x:v>
      </x:c>
      <x:c r="D958" s="2" t="n">
        <x:v>150854346.93999994</x:v>
      </x:c>
      <x:c r="E958" s="2" t="n">
        <x:v>-37407494.835</x:v>
      </x:c>
      <x:c r="F958" s="2" t="n">
        <x:v>64274064.725</x:v>
      </x:c>
      <x:c r="G958" s="2" t="str">
        <x:v>原始表保留；建模表缩尾</x:v>
      </x:c>
    </x:row>
    <x:row r="959" ht="15" hidden="0" customHeight="1">
      <x:c r="A959" s="2" t="str">
        <x:v>E133</x:v>
      </x:c>
      <x:c r="B959" s="2" t="str">
        <x:v>无信贷记录</x:v>
      </x:c>
      <x:c r="C959" s="2" t="str">
        <x:v>净流入代理</x:v>
      </x:c>
      <x:c r="D959" s="2" t="n">
        <x:v>76405632.82</x:v>
      </x:c>
      <x:c r="E959" s="2" t="n">
        <x:v>-37407494.835</x:v>
      </x:c>
      <x:c r="F959" s="2" t="n">
        <x:v>64274064.725</x:v>
      </x:c>
      <x:c r="G959" s="2" t="str">
        <x:v>原始表保留；建模表缩尾</x:v>
      </x:c>
    </x:row>
    <x:row r="960" ht="15" hidden="0" customHeight="1">
      <x:c r="A960" s="2" t="str">
        <x:v>E134</x:v>
      </x:c>
      <x:c r="B960" s="2" t="str">
        <x:v>无信贷记录</x:v>
      </x:c>
      <x:c r="C960" s="2" t="str">
        <x:v>净流入代理</x:v>
      </x:c>
      <x:c r="D960" s="2" t="n">
        <x:v>125889170.86</x:v>
      </x:c>
      <x:c r="E960" s="2" t="n">
        <x:v>-37407494.835</x:v>
      </x:c>
      <x:c r="F960" s="2" t="n">
        <x:v>64274064.725</x:v>
      </x:c>
      <x:c r="G960" s="2" t="str">
        <x:v>原始表保留；建模表缩尾</x:v>
      </x:c>
    </x:row>
    <x:row r="961" ht="15" hidden="0" customHeight="1">
      <x:c r="A961" s="2" t="str">
        <x:v>E135</x:v>
      </x:c>
      <x:c r="B961" s="2" t="str">
        <x:v>无信贷记录</x:v>
      </x:c>
      <x:c r="C961" s="2" t="str">
        <x:v>净流入代理</x:v>
      </x:c>
      <x:c r="D961" s="2" t="n">
        <x:v>116914922.69</x:v>
      </x:c>
      <x:c r="E961" s="2" t="n">
        <x:v>-37407494.835</x:v>
      </x:c>
      <x:c r="F961" s="2" t="n">
        <x:v>64274064.725</x:v>
      </x:c>
      <x:c r="G961" s="2" t="str">
        <x:v>原始表保留；建模表缩尾</x:v>
      </x:c>
    </x:row>
    <x:row r="962" ht="15" hidden="0" customHeight="1">
      <x:c r="A962" s="2" t="str">
        <x:v>E138</x:v>
      </x:c>
      <x:c r="B962" s="2" t="str">
        <x:v>无信贷记录</x:v>
      </x:c>
      <x:c r="C962" s="2" t="str">
        <x:v>净流入代理</x:v>
      </x:c>
      <x:c r="D962" s="2" t="n">
        <x:v>100266290.44</x:v>
      </x:c>
      <x:c r="E962" s="2" t="n">
        <x:v>-37407494.835</x:v>
      </x:c>
      <x:c r="F962" s="2" t="n">
        <x:v>64274064.725</x:v>
      </x:c>
      <x:c r="G962" s="2" t="str">
        <x:v>原始表保留；建模表缩尾</x:v>
      </x:c>
    </x:row>
    <x:row r="963" ht="15" hidden="0" customHeight="1">
      <x:c r="A963" s="2" t="str">
        <x:v>E139</x:v>
      </x:c>
      <x:c r="B963" s="2" t="str">
        <x:v>无信贷记录</x:v>
      </x:c>
      <x:c r="C963" s="2" t="str">
        <x:v>净流入代理</x:v>
      </x:c>
      <x:c r="D963" s="2" t="n">
        <x:v>195814296.60000002</x:v>
      </x:c>
      <x:c r="E963" s="2" t="n">
        <x:v>-37407494.835</x:v>
      </x:c>
      <x:c r="F963" s="2" t="n">
        <x:v>64274064.725</x:v>
      </x:c>
      <x:c r="G963" s="2" t="str">
        <x:v>原始表保留；建模表缩尾</x:v>
      </x:c>
    </x:row>
    <x:row r="964" ht="15" hidden="0" customHeight="1">
      <x:c r="A964" s="2" t="str">
        <x:v>E140</x:v>
      </x:c>
      <x:c r="B964" s="2" t="str">
        <x:v>无信贷记录</x:v>
      </x:c>
      <x:c r="C964" s="2" t="str">
        <x:v>净流入代理</x:v>
      </x:c>
      <x:c r="D964" s="2" t="n">
        <x:v>180795241.29</x:v>
      </x:c>
      <x:c r="E964" s="2" t="n">
        <x:v>-37407494.835</x:v>
      </x:c>
      <x:c r="F964" s="2" t="n">
        <x:v>64274064.725</x:v>
      </x:c>
      <x:c r="G964" s="2" t="str">
        <x:v>原始表保留；建模表缩尾</x:v>
      </x:c>
    </x:row>
    <x:row r="965" ht="15" hidden="0" customHeight="1">
      <x:c r="A965" s="2" t="str">
        <x:v>E141</x:v>
      </x:c>
      <x:c r="B965" s="2" t="str">
        <x:v>无信贷记录</x:v>
      </x:c>
      <x:c r="C965" s="2" t="str">
        <x:v>净流入代理</x:v>
      </x:c>
      <x:c r="D965" s="2" t="n">
        <x:v>120791599.47</x:v>
      </x:c>
      <x:c r="E965" s="2" t="n">
        <x:v>-37407494.835</x:v>
      </x:c>
      <x:c r="F965" s="2" t="n">
        <x:v>64274064.725</x:v>
      </x:c>
      <x:c r="G965" s="2" t="str">
        <x:v>原始表保留；建模表缩尾</x:v>
      </x:c>
    </x:row>
    <x:row r="966" ht="15" hidden="0" customHeight="1">
      <x:c r="A966" s="2" t="str">
        <x:v>E143</x:v>
      </x:c>
      <x:c r="B966" s="2" t="str">
        <x:v>无信贷记录</x:v>
      </x:c>
      <x:c r="C966" s="2" t="str">
        <x:v>净流入代理</x:v>
      </x:c>
      <x:c r="D966" s="2" t="n">
        <x:v>66639974.52999999</x:v>
      </x:c>
      <x:c r="E966" s="2" t="n">
        <x:v>-37407494.835</x:v>
      </x:c>
      <x:c r="F966" s="2" t="n">
        <x:v>64274064.725</x:v>
      </x:c>
      <x:c r="G966" s="2" t="str">
        <x:v>原始表保留；建模表缩尾</x:v>
      </x:c>
    </x:row>
    <x:row r="967" ht="15" hidden="0" customHeight="1">
      <x:c r="A967" s="2" t="str">
        <x:v>E144</x:v>
      </x:c>
      <x:c r="B967" s="2" t="str">
        <x:v>无信贷记录</x:v>
      </x:c>
      <x:c r="C967" s="2" t="str">
        <x:v>净流入代理</x:v>
      </x:c>
      <x:c r="D967" s="2" t="n">
        <x:v>100103698.56</x:v>
      </x:c>
      <x:c r="E967" s="2" t="n">
        <x:v>-37407494.835</x:v>
      </x:c>
      <x:c r="F967" s="2" t="n">
        <x:v>64274064.725</x:v>
      </x:c>
      <x:c r="G967" s="2" t="str">
        <x:v>原始表保留；建模表缩尾</x:v>
      </x:c>
    </x:row>
    <x:row r="968" ht="15" hidden="0" customHeight="1">
      <x:c r="A968" s="2" t="str">
        <x:v>E149</x:v>
      </x:c>
      <x:c r="B968" s="2" t="str">
        <x:v>无信贷记录</x:v>
      </x:c>
      <x:c r="C968" s="2" t="str">
        <x:v>净流入代理</x:v>
      </x:c>
      <x:c r="D968" s="2" t="n">
        <x:v>106520496.72</x:v>
      </x:c>
      <x:c r="E968" s="2" t="n">
        <x:v>-37407494.835</x:v>
      </x:c>
      <x:c r="F968" s="2" t="n">
        <x:v>64274064.725</x:v>
      </x:c>
      <x:c r="G968" s="2" t="str">
        <x:v>原始表保留；建模表缩尾</x:v>
      </x:c>
    </x:row>
    <x:row r="969" ht="15" hidden="0" customHeight="1">
      <x:c r="A969" s="2" t="str">
        <x:v>E151</x:v>
      </x:c>
      <x:c r="B969" s="2" t="str">
        <x:v>无信贷记录</x:v>
      </x:c>
      <x:c r="C969" s="2" t="str">
        <x:v>净流入代理</x:v>
      </x:c>
      <x:c r="D969" s="2" t="n">
        <x:v>96975996.66</x:v>
      </x:c>
      <x:c r="E969" s="2" t="n">
        <x:v>-37407494.835</x:v>
      </x:c>
      <x:c r="F969" s="2" t="n">
        <x:v>64274064.725</x:v>
      </x:c>
      <x:c r="G969" s="2" t="str">
        <x:v>原始表保留；建模表缩尾</x:v>
      </x:c>
    </x:row>
    <x:row r="970" ht="15" hidden="0" customHeight="1">
      <x:c r="A970" s="2" t="str">
        <x:v>E152</x:v>
      </x:c>
      <x:c r="B970" s="2" t="str">
        <x:v>无信贷记录</x:v>
      </x:c>
      <x:c r="C970" s="2" t="str">
        <x:v>净流入代理</x:v>
      </x:c>
      <x:c r="D970" s="2" t="n">
        <x:v>119992976</x:v>
      </x:c>
      <x:c r="E970" s="2" t="n">
        <x:v>-37407494.835</x:v>
      </x:c>
      <x:c r="F970" s="2" t="n">
        <x:v>64274064.725</x:v>
      </x:c>
      <x:c r="G970" s="2" t="str">
        <x:v>原始表保留；建模表缩尾</x:v>
      </x:c>
    </x:row>
    <x:row r="971" ht="15" hidden="0" customHeight="1">
      <x:c r="A971" s="2" t="str">
        <x:v>E153</x:v>
      </x:c>
      <x:c r="B971" s="2" t="str">
        <x:v>无信贷记录</x:v>
      </x:c>
      <x:c r="C971" s="2" t="str">
        <x:v>净流入代理</x:v>
      </x:c>
      <x:c r="D971" s="2" t="n">
        <x:v>254574025.28</x:v>
      </x:c>
      <x:c r="E971" s="2" t="n">
        <x:v>-37407494.835</x:v>
      </x:c>
      <x:c r="F971" s="2" t="n">
        <x:v>64274064.725</x:v>
      </x:c>
      <x:c r="G971" s="2" t="str">
        <x:v>原始表保留；建模表缩尾</x:v>
      </x:c>
    </x:row>
    <x:row r="972" ht="15" hidden="0" customHeight="1">
      <x:c r="A972" s="2" t="str">
        <x:v>E154</x:v>
      </x:c>
      <x:c r="B972" s="2" t="str">
        <x:v>无信贷记录</x:v>
      </x:c>
      <x:c r="C972" s="2" t="str">
        <x:v>净流入代理</x:v>
      </x:c>
      <x:c r="D972" s="2" t="n">
        <x:v>-55881524.07000001</x:v>
      </x:c>
      <x:c r="E972" s="2" t="n">
        <x:v>-37407494.835</x:v>
      </x:c>
      <x:c r="F972" s="2" t="n">
        <x:v>64274064.725</x:v>
      </x:c>
      <x:c r="G972" s="2" t="str">
        <x:v>原始表保留；建模表缩尾</x:v>
      </x:c>
    </x:row>
    <x:row r="973" ht="15" hidden="0" customHeight="1">
      <x:c r="A973" s="2" t="str">
        <x:v>E156</x:v>
      </x:c>
      <x:c r="B973" s="2" t="str">
        <x:v>无信贷记录</x:v>
      </x:c>
      <x:c r="C973" s="2" t="str">
        <x:v>净流入代理</x:v>
      </x:c>
      <x:c r="D973" s="2" t="n">
        <x:v>156414522.38</x:v>
      </x:c>
      <x:c r="E973" s="2" t="n">
        <x:v>-37407494.835</x:v>
      </x:c>
      <x:c r="F973" s="2" t="n">
        <x:v>64274064.725</x:v>
      </x:c>
      <x:c r="G973" s="2" t="str">
        <x:v>原始表保留；建模表缩尾</x:v>
      </x:c>
    </x:row>
    <x:row r="974" ht="15" hidden="0" customHeight="1">
      <x:c r="A974" s="2" t="str">
        <x:v>E161</x:v>
      </x:c>
      <x:c r="B974" s="2" t="str">
        <x:v>无信贷记录</x:v>
      </x:c>
      <x:c r="C974" s="2" t="str">
        <x:v>净流入代理</x:v>
      </x:c>
      <x:c r="D974" s="2" t="n">
        <x:v>159168701.32</x:v>
      </x:c>
      <x:c r="E974" s="2" t="n">
        <x:v>-37407494.835</x:v>
      </x:c>
      <x:c r="F974" s="2" t="n">
        <x:v>64274064.725</x:v>
      </x:c>
      <x:c r="G974" s="2" t="str">
        <x:v>原始表保留；建模表缩尾</x:v>
      </x:c>
    </x:row>
    <x:row r="975" ht="15" hidden="0" customHeight="1">
      <x:c r="A975" s="2" t="str">
        <x:v>E166</x:v>
      </x:c>
      <x:c r="B975" s="2" t="str">
        <x:v>无信贷记录</x:v>
      </x:c>
      <x:c r="C975" s="2" t="str">
        <x:v>净流入代理</x:v>
      </x:c>
      <x:c r="D975" s="2" t="n">
        <x:v>78253640.78</x:v>
      </x:c>
      <x:c r="E975" s="2" t="n">
        <x:v>-37407494.835</x:v>
      </x:c>
      <x:c r="F975" s="2" t="n">
        <x:v>64274064.725</x:v>
      </x:c>
      <x:c r="G975" s="2" t="str">
        <x:v>原始表保留；建模表缩尾</x:v>
      </x:c>
    </x:row>
    <x:row r="976" ht="15" hidden="0" customHeight="1">
      <x:c r="A976" s="2" t="str">
        <x:v>E168</x:v>
      </x:c>
      <x:c r="B976" s="2" t="str">
        <x:v>无信贷记录</x:v>
      </x:c>
      <x:c r="C976" s="2" t="str">
        <x:v>净流入代理</x:v>
      </x:c>
      <x:c r="D976" s="2" t="n">
        <x:v>91468887.7</x:v>
      </x:c>
      <x:c r="E976" s="2" t="n">
        <x:v>-37407494.835</x:v>
      </x:c>
      <x:c r="F976" s="2" t="n">
        <x:v>64274064.725</x:v>
      </x:c>
      <x:c r="G976" s="2" t="str">
        <x:v>原始表保留；建模表缩尾</x:v>
      </x:c>
    </x:row>
    <x:row r="977" ht="15" hidden="0" customHeight="1">
      <x:c r="A977" s="2" t="str">
        <x:v>E176</x:v>
      </x:c>
      <x:c r="B977" s="2" t="str">
        <x:v>无信贷记录</x:v>
      </x:c>
      <x:c r="C977" s="2" t="str">
        <x:v>净流入代理</x:v>
      </x:c>
      <x:c r="D977" s="2" t="n">
        <x:v>91450326.15</x:v>
      </x:c>
      <x:c r="E977" s="2" t="n">
        <x:v>-37407494.835</x:v>
      </x:c>
      <x:c r="F977" s="2" t="n">
        <x:v>64274064.725</x:v>
      </x:c>
      <x:c r="G977" s="2" t="str">
        <x:v>原始表保留；建模表缩尾</x:v>
      </x:c>
    </x:row>
    <x:row r="978" ht="15" hidden="0" customHeight="1">
      <x:c r="A978" s="2" t="str">
        <x:v>E185</x:v>
      </x:c>
      <x:c r="B978" s="2" t="str">
        <x:v>无信贷记录</x:v>
      </x:c>
      <x:c r="C978" s="2" t="str">
        <x:v>净流入代理</x:v>
      </x:c>
      <x:c r="D978" s="2" t="n">
        <x:v>100460583.61999999</x:v>
      </x:c>
      <x:c r="E978" s="2" t="n">
        <x:v>-37407494.835</x:v>
      </x:c>
      <x:c r="F978" s="2" t="n">
        <x:v>64274064.725</x:v>
      </x:c>
      <x:c r="G978" s="2" t="str">
        <x:v>原始表保留；建模表缩尾</x:v>
      </x:c>
    </x:row>
    <x:row r="979" ht="15" hidden="0" customHeight="1">
      <x:c r="A979" s="2" t="str">
        <x:v>E186</x:v>
      </x:c>
      <x:c r="B979" s="2" t="str">
        <x:v>无信贷记录</x:v>
      </x:c>
      <x:c r="C979" s="2" t="str">
        <x:v>净流入代理</x:v>
      </x:c>
      <x:c r="D979" s="2" t="n">
        <x:v>82865440.75</x:v>
      </x:c>
      <x:c r="E979" s="2" t="n">
        <x:v>-37407494.835</x:v>
      </x:c>
      <x:c r="F979" s="2" t="n">
        <x:v>64274064.725</x:v>
      </x:c>
      <x:c r="G979" s="2" t="str">
        <x:v>原始表保留；建模表缩尾</x:v>
      </x:c>
    </x:row>
    <x:row r="980" ht="15" hidden="0" customHeight="1">
      <x:c r="A980" s="2" t="str">
        <x:v>E187</x:v>
      </x:c>
      <x:c r="B980" s="2" t="str">
        <x:v>无信贷记录</x:v>
      </x:c>
      <x:c r="C980" s="2" t="str">
        <x:v>净流入代理</x:v>
      </x:c>
      <x:c r="D980" s="2" t="n">
        <x:v>-75110900.60000001</x:v>
      </x:c>
      <x:c r="E980" s="2" t="n">
        <x:v>-37407494.835</x:v>
      </x:c>
      <x:c r="F980" s="2" t="n">
        <x:v>64274064.725</x:v>
      </x:c>
      <x:c r="G980" s="2" t="str">
        <x:v>原始表保留；建模表缩尾</x:v>
      </x:c>
    </x:row>
    <x:row r="981" ht="15" hidden="0" customHeight="1">
      <x:c r="A981" s="2" t="str">
        <x:v>E190</x:v>
      </x:c>
      <x:c r="B981" s="2" t="str">
        <x:v>无信贷记录</x:v>
      </x:c>
      <x:c r="C981" s="2" t="str">
        <x:v>净流入代理</x:v>
      </x:c>
      <x:c r="D981" s="2" t="n">
        <x:v>121586312.63000001</x:v>
      </x:c>
      <x:c r="E981" s="2" t="n">
        <x:v>-37407494.835</x:v>
      </x:c>
      <x:c r="F981" s="2" t="n">
        <x:v>64274064.725</x:v>
      </x:c>
      <x:c r="G981" s="2" t="str">
        <x:v>原始表保留；建模表缩尾</x:v>
      </x:c>
    </x:row>
    <x:row r="982" ht="15" hidden="0" customHeight="1">
      <x:c r="A982" s="2" t="str">
        <x:v>E193</x:v>
      </x:c>
      <x:c r="B982" s="2" t="str">
        <x:v>无信贷记录</x:v>
      </x:c>
      <x:c r="C982" s="2" t="str">
        <x:v>净流入代理</x:v>
      </x:c>
      <x:c r="D982" s="2" t="n">
        <x:v>122246992.03</x:v>
      </x:c>
      <x:c r="E982" s="2" t="n">
        <x:v>-37407494.835</x:v>
      </x:c>
      <x:c r="F982" s="2" t="n">
        <x:v>64274064.725</x:v>
      </x:c>
      <x:c r="G982" s="2" t="str">
        <x:v>原始表保留；建模表缩尾</x:v>
      </x:c>
    </x:row>
    <x:row r="983" ht="15" hidden="0" customHeight="1">
      <x:c r="A983" s="2" t="str">
        <x:v>E194</x:v>
      </x:c>
      <x:c r="B983" s="2" t="str">
        <x:v>无信贷记录</x:v>
      </x:c>
      <x:c r="C983" s="2" t="str">
        <x:v>净流入代理</x:v>
      </x:c>
      <x:c r="D983" s="2" t="n">
        <x:v>77116126.07000001</x:v>
      </x:c>
      <x:c r="E983" s="2" t="n">
        <x:v>-37407494.835</x:v>
      </x:c>
      <x:c r="F983" s="2" t="n">
        <x:v>64274064.725</x:v>
      </x:c>
      <x:c r="G983" s="2" t="str">
        <x:v>原始表保留；建模表缩尾</x:v>
      </x:c>
    </x:row>
    <x:row r="984" ht="15" hidden="0" customHeight="1">
      <x:c r="A984" s="2" t="str">
        <x:v>E197</x:v>
      </x:c>
      <x:c r="B984" s="2" t="str">
        <x:v>无信贷记录</x:v>
      </x:c>
      <x:c r="C984" s="2" t="str">
        <x:v>净流入代理</x:v>
      </x:c>
      <x:c r="D984" s="2" t="n">
        <x:v>64419495.20000002</x:v>
      </x:c>
      <x:c r="E984" s="2" t="n">
        <x:v>-37407494.835</x:v>
      </x:c>
      <x:c r="F984" s="2" t="n">
        <x:v>64274064.725</x:v>
      </x:c>
      <x:c r="G984" s="2" t="str">
        <x:v>原始表保留；建模表缩尾</x:v>
      </x:c>
    </x:row>
    <x:row r="985" ht="15" hidden="0" customHeight="1">
      <x:c r="A985" s="2" t="str">
        <x:v>E202</x:v>
      </x:c>
      <x:c r="B985" s="2" t="str">
        <x:v>无信贷记录</x:v>
      </x:c>
      <x:c r="C985" s="2" t="str">
        <x:v>净流入代理</x:v>
      </x:c>
      <x:c r="D985" s="2" t="n">
        <x:v>95444692.93</x:v>
      </x:c>
      <x:c r="E985" s="2" t="n">
        <x:v>-37407494.835</x:v>
      </x:c>
      <x:c r="F985" s="2" t="n">
        <x:v>64274064.725</x:v>
      </x:c>
      <x:c r="G985" s="2" t="str">
        <x:v>原始表保留；建模表缩尾</x:v>
      </x:c>
    </x:row>
    <x:row r="986" ht="15" hidden="0" customHeight="1">
      <x:c r="A986" s="2" t="str">
        <x:v>E212</x:v>
      </x:c>
      <x:c r="B986" s="2" t="str">
        <x:v>无信贷记录</x:v>
      </x:c>
      <x:c r="C986" s="2" t="str">
        <x:v>净流入代理</x:v>
      </x:c>
      <x:c r="D986" s="2" t="n">
        <x:v>81346040.27</x:v>
      </x:c>
      <x:c r="E986" s="2" t="n">
        <x:v>-37407494.835</x:v>
      </x:c>
      <x:c r="F986" s="2" t="n">
        <x:v>64274064.725</x:v>
      </x:c>
      <x:c r="G986" s="2" t="str">
        <x:v>原始表保留；建模表缩尾</x:v>
      </x:c>
    </x:row>
    <x:row r="987" ht="15" hidden="0" customHeight="1">
      <x:c r="A987" s="2" t="str">
        <x:v>E215</x:v>
      </x:c>
      <x:c r="B987" s="2" t="str">
        <x:v>无信贷记录</x:v>
      </x:c>
      <x:c r="C987" s="2" t="str">
        <x:v>净流入代理</x:v>
      </x:c>
      <x:c r="D987" s="2" t="n">
        <x:v>69513284.38000001</x:v>
      </x:c>
      <x:c r="E987" s="2" t="n">
        <x:v>-37407494.835</x:v>
      </x:c>
      <x:c r="F987" s="2" t="n">
        <x:v>64274064.725</x:v>
      </x:c>
      <x:c r="G987" s="2" t="str">
        <x:v>原始表保留；建模表缩尾</x:v>
      </x:c>
    </x:row>
    <x:row r="988" ht="15" hidden="0" customHeight="1">
      <x:c r="A988" s="2" t="str">
        <x:v>E217</x:v>
      </x:c>
      <x:c r="B988" s="2" t="str">
        <x:v>无信贷记录</x:v>
      </x:c>
      <x:c r="C988" s="2" t="str">
        <x:v>净流入代理</x:v>
      </x:c>
      <x:c r="D988" s="2" t="n">
        <x:v>-58328173.45</x:v>
      </x:c>
      <x:c r="E988" s="2" t="n">
        <x:v>-37407494.835</x:v>
      </x:c>
      <x:c r="F988" s="2" t="n">
        <x:v>64274064.725</x:v>
      </x:c>
      <x:c r="G988" s="2" t="str">
        <x:v>原始表保留；建模表缩尾</x:v>
      </x:c>
    </x:row>
    <x:row r="989" ht="15" hidden="0" customHeight="1">
      <x:c r="A989" s="2" t="str">
        <x:v>E312</x:v>
      </x:c>
      <x:c r="B989" s="2" t="str">
        <x:v>无信贷记录</x:v>
      </x:c>
      <x:c r="C989" s="2" t="str">
        <x:v>净流入代理</x:v>
      </x:c>
      <x:c r="D989" s="2" t="n">
        <x:v>-69420999.46</x:v>
      </x:c>
      <x:c r="E989" s="2" t="n">
        <x:v>-37407494.835</x:v>
      </x:c>
      <x:c r="F989" s="2" t="n">
        <x:v>64274064.725</x:v>
      </x:c>
      <x:c r="G989" s="2" t="str">
        <x:v>原始表保留；建模表缩尾</x:v>
      </x:c>
    </x:row>
    <x:row r="990" ht="15" hidden="0" customHeight="1">
      <x:c r="A990" s="2" t="str">
        <x:v>E324</x:v>
      </x:c>
      <x:c r="B990" s="2" t="str">
        <x:v>无信贷记录</x:v>
      </x:c>
      <x:c r="C990" s="2" t="str">
        <x:v>净流入代理</x:v>
      </x:c>
      <x:c r="D990" s="2" t="n">
        <x:v>-76963392.47</x:v>
      </x:c>
      <x:c r="E990" s="2" t="n">
        <x:v>-37407494.835</x:v>
      </x:c>
      <x:c r="F990" s="2" t="n">
        <x:v>64274064.725</x:v>
      </x:c>
      <x:c r="G990" s="2" t="str">
        <x:v>原始表保留；建模表缩尾</x:v>
      </x:c>
    </x:row>
    <x:row r="991" ht="15" hidden="0" customHeight="1">
      <x:c r="A991" s="2" t="str">
        <x:v>E381</x:v>
      </x:c>
      <x:c r="B991" s="2" t="str">
        <x:v>无信贷记录</x:v>
      </x:c>
      <x:c r="C991" s="2" t="str">
        <x:v>净流入代理</x:v>
      </x:c>
      <x:c r="D991" s="2" t="n">
        <x:v>-95674666.17</x:v>
      </x:c>
      <x:c r="E991" s="2" t="n">
        <x:v>-37407494.835</x:v>
      </x:c>
      <x:c r="F991" s="2" t="n">
        <x:v>64274064.725</x:v>
      </x:c>
      <x:c r="G991" s="2" t="str">
        <x:v>原始表保留；建模表缩尾</x:v>
      </x:c>
    </x:row>
    <x:row r="992" ht="15" hidden="0" customHeight="1">
      <x:c r="A992" s="2" t="str">
        <x:v>E83</x:v>
      </x:c>
      <x:c r="B992" s="2" t="str">
        <x:v>有信贷记录</x:v>
      </x:c>
      <x:c r="C992" s="2" t="str">
        <x:v>进销比</x:v>
      </x:c>
      <x:c r="D992" s="2" t="n">
        <x:v>10.911081778122464</x:v>
      </x:c>
      <x:c r="E992" s="2" t="n">
        <x:v>-0.884768974311445</x:v>
      </x:c>
      <x:c r="F992" s="2" t="n">
        <x:v>1.779531302632181</x:v>
      </x:c>
      <x:c r="G992" s="2" t="str">
        <x:v>原始表保留；建模表缩尾</x:v>
      </x:c>
    </x:row>
    <x:row r="993" ht="15" hidden="0" customHeight="1">
      <x:c r="A993" s="2" t="str">
        <x:v>E99</x:v>
      </x:c>
      <x:c r="B993" s="2" t="str">
        <x:v>有信贷记录</x:v>
      </x:c>
      <x:c r="C993" s="2" t="str">
        <x:v>进销比</x:v>
      </x:c>
      <x:c r="D993" s="2" t="n">
        <x:v>3.8703739451053116</x:v>
      </x:c>
      <x:c r="E993" s="2" t="n">
        <x:v>-0.884768974311445</x:v>
      </x:c>
      <x:c r="F993" s="2" t="n">
        <x:v>1.779531302632181</x:v>
      </x:c>
      <x:c r="G993" s="2" t="str">
        <x:v>原始表保留；建模表缩尾</x:v>
      </x:c>
    </x:row>
    <x:row r="994" ht="15" hidden="0" customHeight="1">
      <x:c r="A994" s="2" t="str">
        <x:v>E102</x:v>
      </x:c>
      <x:c r="B994" s="2" t="str">
        <x:v>有信贷记录</x:v>
      </x:c>
      <x:c r="C994" s="2" t="str">
        <x:v>进销比</x:v>
      </x:c>
      <x:c r="D994" s="2" t="n">
        <x:v>7.37866592743505</x:v>
      </x:c>
      <x:c r="E994" s="2" t="n">
        <x:v>-0.884768974311445</x:v>
      </x:c>
      <x:c r="F994" s="2" t="n">
        <x:v>1.779531302632181</x:v>
      </x:c>
      <x:c r="G994" s="2" t="str">
        <x:v>原始表保留；建模表缩尾</x:v>
      </x:c>
    </x:row>
    <x:row r="995" ht="15" hidden="0" customHeight="1">
      <x:c r="A995" s="2" t="str">
        <x:v>E113</x:v>
      </x:c>
      <x:c r="B995" s="2" t="str">
        <x:v>有信贷记录</x:v>
      </x:c>
      <x:c r="C995" s="2" t="str">
        <x:v>进销比</x:v>
      </x:c>
      <x:c r="D995" s="2" t="n">
        <x:v>4.1201236115326125</x:v>
      </x:c>
      <x:c r="E995" s="2" t="n">
        <x:v>-0.884768974311445</x:v>
      </x:c>
      <x:c r="F995" s="2" t="n">
        <x:v>1.779531302632181</x:v>
      </x:c>
      <x:c r="G995" s="2" t="str">
        <x:v>原始表保留；建模表缩尾</x:v>
      </x:c>
    </x:row>
    <x:row r="996" ht="15" hidden="0" customHeight="1">
      <x:c r="A996" s="2" t="str">
        <x:v>E114</x:v>
      </x:c>
      <x:c r="B996" s="2" t="str">
        <x:v>有信贷记录</x:v>
      </x:c>
      <x:c r="C996" s="2" t="str">
        <x:v>进销比</x:v>
      </x:c>
      <x:c r="D996" s="2" t="n">
        <x:v>2.734030298180071</x:v>
      </x:c>
      <x:c r="E996" s="2" t="n">
        <x:v>-0.884768974311445</x:v>
      </x:c>
      <x:c r="F996" s="2" t="n">
        <x:v>1.779531302632181</x:v>
      </x:c>
      <x:c r="G996" s="2" t="str">
        <x:v>原始表保留；建模表缩尾</x:v>
      </x:c>
    </x:row>
    <x:row r="997" ht="15" hidden="0" customHeight="1">
      <x:c r="A997" s="2" t="str">
        <x:v>E119</x:v>
      </x:c>
      <x:c r="B997" s="2" t="str">
        <x:v>有信贷记录</x:v>
      </x:c>
      <x:c r="C997" s="2" t="str">
        <x:v>进销比</x:v>
      </x:c>
      <x:c r="D997" s="2" t="n">
        <x:v>6.7991081051655655</x:v>
      </x:c>
      <x:c r="E997" s="2" t="n">
        <x:v>-0.884768974311445</x:v>
      </x:c>
      <x:c r="F997" s="2" t="n">
        <x:v>1.779531302632181</x:v>
      </x:c>
      <x:c r="G997" s="2" t="str">
        <x:v>原始表保留；建模表缩尾</x:v>
      </x:c>
    </x:row>
    <x:row r="998" ht="15" hidden="0" customHeight="1">
      <x:c r="A998" s="2" t="str">
        <x:v>E121</x:v>
      </x:c>
      <x:c r="B998" s="2" t="str">
        <x:v>有信贷记录</x:v>
      </x:c>
      <x:c r="C998" s="2" t="str">
        <x:v>进销比</x:v>
      </x:c>
      <x:c r="D998" s="2" t="n">
        <x:v>10.989122437220756</x:v>
      </x:c>
      <x:c r="E998" s="2" t="n">
        <x:v>-0.884768974311445</x:v>
      </x:c>
      <x:c r="F998" s="2" t="n">
        <x:v>1.779531302632181</x:v>
      </x:c>
      <x:c r="G998" s="2" t="str">
        <x:v>原始表保留；建模表缩尾</x:v>
      </x:c>
    </x:row>
    <x:row r="999" ht="15" hidden="0" customHeight="1">
      <x:c r="A999" s="2" t="str">
        <x:v>E187</x:v>
      </x:c>
      <x:c r="B999" s="2" t="str">
        <x:v>无信贷记录</x:v>
      </x:c>
      <x:c r="C999" s="2" t="str">
        <x:v>进销比</x:v>
      </x:c>
      <x:c r="D999" s="2" t="n">
        <x:v>21.604511821878187</x:v>
      </x:c>
      <x:c r="E999" s="2" t="n">
        <x:v>-0.884768974311445</x:v>
      </x:c>
      <x:c r="F999" s="2" t="n">
        <x:v>1.779531302632181</x:v>
      </x:c>
      <x:c r="G999" s="2" t="str">
        <x:v>原始表保留；建模表缩尾</x:v>
      </x:c>
    </x:row>
    <x:row r="1000" ht="15" hidden="0" customHeight="1">
      <x:c r="A1000" s="2" t="str">
        <x:v>E217</x:v>
      </x:c>
      <x:c r="B1000" s="2" t="str">
        <x:v>无信贷记录</x:v>
      </x:c>
      <x:c r="C1000" s="2" t="str">
        <x:v>进销比</x:v>
      </x:c>
      <x:c r="D1000" s="2" t="n">
        <x:v>21.530444543977016</x:v>
      </x:c>
      <x:c r="E1000" s="2" t="n">
        <x:v>-0.884768974311445</x:v>
      </x:c>
      <x:c r="F1000" s="2" t="n">
        <x:v>1.779531302632181</x:v>
      </x:c>
      <x:c r="G1000" s="2" t="str">
        <x:v>原始表保留；建模表缩尾</x:v>
      </x:c>
    </x:row>
    <x:row r="1001" ht="15" hidden="0" customHeight="1">
      <x:c r="A1001" s="2" t="str">
        <x:v>E240</x:v>
      </x:c>
      <x:c r="B1001" s="2" t="str">
        <x:v>无信贷记录</x:v>
      </x:c>
      <x:c r="C1001" s="2" t="str">
        <x:v>进销比</x:v>
      </x:c>
      <x:c r="D1001" s="2" t="n">
        <x:v>1.795577945373866</x:v>
      </x:c>
      <x:c r="E1001" s="2" t="n">
        <x:v>-0.884768974311445</x:v>
      </x:c>
      <x:c r="F1001" s="2" t="n">
        <x:v>1.779531302632181</x:v>
      </x:c>
      <x:c r="G1001" s="2" t="str">
        <x:v>原始表保留；建模表缩尾</x:v>
      </x:c>
    </x:row>
    <x:row r="1002" ht="15" hidden="0" customHeight="1">
      <x:c r="A1002" s="2" t="str">
        <x:v>E242</x:v>
      </x:c>
      <x:c r="B1002" s="2" t="str">
        <x:v>无信贷记录</x:v>
      </x:c>
      <x:c r="C1002" s="2" t="str">
        <x:v>进销比</x:v>
      </x:c>
      <x:c r="D1002" s="2" t="n">
        <x:v>12.098782275275507</x:v>
      </x:c>
      <x:c r="E1002" s="2" t="n">
        <x:v>-0.884768974311445</x:v>
      </x:c>
      <x:c r="F1002" s="2" t="n">
        <x:v>1.779531302632181</x:v>
      </x:c>
      <x:c r="G1002" s="2" t="str">
        <x:v>原始表保留；建模表缩尾</x:v>
      </x:c>
    </x:row>
    <x:row r="1003" ht="15" hidden="0" customHeight="1">
      <x:c r="A1003" s="2" t="str">
        <x:v>E264</x:v>
      </x:c>
      <x:c r="B1003" s="2" t="str">
        <x:v>无信贷记录</x:v>
      </x:c>
      <x:c r="C1003" s="2" t="str">
        <x:v>进销比</x:v>
      </x:c>
      <x:c r="D1003" s="2" t="n">
        <x:v>20.534875936118237</x:v>
      </x:c>
      <x:c r="E1003" s="2" t="n">
        <x:v>-0.884768974311445</x:v>
      </x:c>
      <x:c r="F1003" s="2" t="n">
        <x:v>1.779531302632181</x:v>
      </x:c>
      <x:c r="G1003" s="2" t="str">
        <x:v>原始表保留；建模表缩尾</x:v>
      </x:c>
    </x:row>
    <x:row r="1004" ht="15" hidden="0" customHeight="1">
      <x:c r="A1004" s="2" t="str">
        <x:v>E312</x:v>
      </x:c>
      <x:c r="B1004" s="2" t="str">
        <x:v>无信贷记录</x:v>
      </x:c>
      <x:c r="C1004" s="2" t="str">
        <x:v>进销比</x:v>
      </x:c>
      <x:c r="D1004" s="2" t="n">
        <x:v>5.59729523035092</x:v>
      </x:c>
      <x:c r="E1004" s="2" t="n">
        <x:v>-0.884768974311445</x:v>
      </x:c>
      <x:c r="F1004" s="2" t="n">
        <x:v>1.779531302632181</x:v>
      </x:c>
      <x:c r="G1004" s="2" t="str">
        <x:v>原始表保留；建模表缩尾</x:v>
      </x:c>
    </x:row>
    <x:row r="1005" ht="15" hidden="0" customHeight="1">
      <x:c r="A1005" s="2" t="str">
        <x:v>E324</x:v>
      </x:c>
      <x:c r="B1005" s="2" t="str">
        <x:v>无信贷记录</x:v>
      </x:c>
      <x:c r="C1005" s="2" t="str">
        <x:v>进销比</x:v>
      </x:c>
      <x:c r="D1005" s="2" t="n">
        <x:v>5.975592889142903</x:v>
      </x:c>
      <x:c r="E1005" s="2" t="n">
        <x:v>-0.884768974311445</x:v>
      </x:c>
      <x:c r="F1005" s="2" t="n">
        <x:v>1.779531302632181</x:v>
      </x:c>
      <x:c r="G1005" s="2" t="str">
        <x:v>原始表保留；建模表缩尾</x:v>
      </x:c>
    </x:row>
    <x:row r="1006" ht="15" hidden="0" customHeight="1">
      <x:c r="A1006" s="2" t="str">
        <x:v>E325</x:v>
      </x:c>
      <x:c r="B1006" s="2" t="str">
        <x:v>无信贷记录</x:v>
      </x:c>
      <x:c r="C1006" s="2" t="str">
        <x:v>进销比</x:v>
      </x:c>
      <x:c r="D1006" s="2" t="n">
        <x:v>2.6585863349734535</x:v>
      </x:c>
      <x:c r="E1006" s="2" t="n">
        <x:v>-0.884768974311445</x:v>
      </x:c>
      <x:c r="F1006" s="2" t="n">
        <x:v>1.779531302632181</x:v>
      </x:c>
      <x:c r="G1006" s="2" t="str">
        <x:v>原始表保留；建模表缩尾</x:v>
      </x:c>
    </x:row>
    <x:row r="1007" ht="15" hidden="0" customHeight="1">
      <x:c r="A1007" s="2" t="str">
        <x:v>E352</x:v>
      </x:c>
      <x:c r="B1007" s="2" t="str">
        <x:v>无信贷记录</x:v>
      </x:c>
      <x:c r="C1007" s="2" t="str">
        <x:v>进销比</x:v>
      </x:c>
      <x:c r="D1007" s="2" t="n">
        <x:v>5.7220169256860585</x:v>
      </x:c>
      <x:c r="E1007" s="2" t="n">
        <x:v>-0.884768974311445</x:v>
      </x:c>
      <x:c r="F1007" s="2" t="n">
        <x:v>1.779531302632181</x:v>
      </x:c>
      <x:c r="G1007" s="2" t="str">
        <x:v>原始表保留；建模表缩尾</x:v>
      </x:c>
    </x:row>
    <x:row r="1008" ht="15" hidden="0" customHeight="1">
      <x:c r="A1008" s="2" t="str">
        <x:v>E373</x:v>
      </x:c>
      <x:c r="B1008" s="2" t="str">
        <x:v>无信贷记录</x:v>
      </x:c>
      <x:c r="C1008" s="2" t="str">
        <x:v>进销比</x:v>
      </x:c>
      <x:c r="D1008" s="2" t="n">
        <x:v>15.373924020610874</x:v>
      </x:c>
      <x:c r="E1008" s="2" t="n">
        <x:v>-0.884768974311445</x:v>
      </x:c>
      <x:c r="F1008" s="2" t="n">
        <x:v>1.779531302632181</x:v>
      </x:c>
      <x:c r="G1008" s="2" t="str">
        <x:v>原始表保留；建模表缩尾</x:v>
      </x:c>
    </x:row>
    <x:row r="1009" ht="15" hidden="0" customHeight="1">
      <x:c r="A1009" s="2" t="str">
        <x:v>E381</x:v>
      </x:c>
      <x:c r="B1009" s="2" t="str">
        <x:v>无信贷记录</x:v>
      </x:c>
      <x:c r="C1009" s="2" t="str">
        <x:v>进销比</x:v>
      </x:c>
      <x:c r="D1009" s="2" t="n">
        <x:v>45.55892241114004</x:v>
      </x:c>
      <x:c r="E1009" s="2" t="n">
        <x:v>-0.884768974311445</x:v>
      </x:c>
      <x:c r="F1009" s="2" t="n">
        <x:v>1.779531302632181</x:v>
      </x:c>
      <x:c r="G1009" s="2" t="str">
        <x:v>原始表保留；建模表缩尾</x:v>
      </x:c>
    </x:row>
    <x:row r="1010" ht="15" hidden="0" customHeight="1">
      <x:c r="A1010" s="2" t="str">
        <x:v>E419</x:v>
      </x:c>
      <x:c r="B1010" s="2" t="str">
        <x:v>无信贷记录</x:v>
      </x:c>
      <x:c r="C1010" s="2" t="str">
        <x:v>进销比</x:v>
      </x:c>
      <x:c r="D1010" s="2" t="n">
        <x:v>217.3661224637642</x:v>
      </x:c>
      <x:c r="E1010" s="2" t="n">
        <x:v>-0.884768974311445</x:v>
      </x:c>
      <x:c r="F1010" s="2" t="n">
        <x:v>1.779531302632181</x:v>
      </x:c>
      <x:c r="G1010" s="2" t="str">
        <x:v>原始表保留；建模表缩尾</x:v>
      </x:c>
    </x:row>
    <x:row r="1011" ht="15" hidden="0" customHeight="1">
      <x:c r="A1011" s="2" t="str">
        <x:v>E420</x:v>
      </x:c>
      <x:c r="B1011" s="2" t="str">
        <x:v>无信贷记录</x:v>
      </x:c>
      <x:c r="C1011" s="2" t="str">
        <x:v>进销比</x:v>
      </x:c>
      <x:c r="D1011" s="2" t="n">
        <x:v>25.96628326445489</x:v>
      </x:c>
      <x:c r="E1011" s="2" t="n">
        <x:v>-0.884768974311445</x:v>
      </x:c>
      <x:c r="F1011" s="2" t="n">
        <x:v>1.779531302632181</x:v>
      </x:c>
      <x:c r="G1011" s="2" t="str">
        <x:v>原始表保留；建模表缩尾</x:v>
      </x:c>
    </x:row>
    <x:row r="1012" ht="15" hidden="0" customHeight="1">
      <x:c r="A1012" s="2" t="str">
        <x:v>E424</x:v>
      </x:c>
      <x:c r="B1012" s="2" t="str">
        <x:v>无信贷记录</x:v>
      </x:c>
      <x:c r="C1012" s="2" t="str">
        <x:v>进销比</x:v>
      </x:c>
      <x:c r="D1012" s="2" t="n">
        <x:v>3.3290877985231138</x:v>
      </x:c>
      <x:c r="E1012" s="2" t="n">
        <x:v>-0.884768974311445</x:v>
      </x:c>
      <x:c r="F1012" s="2" t="n">
        <x:v>1.779531302632181</x:v>
      </x:c>
      <x:c r="G1012" s="2" t="str">
        <x:v>原始表保留；建模表缩尾</x:v>
      </x:c>
    </x:row>
    <x:row r="1013" ht="15" hidden="0" customHeight="1">
      <x:c r="A1013" s="2" t="str">
        <x:v>E55</x:v>
      </x:c>
      <x:c r="B1013" s="2" t="str">
        <x:v>有信贷记录</x:v>
      </x:c>
      <x:c r="C1013" s="2" t="str">
        <x:v>综合作废率</x:v>
      </x:c>
      <x:c r="D1013" s="2" t="n">
        <x:v>0.1542816702052371</x:v>
      </x:c>
      <x:c r="E1013" s="2" t="n">
        <x:v>-0.024418740011204428</x:v>
      </x:c>
      <x:c r="F1013" s="2" t="n">
        <x:v>0.14948270468087996</x:v>
      </x:c>
      <x:c r="G1013" s="2" t="str">
        <x:v>原始表保留；建模表缩尾</x:v>
      </x:c>
    </x:row>
    <x:row r="1014" ht="15" hidden="0" customHeight="1">
      <x:c r="A1014" s="2" t="str">
        <x:v>E72</x:v>
      </x:c>
      <x:c r="B1014" s="2" t="str">
        <x:v>有信贷记录</x:v>
      </x:c>
      <x:c r="C1014" s="2" t="str">
        <x:v>综合作废率</x:v>
      </x:c>
      <x:c r="D1014" s="2" t="n">
        <x:v>0.2054794520547945</x:v>
      </x:c>
      <x:c r="E1014" s="2" t="n">
        <x:v>-0.024418740011204428</x:v>
      </x:c>
      <x:c r="F1014" s="2" t="n">
        <x:v>0.14948270468087996</x:v>
      </x:c>
      <x:c r="G1014" s="2" t="str">
        <x:v>原始表保留；建模表缩尾</x:v>
      </x:c>
    </x:row>
    <x:row r="1015" ht="15" hidden="0" customHeight="1">
      <x:c r="A1015" s="2" t="str">
        <x:v>E90</x:v>
      </x:c>
      <x:c r="B1015" s="2" t="str">
        <x:v>有信贷记录</x:v>
      </x:c>
      <x:c r="C1015" s="2" t="str">
        <x:v>综合作废率</x:v>
      </x:c>
      <x:c r="D1015" s="2" t="n">
        <x:v>0.195</x:v>
      </x:c>
      <x:c r="E1015" s="2" t="n">
        <x:v>-0.024418740011204428</x:v>
      </x:c>
      <x:c r="F1015" s="2" t="n">
        <x:v>0.14948270468087996</x:v>
      </x:c>
      <x:c r="G1015" s="2" t="str">
        <x:v>原始表保留；建模表缩尾</x:v>
      </x:c>
    </x:row>
    <x:row r="1016" ht="15" hidden="0" customHeight="1">
      <x:c r="A1016" s="2" t="str">
        <x:v>E101</x:v>
      </x:c>
      <x:c r="B1016" s="2" t="str">
        <x:v>有信贷记录</x:v>
      </x:c>
      <x:c r="C1016" s="2" t="str">
        <x:v>综合作废率</x:v>
      </x:c>
      <x:c r="D1016" s="2" t="n">
        <x:v>0.3924050632911392</x:v>
      </x:c>
      <x:c r="E1016" s="2" t="n">
        <x:v>-0.024418740011204428</x:v>
      </x:c>
      <x:c r="F1016" s="2" t="n">
        <x:v>0.14948270468087996</x:v>
      </x:c>
      <x:c r="G1016" s="2" t="str">
        <x:v>原始表保留；建模表缩尾</x:v>
      </x:c>
    </x:row>
    <x:row r="1017" ht="15" hidden="0" customHeight="1">
      <x:c r="A1017" s="2" t="str">
        <x:v>E107</x:v>
      </x:c>
      <x:c r="B1017" s="2" t="str">
        <x:v>有信贷记录</x:v>
      </x:c>
      <x:c r="C1017" s="2" t="str">
        <x:v>综合作废率</x:v>
      </x:c>
      <x:c r="D1017" s="2" t="n">
        <x:v>0.31746031746031744</x:v>
      </x:c>
      <x:c r="E1017" s="2" t="n">
        <x:v>-0.024418740011204428</x:v>
      </x:c>
      <x:c r="F1017" s="2" t="n">
        <x:v>0.14948270468087996</x:v>
      </x:c>
      <x:c r="G1017" s="2" t="str">
        <x:v>原始表保留；建模表缩尾</x:v>
      </x:c>
    </x:row>
    <x:row r="1018" ht="15" hidden="0" customHeight="1">
      <x:c r="A1018" s="2" t="str">
        <x:v>E109</x:v>
      </x:c>
      <x:c r="B1018" s="2" t="str">
        <x:v>有信贷记录</x:v>
      </x:c>
      <x:c r="C1018" s="2" t="str">
        <x:v>综合作废率</x:v>
      </x:c>
      <x:c r="D1018" s="2" t="n">
        <x:v>0.23255813953488372</x:v>
      </x:c>
      <x:c r="E1018" s="2" t="n">
        <x:v>-0.024418740011204428</x:v>
      </x:c>
      <x:c r="F1018" s="2" t="n">
        <x:v>0.14948270468087996</x:v>
      </x:c>
      <x:c r="G1018" s="2" t="str">
        <x:v>原始表保留；建模表缩尾</x:v>
      </x:c>
    </x:row>
    <x:row r="1019" ht="15" hidden="0" customHeight="1">
      <x:c r="A1019" s="2" t="str">
        <x:v>E110</x:v>
      </x:c>
      <x:c r="B1019" s="2" t="str">
        <x:v>有信贷记录</x:v>
      </x:c>
      <x:c r="C1019" s="2" t="str">
        <x:v>综合作废率</x:v>
      </x:c>
      <x:c r="D1019" s="2" t="n">
        <x:v>0.2441860465116279</x:v>
      </x:c>
      <x:c r="E1019" s="2" t="n">
        <x:v>-0.024418740011204428</x:v>
      </x:c>
      <x:c r="F1019" s="2" t="n">
        <x:v>0.14948270468087996</x:v>
      </x:c>
      <x:c r="G1019" s="2" t="str">
        <x:v>原始表保留；建模表缩尾</x:v>
      </x:c>
    </x:row>
    <x:row r="1020" ht="15" hidden="0" customHeight="1">
      <x:c r="A1020" s="2" t="str">
        <x:v>E115</x:v>
      </x:c>
      <x:c r="B1020" s="2" t="str">
        <x:v>有信贷记录</x:v>
      </x:c>
      <x:c r="C1020" s="2" t="str">
        <x:v>综合作废率</x:v>
      </x:c>
      <x:c r="D1020" s="2" t="n">
        <x:v>0.25</x:v>
      </x:c>
      <x:c r="E1020" s="2" t="n">
        <x:v>-0.024418740011204428</x:v>
      </x:c>
      <x:c r="F1020" s="2" t="n">
        <x:v>0.14948270468087996</x:v>
      </x:c>
      <x:c r="G1020" s="2" t="str">
        <x:v>原始表保留；建模表缩尾</x:v>
      </x:c>
    </x:row>
    <x:row r="1021" ht="15" hidden="0" customHeight="1">
      <x:c r="A1021" s="2" t="str">
        <x:v>E117</x:v>
      </x:c>
      <x:c r="B1021" s="2" t="str">
        <x:v>有信贷记录</x:v>
      </x:c>
      <x:c r="C1021" s="2" t="str">
        <x:v>综合作废率</x:v>
      </x:c>
      <x:c r="D1021" s="2" t="n">
        <x:v>0.375</x:v>
      </x:c>
      <x:c r="E1021" s="2" t="n">
        <x:v>-0.024418740011204428</x:v>
      </x:c>
      <x:c r="F1021" s="2" t="n">
        <x:v>0.14948270468087996</x:v>
      </x:c>
      <x:c r="G1021" s="2" t="str">
        <x:v>原始表保留；建模表缩尾</x:v>
      </x:c>
    </x:row>
    <x:row r="1022" ht="15" hidden="0" customHeight="1">
      <x:c r="A1022" s="2" t="str">
        <x:v>E120</x:v>
      </x:c>
      <x:c r="B1022" s="2" t="str">
        <x:v>有信贷记录</x:v>
      </x:c>
      <x:c r="C1022" s="2" t="str">
        <x:v>综合作废率</x:v>
      </x:c>
      <x:c r="D1022" s="2" t="n">
        <x:v>0.3230769230769231</x:v>
      </x:c>
      <x:c r="E1022" s="2" t="n">
        <x:v>-0.024418740011204428</x:v>
      </x:c>
      <x:c r="F1022" s="2" t="n">
        <x:v>0.14948270468087996</x:v>
      </x:c>
      <x:c r="G1022" s="2" t="str">
        <x:v>原始表保留；建模表缩尾</x:v>
      </x:c>
    </x:row>
    <x:row r="1023" ht="15" hidden="0" customHeight="1">
      <x:c r="A1023" s="2" t="str">
        <x:v>E123</x:v>
      </x:c>
      <x:c r="B1023" s="2" t="str">
        <x:v>有信贷记录</x:v>
      </x:c>
      <x:c r="C1023" s="2" t="str">
        <x:v>综合作废率</x:v>
      </x:c>
      <x:c r="D1023" s="2" t="n">
        <x:v>0.47058823529411764</x:v>
      </x:c>
      <x:c r="E1023" s="2" t="n">
        <x:v>-0.024418740011204428</x:v>
      </x:c>
      <x:c r="F1023" s="2" t="n">
        <x:v>0.14948270468087996</x:v>
      </x:c>
      <x:c r="G1023" s="2" t="str">
        <x:v>原始表保留；建模表缩尾</x:v>
      </x:c>
    </x:row>
    <x:row r="1024" ht="15" hidden="0" customHeight="1">
      <x:c r="A1024" s="2" t="str">
        <x:v>E153</x:v>
      </x:c>
      <x:c r="B1024" s="2" t="str">
        <x:v>无信贷记录</x:v>
      </x:c>
      <x:c r="C1024" s="2" t="str">
        <x:v>综合作废率</x:v>
      </x:c>
      <x:c r="D1024" s="2" t="n">
        <x:v>0.176056338028169</x:v>
      </x:c>
      <x:c r="E1024" s="2" t="n">
        <x:v>-0.024418740011204428</x:v>
      </x:c>
      <x:c r="F1024" s="2" t="n">
        <x:v>0.14948270468087996</x:v>
      </x:c>
      <x:c r="G1024" s="2" t="str">
        <x:v>原始表保留；建模表缩尾</x:v>
      </x:c>
    </x:row>
    <x:row r="1025" ht="15" hidden="0" customHeight="1">
      <x:c r="A1025" s="2" t="str">
        <x:v>E192</x:v>
      </x:c>
      <x:c r="B1025" s="2" t="str">
        <x:v>无信贷记录</x:v>
      </x:c>
      <x:c r="C1025" s="2" t="str">
        <x:v>综合作废率</x:v>
      </x:c>
      <x:c r="D1025" s="2" t="n">
        <x:v>0.15736040609137056</x:v>
      </x:c>
      <x:c r="E1025" s="2" t="n">
        <x:v>-0.024418740011204428</x:v>
      </x:c>
      <x:c r="F1025" s="2" t="n">
        <x:v>0.14948270468087996</x:v>
      </x:c>
      <x:c r="G1025" s="2" t="str">
        <x:v>原始表保留；建模表缩尾</x:v>
      </x:c>
    </x:row>
    <x:row r="1026" ht="15" hidden="0" customHeight="1">
      <x:c r="A1026" s="2" t="str">
        <x:v>E217</x:v>
      </x:c>
      <x:c r="B1026" s="2" t="str">
        <x:v>无信贷记录</x:v>
      </x:c>
      <x:c r="C1026" s="2" t="str">
        <x:v>综合作废率</x:v>
      </x:c>
      <x:c r="D1026" s="2" t="n">
        <x:v>0.754932502596054</x:v>
      </x:c>
      <x:c r="E1026" s="2" t="n">
        <x:v>-0.024418740011204428</x:v>
      </x:c>
      <x:c r="F1026" s="2" t="n">
        <x:v>0.14948270468087996</x:v>
      </x:c>
      <x:c r="G1026" s="2" t="str">
        <x:v>原始表保留；建模表缩尾</x:v>
      </x:c>
    </x:row>
    <x:row r="1027" ht="15" hidden="0" customHeight="1">
      <x:c r="A1027" s="2" t="str">
        <x:v>E236</x:v>
      </x:c>
      <x:c r="B1027" s="2" t="str">
        <x:v>无信贷记录</x:v>
      </x:c>
      <x:c r="C1027" s="2" t="str">
        <x:v>综合作废率</x:v>
      </x:c>
      <x:c r="D1027" s="2" t="n">
        <x:v>0.1791044776119403</x:v>
      </x:c>
      <x:c r="E1027" s="2" t="n">
        <x:v>-0.024418740011204428</x:v>
      </x:c>
      <x:c r="F1027" s="2" t="n">
        <x:v>0.14948270468087996</x:v>
      </x:c>
      <x:c r="G1027" s="2" t="str">
        <x:v>原始表保留；建模表缩尾</x:v>
      </x:c>
    </x:row>
    <x:row r="1028" ht="15" hidden="0" customHeight="1">
      <x:c r="A1028" s="2" t="str">
        <x:v>E242</x:v>
      </x:c>
      <x:c r="B1028" s="2" t="str">
        <x:v>无信贷记录</x:v>
      </x:c>
      <x:c r="C1028" s="2" t="str">
        <x:v>综合作废率</x:v>
      </x:c>
      <x:c r="D1028" s="2" t="n">
        <x:v>0.3286082474226804</x:v>
      </x:c>
      <x:c r="E1028" s="2" t="n">
        <x:v>-0.024418740011204428</x:v>
      </x:c>
      <x:c r="F1028" s="2" t="n">
        <x:v>0.14948270468087996</x:v>
      </x:c>
      <x:c r="G1028" s="2" t="str">
        <x:v>原始表保留；建模表缩尾</x:v>
      </x:c>
    </x:row>
    <x:row r="1029" ht="15" hidden="0" customHeight="1">
      <x:c r="A1029" s="2" t="str">
        <x:v>E264</x:v>
      </x:c>
      <x:c r="B1029" s="2" t="str">
        <x:v>无信贷记录</x:v>
      </x:c>
      <x:c r="C1029" s="2" t="str">
        <x:v>综合作废率</x:v>
      </x:c>
      <x:c r="D1029" s="2" t="n">
        <x:v>0.24938514510575505</x:v>
      </x:c>
      <x:c r="E1029" s="2" t="n">
        <x:v>-0.024418740011204428</x:v>
      </x:c>
      <x:c r="F1029" s="2" t="n">
        <x:v>0.14948270468087996</x:v>
      </x:c>
      <x:c r="G1029" s="2" t="str">
        <x:v>原始表保留；建模表缩尾</x:v>
      </x:c>
    </x:row>
    <x:row r="1030" ht="15" hidden="0" customHeight="1">
      <x:c r="A1030" s="2" t="str">
        <x:v>E282</x:v>
      </x:c>
      <x:c r="B1030" s="2" t="str">
        <x:v>无信贷记录</x:v>
      </x:c>
      <x:c r="C1030" s="2" t="str">
        <x:v>综合作废率</x:v>
      </x:c>
      <x:c r="D1030" s="2" t="n">
        <x:v>0.22675413576725614</x:v>
      </x:c>
      <x:c r="E1030" s="2" t="n">
        <x:v>-0.024418740011204428</x:v>
      </x:c>
      <x:c r="F1030" s="2" t="n">
        <x:v>0.14948270468087996</x:v>
      </x:c>
      <x:c r="G1030" s="2" t="str">
        <x:v>原始表保留；建模表缩尾</x:v>
      </x:c>
    </x:row>
    <x:row r="1031" ht="15" hidden="0" customHeight="1">
      <x:c r="A1031" s="2" t="str">
        <x:v>E308</x:v>
      </x:c>
      <x:c r="B1031" s="2" t="str">
        <x:v>无信贷记录</x:v>
      </x:c>
      <x:c r="C1031" s="2" t="str">
        <x:v>综合作废率</x:v>
      </x:c>
      <x:c r="D1031" s="2" t="n">
        <x:v>0.16963226571767498</x:v>
      </x:c>
      <x:c r="E1031" s="2" t="n">
        <x:v>-0.024418740011204428</x:v>
      </x:c>
      <x:c r="F1031" s="2" t="n">
        <x:v>0.14948270468087996</x:v>
      </x:c>
      <x:c r="G1031" s="2" t="str">
        <x:v>原始表保留；建模表缩尾</x:v>
      </x:c>
    </x:row>
    <x:row r="1032" ht="15" hidden="0" customHeight="1">
      <x:c r="A1032" s="2" t="str">
        <x:v>E340</x:v>
      </x:c>
      <x:c r="B1032" s="2" t="str">
        <x:v>无信贷记录</x:v>
      </x:c>
      <x:c r="C1032" s="2" t="str">
        <x:v>综合作废率</x:v>
      </x:c>
      <x:c r="D1032" s="2" t="n">
        <x:v>0.16</x:v>
      </x:c>
      <x:c r="E1032" s="2" t="n">
        <x:v>-0.024418740011204428</x:v>
      </x:c>
      <x:c r="F1032" s="2" t="n">
        <x:v>0.14948270468087996</x:v>
      </x:c>
      <x:c r="G1032" s="2" t="str">
        <x:v>原始表保留；建模表缩尾</x:v>
      </x:c>
    </x:row>
    <x:row r="1033" ht="15" hidden="0" customHeight="1">
      <x:c r="A1033" s="2" t="str">
        <x:v>E360</x:v>
      </x:c>
      <x:c r="B1033" s="2" t="str">
        <x:v>无信贷记录</x:v>
      </x:c>
      <x:c r="C1033" s="2" t="str">
        <x:v>综合作废率</x:v>
      </x:c>
      <x:c r="D1033" s="2" t="n">
        <x:v>0.15789473684210525</x:v>
      </x:c>
      <x:c r="E1033" s="2" t="n">
        <x:v>-0.024418740011204428</x:v>
      </x:c>
      <x:c r="F1033" s="2" t="n">
        <x:v>0.14948270468087996</x:v>
      </x:c>
      <x:c r="G1033" s="2" t="str">
        <x:v>原始表保留；建模表缩尾</x:v>
      </x:c>
    </x:row>
    <x:row r="1034" ht="15" hidden="0" customHeight="1">
      <x:c r="A1034" s="2" t="str">
        <x:v>E374</x:v>
      </x:c>
      <x:c r="B1034" s="2" t="str">
        <x:v>无信贷记录</x:v>
      </x:c>
      <x:c r="C1034" s="2" t="str">
        <x:v>综合作废率</x:v>
      </x:c>
      <x:c r="D1034" s="2" t="n">
        <x:v>0.17857142857142858</x:v>
      </x:c>
      <x:c r="E1034" s="2" t="n">
        <x:v>-0.024418740011204428</x:v>
      </x:c>
      <x:c r="F1034" s="2" t="n">
        <x:v>0.14948270468087996</x:v>
      </x:c>
      <x:c r="G1034" s="2" t="str">
        <x:v>原始表保留；建模表缩尾</x:v>
      </x:c>
    </x:row>
    <x:row r="1035" ht="15" hidden="0" customHeight="1">
      <x:c r="A1035" s="2" t="str">
        <x:v>E377</x:v>
      </x:c>
      <x:c r="B1035" s="2" t="str">
        <x:v>无信贷记录</x:v>
      </x:c>
      <x:c r="C1035" s="2" t="str">
        <x:v>综合作废率</x:v>
      </x:c>
      <x:c r="D1035" s="2" t="n">
        <x:v>0.15736040609137056</x:v>
      </x:c>
      <x:c r="E1035" s="2" t="n">
        <x:v>-0.024418740011204428</x:v>
      </x:c>
      <x:c r="F1035" s="2" t="n">
        <x:v>0.14948270468087996</x:v>
      </x:c>
      <x:c r="G1035" s="2" t="str">
        <x:v>原始表保留；建模表缩尾</x:v>
      </x:c>
    </x:row>
    <x:row r="1036" ht="15" hidden="0" customHeight="1">
      <x:c r="A1036" s="2" t="str">
        <x:v>E379</x:v>
      </x:c>
      <x:c r="B1036" s="2" t="str">
        <x:v>无信贷记录</x:v>
      </x:c>
      <x:c r="C1036" s="2" t="str">
        <x:v>综合作废率</x:v>
      </x:c>
      <x:c r="D1036" s="2" t="n">
        <x:v>0.16025641025641027</x:v>
      </x:c>
      <x:c r="E1036" s="2" t="n">
        <x:v>-0.024418740011204428</x:v>
      </x:c>
      <x:c r="F1036" s="2" t="n">
        <x:v>0.14948270468087996</x:v>
      </x:c>
      <x:c r="G1036" s="2" t="str">
        <x:v>原始表保留；建模表缩尾</x:v>
      </x:c>
    </x:row>
    <x:row r="1037" ht="15" hidden="0" customHeight="1">
      <x:c r="A1037" s="2" t="str">
        <x:v>E385</x:v>
      </x:c>
      <x:c r="B1037" s="2" t="str">
        <x:v>无信贷记录</x:v>
      </x:c>
      <x:c r="C1037" s="2" t="str">
        <x:v>综合作废率</x:v>
      </x:c>
      <x:c r="D1037" s="2" t="n">
        <x:v>0.3050847457627119</x:v>
      </x:c>
      <x:c r="E1037" s="2" t="n">
        <x:v>-0.024418740011204428</x:v>
      </x:c>
      <x:c r="F1037" s="2" t="n">
        <x:v>0.14948270468087996</x:v>
      </x:c>
      <x:c r="G1037" s="2" t="str">
        <x:v>原始表保留；建模表缩尾</x:v>
      </x:c>
    </x:row>
    <x:row r="1038" ht="15" hidden="0" customHeight="1">
      <x:c r="A1038" s="2" t="str">
        <x:v>E395</x:v>
      </x:c>
      <x:c r="B1038" s="2" t="str">
        <x:v>无信贷记录</x:v>
      </x:c>
      <x:c r="C1038" s="2" t="str">
        <x:v>综合作废率</x:v>
      </x:c>
      <x:c r="D1038" s="2" t="n">
        <x:v>0.17753623188405798</x:v>
      </x:c>
      <x:c r="E1038" s="2" t="n">
        <x:v>-0.024418740011204428</x:v>
      </x:c>
      <x:c r="F1038" s="2" t="n">
        <x:v>0.14948270468087996</x:v>
      </x:c>
      <x:c r="G1038" s="2" t="str">
        <x:v>原始表保留；建模表缩尾</x:v>
      </x:c>
    </x:row>
    <x:row r="1039" ht="15" hidden="0" customHeight="1">
      <x:c r="A1039" s="2" t="str">
        <x:v>E397</x:v>
      </x:c>
      <x:c r="B1039" s="2" t="str">
        <x:v>无信贷记录</x:v>
      </x:c>
      <x:c r="C1039" s="2" t="str">
        <x:v>综合作废率</x:v>
      </x:c>
      <x:c r="D1039" s="2" t="n">
        <x:v>0.2524752475247525</x:v>
      </x:c>
      <x:c r="E1039" s="2" t="n">
        <x:v>-0.024418740011204428</x:v>
      </x:c>
      <x:c r="F1039" s="2" t="n">
        <x:v>0.14948270468087996</x:v>
      </x:c>
      <x:c r="G1039" s="2" t="str">
        <x:v>原始表保留；建模表缩尾</x:v>
      </x:c>
    </x:row>
    <x:row r="1040" ht="15" hidden="0" customHeight="1">
      <x:c r="A1040" s="2" t="str">
        <x:v>E401</x:v>
      </x:c>
      <x:c r="B1040" s="2" t="str">
        <x:v>无信贷记录</x:v>
      </x:c>
      <x:c r="C1040" s="2" t="str">
        <x:v>综合作废率</x:v>
      </x:c>
      <x:c r="D1040" s="2" t="n">
        <x:v>0.3619047619047619</x:v>
      </x:c>
      <x:c r="E1040" s="2" t="n">
        <x:v>-0.024418740011204428</x:v>
      </x:c>
      <x:c r="F1040" s="2" t="n">
        <x:v>0.14948270468087996</x:v>
      </x:c>
      <x:c r="G1040" s="2" t="str">
        <x:v>原始表保留；建模表缩尾</x:v>
      </x:c>
    </x:row>
    <x:row r="1041" ht="15" hidden="0" customHeight="1">
      <x:c r="A1041" s="2" t="str">
        <x:v>E404</x:v>
      </x:c>
      <x:c r="B1041" s="2" t="str">
        <x:v>无信贷记录</x:v>
      </x:c>
      <x:c r="C1041" s="2" t="str">
        <x:v>综合作废率</x:v>
      </x:c>
      <x:c r="D1041" s="2" t="n">
        <x:v>0.2</x:v>
      </x:c>
      <x:c r="E1041" s="2" t="n">
        <x:v>-0.024418740011204428</x:v>
      </x:c>
      <x:c r="F1041" s="2" t="n">
        <x:v>0.14948270468087996</x:v>
      </x:c>
      <x:c r="G1041" s="2" t="str">
        <x:v>原始表保留；建模表缩尾</x:v>
      </x:c>
    </x:row>
    <x:row r="1042" ht="15" hidden="0" customHeight="1">
      <x:c r="A1042" s="2" t="str">
        <x:v>E405</x:v>
      </x:c>
      <x:c r="B1042" s="2" t="str">
        <x:v>无信贷记录</x:v>
      </x:c>
      <x:c r="C1042" s="2" t="str">
        <x:v>综合作废率</x:v>
      </x:c>
      <x:c r="D1042" s="2" t="n">
        <x:v>0.3333333333333333</x:v>
      </x:c>
      <x:c r="E1042" s="2" t="n">
        <x:v>-0.024418740011204428</x:v>
      </x:c>
      <x:c r="F1042" s="2" t="n">
        <x:v>0.14948270468087996</x:v>
      </x:c>
      <x:c r="G1042" s="2" t="str">
        <x:v>原始表保留；建模表缩尾</x:v>
      </x:c>
    </x:row>
    <x:row r="1043" ht="15" hidden="0" customHeight="1">
      <x:c r="A1043" s="2" t="str">
        <x:v>E414</x:v>
      </x:c>
      <x:c r="B1043" s="2" t="str">
        <x:v>无信贷记录</x:v>
      </x:c>
      <x:c r="C1043" s="2" t="str">
        <x:v>综合作废率</x:v>
      </x:c>
      <x:c r="D1043" s="2" t="n">
        <x:v>0.15</x:v>
      </x:c>
      <x:c r="E1043" s="2" t="n">
        <x:v>-0.024418740011204428</x:v>
      </x:c>
      <x:c r="F1043" s="2" t="n">
        <x:v>0.14948270468087996</x:v>
      </x:c>
      <x:c r="G1043" s="2" t="str">
        <x:v>原始表保留；建模表缩尾</x:v>
      </x:c>
    </x:row>
    <x:row r="1044" ht="15" hidden="0" customHeight="1">
      <x:c r="A1044" s="2" t="str">
        <x:v>E3</x:v>
      </x:c>
      <x:c r="B1044" s="2" t="str">
        <x:v>有信贷记录</x:v>
      </x:c>
      <x:c r="C1044" s="2" t="str">
        <x:v>综合负数率</x:v>
      </x:c>
      <x:c r="D1044" s="2" t="n">
        <x:v>0.15797540545357333</x:v>
      </x:c>
      <x:c r="E1044" s="2" t="n">
        <x:v>-0.018675786284173972</x:v>
      </x:c>
      <x:c r="F1044" s="2" t="n">
        <x:v>0.03844561513968001</x:v>
      </x:c>
      <x:c r="G1044" s="2" t="str">
        <x:v>原始表保留；建模表缩尾</x:v>
      </x:c>
    </x:row>
    <x:row r="1045" ht="15" hidden="0" customHeight="1">
      <x:c r="A1045" s="2" t="str">
        <x:v>E7</x:v>
      </x:c>
      <x:c r="B1045" s="2" t="str">
        <x:v>有信贷记录</x:v>
      </x:c>
      <x:c r="C1045" s="2" t="str">
        <x:v>综合负数率</x:v>
      </x:c>
      <x:c r="D1045" s="2" t="n">
        <x:v>0.1136154776299879</x:v>
      </x:c>
      <x:c r="E1045" s="2" t="n">
        <x:v>-0.018675786284173972</x:v>
      </x:c>
      <x:c r="F1045" s="2" t="n">
        <x:v>0.03844561513968001</x:v>
      </x:c>
      <x:c r="G1045" s="2" t="str">
        <x:v>原始表保留；建模表缩尾</x:v>
      </x:c>
    </x:row>
    <x:row r="1046" ht="15" hidden="0" customHeight="1">
      <x:c r="A1046" s="2" t="str">
        <x:v>E43</x:v>
      </x:c>
      <x:c r="B1046" s="2" t="str">
        <x:v>有信贷记录</x:v>
      </x:c>
      <x:c r="C1046" s="2" t="str">
        <x:v>综合负数率</x:v>
      </x:c>
      <x:c r="D1046" s="2" t="n">
        <x:v>0.05319148936170213</x:v>
      </x:c>
      <x:c r="E1046" s="2" t="n">
        <x:v>-0.018675786284173972</x:v>
      </x:c>
      <x:c r="F1046" s="2" t="n">
        <x:v>0.03844561513968001</x:v>
      </x:c>
      <x:c r="G1046" s="2" t="str">
        <x:v>原始表保留；建模表缩尾</x:v>
      </x:c>
    </x:row>
    <x:row r="1047" ht="15" hidden="0" customHeight="1">
      <x:c r="A1047" s="2" t="str">
        <x:v>E50</x:v>
      </x:c>
      <x:c r="B1047" s="2" t="str">
        <x:v>有信贷记录</x:v>
      </x:c>
      <x:c r="C1047" s="2" t="str">
        <x:v>综合负数率</x:v>
      </x:c>
      <x:c r="D1047" s="2" t="n">
        <x:v>0.04308390022675737</x:v>
      </x:c>
      <x:c r="E1047" s="2" t="n">
        <x:v>-0.018675786284173972</x:v>
      </x:c>
      <x:c r="F1047" s="2" t="n">
        <x:v>0.03844561513968001</x:v>
      </x:c>
      <x:c r="G1047" s="2" t="str">
        <x:v>原始表保留；建模表缩尾</x:v>
      </x:c>
    </x:row>
    <x:row r="1048" ht="15" hidden="0" customHeight="1">
      <x:c r="A1048" s="2" t="str">
        <x:v>E55</x:v>
      </x:c>
      <x:c r="B1048" s="2" t="str">
        <x:v>有信贷记录</x:v>
      </x:c>
      <x:c r="C1048" s="2" t="str">
        <x:v>综合负数率</x:v>
      </x:c>
      <x:c r="D1048" s="2" t="n">
        <x:v>0.08368200836820083</x:v>
      </x:c>
      <x:c r="E1048" s="2" t="n">
        <x:v>-0.018675786284173972</x:v>
      </x:c>
      <x:c r="F1048" s="2" t="n">
        <x:v>0.03844561513968001</x:v>
      </x:c>
      <x:c r="G1048" s="2" t="str">
        <x:v>原始表保留；建模表缩尾</x:v>
      </x:c>
    </x:row>
    <x:row r="1049" ht="15" hidden="0" customHeight="1">
      <x:c r="A1049" s="2" t="str">
        <x:v>E69</x:v>
      </x:c>
      <x:c r="B1049" s="2" t="str">
        <x:v>有信贷记录</x:v>
      </x:c>
      <x:c r="C1049" s="2" t="str">
        <x:v>综合负数率</x:v>
      </x:c>
      <x:c r="D1049" s="2" t="n">
        <x:v>0.07442748091603053</x:v>
      </x:c>
      <x:c r="E1049" s="2" t="n">
        <x:v>-0.018675786284173972</x:v>
      </x:c>
      <x:c r="F1049" s="2" t="n">
        <x:v>0.03844561513968001</x:v>
      </x:c>
      <x:c r="G1049" s="2" t="str">
        <x:v>原始表保留；建模表缩尾</x:v>
      </x:c>
    </x:row>
    <x:row r="1050" ht="15" hidden="0" customHeight="1">
      <x:c r="A1050" s="2" t="str">
        <x:v>E86</x:v>
      </x:c>
      <x:c r="B1050" s="2" t="str">
        <x:v>有信贷记录</x:v>
      </x:c>
      <x:c r="C1050" s="2" t="str">
        <x:v>综合负数率</x:v>
      </x:c>
      <x:c r="D1050" s="2" t="n">
        <x:v>0.04487179487179487</x:v>
      </x:c>
      <x:c r="E1050" s="2" t="n">
        <x:v>-0.018675786284173972</x:v>
      </x:c>
      <x:c r="F1050" s="2" t="n">
        <x:v>0.03844561513968001</x:v>
      </x:c>
      <x:c r="G1050" s="2" t="str">
        <x:v>原始表保留；建模表缩尾</x:v>
      </x:c>
    </x:row>
    <x:row r="1051" ht="15" hidden="0" customHeight="1">
      <x:c r="A1051" s="2" t="str">
        <x:v>E94</x:v>
      </x:c>
      <x:c r="B1051" s="2" t="str">
        <x:v>有信贷记录</x:v>
      </x:c>
      <x:c r="C1051" s="2" t="str">
        <x:v>综合负数率</x:v>
      </x:c>
      <x:c r="D1051" s="2" t="n">
        <x:v>0.04945054945054945</x:v>
      </x:c>
      <x:c r="E1051" s="2" t="n">
        <x:v>-0.018675786284173972</x:v>
      </x:c>
      <x:c r="F1051" s="2" t="n">
        <x:v>0.03844561513968001</x:v>
      </x:c>
      <x:c r="G1051" s="2" t="str">
        <x:v>原始表保留；建模表缩尾</x:v>
      </x:c>
    </x:row>
    <x:row r="1052" ht="15" hidden="0" customHeight="1">
      <x:c r="A1052" s="2" t="str">
        <x:v>E100</x:v>
      </x:c>
      <x:c r="B1052" s="2" t="str">
        <x:v>有信贷记录</x:v>
      </x:c>
      <x:c r="C1052" s="2" t="str">
        <x:v>综合负数率</x:v>
      </x:c>
      <x:c r="D1052" s="2" t="n">
        <x:v>0.09615384615384616</x:v>
      </x:c>
      <x:c r="E1052" s="2" t="n">
        <x:v>-0.018675786284173972</x:v>
      </x:c>
      <x:c r="F1052" s="2" t="n">
        <x:v>0.03844561513968001</x:v>
      </x:c>
      <x:c r="G1052" s="2" t="str">
        <x:v>原始表保留；建模表缩尾</x:v>
      </x:c>
    </x:row>
    <x:row r="1053" ht="15" hidden="0" customHeight="1">
      <x:c r="A1053" s="2" t="str">
        <x:v>E104</x:v>
      </x:c>
      <x:c r="B1053" s="2" t="str">
        <x:v>有信贷记录</x:v>
      </x:c>
      <x:c r="C1053" s="2" t="str">
        <x:v>综合负数率</x:v>
      </x:c>
      <x:c r="D1053" s="2" t="n">
        <x:v>0.05</x:v>
      </x:c>
      <x:c r="E1053" s="2" t="n">
        <x:v>-0.018675786284173972</x:v>
      </x:c>
      <x:c r="F1053" s="2" t="n">
        <x:v>0.03844561513968001</x:v>
      </x:c>
      <x:c r="G1053" s="2" t="str">
        <x:v>原始表保留；建模表缩尾</x:v>
      </x:c>
    </x:row>
    <x:row r="1054" ht="15" hidden="0" customHeight="1">
      <x:c r="A1054" s="2" t="str">
        <x:v>E111</x:v>
      </x:c>
      <x:c r="B1054" s="2" t="str">
        <x:v>有信贷记录</x:v>
      </x:c>
      <x:c r="C1054" s="2" t="str">
        <x:v>综合负数率</x:v>
      </x:c>
      <x:c r="D1054" s="2" t="n">
        <x:v>0.06837606837606838</x:v>
      </x:c>
      <x:c r="E1054" s="2" t="n">
        <x:v>-0.018675786284173972</x:v>
      </x:c>
      <x:c r="F1054" s="2" t="n">
        <x:v>0.03844561513968001</x:v>
      </x:c>
      <x:c r="G1054" s="2" t="str">
        <x:v>原始表保留；建模表缩尾</x:v>
      </x:c>
    </x:row>
    <x:row r="1055" ht="15" hidden="0" customHeight="1">
      <x:c r="A1055" s="2" t="str">
        <x:v>E122</x:v>
      </x:c>
      <x:c r="B1055" s="2" t="str">
        <x:v>有信贷记录</x:v>
      </x:c>
      <x:c r="C1055" s="2" t="str">
        <x:v>综合负数率</x:v>
      </x:c>
      <x:c r="D1055" s="2" t="n">
        <x:v>0.06040268456375839</x:v>
      </x:c>
      <x:c r="E1055" s="2" t="n">
        <x:v>-0.018675786284173972</x:v>
      </x:c>
      <x:c r="F1055" s="2" t="n">
        <x:v>0.03844561513968001</x:v>
      </x:c>
      <x:c r="G1055" s="2" t="str">
        <x:v>原始表保留；建模表缩尾</x:v>
      </x:c>
    </x:row>
    <x:row r="1056" ht="15" hidden="0" customHeight="1">
      <x:c r="A1056" s="2" t="str">
        <x:v>E156</x:v>
      </x:c>
      <x:c r="B1056" s="2" t="str">
        <x:v>无信贷记录</x:v>
      </x:c>
      <x:c r="C1056" s="2" t="str">
        <x:v>综合负数率</x:v>
      </x:c>
      <x:c r="D1056" s="2" t="n">
        <x:v>0.039959016393442626</x:v>
      </x:c>
      <x:c r="E1056" s="2" t="n">
        <x:v>-0.018675786284173972</x:v>
      </x:c>
      <x:c r="F1056" s="2" t="n">
        <x:v>0.03844561513968001</x:v>
      </x:c>
      <x:c r="G1056" s="2" t="str">
        <x:v>原始表保留；建模表缩尾</x:v>
      </x:c>
    </x:row>
    <x:row r="1057" ht="15" hidden="0" customHeight="1">
      <x:c r="A1057" s="2" t="str">
        <x:v>E166</x:v>
      </x:c>
      <x:c r="B1057" s="2" t="str">
        <x:v>无信贷记录</x:v>
      </x:c>
      <x:c r="C1057" s="2" t="str">
        <x:v>综合负数率</x:v>
      </x:c>
      <x:c r="D1057" s="2" t="n">
        <x:v>0.16485623003194888</x:v>
      </x:c>
      <x:c r="E1057" s="2" t="n">
        <x:v>-0.018675786284173972</x:v>
      </x:c>
      <x:c r="F1057" s="2" t="n">
        <x:v>0.03844561513968001</x:v>
      </x:c>
      <x:c r="G1057" s="2" t="str">
        <x:v>原始表保留；建模表缩尾</x:v>
      </x:c>
    </x:row>
    <x:row r="1058" ht="15" hidden="0" customHeight="1">
      <x:c r="A1058" s="2" t="str">
        <x:v>E199</x:v>
      </x:c>
      <x:c r="B1058" s="2" t="str">
        <x:v>无信贷记录</x:v>
      </x:c>
      <x:c r="C1058" s="2" t="str">
        <x:v>综合负数率</x:v>
      </x:c>
      <x:c r="D1058" s="2" t="n">
        <x:v>0.10526315789473684</x:v>
      </x:c>
      <x:c r="E1058" s="2" t="n">
        <x:v>-0.018675786284173972</x:v>
      </x:c>
      <x:c r="F1058" s="2" t="n">
        <x:v>0.03844561513968001</x:v>
      </x:c>
      <x:c r="G1058" s="2" t="str">
        <x:v>原始表保留；建模表缩尾</x:v>
      </x:c>
    </x:row>
    <x:row r="1059" ht="15" hidden="0" customHeight="1">
      <x:c r="A1059" s="2" t="str">
        <x:v>E232</x:v>
      </x:c>
      <x:c r="B1059" s="2" t="str">
        <x:v>无信贷记录</x:v>
      </x:c>
      <x:c r="C1059" s="2" t="str">
        <x:v>综合负数率</x:v>
      </x:c>
      <x:c r="D1059" s="2" t="n">
        <x:v>0.053631284916201116</x:v>
      </x:c>
      <x:c r="E1059" s="2" t="n">
        <x:v>-0.018675786284173972</x:v>
      </x:c>
      <x:c r="F1059" s="2" t="n">
        <x:v>0.03844561513968001</x:v>
      </x:c>
      <x:c r="G1059" s="2" t="str">
        <x:v>原始表保留；建模表缩尾</x:v>
      </x:c>
    </x:row>
    <x:row r="1060" ht="15" hidden="0" customHeight="1">
      <x:c r="A1060" s="2" t="str">
        <x:v>E237</x:v>
      </x:c>
      <x:c r="B1060" s="2" t="str">
        <x:v>无信贷记录</x:v>
      </x:c>
      <x:c r="C1060" s="2" t="str">
        <x:v>综合负数率</x:v>
      </x:c>
      <x:c r="D1060" s="2" t="n">
        <x:v>0.04903347477604903</x:v>
      </x:c>
      <x:c r="E1060" s="2" t="n">
        <x:v>-0.018675786284173972</x:v>
      </x:c>
      <x:c r="F1060" s="2" t="n">
        <x:v>0.03844561513968001</x:v>
      </x:c>
      <x:c r="G1060" s="2" t="str">
        <x:v>原始表保留；建模表缩尾</x:v>
      </x:c>
    </x:row>
    <x:row r="1061" ht="15" hidden="0" customHeight="1">
      <x:c r="A1061" s="2" t="str">
        <x:v>E238</x:v>
      </x:c>
      <x:c r="B1061" s="2" t="str">
        <x:v>无信贷记录</x:v>
      </x:c>
      <x:c r="C1061" s="2" t="str">
        <x:v>综合负数率</x:v>
      </x:c>
      <x:c r="D1061" s="2" t="n">
        <x:v>0.038502389803505045</x:v>
      </x:c>
      <x:c r="E1061" s="2" t="n">
        <x:v>-0.018675786284173972</x:v>
      </x:c>
      <x:c r="F1061" s="2" t="n">
        <x:v>0.03844561513968001</x:v>
      </x:c>
      <x:c r="G1061" s="2" t="str">
        <x:v>原始表保留；建模表缩尾</x:v>
      </x:c>
    </x:row>
    <x:row r="1062" ht="15" hidden="0" customHeight="1">
      <x:c r="A1062" s="2" t="str">
        <x:v>E275</x:v>
      </x:c>
      <x:c r="B1062" s="2" t="str">
        <x:v>无信贷记录</x:v>
      </x:c>
      <x:c r="C1062" s="2" t="str">
        <x:v>综合负数率</x:v>
      </x:c>
      <x:c r="D1062" s="2" t="n">
        <x:v>0.04160887656033287</x:v>
      </x:c>
      <x:c r="E1062" s="2" t="n">
        <x:v>-0.018675786284173972</x:v>
      </x:c>
      <x:c r="F1062" s="2" t="n">
        <x:v>0.03844561513968001</x:v>
      </x:c>
      <x:c r="G1062" s="2" t="str">
        <x:v>原始表保留；建模表缩尾</x:v>
      </x:c>
    </x:row>
    <x:row r="1063" ht="15" hidden="0" customHeight="1">
      <x:c r="A1063" s="2" t="str">
        <x:v>E340</x:v>
      </x:c>
      <x:c r="B1063" s="2" t="str">
        <x:v>无信贷记录</x:v>
      </x:c>
      <x:c r="C1063" s="2" t="str">
        <x:v>综合负数率</x:v>
      </x:c>
      <x:c r="D1063" s="2" t="n">
        <x:v>0.07482993197278912</x:v>
      </x:c>
      <x:c r="E1063" s="2" t="n">
        <x:v>-0.018675786284173972</x:v>
      </x:c>
      <x:c r="F1063" s="2" t="n">
        <x:v>0.03844561513968001</x:v>
      </x:c>
      <x:c r="G1063" s="2" t="str">
        <x:v>原始表保留；建模表缩尾</x:v>
      </x:c>
    </x:row>
    <x:row r="1064" ht="15" hidden="0" customHeight="1">
      <x:c r="A1064" s="2" t="str">
        <x:v>E358</x:v>
      </x:c>
      <x:c r="B1064" s="2" t="str">
        <x:v>无信贷记录</x:v>
      </x:c>
      <x:c r="C1064" s="2" t="str">
        <x:v>综合负数率</x:v>
      </x:c>
      <x:c r="D1064" s="2" t="n">
        <x:v>0.13026819923371646</x:v>
      </x:c>
      <x:c r="E1064" s="2" t="n">
        <x:v>-0.018675786284173972</x:v>
      </x:c>
      <x:c r="F1064" s="2" t="n">
        <x:v>0.03844561513968001</x:v>
      </x:c>
      <x:c r="G1064" s="2" t="str">
        <x:v>原始表保留；建模表缩尾</x:v>
      </x:c>
    </x:row>
    <x:row r="1065" ht="15" hidden="0" customHeight="1">
      <x:c r="A1065" s="2" t="str">
        <x:v>E367</x:v>
      </x:c>
      <x:c r="B1065" s="2" t="str">
        <x:v>无信贷记录</x:v>
      </x:c>
      <x:c r="C1065" s="2" t="str">
        <x:v>综合负数率</x:v>
      </x:c>
      <x:c r="D1065" s="2" t="n">
        <x:v>0.04524886877828054</x:v>
      </x:c>
      <x:c r="E1065" s="2" t="n">
        <x:v>-0.018675786284173972</x:v>
      </x:c>
      <x:c r="F1065" s="2" t="n">
        <x:v>0.03844561513968001</x:v>
      </x:c>
      <x:c r="G1065" s="2" t="str">
        <x:v>原始表保留；建模表缩尾</x:v>
      </x:c>
    </x:row>
    <x:row r="1066" ht="15" hidden="0" customHeight="1">
      <x:c r="A1066" s="2" t="str">
        <x:v>E380</x:v>
      </x:c>
      <x:c r="B1066" s="2" t="str">
        <x:v>无信贷记录</x:v>
      </x:c>
      <x:c r="C1066" s="2" t="str">
        <x:v>综合负数率</x:v>
      </x:c>
      <x:c r="D1066" s="2" t="n">
        <x:v>0.09523809523809523</x:v>
      </x:c>
      <x:c r="E1066" s="2" t="n">
        <x:v>-0.018675786284173972</x:v>
      </x:c>
      <x:c r="F1066" s="2" t="n">
        <x:v>0.03844561513968001</x:v>
      </x:c>
      <x:c r="G1066" s="2" t="str">
        <x:v>原始表保留；建模表缩尾</x:v>
      </x:c>
    </x:row>
    <x:row r="1067" ht="15" hidden="0" customHeight="1">
      <x:c r="A1067" s="2" t="str">
        <x:v>E383</x:v>
      </x:c>
      <x:c r="B1067" s="2" t="str">
        <x:v>无信贷记录</x:v>
      </x:c>
      <x:c r="C1067" s="2" t="str">
        <x:v>综合负数率</x:v>
      </x:c>
      <x:c r="D1067" s="2" t="n">
        <x:v>0.056451612903225805</x:v>
      </x:c>
      <x:c r="E1067" s="2" t="n">
        <x:v>-0.018675786284173972</x:v>
      </x:c>
      <x:c r="F1067" s="2" t="n">
        <x:v>0.03844561513968001</x:v>
      </x:c>
      <x:c r="G1067" s="2" t="str">
        <x:v>原始表保留；建模表缩尾</x:v>
      </x:c>
    </x:row>
    <x:row r="1068" ht="15" hidden="0" customHeight="1">
      <x:c r="A1068" s="2" t="str">
        <x:v>E69</x:v>
      </x:c>
      <x:c r="B1068" s="2" t="str">
        <x:v>有信贷记录</x:v>
      </x:c>
      <x:c r="C1068" s="2" t="str">
        <x:v>上下游集中度</x:v>
      </x:c>
      <x:c r="D1068" s="2" t="n">
        <x:v>0.8702141972315733</x:v>
      </x:c>
      <x:c r="E1068" s="2" t="n">
        <x:v>-0.28103812215469837</x:v>
      </x:c>
      <x:c r="F1068" s="2" t="n">
        <x:v>0.7489762456796544</x:v>
      </x:c>
      <x:c r="G1068" s="2" t="str">
        <x:v>原始表保留；建模表缩尾</x:v>
      </x:c>
    </x:row>
    <x:row r="1069" ht="15" hidden="0" customHeight="1">
      <x:c r="A1069" s="2" t="str">
        <x:v>E77</x:v>
      </x:c>
      <x:c r="B1069" s="2" t="str">
        <x:v>有信贷记录</x:v>
      </x:c>
      <x:c r="C1069" s="2" t="str">
        <x:v>上下游集中度</x:v>
      </x:c>
      <x:c r="D1069" s="2" t="n">
        <x:v>0.9541722564211343</x:v>
      </x:c>
      <x:c r="E1069" s="2" t="n">
        <x:v>-0.28103812215469837</x:v>
      </x:c>
      <x:c r="F1069" s="2" t="n">
        <x:v>0.7489762456796544</x:v>
      </x:c>
      <x:c r="G1069" s="2" t="str">
        <x:v>原始表保留；建模表缩尾</x:v>
      </x:c>
    </x:row>
    <x:row r="1070" ht="15" hidden="0" customHeight="1">
      <x:c r="A1070" s="2" t="str">
        <x:v>E96</x:v>
      </x:c>
      <x:c r="B1070" s="2" t="str">
        <x:v>有信贷记录</x:v>
      </x:c>
      <x:c r="C1070" s="2" t="str">
        <x:v>上下游集中度</x:v>
      </x:c>
      <x:c r="D1070" s="2" t="n">
        <x:v>0.8697738043290129</x:v>
      </x:c>
      <x:c r="E1070" s="2" t="n">
        <x:v>-0.28103812215469837</x:v>
      </x:c>
      <x:c r="F1070" s="2" t="n">
        <x:v>0.7489762456796544</x:v>
      </x:c>
      <x:c r="G1070" s="2" t="str">
        <x:v>原始表保留；建模表缩尾</x:v>
      </x:c>
    </x:row>
    <x:row r="1071" ht="15" hidden="0" customHeight="1">
      <x:c r="A1071" s="2" t="str">
        <x:v>E117</x:v>
      </x:c>
      <x:c r="B1071" s="2" t="str">
        <x:v>有信贷记录</x:v>
      </x:c>
      <x:c r="C1071" s="2" t="str">
        <x:v>上下游集中度</x:v>
      </x:c>
      <x:c r="D1071" s="2" t="n">
        <x:v>0.7792517516727686</x:v>
      </x:c>
      <x:c r="E1071" s="2" t="n">
        <x:v>-0.28103812215469837</x:v>
      </x:c>
      <x:c r="F1071" s="2" t="n">
        <x:v>0.7489762456796544</x:v>
      </x:c>
      <x:c r="G1071" s="2" t="str">
        <x:v>原始表保留；建模表缩尾</x:v>
      </x:c>
    </x:row>
    <x:row r="1072" ht="15" hidden="0" customHeight="1">
      <x:c r="A1072" s="2" t="str">
        <x:v>E136</x:v>
      </x:c>
      <x:c r="B1072" s="2" t="str">
        <x:v>无信贷记录</x:v>
      </x:c>
      <x:c r="C1072" s="2" t="str">
        <x:v>上下游集中度</x:v>
      </x:c>
      <x:c r="D1072" s="2" t="n">
        <x:v>0.8208431214473388</x:v>
      </x:c>
      <x:c r="E1072" s="2" t="n">
        <x:v>-0.28103812215469837</x:v>
      </x:c>
      <x:c r="F1072" s="2" t="n">
        <x:v>0.7489762456796544</x:v>
      </x:c>
      <x:c r="G1072" s="2" t="str">
        <x:v>原始表保留；建模表缩尾</x:v>
      </x:c>
    </x:row>
    <x:row r="1073" ht="15" hidden="0" customHeight="1">
      <x:c r="A1073" s="2" t="str">
        <x:v>E291</x:v>
      </x:c>
      <x:c r="B1073" s="2" t="str">
        <x:v>无信贷记录</x:v>
      </x:c>
      <x:c r="C1073" s="2" t="str">
        <x:v>上下游集中度</x:v>
      </x:c>
      <x:c r="D1073" s="2" t="n">
        <x:v>0.759382198044249</x:v>
      </x:c>
      <x:c r="E1073" s="2" t="n">
        <x:v>-0.28103812215469837</x:v>
      </x:c>
      <x:c r="F1073" s="2" t="n">
        <x:v>0.7489762456796544</x:v>
      </x:c>
      <x:c r="G1073" s="2" t="str">
        <x:v>原始表保留；建模表缩尾</x:v>
      </x:c>
    </x:row>
    <x:row r="1074" ht="15" hidden="0" customHeight="1">
      <x:c r="A1074" s="2" t="str">
        <x:v>E356</x:v>
      </x:c>
      <x:c r="B1074" s="2" t="str">
        <x:v>无信贷记录</x:v>
      </x:c>
      <x:c r="C1074" s="2" t="str">
        <x:v>上下游集中度</x:v>
      </x:c>
      <x:c r="D1074" s="2" t="n">
        <x:v>0.8881661880145886</x:v>
      </x:c>
      <x:c r="E1074" s="2" t="n">
        <x:v>-0.28103812215469837</x:v>
      </x:c>
      <x:c r="F1074" s="2" t="n">
        <x:v>0.7489762456796544</x:v>
      </x:c>
      <x:c r="G1074" s="2" t="str">
        <x:v>原始表保留；建模表缩尾</x:v>
      </x:c>
    </x:row>
    <x:row r="1075" ht="15" hidden="0" customHeight="1">
      <x:c r="A1075" s="2" t="str">
        <x:v>E360</x:v>
      </x:c>
      <x:c r="B1075" s="2" t="str">
        <x:v>无信贷记录</x:v>
      </x:c>
      <x:c r="C1075" s="2" t="str">
        <x:v>上下游集中度</x:v>
      </x:c>
      <x:c r="D1075" s="2" t="n">
        <x:v>0.8474895426330034</x:v>
      </x:c>
      <x:c r="E1075" s="2" t="n">
        <x:v>-0.28103812215469837</x:v>
      </x:c>
      <x:c r="F1075" s="2" t="n">
        <x:v>0.7489762456796544</x:v>
      </x:c>
      <x:c r="G1075" s="2" t="str">
        <x:v>原始表保留；建模表缩尾</x:v>
      </x:c>
    </x:row>
    <x:row r="1076" ht="15" hidden="0" customHeight="1">
      <x:c r="A1076" s="2" t="str">
        <x:v>E383</x:v>
      </x:c>
      <x:c r="B1076" s="2" t="str">
        <x:v>无信贷记录</x:v>
      </x:c>
      <x:c r="C1076" s="2" t="str">
        <x:v>上下游集中度</x:v>
      </x:c>
      <x:c r="D1076" s="2" t="n">
        <x:v>0.814527446207082</x:v>
      </x:c>
      <x:c r="E1076" s="2" t="n">
        <x:v>-0.28103812215469837</x:v>
      </x:c>
      <x:c r="F1076" s="2" t="n">
        <x:v>0.7489762456796544</x:v>
      </x:c>
      <x:c r="G1076" s="2" t="str">
        <x:v>原始表保留；建模表缩尾</x:v>
      </x:c>
    </x:row>
    <x:row r="1077" ht="15" hidden="0" customHeight="1">
      <x:c r="A1077" s="2" t="str">
        <x:v>E387</x:v>
      </x:c>
      <x:c r="B1077" s="2" t="str">
        <x:v>无信贷记录</x:v>
      </x:c>
      <x:c r="C1077" s="2" t="str">
        <x:v>上下游集中度</x:v>
      </x:c>
      <x:c r="D1077" s="2" t="n">
        <x:v>0.780960952214615</x:v>
      </x:c>
      <x:c r="E1077" s="2" t="n">
        <x:v>-0.28103812215469837</x:v>
      </x:c>
      <x:c r="F1077" s="2" t="n">
        <x:v>0.7489762456796544</x:v>
      </x:c>
      <x:c r="G1077" s="2" t="str">
        <x:v>原始表保留；建模表缩尾</x:v>
      </x:c>
    </x:row>
    <x:row r="1078" ht="15" hidden="0" customHeight="1">
      <x:c r="A1078" s="2" t="str">
        <x:v>E389</x:v>
      </x:c>
      <x:c r="B1078" s="2" t="str">
        <x:v>无信贷记录</x:v>
      </x:c>
      <x:c r="C1078" s="2" t="str">
        <x:v>上下游集中度</x:v>
      </x:c>
      <x:c r="D1078" s="2" t="n">
        <x:v>0.8538041142921167</x:v>
      </x:c>
      <x:c r="E1078" s="2" t="n">
        <x:v>-0.28103812215469837</x:v>
      </x:c>
      <x:c r="F1078" s="2" t="n">
        <x:v>0.7489762456796544</x:v>
      </x:c>
      <x:c r="G1078" s="2" t="str">
        <x:v>原始表保留；建模表缩尾</x:v>
      </x:c>
    </x:row>
    <x:row r="1079" ht="15" hidden="0" customHeight="1">
      <x:c r="A1079" s="2" t="str">
        <x:v>E29</x:v>
      </x:c>
      <x:c r="B1079" s="2" t="str">
        <x:v>有信贷记录</x:v>
      </x:c>
      <x:c r="C1079" s="2" t="str">
        <x:v>经营波动率</x:v>
      </x:c>
      <x:c r="D1079" s="2" t="n">
        <x:v>3.3461551496277764</x:v>
      </x:c>
      <x:c r="E1079" s="2" t="n">
        <x:v>-0.6677996109712396</x:v>
      </x:c>
      <x:c r="F1079" s="2" t="n">
        <x:v>3.1528651733871147</x:v>
      </x:c>
      <x:c r="G1079" s="2" t="str">
        <x:v>原始表保留；建模表缩尾</x:v>
      </x:c>
    </x:row>
    <x:row r="1080" ht="15" hidden="0" customHeight="1">
      <x:c r="A1080" s="2" t="str">
        <x:v>E89</x:v>
      </x:c>
      <x:c r="B1080" s="2" t="str">
        <x:v>有信贷记录</x:v>
      </x:c>
      <x:c r="C1080" s="2" t="str">
        <x:v>经营波动率</x:v>
      </x:c>
      <x:c r="D1080" s="2" t="n">
        <x:v>3.664241086165417</x:v>
      </x:c>
      <x:c r="E1080" s="2" t="n">
        <x:v>-0.6677996109712396</x:v>
      </x:c>
      <x:c r="F1080" s="2" t="n">
        <x:v>3.1528651733871147</x:v>
      </x:c>
      <x:c r="G1080" s="2" t="str">
        <x:v>原始表保留；建模表缩尾</x:v>
      </x:c>
    </x:row>
    <x:row r="1081" ht="15" hidden="0" customHeight="1">
      <x:c r="A1081" s="2" t="str">
        <x:v>E94</x:v>
      </x:c>
      <x:c r="B1081" s="2" t="str">
        <x:v>有信贷记录</x:v>
      </x:c>
      <x:c r="C1081" s="2" t="str">
        <x:v>经营波动率</x:v>
      </x:c>
      <x:c r="D1081" s="2" t="n">
        <x:v>3.1963522138937934</x:v>
      </x:c>
      <x:c r="E1081" s="2" t="n">
        <x:v>-0.6677996109712396</x:v>
      </x:c>
      <x:c r="F1081" s="2" t="n">
        <x:v>3.1528651733871147</x:v>
      </x:c>
      <x:c r="G1081" s="2" t="str">
        <x:v>原始表保留；建模表缩尾</x:v>
      </x:c>
    </x:row>
    <x:row r="1082" ht="15" hidden="0" customHeight="1">
      <x:c r="A1082" s="2" t="str">
        <x:v>E96</x:v>
      </x:c>
      <x:c r="B1082" s="2" t="str">
        <x:v>有信贷记录</x:v>
      </x:c>
      <x:c r="C1082" s="2" t="str">
        <x:v>经营波动率</x:v>
      </x:c>
      <x:c r="D1082" s="2" t="n">
        <x:v>3.758315576198016</x:v>
      </x:c>
      <x:c r="E1082" s="2" t="n">
        <x:v>-0.6677996109712396</x:v>
      </x:c>
      <x:c r="F1082" s="2" t="n">
        <x:v>3.1528651733871147</x:v>
      </x:c>
      <x:c r="G1082" s="2" t="str">
        <x:v>原始表保留；建模表缩尾</x:v>
      </x:c>
    </x:row>
    <x:row r="1083" ht="15" hidden="0" customHeight="1">
      <x:c r="A1083" s="2" t="str">
        <x:v>E107</x:v>
      </x:c>
      <x:c r="B1083" s="2" t="str">
        <x:v>有信贷记录</x:v>
      </x:c>
      <x:c r="C1083" s="2" t="str">
        <x:v>经营波动率</x:v>
      </x:c>
      <x:c r="D1083" s="2" t="n">
        <x:v>3.4533239709062915</x:v>
      </x:c>
      <x:c r="E1083" s="2" t="n">
        <x:v>-0.6677996109712396</x:v>
      </x:c>
      <x:c r="F1083" s="2" t="n">
        <x:v>3.1528651733871147</x:v>
      </x:c>
      <x:c r="G1083" s="2" t="str">
        <x:v>原始表保留；建模表缩尾</x:v>
      </x:c>
    </x:row>
    <x:row r="1084" ht="15" hidden="0" customHeight="1">
      <x:c r="A1084" s="2" t="str">
        <x:v>E307</x:v>
      </x:c>
      <x:c r="B1084" s="2" t="str">
        <x:v>无信贷记录</x:v>
      </x:c>
      <x:c r="C1084" s="2" t="str">
        <x:v>经营波动率</x:v>
      </x:c>
      <x:c r="D1084" s="2" t="n">
        <x:v>3.2532140635613276</x:v>
      </x:c>
      <x:c r="E1084" s="2" t="n">
        <x:v>-0.6677996109712396</x:v>
      </x:c>
      <x:c r="F1084" s="2" t="n">
        <x:v>3.1528651733871147</x:v>
      </x:c>
      <x:c r="G1084" s="2" t="str">
        <x:v>原始表保留；建模表缩尾</x:v>
      </x:c>
    </x:row>
    <x:row r="1085" ht="15" hidden="0" customHeight="1">
      <x:c r="A1085" s="2" t="str">
        <x:v>E320</x:v>
      </x:c>
      <x:c r="B1085" s="2" t="str">
        <x:v>无信贷记录</x:v>
      </x:c>
      <x:c r="C1085" s="2" t="str">
        <x:v>经营波动率</x:v>
      </x:c>
      <x:c r="D1085" s="2" t="n">
        <x:v>3.2035275618642114</x:v>
      </x:c>
      <x:c r="E1085" s="2" t="n">
        <x:v>-0.6677996109712396</x:v>
      </x:c>
      <x:c r="F1085" s="2" t="n">
        <x:v>3.1528651733871147</x:v>
      </x:c>
      <x:c r="G1085" s="2" t="str">
        <x:v>原始表保留；建模表缩尾</x:v>
      </x:c>
    </x:row>
    <x:row r="1086" ht="15" hidden="0" customHeight="1">
      <x:c r="A1086" s="2" t="str">
        <x:v>E336</x:v>
      </x:c>
      <x:c r="B1086" s="2" t="str">
        <x:v>无信贷记录</x:v>
      </x:c>
      <x:c r="C1086" s="2" t="str">
        <x:v>经营波动率</x:v>
      </x:c>
      <x:c r="D1086" s="2" t="n">
        <x:v>3.6755507735490243</x:v>
      </x:c>
      <x:c r="E1086" s="2" t="n">
        <x:v>-0.6677996109712396</x:v>
      </x:c>
      <x:c r="F1086" s="2" t="n">
        <x:v>3.1528651733871147</x:v>
      </x:c>
      <x:c r="G1086" s="2" t="str">
        <x:v>原始表保留；建模表缩尾</x:v>
      </x:c>
    </x:row>
    <x:row r="1087" ht="15" hidden="0" customHeight="1">
      <x:c r="A1087" s="2" t="str">
        <x:v>E365</x:v>
      </x:c>
      <x:c r="B1087" s="2" t="str">
        <x:v>无信贷记录</x:v>
      </x:c>
      <x:c r="C1087" s="2" t="str">
        <x:v>经营波动率</x:v>
      </x:c>
      <x:c r="D1087" s="2" t="n">
        <x:v>3.805117661437782</x:v>
      </x:c>
      <x:c r="E1087" s="2" t="n">
        <x:v>-0.6677996109712396</x:v>
      </x:c>
      <x:c r="F1087" s="2" t="n">
        <x:v>3.1528651733871147</x:v>
      </x:c>
      <x:c r="G1087" s="2" t="str">
        <x:v>原始表保留；建模表缩尾</x:v>
      </x:c>
    </x:row>
    <x:row r="1088" ht="15" hidden="0" customHeight="1">
      <x:c r="A1088" s="2" t="str">
        <x:v>E367</x:v>
      </x:c>
      <x:c r="B1088" s="2" t="str">
        <x:v>无信贷记录</x:v>
      </x:c>
      <x:c r="C1088" s="2" t="str">
        <x:v>经营波动率</x:v>
      </x:c>
      <x:c r="D1088" s="2" t="n">
        <x:v>3.2431962236419007</x:v>
      </x:c>
      <x:c r="E1088" s="2" t="n">
        <x:v>-0.6677996109712396</x:v>
      </x:c>
      <x:c r="F1088" s="2" t="n">
        <x:v>3.1528651733871147</x:v>
      </x:c>
      <x:c r="G1088" s="2" t="str">
        <x:v>原始表保留；建模表缩尾</x:v>
      </x:c>
    </x:row>
    <x:row r="1089" ht="15" hidden="0" customHeight="1">
      <x:c r="A1089" s="2" t="str">
        <x:v>E405</x:v>
      </x:c>
      <x:c r="B1089" s="2" t="str">
        <x:v>无信贷记录</x:v>
      </x:c>
      <x:c r="C1089" s="2" t="str">
        <x:v>经营波动率</x:v>
      </x:c>
      <x:c r="D1089" s="2" t="n">
        <x:v>3.430562395044478</x:v>
      </x:c>
      <x:c r="E1089" s="2" t="n">
        <x:v>-0.6677996109712396</x:v>
      </x:c>
      <x:c r="F1089" s="2" t="n">
        <x:v>3.1528651733871147</x:v>
      </x:c>
      <x:c r="G1089" s="2" t="str">
        <x:v>原始表保留；建模表缩尾</x:v>
      </x:c>
    </x:row>
    <x:row r="1090" ht="15" hidden="0" customHeight="1">
      <x:c r="A1090" s="2" t="str">
        <x:v>E89</x:v>
      </x:c>
      <x:c r="B1090" s="2" t="str">
        <x:v>有信贷记录</x:v>
      </x:c>
      <x:c r="C1090" s="2" t="str">
        <x:v>经营趋势</x:v>
      </x:c>
      <x:c r="D1090" s="2" t="n">
        <x:v>-0.07520727765839606</x:v>
      </x:c>
      <x:c r="E1090" s="2" t="n">
        <x:v>-0.07309076973203062</x:v>
      </x:c>
      <x:c r="F1090" s="2" t="n">
        <x:v>0.11465250850305952</x:v>
      </x:c>
      <x:c r="G1090" s="2" t="str">
        <x:v>原始表保留；建模表缩尾</x:v>
      </x:c>
    </x:row>
    <x:row r="1091" ht="15" hidden="0" customHeight="1">
      <x:c r="A1091" s="2" t="str">
        <x:v>E101</x:v>
      </x:c>
      <x:c r="B1091" s="2" t="str">
        <x:v>有信贷记录</x:v>
      </x:c>
      <x:c r="C1091" s="2" t="str">
        <x:v>经营趋势</x:v>
      </x:c>
      <x:c r="D1091" s="2" t="n">
        <x:v>-0.14449481414376425</x:v>
      </x:c>
      <x:c r="E1091" s="2" t="n">
        <x:v>-0.07309076973203062</x:v>
      </x:c>
      <x:c r="F1091" s="2" t="n">
        <x:v>0.11465250850305952</x:v>
      </x:c>
      <x:c r="G1091" s="2" t="str">
        <x:v>原始表保留；建模表缩尾</x:v>
      </x:c>
    </x:row>
    <x:row r="1092" ht="15" hidden="0" customHeight="1">
      <x:c r="A1092" s="2" t="str">
        <x:v>E105</x:v>
      </x:c>
      <x:c r="B1092" s="2" t="str">
        <x:v>有信贷记录</x:v>
      </x:c>
      <x:c r="C1092" s="2" t="str">
        <x:v>经营趋势</x:v>
      </x:c>
      <x:c r="D1092" s="2" t="n">
        <x:v>-0.14690804574511096</x:v>
      </x:c>
      <x:c r="E1092" s="2" t="n">
        <x:v>-0.07309076973203062</x:v>
      </x:c>
      <x:c r="F1092" s="2" t="n">
        <x:v>0.11465250850305952</x:v>
      </x:c>
      <x:c r="G1092" s="2" t="str">
        <x:v>原始表保留；建模表缩尾</x:v>
      </x:c>
    </x:row>
    <x:row r="1093" ht="15" hidden="0" customHeight="1">
      <x:c r="A1093" s="2" t="str">
        <x:v>E109</x:v>
      </x:c>
      <x:c r="B1093" s="2" t="str">
        <x:v>有信贷记录</x:v>
      </x:c>
      <x:c r="C1093" s="2" t="str">
        <x:v>经营趋势</x:v>
      </x:c>
      <x:c r="D1093" s="2" t="n">
        <x:v>0.15619564907564593</x:v>
      </x:c>
      <x:c r="E1093" s="2" t="n">
        <x:v>-0.07309076973203062</x:v>
      </x:c>
      <x:c r="F1093" s="2" t="n">
        <x:v>0.11465250850305952</x:v>
      </x:c>
      <x:c r="G1093" s="2" t="str">
        <x:v>原始表保留；建模表缩尾</x:v>
      </x:c>
    </x:row>
    <x:row r="1094" ht="15" hidden="0" customHeight="1">
      <x:c r="A1094" s="2" t="str">
        <x:v>E113</x:v>
      </x:c>
      <x:c r="B1094" s="2" t="str">
        <x:v>有信贷记录</x:v>
      </x:c>
      <x:c r="C1094" s="2" t="str">
        <x:v>经营趋势</x:v>
      </x:c>
      <x:c r="D1094" s="2" t="n">
        <x:v>-0.09419604879584192</x:v>
      </x:c>
      <x:c r="E1094" s="2" t="n">
        <x:v>-0.07309076973203062</x:v>
      </x:c>
      <x:c r="F1094" s="2" t="n">
        <x:v>0.11465250850305952</x:v>
      </x:c>
      <x:c r="G1094" s="2" t="str">
        <x:v>原始表保留；建模表缩尾</x:v>
      </x:c>
    </x:row>
    <x:row r="1095" ht="15" hidden="0" customHeight="1">
      <x:c r="A1095" s="2" t="str">
        <x:v>E117</x:v>
      </x:c>
      <x:c r="B1095" s="2" t="str">
        <x:v>有信贷记录</x:v>
      </x:c>
      <x:c r="C1095" s="2" t="str">
        <x:v>经营趋势</x:v>
      </x:c>
      <x:c r="D1095" s="2" t="n">
        <x:v>-0.08333720123884383</x:v>
      </x:c>
      <x:c r="E1095" s="2" t="n">
        <x:v>-0.07309076973203062</x:v>
      </x:c>
      <x:c r="F1095" s="2" t="n">
        <x:v>0.11465250850305952</x:v>
      </x:c>
      <x:c r="G1095" s="2" t="str">
        <x:v>原始表保留；建模表缩尾</x:v>
      </x:c>
    </x:row>
    <x:row r="1096" ht="15" hidden="0" customHeight="1">
      <x:c r="A1096" s="2" t="str">
        <x:v>E120</x:v>
      </x:c>
      <x:c r="B1096" s="2" t="str">
        <x:v>有信贷记录</x:v>
      </x:c>
      <x:c r="C1096" s="2" t="str">
        <x:v>经营趋势</x:v>
      </x:c>
      <x:c r="D1096" s="2" t="n">
        <x:v>-0.10037099485484327</x:v>
      </x:c>
      <x:c r="E1096" s="2" t="n">
        <x:v>-0.07309076973203062</x:v>
      </x:c>
      <x:c r="F1096" s="2" t="n">
        <x:v>0.11465250850305952</x:v>
      </x:c>
      <x:c r="G1096" s="2" t="str">
        <x:v>原始表保留；建模表缩尾</x:v>
      </x:c>
    </x:row>
    <x:row r="1097" ht="15" hidden="0" customHeight="1">
      <x:c r="A1097" s="2" t="str">
        <x:v>E130</x:v>
      </x:c>
      <x:c r="B1097" s="2" t="str">
        <x:v>无信贷记录</x:v>
      </x:c>
      <x:c r="C1097" s="2" t="str">
        <x:v>经营趋势</x:v>
      </x:c>
      <x:c r="D1097" s="2" t="n">
        <x:v>0.11859168538021805</x:v>
      </x:c>
      <x:c r="E1097" s="2" t="n">
        <x:v>-0.07309076973203062</x:v>
      </x:c>
      <x:c r="F1097" s="2" t="n">
        <x:v>0.11465250850305952</x:v>
      </x:c>
      <x:c r="G1097" s="2" t="str">
        <x:v>原始表保留；建模表缩尾</x:v>
      </x:c>
    </x:row>
    <x:row r="1098" ht="15" hidden="0" customHeight="1">
      <x:c r="A1098" s="2" t="str">
        <x:v>E217</x:v>
      </x:c>
      <x:c r="B1098" s="2" t="str">
        <x:v>无信贷记录</x:v>
      </x:c>
      <x:c r="C1098" s="2" t="str">
        <x:v>经营趋势</x:v>
      </x:c>
      <x:c r="D1098" s="2" t="n">
        <x:v>-0.08896239097543975</x:v>
      </x:c>
      <x:c r="E1098" s="2" t="n">
        <x:v>-0.07309076973203062</x:v>
      </x:c>
      <x:c r="F1098" s="2" t="n">
        <x:v>0.11465250850305952</x:v>
      </x:c>
      <x:c r="G1098" s="2" t="str">
        <x:v>原始表保留；建模表缩尾</x:v>
      </x:c>
    </x:row>
    <x:row r="1099" ht="15" hidden="0" customHeight="1">
      <x:c r="A1099" s="2" t="str">
        <x:v>E233</x:v>
      </x:c>
      <x:c r="B1099" s="2" t="str">
        <x:v>无信贷记录</x:v>
      </x:c>
      <x:c r="C1099" s="2" t="str">
        <x:v>经营趋势</x:v>
      </x:c>
      <x:c r="D1099" s="2" t="n">
        <x:v>0.11633237771626236</x:v>
      </x:c>
      <x:c r="E1099" s="2" t="n">
        <x:v>-0.07309076973203062</x:v>
      </x:c>
      <x:c r="F1099" s="2" t="n">
        <x:v>0.11465250850305952</x:v>
      </x:c>
      <x:c r="G1099" s="2" t="str">
        <x:v>原始表保留；建模表缩尾</x:v>
      </x:c>
    </x:row>
    <x:row r="1100" ht="15" hidden="0" customHeight="1">
      <x:c r="A1100" s="2" t="str">
        <x:v>E274</x:v>
      </x:c>
      <x:c r="B1100" s="2" t="str">
        <x:v>无信贷记录</x:v>
      </x:c>
      <x:c r="C1100" s="2" t="str">
        <x:v>经营趋势</x:v>
      </x:c>
      <x:c r="D1100" s="2" t="n">
        <x:v>0.12661564504199482</x:v>
      </x:c>
      <x:c r="E1100" s="2" t="n">
        <x:v>-0.07309076973203062</x:v>
      </x:c>
      <x:c r="F1100" s="2" t="n">
        <x:v>0.11465250850305952</x:v>
      </x:c>
      <x:c r="G1100" s="2" t="str">
        <x:v>原始表保留；建模表缩尾</x:v>
      </x:c>
    </x:row>
    <x:row r="1101" ht="15" hidden="0" customHeight="1">
      <x:c r="A1101" s="2" t="str">
        <x:v>E300</x:v>
      </x:c>
      <x:c r="B1101" s="2" t="str">
        <x:v>无信贷记录</x:v>
      </x:c>
      <x:c r="C1101" s="2" t="str">
        <x:v>经营趋势</x:v>
      </x:c>
      <x:c r="D1101" s="2" t="n">
        <x:v>0.12468340040176566</x:v>
      </x:c>
      <x:c r="E1101" s="2" t="n">
        <x:v>-0.07309076973203062</x:v>
      </x:c>
      <x:c r="F1101" s="2" t="n">
        <x:v>0.11465250850305952</x:v>
      </x:c>
      <x:c r="G1101" s="2" t="str">
        <x:v>原始表保留；建模表缩尾</x:v>
      </x:c>
    </x:row>
    <x:row r="1102" ht="15" hidden="0" customHeight="1">
      <x:c r="A1102" s="2" t="str">
        <x:v>E323</x:v>
      </x:c>
      <x:c r="B1102" s="2" t="str">
        <x:v>无信贷记录</x:v>
      </x:c>
      <x:c r="C1102" s="2" t="str">
        <x:v>经营趋势</x:v>
      </x:c>
      <x:c r="D1102" s="2" t="n">
        <x:v>0.15312340105671987</x:v>
      </x:c>
      <x:c r="E1102" s="2" t="n">
        <x:v>-0.07309076973203062</x:v>
      </x:c>
      <x:c r="F1102" s="2" t="n">
        <x:v>0.11465250850305952</x:v>
      </x:c>
      <x:c r="G1102" s="2" t="str">
        <x:v>原始表保留；建模表缩尾</x:v>
      </x:c>
    </x:row>
    <x:row r="1103" ht="15" hidden="0" customHeight="1">
      <x:c r="A1103" s="2" t="str">
        <x:v>E339</x:v>
      </x:c>
      <x:c r="B1103" s="2" t="str">
        <x:v>无信贷记录</x:v>
      </x:c>
      <x:c r="C1103" s="2" t="str">
        <x:v>经营趋势</x:v>
      </x:c>
      <x:c r="D1103" s="2" t="n">
        <x:v>-0.0872936920189191</x:v>
      </x:c>
      <x:c r="E1103" s="2" t="n">
        <x:v>-0.07309076973203062</x:v>
      </x:c>
      <x:c r="F1103" s="2" t="n">
        <x:v>0.11465250850305952</x:v>
      </x:c>
      <x:c r="G1103" s="2" t="str">
        <x:v>原始表保留；建模表缩尾</x:v>
      </x:c>
    </x:row>
    <x:row r="1104" ht="15" hidden="0" customHeight="1">
      <x:c r="A1104" s="2" t="str">
        <x:v>E355</x:v>
      </x:c>
      <x:c r="B1104" s="2" t="str">
        <x:v>无信贷记录</x:v>
      </x:c>
      <x:c r="C1104" s="2" t="str">
        <x:v>经营趋势</x:v>
      </x:c>
      <x:c r="D1104" s="2" t="n">
        <x:v>0.2322554418710988</x:v>
      </x:c>
      <x:c r="E1104" s="2" t="n">
        <x:v>-0.07309076973203062</x:v>
      </x:c>
      <x:c r="F1104" s="2" t="n">
        <x:v>0.11465250850305952</x:v>
      </x:c>
      <x:c r="G1104" s="2" t="str">
        <x:v>原始表保留；建模表缩尾</x:v>
      </x:c>
    </x:row>
    <x:row r="1105" ht="15" hidden="0" customHeight="1">
      <x:c r="A1105" s="2" t="str">
        <x:v>E356</x:v>
      </x:c>
      <x:c r="B1105" s="2" t="str">
        <x:v>无信贷记录</x:v>
      </x:c>
      <x:c r="C1105" s="2" t="str">
        <x:v>经营趋势</x:v>
      </x:c>
      <x:c r="D1105" s="2" t="n">
        <x:v>-0.15834424073271572</x:v>
      </x:c>
      <x:c r="E1105" s="2" t="n">
        <x:v>-0.07309076973203062</x:v>
      </x:c>
      <x:c r="F1105" s="2" t="n">
        <x:v>0.11465250850305952</x:v>
      </x:c>
      <x:c r="G1105" s="2" t="str">
        <x:v>原始表保留；建模表缩尾</x:v>
      </x:c>
    </x:row>
    <x:row r="1106" ht="15" hidden="0" customHeight="1">
      <x:c r="A1106" s="2" t="str">
        <x:v>E360</x:v>
      </x:c>
      <x:c r="B1106" s="2" t="str">
        <x:v>无信贷记录</x:v>
      </x:c>
      <x:c r="C1106" s="2" t="str">
        <x:v>经营趋势</x:v>
      </x:c>
      <x:c r="D1106" s="2" t="n">
        <x:v>-0.24046437181415964</x:v>
      </x:c>
      <x:c r="E1106" s="2" t="n">
        <x:v>-0.07309076973203062</x:v>
      </x:c>
      <x:c r="F1106" s="2" t="n">
        <x:v>0.11465250850305952</x:v>
      </x:c>
      <x:c r="G1106" s="2" t="str">
        <x:v>原始表保留；建模表缩尾</x:v>
      </x:c>
    </x:row>
    <x:row r="1107" ht="15" hidden="0" customHeight="1">
      <x:c r="A1107" s="2" t="str">
        <x:v>E374</x:v>
      </x:c>
      <x:c r="B1107" s="2" t="str">
        <x:v>无信贷记录</x:v>
      </x:c>
      <x:c r="C1107" s="2" t="str">
        <x:v>经营趋势</x:v>
      </x:c>
      <x:c r="D1107" s="2" t="n">
        <x:v>0.17375021011159936</x:v>
      </x:c>
      <x:c r="E1107" s="2" t="n">
        <x:v>-0.07309076973203062</x:v>
      </x:c>
      <x:c r="F1107" s="2" t="n">
        <x:v>0.11465250850305952</x:v>
      </x:c>
      <x:c r="G1107" s="2" t="str">
        <x:v>原始表保留；建模表缩尾</x:v>
      </x:c>
    </x:row>
    <x:row r="1108" ht="15" hidden="0" customHeight="1">
      <x:c r="A1108" s="2" t="str">
        <x:v>E376</x:v>
      </x:c>
      <x:c r="B1108" s="2" t="str">
        <x:v>无信贷记录</x:v>
      </x:c>
      <x:c r="C1108" s="2" t="str">
        <x:v>经营趋势</x:v>
      </x:c>
      <x:c r="D1108" s="2" t="n">
        <x:v>-0.10620318145906532</x:v>
      </x:c>
      <x:c r="E1108" s="2" t="n">
        <x:v>-0.07309076973203062</x:v>
      </x:c>
      <x:c r="F1108" s="2" t="n">
        <x:v>0.11465250850305952</x:v>
      </x:c>
      <x:c r="G1108" s="2" t="str">
        <x:v>原始表保留；建模表缩尾</x:v>
      </x:c>
    </x:row>
    <x:row r="1109" ht="15" hidden="0" customHeight="1">
      <x:c r="A1109" s="2" t="str">
        <x:v>E386</x:v>
      </x:c>
      <x:c r="B1109" s="2" t="str">
        <x:v>无信贷记录</x:v>
      </x:c>
      <x:c r="C1109" s="2" t="str">
        <x:v>经营趋势</x:v>
      </x:c>
      <x:c r="D1109" s="2" t="n">
        <x:v>-0.081514127420312</x:v>
      </x:c>
      <x:c r="E1109" s="2" t="n">
        <x:v>-0.07309076973203062</x:v>
      </x:c>
      <x:c r="F1109" s="2" t="n">
        <x:v>0.11465250850305952</x:v>
      </x:c>
      <x:c r="G1109" s="2" t="str">
        <x:v>原始表保留；建模表缩尾</x:v>
      </x:c>
    </x:row>
    <x:row r="1110" ht="15" hidden="0" customHeight="1">
      <x:c r="A1110" s="2" t="str">
        <x:v>E389</x:v>
      </x:c>
      <x:c r="B1110" s="2" t="str">
        <x:v>无信贷记录</x:v>
      </x:c>
      <x:c r="C1110" s="2" t="str">
        <x:v>经营趋势</x:v>
      </x:c>
      <x:c r="D1110" s="2" t="n">
        <x:v>0.19774593539903623</x:v>
      </x:c>
      <x:c r="E1110" s="2" t="n">
        <x:v>-0.07309076973203062</x:v>
      </x:c>
      <x:c r="F1110" s="2" t="n">
        <x:v>0.11465250850305952</x:v>
      </x:c>
      <x:c r="G1110" s="2" t="str">
        <x:v>原始表保留；建模表缩尾</x:v>
      </x:c>
    </x:row>
    <x:row r="1111" ht="15" hidden="0" customHeight="1">
      <x:c r="A1111" s="2" t="str">
        <x:v>E405</x:v>
      </x:c>
      <x:c r="B1111" s="2" t="str">
        <x:v>无信贷记录</x:v>
      </x:c>
      <x:c r="C1111" s="2" t="str">
        <x:v>经营趋势</x:v>
      </x:c>
      <x:c r="D1111" s="2" t="n">
        <x:v>-0.12415818610731975</x:v>
      </x:c>
      <x:c r="E1111" s="2" t="n">
        <x:v>-0.07309076973203062</x:v>
      </x:c>
      <x:c r="F1111" s="2" t="n">
        <x:v>0.11465250850305952</x:v>
      </x:c>
      <x:c r="G1111" s="2" t="str">
        <x:v>原始表保留；建模表缩尾</x:v>
      </x:c>
    </x:row>
    <x:row r="1112" ht="15" hidden="0" customHeight="1">
      <x:c r="A1112" s="2" t="str">
        <x:v>E414</x:v>
      </x:c>
      <x:c r="B1112" s="2" t="str">
        <x:v>无信贷记录</x:v>
      </x:c>
      <x:c r="C1112" s="2" t="str">
        <x:v>经营趋势</x:v>
      </x:c>
      <x:c r="D1112" s="2" t="n">
        <x:v>-0.15312490309678686</x:v>
      </x:c>
      <x:c r="E1112" s="2" t="n">
        <x:v>-0.07309076973203062</x:v>
      </x:c>
      <x:c r="F1112" s="2" t="n">
        <x:v>0.11465250850305952</x:v>
      </x:c>
      <x:c r="G1112" s="2" t="str">
        <x:v>原始表保留；建模表缩尾</x:v>
      </x:c>
    </x:row>
    <x:row r="1113" ht="15" hidden="0" customHeight="1">
      <x:c r="A1113" s="2" t="str">
        <x:v>E416</x:v>
      </x:c>
      <x:c r="B1113" s="2" t="str">
        <x:v>无信贷记录</x:v>
      </x:c>
      <x:c r="C1113" s="2" t="str">
        <x:v>经营趋势</x:v>
      </x:c>
      <x:c r="D1113" s="2" t="n">
        <x:v>0.1166015939104014</x:v>
      </x:c>
      <x:c r="E1113" s="2" t="n">
        <x:v>-0.07309076973203062</x:v>
      </x:c>
      <x:c r="F1113" s="2" t="n">
        <x:v>0.11465250850305952</x:v>
      </x:c>
      <x:c r="G1113" s="2" t="str">
        <x:v>原始表保留；建模表缩尾</x:v>
      </x:c>
    </x:row>
    <x:row r="1114" ht="15" hidden="0" customHeight="1">
      <x:c r="A1114" s="2" t="str">
        <x:v>E417</x:v>
      </x:c>
      <x:c r="B1114" s="2" t="str">
        <x:v>无信贷记录</x:v>
      </x:c>
      <x:c r="C1114" s="2" t="str">
        <x:v>经营趋势</x:v>
      </x:c>
      <x:c r="D1114" s="2" t="n">
        <x:v>-0.11132196291331947</x:v>
      </x:c>
      <x:c r="E1114" s="2" t="n">
        <x:v>-0.07309076973203062</x:v>
      </x:c>
      <x:c r="F1114" s="2" t="n">
        <x:v>0.11465250850305952</x:v>
      </x:c>
      <x:c r="G1114" s="2" t="str">
        <x:v>原始表保留；建模表缩尾</x:v>
      </x:c>
    </x:row>
    <x:row r="1115" ht="15" hidden="0" customHeight="1">
      <x:c r="A1115" s="2" t="str">
        <x:v>E418</x:v>
      </x:c>
      <x:c r="B1115" s="2" t="str">
        <x:v>无信贷记录</x:v>
      </x:c>
      <x:c r="C1115" s="2" t="str">
        <x:v>经营趋势</x:v>
      </x:c>
      <x:c r="D1115" s="2" t="n">
        <x:v>-0.09531114499366306</x:v>
      </x:c>
      <x:c r="E1115" s="2" t="n">
        <x:v>-0.07309076973203062</x:v>
      </x:c>
      <x:c r="F1115" s="2" t="n">
        <x:v>0.11465250850305952</x:v>
      </x:c>
      <x:c r="G1115" s="2" t="str">
        <x:v>原始表保留；建模表缩尾</x:v>
      </x:c>
    </x:row>
    <x:row r="1116" ht="15" hidden="0" customHeight="1">
      <x:c r="A1116" s="2" t="str">
        <x:v>E424</x:v>
      </x:c>
      <x:c r="B1116" s="2" t="str">
        <x:v>无信贷记录</x:v>
      </x:c>
      <x:c r="C1116" s="2" t="str">
        <x:v>经营趋势</x:v>
      </x:c>
      <x:c r="D1116" s="2" t="n">
        <x:v>-0.08506856729819247</x:v>
      </x:c>
      <x:c r="E1116" s="2" t="n">
        <x:v>-0.07309076973203062</x:v>
      </x:c>
      <x:c r="F1116" s="2" t="n">
        <x:v>0.11465250850305952</x:v>
      </x:c>
      <x:c r="G1116" s="2" t="str">
        <x:v>原始表保留；建模表缩尾</x:v>
      </x:c>
    </x:row>
    <x:row r="1117" ht="15" hidden="0" customHeight="1">
      <x:c r="A1117" s="2" t="str">
        <x:v>E425</x:v>
      </x:c>
      <x:c r="B1117" s="2" t="str">
        <x:v>无信贷记录</x:v>
      </x:c>
      <x:c r="C1117" s="2" t="str">
        <x:v>经营趋势</x:v>
      </x:c>
      <x:c r="D1117" s="2" t="n">
        <x:v>-0.1674620356143491</x:v>
      </x:c>
      <x:c r="E1117" s="2" t="n">
        <x:v>-0.07309076973203062</x:v>
      </x:c>
      <x:c r="F1117" s="2" t="n">
        <x:v>0.11465250850305952</x:v>
      </x:c>
      <x:c r="G1117" s="2" t="str">
        <x:v>原始表保留；建模表缩尾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880000114440918" hidden="0" customWidth="1"/>
    <x:col min="2" max="2" width="5.630000114440918" hidden="0" customWidth="1"/>
    <x:col min="3" max="3" width="5.630000114440918" hidden="0" customWidth="1"/>
    <x:col min="4" max="4" width="32.25" hidden="0" customWidth="1"/>
  </x:cols>
  <x:sheetData>
    <x:row r="1" ht="24" hidden="0" customHeight="1">
      <x:c r="A1" s="10" t="str">
        <x:v>字段</x:v>
      </x:c>
      <x:c r="B1" s="10" t="str">
        <x:v>缺失数</x:v>
      </x:c>
      <x:c r="C1" s="10" t="str">
        <x:v>方法</x:v>
      </x:c>
      <x:c r="D1" s="10" t="str">
        <x:v>依据</x:v>
      </x:c>
    </x:row>
    <x:row r="2" ht="15" hidden="0" customHeight="1">
      <x:c r="A2" s="2" t="str">
        <x:v>无</x:v>
      </x:c>
      <x:c r="B2" s="2" t="n">
        <x:v>0</x:v>
      </x:c>
      <x:c r="C2" s="2" t="str">
        <x:v>未填补</x:v>
      </x:c>
      <x:c r="D2" s="2" t="str">
        <x:v>原始关键字段及企业级派生特征均无缺失值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.75" hidden="0" customWidth="1"/>
    <x:col min="3" max="3" width="10.75" hidden="0" customWidth="1"/>
    <x:col min="4" max="4" width="11.5" hidden="0" customWidth="1"/>
    <x:col min="5" max="5" width="10.75" hidden="0" customWidth="1"/>
  </x:cols>
  <x:sheetData>
    <x:row r="1" ht="24" hidden="0" customHeight="1">
      <x:c r="A1" s="10" t="str">
        <x:v>特征</x:v>
      </x:c>
      <x:c r="B1" s="10" t="str">
        <x:v>均值</x:v>
      </x:c>
      <x:c r="C1" s="10" t="str">
        <x:v>标准差</x:v>
      </x:c>
      <x:c r="D1" s="10" t="str">
        <x:v>最小值</x:v>
      </x:c>
      <x:c r="E1" s="10" t="str">
        <x:v>最大值</x:v>
      </x:c>
    </x:row>
    <x:row r="2" ht="15" hidden="0" customHeight="1">
      <x:c r="A2" s="2" t="str">
        <x:v>进项_发票总数</x:v>
      </x:c>
      <x:c r="B2" s="2" t="n">
        <x:v>1321.5967058823528</x:v>
      </x:c>
      <x:c r="C2" s="2" t="n">
        <x:v>2157.161069481825</x:v>
      </x:c>
      <x:c r="D2" s="2" t="n">
        <x:v>2</x:v>
      </x:c>
      <x:c r="E2" s="2" t="n">
        <x:v>13379.719999999998</x:v>
      </x:c>
    </x:row>
    <x:row r="3" ht="15" hidden="0" customHeight="1">
      <x:c r="A3" s="2" t="str">
        <x:v>进项_有效票数</x:v>
      </x:c>
      <x:c r="B3" s="2" t="n">
        <x:v>1275.2884705882352</x:v>
      </x:c>
      <x:c r="C3" s="2" t="n">
        <x:v>2085.5165794286504</x:v>
      </x:c>
      <x:c r="D3" s="2" t="n">
        <x:v>2</x:v>
      </x:c>
      <x:c r="E3" s="2" t="n">
        <x:v>13108.119999999995</x:v>
      </x:c>
    </x:row>
    <x:row r="4" ht="15" hidden="0" customHeight="1">
      <x:c r="A4" s="2" t="str">
        <x:v>进项_作废票数</x:v>
      </x:c>
      <x:c r="B4" s="2" t="n">
        <x:v>48.792941176470585</x:v>
      </x:c>
      <x:c r="C4" s="2" t="n">
        <x:v>94.06252962569513</x:v>
      </x:c>
      <x:c r="D4" s="2" t="n">
        <x:v>0</x:v>
      </x:c>
      <x:c r="E4" s="2" t="n">
        <x:v>550</x:v>
      </x:c>
    </x:row>
    <x:row r="5" ht="15" hidden="0" customHeight="1">
      <x:c r="A5" s="2" t="str">
        <x:v>进项_负数票数</x:v>
      </x:c>
      <x:c r="B5" s="2" t="n">
        <x:v>10.733647058823527</x:v>
      </x:c>
      <x:c r="C5" s="2" t="n">
        <x:v>23.319899951710447</x:v>
      </x:c>
      <x:c r="D5" s="2" t="n">
        <x:v>0</x:v>
      </x:c>
      <x:c r="E5" s="2" t="n">
        <x:v>149.75999999999976</x:v>
      </x:c>
    </x:row>
    <x:row r="6" ht="15" hidden="0" customHeight="1">
      <x:c r="A6" s="2" t="str">
        <x:v>进项_有效价税合计</x:v>
      </x:c>
      <x:c r="B6" s="2" t="n">
        <x:v>28569297.46302588</x:v>
      </x:c>
      <x:c r="C6" s="2" t="n">
        <x:v>50112577.79422566</x:v>
      </x:c>
      <x:c r="D6" s="2" t="n">
        <x:v>560</x:v>
      </x:c>
      <x:c r="E6" s="2" t="n">
        <x:v>292218987.17319953</x:v>
      </x:c>
    </x:row>
    <x:row r="7" ht="15" hidden="0" customHeight="1">
      <x:c r="A7" s="2" t="str">
        <x:v>进项_有效绝对额</x:v>
      </x:c>
      <x:c r="B7" s="2" t="n">
        <x:v>29207066.246931758</x:v>
      </x:c>
      <x:c r="C7" s="2" t="n">
        <x:v>51014436.06392547</x:v>
      </x:c>
      <x:c r="D7" s="2" t="n">
        <x:v>560</x:v>
      </x:c>
      <x:c r="E7" s="2" t="n">
        <x:v>294391831.53319967</x:v>
      </x:c>
    </x:row>
    <x:row r="8" ht="15" hidden="0" customHeight="1">
      <x:c r="A8" s="2" t="str">
        <x:v>进项_交易对手数</x:v>
      </x:c>
      <x:c r="B8" s="2" t="n">
        <x:v>234.98305882352938</x:v>
      </x:c>
      <x:c r="C8" s="2" t="n">
        <x:v>328.68338509529565</x:v>
      </x:c>
      <x:c r="D8" s="2" t="n">
        <x:v>1</x:v>
      </x:c>
      <x:c r="E8" s="2" t="n">
        <x:v>1608.56</x:v>
      </x:c>
    </x:row>
    <x:row r="9" ht="15" hidden="0" customHeight="1">
      <x:c r="A9" s="2" t="str">
        <x:v>进项_作废率</x:v>
      </x:c>
      <x:c r="B9" s="2" t="n">
        <x:v>0.029976459217771225</x:v>
      </x:c>
      <x:c r="C9" s="2" t="n">
        <x:v>0.026041488673954324</x:v>
      </x:c>
      <x:c r="D9" s="2" t="n">
        <x:v>0</x:v>
      </x:c>
      <x:c r="E9" s="2" t="n">
        <x:v>0.1274358974358974</x:v>
      </x:c>
    </x:row>
    <x:row r="10" ht="15" hidden="0" customHeight="1">
      <x:c r="A10" s="2" t="str">
        <x:v>进项_负数率</x:v>
      </x:c>
      <x:c r="B10" s="2" t="n">
        <x:v>0.006681827258033115</x:v>
      </x:c>
      <x:c r="C10" s="2" t="n">
        <x:v>0.009259546145789792</x:v>
      </x:c>
      <x:c r="D10" s="2" t="n">
        <x:v>0</x:v>
      </x:c>
      <x:c r="E10" s="2" t="n">
        <x:v>0.04853794642857142</x:v>
      </x:c>
    </x:row>
    <x:row r="11" ht="15" hidden="0" customHeight="1">
      <x:c r="A11" s="2" t="str">
        <x:v>进项_交易集中度HHI</x:v>
      </x:c>
      <x:c r="B11" s="2" t="n">
        <x:v>0.2744295513926571</x:v>
      </x:c>
      <x:c r="C11" s="2" t="n">
        <x:v>0.27385868249735346</x:v>
      </x:c>
      <x:c r="D11" s="2" t="n">
        <x:v>0.01056490101357329</x:v>
      </x:c>
      <x:c r="E11" s="2" t="n">
        <x:v>1</x:v>
      </x:c>
    </x:row>
    <x:row r="12" ht="15" hidden="0" customHeight="1">
      <x:c r="A12" s="2" t="str">
        <x:v>进项_最大交易对手占比</x:v>
      </x:c>
      <x:c r="B12" s="2" t="n">
        <x:v>0.39621745761120825</x:v>
      </x:c>
      <x:c r="C12" s="2" t="n">
        <x:v>0.26856091683037536</x:v>
      </x:c>
      <x:c r="D12" s="2" t="n">
        <x:v>0.04137191557692229</x:v>
      </x:c>
      <x:c r="E12" s="2" t="n">
        <x:v>1</x:v>
      </x:c>
    </x:row>
    <x:row r="13" ht="15" hidden="0" customHeight="1">
      <x:c r="A13" s="2" t="str">
        <x:v>进项_月均额</x:v>
      </x:c>
      <x:c r="B13" s="2" t="n">
        <x:v>806351.41282175</x:v>
      </x:c>
      <x:c r="C13" s="2" t="n">
        <x:v>1376459.8711381475</x:v>
      </x:c>
      <x:c r="D13" s="2" t="n">
        <x:v>38.35733333333334</x:v>
      </x:c>
      <x:c r="E13" s="2" t="n">
        <x:v>7854353.69919828</x:v>
      </x:c>
    </x:row>
    <x:row r="14" ht="15" hidden="0" customHeight="1">
      <x:c r="A14" s="2" t="str">
        <x:v>进项_月波动率</x:v>
      </x:c>
      <x:c r="B14" s="2" t="n">
        <x:v>1.5250234962975346</x:v>
      </x:c>
      <x:c r="C14" s="2" t="n">
        <x:v>0.9500339635783178</x:v>
      </x:c>
      <x:c r="D14" s="2" t="n">
        <x:v>0.32422736494682114</x:v>
      </x:c>
      <x:c r="E14" s="2" t="n">
        <x:v>4.84123861016109</x:v>
      </x:c>
    </x:row>
    <x:row r="15" ht="15" hidden="0" customHeight="1">
      <x:c r="A15" s="2" t="str">
        <x:v>进项_月趋势</x:v>
      </x:c>
      <x:c r="B15" s="2" t="n">
        <x:v>0.018884033594641945</x:v>
      </x:c>
      <x:c r="C15" s="2" t="n">
        <x:v>0.05956498839704776</x:v>
      </x:c>
      <x:c r="D15" s="2" t="n">
        <x:v>-0.21625547045049248</x:v>
      </x:c>
      <x:c r="E15" s="2" t="n">
        <x:v>0.17261326934540813</x:v>
      </x:c>
    </x:row>
    <x:row r="16" ht="15" hidden="0" customHeight="1">
      <x:c r="A16" s="2" t="str">
        <x:v>进项_活跃月数</x:v>
      </x:c>
      <x:c r="B16" s="2" t="n">
        <x:v>28.249411764705883</x:v>
      </x:c>
      <x:c r="C16" s="2" t="n">
        <x:v>10.617583900740948</x:v>
      </x:c>
      <x:c r="D16" s="2" t="n">
        <x:v>2</x:v>
      </x:c>
      <x:c r="E16" s="2" t="n">
        <x:v>38</x:v>
      </x:c>
    </x:row>
    <x:row r="17" ht="15" hidden="0" customHeight="1">
      <x:c r="A17" s="2" t="str">
        <x:v>销项_发票总数</x:v>
      </x:c>
      <x:c r="B17" s="2" t="n">
        <x:v>1062.1209411764703</x:v>
      </x:c>
      <x:c r="C17" s="2" t="n">
        <x:v>1897.7003475101878</x:v>
      </x:c>
      <x:c r="D17" s="2" t="n">
        <x:v>9.440000000000001</x:v>
      </x:c>
      <x:c r="E17" s="2" t="n">
        <x:v>11455.639999999989</x:v>
      </x:c>
    </x:row>
    <x:row r="18" ht="15" hidden="0" customHeight="1">
      <x:c r="A18" s="2" t="str">
        <x:v>销项_有效票数</x:v>
      </x:c>
      <x:c r="B18" s="2" t="n">
        <x:v>974.8197647058822</x:v>
      </x:c>
      <x:c r="C18" s="2" t="n">
        <x:v>1782.423428979225</x:v>
      </x:c>
      <x:c r="D18" s="2" t="n">
        <x:v>6.720000000000001</x:v>
      </x:c>
      <x:c r="E18" s="2" t="n">
        <x:v>10722.759999999987</x:v>
      </x:c>
    </x:row>
    <x:row r="19" ht="15" hidden="0" customHeight="1">
      <x:c r="A19" s="2" t="str">
        <x:v>销项_作废票数</x:v>
      </x:c>
      <x:c r="B19" s="2" t="n">
        <x:v>84.77129411764705</x:v>
      </x:c>
      <x:c r="C19" s="2" t="n">
        <x:v>133.45973667156284</x:v>
      </x:c>
      <x:c r="D19" s="2" t="n">
        <x:v>0</x:v>
      </x:c>
      <x:c r="E19" s="2" t="n">
        <x:v>809.7599999999993</x:v>
      </x:c>
    </x:row>
    <x:row r="20" ht="15" hidden="0" customHeight="1">
      <x:c r="A20" s="2" t="str">
        <x:v>销项_负数票数</x:v>
      </x:c>
      <x:c r="B20" s="2" t="n">
        <x:v>18.906352941176465</x:v>
      </x:c>
      <x:c r="C20" s="2" t="n">
        <x:v>48.34559413825949</x:v>
      </x:c>
      <x:c r="D20" s="2" t="n">
        <x:v>0</x:v>
      </x:c>
      <x:c r="E20" s="2" t="n">
        <x:v>352.83999999999946</x:v>
      </x:c>
    </x:row>
    <x:row r="21" ht="15" hidden="0" customHeight="1">
      <x:c r="A21" s="2" t="str">
        <x:v>销项_有效价税合计</x:v>
      </x:c>
      <x:c r="B21" s="2" t="n">
        <x:v>59532905.57080941</x:v>
      </x:c>
      <x:c r="C21" s="2" t="n">
        <x:v>107594631.94157797</x:v>
      </x:c>
      <x:c r="D21" s="2" t="n">
        <x:v>64155.65600000001</x:v>
      </x:c>
      <x:c r="E21" s="2" t="n">
        <x:v>669003080.2907999</x:v>
      </x:c>
    </x:row>
    <x:row r="22" ht="15" hidden="0" customHeight="1">
      <x:c r="A22" s="2" t="str">
        <x:v>销项_有效绝对额</x:v>
      </x:c>
      <x:c r="B22" s="2" t="n">
        <x:v>66351422.6890541</x:v>
      </x:c>
      <x:c r="C22" s="2" t="n">
        <x:v>138688891.36788577</x:v>
      </x:c>
      <x:c r="D22" s="2" t="n">
        <x:v>67271.656</x:v>
      </x:c>
      <x:c r="E22" s="2" t="n">
        <x:v>1012686468.1095984</x:v>
      </x:c>
    </x:row>
    <x:row r="23" ht="15" hidden="0" customHeight="1">
      <x:c r="A23" s="2" t="str">
        <x:v>销项_交易对手数</x:v>
      </x:c>
      <x:c r="B23" s="2" t="n">
        <x:v>169.91623529411763</x:v>
      </x:c>
      <x:c r="C23" s="2" t="n">
        <x:v>425.5531420743552</x:v>
      </x:c>
      <x:c r="D23" s="2" t="n">
        <x:v>2</x:v>
      </x:c>
      <x:c r="E23" s="2" t="n">
        <x:v>2694.279999999999</x:v>
      </x:c>
    </x:row>
    <x:row r="24" ht="15" hidden="0" customHeight="1">
      <x:c r="A24" s="2" t="str">
        <x:v>销项_作废率</x:v>
      </x:c>
      <x:c r="B24" s="2" t="n">
        <x:v>0.12350724038272709</x:v>
      </x:c>
      <x:c r="C24" s="2" t="n">
        <x:v>0.12113878838231286</x:v>
      </x:c>
      <x:c r="D24" s="2" t="n">
        <x:v>0</x:v>
      </x:c>
      <x:c r="E24" s="2" t="n">
        <x:v>0.8136218864842784</x:v>
      </x:c>
    </x:row>
    <x:row r="25" ht="15" hidden="0" customHeight="1">
      <x:c r="A25" s="2" t="str">
        <x:v>销项_负数率</x:v>
      </x:c>
      <x:c r="B25" s="2" t="n">
        <x:v>0.020860285049800194</x:v>
      </x:c>
      <x:c r="C25" s="2" t="n">
        <x:v>0.029883008044711164</x:v>
      </x:c>
      <x:c r="D25" s="2" t="n">
        <x:v>0</x:v>
      </x:c>
      <x:c r="E25" s="2" t="n">
        <x:v>0.17828116037106256</x:v>
      </x:c>
    </x:row>
    <x:row r="26" ht="15" hidden="0" customHeight="1">
      <x:c r="A26" s="2" t="str">
        <x:v>销项_交易集中度HHI</x:v>
      </x:c>
      <x:c r="B26" s="2" t="n">
        <x:v>0.23820006268182614</x:v>
      </x:c>
      <x:c r="C26" s="2" t="n">
        <x:v>0.2347140603049795</x:v>
      </x:c>
      <x:c r="D26" s="2" t="n">
        <x:v>0.004886626984096743</x:v>
      </x:c>
      <x:c r="E26" s="2" t="n">
        <x:v>0.9822858713570419</x:v>
      </x:c>
    </x:row>
    <x:row r="27" ht="15" hidden="0" customHeight="1">
      <x:c r="A27" s="2" t="str">
        <x:v>销项_最大交易对手占比</x:v>
      </x:c>
      <x:c r="B27" s="2" t="n">
        <x:v>0.35709519315363103</x:v>
      </x:c>
      <x:c r="C27" s="2" t="n">
        <x:v>0.24601074606235074</x:v>
      </x:c>
      <x:c r="D27" s="2" t="n">
        <x:v>0.0343133643548063</x:v>
      </x:c>
      <x:c r="E27" s="2" t="n">
        <x:v>0.9910603957224227</x:v>
      </x:c>
    </x:row>
    <x:row r="28" ht="15" hidden="0" customHeight="1">
      <x:c r="A28" s="2" t="str">
        <x:v>销项_月均额</x:v>
      </x:c>
      <x:c r="B28" s="2" t="n">
        <x:v>1699284.517146676</x:v>
      </x:c>
      <x:c r="C28" s="2" t="n">
        <x:v>2968549.6790385</x:v>
      </x:c>
      <x:c r="D28" s="2" t="n">
        <x:v>2593.1575457735244</x:v>
      </x:c>
      <x:c r="E28" s="2" t="n">
        <x:v>18351464.41321227</x:v>
      </x:c>
    </x:row>
    <x:row r="29" ht="15" hidden="0" customHeight="1">
      <x:c r="A29" s="2" t="str">
        <x:v>销项_月波动率</x:v>
      </x:c>
      <x:c r="B29" s="2" t="n">
        <x:v>1.1682924814118612</x:v>
      </x:c>
      <x:c r="C29" s="2" t="n">
        <x:v>0.6597170587869093</x:v>
      </x:c>
      <x:c r="D29" s="2" t="n">
        <x:v>0.2698388037208975</x:v>
      </x:c>
      <x:c r="E29" s="2" t="n">
        <x:v>3.407039552429552</x:v>
      </x:c>
    </x:row>
    <x:row r="30" ht="15" hidden="0" customHeight="1">
      <x:c r="A30" s="2" t="str">
        <x:v>销项_月趋势</x:v>
      </x:c>
      <x:c r="B30" s="2" t="n">
        <x:v>0.014417997142156342</x:v>
      </x:c>
      <x:c r="C30" s="2" t="n">
        <x:v>0.04896788206702684</x:v>
      </x:c>
      <x:c r="D30" s="2" t="n">
        <x:v>-0.14722911552630938</x:v>
      </x:c>
      <x:c r="E30" s="2" t="n">
        <x:v>0.1360756728301767</x:v>
      </x:c>
    </x:row>
    <x:row r="31" ht="15" hidden="0" customHeight="1">
      <x:c r="A31" s="2" t="str">
        <x:v>销项_活跃月数</x:v>
      </x:c>
      <x:c r="B31" s="2" t="n">
        <x:v>27.47764705882353</x:v>
      </x:c>
      <x:c r="C31" s="2" t="n">
        <x:v>9.937455899664938</x:v>
      </x:c>
      <x:c r="D31" s="2" t="n">
        <x:v>4</x:v>
      </x:c>
      <x:c r="E31" s="2" t="n">
        <x:v>38</x:v>
      </x:c>
    </x:row>
    <x:row r="32" ht="15" hidden="0" customHeight="1">
      <x:c r="A32" s="2" t="str">
        <x:v>净流入代理</x:v>
      </x:c>
      <x:c r="B32" s="2" t="n">
        <x:v>26641481.835637644</x:v>
      </x:c>
      <x:c r="C32" s="2" t="n">
        <x:v>65048540.61218473</x:v>
      </x:c>
      <x:c r="D32" s="2" t="n">
        <x:v>-66758721.217599995</x:v>
      </x:c>
      <x:c r="E32" s="2" t="n">
        <x:v>398719945.9707996</x:v>
      </x:c>
    </x:row>
    <x:row r="33" ht="15" hidden="0" customHeight="1">
      <x:c r="A33" s="2" t="str">
        <x:v>进销比</x:v>
      </x:c>
      <x:c r="B33" s="2" t="n">
        <x:v>0.9584961333930657</x:v>
      </x:c>
      <x:c r="C33" s="2" t="n">
        <x:v>2.794142963590503</x:v>
      </x:c>
      <x:c r="D33" s="2" t="n">
        <x:v>0.000324549550467228</x:v>
      </x:c>
      <x:c r="E33" s="2" t="n">
        <x:v>21.2915080780909</x:v>
      </x:c>
    </x:row>
    <x:row r="34" ht="15" hidden="0" customHeight="1">
      <x:c r="A34" s="2" t="str">
        <x:v>综合作废率</x:v>
      </x:c>
      <x:c r="B34" s="2" t="n">
        <x:v>0.07260067945174023</x:v>
      </x:c>
      <x:c r="C34" s="2" t="n">
        <x:v>0.05840448072513931</x:v>
      </x:c>
      <x:c r="D34" s="2" t="n">
        <x:v>0.0014035087719298258</x:v>
      </x:c>
      <x:c r="E34" s="2" t="n">
        <x:v>0.3550476190476188</x:v>
      </x:c>
    </x:row>
    <x:row r="35" ht="15" hidden="0" customHeight="1">
      <x:c r="A35" s="2" t="str">
        <x:v>综合负数率</x:v>
      </x:c>
      <x:c r="B35" s="2" t="n">
        <x:v>0.013295968580535382</x:v>
      </x:c>
      <x:c r="C35" s="2" t="n">
        <x:v>0.01701141095704099</x:v>
      </x:c>
      <x:c r="D35" s="2" t="n">
        <x:v>0</x:v>
      </x:c>
      <x:c r="E35" s="2" t="n">
        <x:v>0.103076923076923</x:v>
      </x:c>
    </x:row>
    <x:row r="36" ht="15" hidden="0" customHeight="1">
      <x:c r="A36" s="2" t="str">
        <x:v>上下游集中度</x:v>
      </x:c>
      <x:c r="B36" s="2" t="n">
        <x:v>0.2560106730372381</x:v>
      </x:c>
      <x:c r="C36" s="2" t="n">
        <x:v>0.1900358887636905</x:v>
      </x:c>
      <x:c r="D36" s="2" t="n">
        <x:v>0.026697377740847485</x:v>
      </x:c>
      <x:c r="E36" s="2" t="n">
        <x:v>0.8522886170939294</x:v>
      </x:c>
    </x:row>
    <x:row r="37" ht="15" hidden="0" customHeight="1">
      <x:c r="A37" s="2" t="str">
        <x:v>经营波动率</x:v>
      </x:c>
      <x:c r="B37" s="2" t="n">
        <x:v>1.3472671042122253</x:v>
      </x:c>
      <x:c r="C37" s="2" t="n">
        <x:v>0.7005665653520105</x:v>
      </x:c>
      <x:c r="D37" s="2" t="n">
        <x:v>0.35185067339818643</x:v>
      </x:c>
      <x:c r="E37" s="2" t="n">
        <x:v>3.447861192699456</x:v>
      </x:c>
    </x:row>
    <x:row r="38" ht="15" hidden="0" customHeight="1">
      <x:c r="A38" s="2" t="str">
        <x:v>经营趋势</x:v>
      </x:c>
      <x:c r="B38" s="2" t="n">
        <x:v>0.016842519975666794</x:v>
      </x:c>
      <x:c r="C38" s="2" t="n">
        <x:v>0.048616240413510516</x:v>
      </x:c>
      <x:c r="D38" s="2" t="n">
        <x:v>-0.14632887016078774</x:v>
      </x:c>
      <x:c r="E38" s="2" t="n">
        <x:v>0.1467615396131856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80000114440918" hidden="0" customWidth="1"/>
    <x:col min="2" max="2" width="13.380000114440918" hidden="0" customWidth="1"/>
    <x:col min="3" max="3" width="13.25" hidden="0" customWidth="1"/>
    <x:col min="4" max="4" width="13.380000114440918" hidden="0" customWidth="1"/>
  </x:cols>
  <x:sheetData>
    <x:row r="1" ht="24" hidden="0" customHeight="1">
      <x:c r="A1" s="10" t="str">
        <x:v>贷款年利率</x:v>
      </x:c>
      <x:c r="B1" s="10" t="str">
        <x:v>信誉评级A流失率</x:v>
      </x:c>
      <x:c r="C1" s="10" t="str">
        <x:v>信誉评级B流失率</x:v>
      </x:c>
      <x:c r="D1" s="10" t="str">
        <x:v>信誉评级C流失率</x:v>
      </x:c>
    </x:row>
    <x:row r="2" ht="15" hidden="0" customHeight="1">
      <x:c r="A2" s="14" t="n">
        <x:v>0.0425</x:v>
      </x:c>
      <x:c r="B2" s="14" t="n">
        <x:v>0.0945741262057566</x:v>
      </x:c>
      <x:c r="C2" s="14" t="n">
        <x:v>0.0667995833242854</x:v>
      </x:c>
      <x:c r="D2" s="14" t="n">
        <x:v>0.0687253064883727</x:v>
      </x:c>
    </x:row>
    <x:row r="3" ht="15" hidden="0" customHeight="1">
      <x:c r="A3" s="14" t="n">
        <x:v>0.0465</x:v>
      </x:c>
      <x:c r="B3" s="14" t="n">
        <x:v>0.135727183124787</x:v>
      </x:c>
      <x:c r="C3" s="14" t="n">
        <x:v>0.135052059550382</x:v>
      </x:c>
      <x:c r="D3" s="14" t="n">
        <x:v>0.122099028926699</x:v>
      </x:c>
    </x:row>
    <x:row r="4" ht="15" hidden="0" customHeight="1">
      <x:c r="A4" s="14" t="n">
        <x:v>0.0505</x:v>
      </x:c>
      <x:c r="B4" s="14" t="n">
        <x:v>0.224603353581977</x:v>
      </x:c>
      <x:c r="C4" s="14" t="n">
        <x:v>0.206580080013208</x:v>
      </x:c>
      <x:c r="D4" s="14" t="n">
        <x:v>0.181252146310439</x:v>
      </x:c>
    </x:row>
    <x:row r="5" ht="15" hidden="0" customHeight="1">
      <x:c r="A5" s="14" t="n">
        <x:v>0.0545</x:v>
      </x:c>
      <x:c r="B5" s="14" t="n">
        <x:v>0.302038101589586</x:v>
      </x:c>
      <x:c r="C5" s="14" t="n">
        <x:v>0.276812293245122</x:v>
      </x:c>
      <x:c r="D5" s="14" t="n">
        <x:v>0.263302863236199</x:v>
      </x:c>
    </x:row>
    <x:row r="6" ht="15" hidden="0" customHeight="1">
      <x:c r="A6" s="14" t="n">
        <x:v>0.0585</x:v>
      </x:c>
      <x:c r="B6" s="14" t="n">
        <x:v>0.347315668091994</x:v>
      </x:c>
      <x:c r="C6" s="14" t="n">
        <x:v>0.302883401074081</x:v>
      </x:c>
      <x:c r="D6" s="14" t="n">
        <x:v>0.290189098264871</x:v>
      </x:c>
    </x:row>
    <x:row r="7" ht="15" hidden="0" customHeight="1">
      <x:c r="A7" s="14" t="n">
        <x:v>0.0625</x:v>
      </x:c>
      <x:c r="B7" s="14" t="n">
        <x:v>0.41347176997734</x:v>
      </x:c>
      <x:c r="C7" s="14" t="n">
        <x:v>0.370215852076908</x:v>
      </x:c>
      <x:c r="D7" s="14" t="n">
        <x:v>0.349715590094521</x:v>
      </x:c>
    </x:row>
    <x:row r="8" ht="15" hidden="0" customHeight="1">
      <x:c r="A8" s="14" t="n">
        <x:v>0.0665</x:v>
      </x:c>
      <x:c r="B8" s="14" t="n">
        <x:v>0.44789097258475</x:v>
      </x:c>
      <x:c r="C8" s="14" t="n">
        <x:v>0.406296668196528</x:v>
      </x:c>
      <x:c r="D8" s="14" t="n">
        <x:v>0.390771682776531</x:v>
      </x:c>
    </x:row>
    <x:row r="9" ht="15" hidden="0" customHeight="1">
      <x:c r="A9" s="14" t="n">
        <x:v>0.0705</x:v>
      </x:c>
      <x:c r="B9" s="14" t="n">
        <x:v>0.497634453435344</x:v>
      </x:c>
      <x:c r="C9" s="14" t="n">
        <x:v>0.458295294950834</x:v>
      </x:c>
      <x:c r="D9" s="14" t="n">
        <x:v>0.457238069777737</x:v>
      </x:c>
    </x:row>
    <x:row r="10" ht="15" hidden="0" customHeight="1">
      <x:c r="A10" s="14" t="n">
        <x:v>0.0745</x:v>
      </x:c>
      <x:c r="B10" s="14" t="n">
        <x:v>0.511096611982035</x:v>
      </x:c>
      <x:c r="C10" s="14" t="n">
        <x:v>0.508718691669863</x:v>
      </x:c>
      <x:c r="D10" s="14" t="n">
        <x:v>0.492660433100353</x:v>
      </x:c>
    </x:row>
    <x:row r="11" ht="15" hidden="0" customHeight="1">
      <x:c r="A11" s="14" t="n">
        <x:v>0.0785</x:v>
      </x:c>
      <x:c r="B11" s="14" t="n">
        <x:v>0.573393086968699</x:v>
      </x:c>
      <x:c r="C11" s="14" t="n">
        <x:v>0.544408836888372</x:v>
      </x:c>
      <x:c r="D11" s="14" t="n">
        <x:v>0.513660238519387</x:v>
      </x:c>
    </x:row>
    <x:row r="12" ht="15" hidden="0" customHeight="1">
      <x:c r="A12" s="14" t="n">
        <x:v>0.0825</x:v>
      </x:c>
      <x:c r="B12" s="14" t="n">
        <x:v>0.609492114638487</x:v>
      </x:c>
      <x:c r="C12" s="14" t="n">
        <x:v>0.548493957592387</x:v>
      </x:c>
      <x:c r="D12" s="14" t="n">
        <x:v>0.53024870562998</x:v>
      </x:c>
    </x:row>
    <x:row r="13" ht="15" hidden="0" customHeight="1">
      <x:c r="A13" s="14" t="n">
        <x:v>0.0865</x:v>
      </x:c>
      <x:c r="B13" s="14" t="n">
        <x:v>0.652944773638275</x:v>
      </x:c>
      <x:c r="C13" s="14" t="n">
        <x:v>0.588765696081734</x:v>
      </x:c>
      <x:c r="D13" s="14" t="n">
        <x:v>0.58776240816814</x:v>
      </x:c>
    </x:row>
    <x:row r="14" ht="15" hidden="0" customHeight="1">
      <x:c r="A14" s="14" t="n">
        <x:v>0.0905</x:v>
      </x:c>
      <x:c r="B14" s="14" t="n">
        <x:v>0.667541842695405</x:v>
      </x:c>
      <x:c r="C14" s="14" t="n">
        <x:v>0.625764575898251</x:v>
      </x:c>
      <x:c r="D14" s="14" t="n">
        <x:v>0.590097044735418</x:v>
      </x:c>
    </x:row>
    <x:row r="15" ht="15" hidden="0" customHeight="1">
      <x:c r="A15" s="14" t="n">
        <x:v>0.0945</x:v>
      </x:c>
      <x:c r="B15" s="14" t="n">
        <x:v>0.694779920760969</x:v>
      </x:c>
      <x:c r="C15" s="14" t="n">
        <x:v>0.635605146297822</x:v>
      </x:c>
      <x:c r="D15" s="14" t="n">
        <x:v>0.642993655597024</x:v>
      </x:c>
    </x:row>
    <x:row r="16" ht="15" hidden="0" customHeight="1">
      <x:c r="A16" s="14" t="n">
        <x:v>0.0985</x:v>
      </x:c>
      <x:c r="B16" s="14" t="n">
        <x:v>0.708302023264193</x:v>
      </x:c>
      <x:c r="C16" s="14" t="n">
        <x:v>0.673527424120319</x:v>
      </x:c>
      <x:c r="D16" s="14" t="n">
        <x:v>0.658839415753347</x:v>
      </x:c>
    </x:row>
    <x:row r="17" ht="15" hidden="0" customHeight="1">
      <x:c r="A17" s="14" t="n">
        <x:v>0.1025</x:v>
      </x:c>
      <x:c r="B17" s="14" t="n">
        <x:v>0.731275401311664</x:v>
      </x:c>
      <x:c r="C17" s="14" t="n">
        <x:v>0.696925430878578</x:v>
      </x:c>
      <x:c r="D17" s="14" t="n">
        <x:v>0.696870573132124</x:v>
      </x:c>
    </x:row>
    <x:row r="18" ht="15" hidden="0" customHeight="1">
      <x:c r="A18" s="14" t="n">
        <x:v>0.1065</x:v>
      </x:c>
      <x:c r="B18" s="14" t="n">
        <x:v>0.775091404985868</x:v>
      </x:c>
      <x:c r="C18" s="14" t="n">
        <x:v>0.705315992511251</x:v>
      </x:c>
      <x:c r="D18" s="14" t="n">
        <x:v>0.719103552394064</x:v>
      </x:c>
    </x:row>
    <x:row r="19" ht="15" hidden="0" customHeight="1">
      <x:c r="A19" s="14" t="n">
        <x:v>0.1105</x:v>
      </x:c>
      <x:c r="B19" s="14" t="n">
        <x:v>0.798227367649763</x:v>
      </x:c>
      <x:c r="C19" s="14" t="n">
        <x:v>0.74293632626681</x:v>
      </x:c>
      <x:c r="D19" s="14" t="n">
        <x:v>0.71110123661152</x:v>
      </x:c>
    </x:row>
    <x:row r="20" ht="15" hidden="0" customHeight="1">
      <x:c r="A20" s="14" t="n">
        <x:v>0.1145</x:v>
      </x:c>
      <x:c r="B20" s="14" t="n">
        <x:v>0.790527266424128</x:v>
      </x:c>
      <x:c r="C20" s="14" t="n">
        <x:v>0.776400728768043</x:v>
      </x:c>
      <x:c r="D20" s="14" t="n">
        <x:v>0.75062765613264</x:v>
      </x:c>
    </x:row>
    <x:row r="21" ht="15" hidden="0" customHeight="1">
      <x:c r="A21" s="14" t="n">
        <x:v>0.1185</x:v>
      </x:c>
      <x:c r="B21" s="14" t="n">
        <x:v>0.815196986470174</x:v>
      </x:c>
      <x:c r="C21" s="14" t="n">
        <x:v>0.762022595008955</x:v>
      </x:c>
      <x:c r="D21" s="14" t="n">
        <x:v>0.776816043228816</x:v>
      </x:c>
    </x:row>
    <x:row r="22" ht="15" hidden="0" customHeight="1">
      <x:c r="A22" s="14" t="n">
        <x:v>0.1225</x:v>
      </x:c>
      <x:c r="B22" s="14" t="n">
        <x:v>0.814421028872806</x:v>
      </x:c>
      <x:c r="C22" s="14" t="n">
        <x:v>0.7915036971307</x:v>
      </x:c>
      <x:c r="D22" s="14" t="n">
        <x:v>0.784480512059831</x:v>
      </x:c>
    </x:row>
    <x:row r="23" ht="15" hidden="0" customHeight="1">
      <x:c r="A23" s="14" t="n">
        <x:v>0.1265</x:v>
      </x:c>
      <x:c r="B23" s="14" t="n">
        <x:v>0.854811096860206</x:v>
      </x:c>
      <x:c r="C23" s="14" t="n">
        <x:v>0.814998932530095</x:v>
      </x:c>
      <x:c r="D23" s="14" t="n">
        <x:v>0.795566274140749</x:v>
      </x:c>
    </x:row>
    <x:row r="24" ht="15" hidden="0" customHeight="1">
      <x:c r="A24" s="14" t="n">
        <x:v>0.1305</x:v>
      </x:c>
      <x:c r="B24" s="14" t="n">
        <x:v>0.870317343278494</x:v>
      </x:c>
      <x:c r="C24" s="14" t="n">
        <x:v>0.82229786149515</x:v>
      </x:c>
      <x:c r="D24" s="14" t="n">
        <x:v>0.820051433645947</x:v>
      </x:c>
    </x:row>
    <x:row r="25" ht="15" hidden="0" customHeight="1">
      <x:c r="A25" s="14" t="n">
        <x:v>0.1345</x:v>
      </x:c>
      <x:c r="B25" s="14" t="n">
        <x:v>0.871428085424653</x:v>
      </x:c>
      <x:c r="C25" s="14" t="n">
        <x:v>0.835301602280488</x:v>
      </x:c>
      <x:c r="D25" s="14" t="n">
        <x:v>0.832288421505973</x:v>
      </x:c>
    </x:row>
    <x:row r="26" ht="15" hidden="0" customHeight="1">
      <x:c r="A26" s="14" t="n">
        <x:v>0.1385</x:v>
      </x:c>
      <x:c r="B26" s="14" t="n">
        <x:v>0.885925945175939</x:v>
      </x:c>
      <x:c r="C26" s="14" t="n">
        <x:v>0.845747745401636</x:v>
      </x:c>
      <x:c r="D26" s="14" t="n">
        <x:v>0.844089875386012</x:v>
      </x:c>
    </x:row>
    <x:row r="27" ht="15" hidden="0" customHeight="1">
      <x:c r="A27" s="14" t="n">
        <x:v>0.1425</x:v>
      </x:c>
      <x:c r="B27" s="14" t="n">
        <x:v>0.874434681686885</x:v>
      </x:c>
      <x:c r="C27" s="14" t="n">
        <x:v>0.842070843722875</x:v>
      </x:c>
      <x:c r="D27" s="14" t="n">
        <x:v>0.836974325775867</x:v>
      </x:c>
    </x:row>
    <x:row r="28" ht="15" hidden="0" customHeight="1">
      <x:c r="A28" s="14" t="n">
        <x:v>0.1465</x:v>
      </x:c>
      <x:c r="B28" s="14" t="n">
        <x:v>0.902725908629956</x:v>
      </x:c>
      <x:c r="C28" s="14" t="n">
        <x:v>0.868159535589987</x:v>
      </x:c>
      <x:c r="D28" s="14" t="n">
        <x:v>0.872558957311371</x:v>
      </x:c>
    </x:row>
    <x:row r="29" ht="15" hidden="0" customHeight="1">
      <x:c r="A29" s="14" t="n">
        <x:v>0.15</x:v>
      </x:c>
      <x:c r="B29" s="14" t="n">
        <x:v>0.922060686952494</x:v>
      </x:c>
      <x:c r="C29" s="14" t="n">
        <x:v>0.885864918999995</x:v>
      </x:c>
      <x:c r="D29" s="14" t="n">
        <x:v>0.895164738662031</x:v>
      </x:c>
    </x:row>
    <x:row r="30">
      <x:c r="A30" s="15"/>
      <x:c r="B30" s="15"/>
      <x:c r="C30" s="15"/>
      <x:c r="D30" s="15"/>
    </x:row>
    <x:row r="31">
      <x:c r="A31" s="15"/>
      <x:c r="B31" s="15"/>
      <x:c r="C31" s="15"/>
      <x:c r="D31" s="15"/>
    </x:row>
    <x:row r="32">
      <x:c r="A32" s="15"/>
      <x:c r="B32" s="15"/>
      <x:c r="C32" s="15"/>
      <x:c r="D32" s="15"/>
    </x:row>
    <x:row r="33">
      <x:c r="A33" s="15"/>
      <x:c r="B33" s="15"/>
      <x:c r="C33" s="15"/>
      <x:c r="D33" s="15"/>
    </x:row>
    <x:row r="34">
      <x:c r="A34" s="15"/>
      <x:c r="B34" s="15"/>
      <x:c r="C34" s="15"/>
      <x:c r="D34" s="15"/>
    </x:row>
    <x:row r="35">
      <x:c r="A35" s="15"/>
      <x:c r="B35" s="15"/>
      <x:c r="C35" s="15"/>
      <x:c r="D35" s="15"/>
    </x:row>
    <x:row r="36">
      <x:c r="A36" s="15"/>
      <x:c r="B36" s="15"/>
      <x:c r="C36" s="15"/>
      <x:c r="D36" s="15"/>
    </x:row>
    <x:row r="37">
      <x:c r="A37" s="15"/>
      <x:c r="B37" s="15"/>
      <x:c r="C37" s="15"/>
      <x:c r="D37" s="15"/>
    </x:row>
    <x:row r="38">
      <x:c r="A38" s="15"/>
      <x:c r="B38" s="15"/>
      <x:c r="C38" s="15"/>
      <x:c r="D38" s="15"/>
    </x:row>
    <x:row r="39">
      <x:c r="A39" s="15"/>
      <x:c r="B39" s="15"/>
      <x:c r="C39" s="15"/>
      <x:c r="D39" s="15"/>
    </x:row>
    <x:row r="40">
      <x:c r="A40" s="15"/>
      <x:c r="B40" s="15"/>
      <x:c r="C40" s="15"/>
      <x:c r="D40" s="15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18.8799991607666" hidden="0" customWidth="1"/>
    <x:col min="3" max="3" width="8.880000114440918" hidden="0" customWidth="1"/>
    <x:col min="4" max="4" width="10.380000114440918" hidden="0" customWidth="1"/>
    <x:col min="5" max="5" width="56.630001068115234" hidden="0" customWidth="1"/>
    <x:col min="6" max="6" width="37.25" hidden="0" customWidth="1"/>
  </x:cols>
  <x:sheetData>
    <x:row r="1" ht="24" hidden="0" customHeight="1">
      <x:c r="A1" s="10" t="str">
        <x:v>补充级别</x:v>
      </x:c>
      <x:c r="B1" s="10" t="str">
        <x:v>参数或数据</x:v>
      </x:c>
      <x:c r="C1" s="10" t="str">
        <x:v>基准假设值</x:v>
      </x:c>
      <x:c r="D1" s="10" t="str">
        <x:v>单位</x:v>
      </x:c>
      <x:c r="E1" s="10" t="str">
        <x:v>假设依据/用途</x:v>
      </x:c>
      <x:c r="F1" s="10" t="str">
        <x:v>推荐获取途径</x:v>
      </x:c>
    </x:row>
    <x:row r="2" ht="15" hidden="0" customHeight="1">
      <x:c r="A2" s="2" t="str">
        <x:v>必须补充</x:v>
      </x:c>
      <x:c r="B2" s="2" t="str">
        <x:v>违约损失率LGD</x:v>
      </x:c>
      <x:c r="C2" s="18" t="n">
        <x:v>0.6</x:v>
      </x:c>
      <x:c r="D2" s="2" t="str">
        <x:v>比例</x:v>
      </x:c>
      <x:c r="E2" s="2" t="str">
        <x:v>附件未给出违约后的本金损失比例；先设60%，后续做30%-90%敏感性分析</x:v>
      </x:c>
      <x:c r="F2" s="2" t="str">
        <x:v>论文模型假设/银行历史回收数据</x:v>
      </x:c>
    </x:row>
    <x:row r="3" ht="15" hidden="0" customHeight="1">
      <x:c r="A3" s="2" t="str">
        <x:v>必须补充</x:v>
      </x:c>
      <x:c r="B3" s="2" t="str">
        <x:v>风险厌恶系数lambda</x:v>
      </x:c>
      <x:c r="C3" s="18" t="n">
        <x:v>1</x:v>
      </x:c>
      <x:c r="D3" s="2" t="str">
        <x:v>无量纲</x:v>
      </x:c>
      <x:c r="E3" s="2" t="str">
        <x:v>决定收益与风险的权衡；基准取1，不宣称为真实银行参数</x:v>
      </x:c>
      <x:c r="F3" s="2" t="str">
        <x:v>利用Pareto前沿或银行偏好校准</x:v>
      </x:c>
    </x:row>
    <x:row r="4" ht="15" hidden="0" customHeight="1">
      <x:c r="A4" s="2" t="str">
        <x:v>必须补充</x:v>
      </x:c>
      <x:c r="B4" s="2" t="str">
        <x:v>预测不确定性惩罚eta</x:v>
      </x:c>
      <x:c r="C4" s="18" t="n">
        <x:v>0.2</x:v>
      </x:c>
      <x:c r="D4" s="2" t="str">
        <x:v>无量纲</x:v>
      </x:c>
      <x:c r="E4" s="2" t="str">
        <x:v>附件2无真实标签，需惩罚高不确定性企业</x:v>
      </x:c>
      <x:c r="F4" s="2" t="str">
        <x:v>交叉验证误差与敏感性分析</x:v>
      </x:c>
    </x:row>
    <x:row r="5" ht="15" hidden="0" customHeight="1">
      <x:c r="A5" s="2" t="str">
        <x:v>必须补充</x:v>
      </x:c>
      <x:c r="B5" s="2" t="str">
        <x:v>供应链冲击传播系数rho</x:v>
      </x:c>
      <x:c r="C5" s="18" t="n">
        <x:v>0.3</x:v>
      </x:c>
      <x:c r="D5" s="2" t="str">
        <x:v>比例</x:v>
      </x:c>
      <x:c r="E5" s="2" t="str">
        <x:v>问题3要求上下游影响但未给传播强度</x:v>
      </x:c>
      <x:c r="F5" s="2" t="str">
        <x:v>基准0.30，测试0.10-0.50</x:v>
      </x:c>
    </x:row>
    <x:row r="6" ht="15" hidden="0" customHeight="1">
      <x:c r="A6" s="2" t="str">
        <x:v>必须补充</x:v>
      </x:c>
      <x:c r="B6" s="2" t="str">
        <x:v>CVaR置信水平alpha</x:v>
      </x:c>
      <x:c r="C6" s="18" t="n">
        <x:v>0.95</x:v>
      </x:c>
      <x:c r="D6" s="2" t="str">
        <x:v>比例</x:v>
      </x:c>
      <x:c r="E6" s="2" t="str">
        <x:v>控制最坏5%情景的平均损失</x:v>
      </x:c>
      <x:c r="F6" s="2" t="str">
        <x:v>风险管理常用假设，需做90%-99%敏感性分析</x:v>
      </x:c>
    </x:row>
    <x:row r="7" ht="15" hidden="0" customHeight="1">
      <x:c r="A7" s="2" t="str">
        <x:v>可选补充</x:v>
      </x:c>
      <x:c r="B7" s="2" t="str">
        <x:v>行业月度景气/增加值</x:v>
      </x:c>
      <x:c r="C7" s="18" t="str"/>
      <x:c r="D7" s="2" t="str">
        <x:v>指数或同比%</x:v>
      </x:c>
      <x:c r="E7" s="2" t="str">
        <x:v>改善突发事件行业冲击估计</x:v>
      </x:c>
      <x:c r="F7" s="2" t="str">
        <x:v>国家统计局：国家数据 data.stats.gov.cn</x:v>
      </x:c>
    </x:row>
    <x:row r="8" ht="15" hidden="0" customHeight="1">
      <x:c r="A8" s="2" t="str">
        <x:v>可选补充</x:v>
      </x:c>
      <x:c r="B8" s="2" t="str">
        <x:v>行业疫情冲击与复工数据</x:v>
      </x:c>
      <x:c r="C8" s="18" t="str"/>
      <x:c r="D8" s="2" t="str">
        <x:v>同比%</x:v>
      </x:c>
      <x:c r="E8" s="2" t="str">
        <x:v>减少行业冲击系数的主观性</x:v>
      </x:c>
      <x:c r="F8" s="2" t="str">
        <x:v>国家统计局、工信部、中国人民银行公开报告</x:v>
      </x:c>
    </x:row>
    <x:row r="9" ht="15" hidden="0" customHeight="1">
      <x:c r="A9" s="2" t="str">
        <x:v>可选补充</x:v>
      </x:c>
      <x:c r="B9" s="2" t="str">
        <x:v>中小微企业违约回收率</x:v>
      </x:c>
      <x:c r="C9" s="18" t="str"/>
      <x:c r="D9" s="2" t="str">
        <x:v>比例</x:v>
      </x:c>
      <x:c r="E9" s="2" t="str">
        <x:v>校准LGD和预期损失</x:v>
      </x:c>
      <x:c r="F9" s="2" t="str">
        <x:v>中国人民银行、国家金融监督管理总局、银行年报</x:v>
      </x:c>
    </x:row>
    <x:row r="10">
      <x:c r="C10" s="19"/>
    </x:row>
    <x:row r="11">
      <x:c r="C11" s="19"/>
    </x:row>
    <x:row r="12">
      <x:c r="C12" s="19"/>
    </x:row>
    <x:row r="13">
      <x:c r="C13" s="19"/>
    </x:row>
    <x:row r="14">
      <x:c r="C14" s="19"/>
    </x:row>
    <x:row r="15">
      <x:c r="C15" s="19"/>
    </x:row>
    <x:row r="16">
      <x:c r="C16" s="19"/>
    </x:row>
    <x:row r="17">
      <x:c r="C17" s="19"/>
    </x:row>
    <x:row r="18">
      <x:c r="C18" s="19"/>
    </x:row>
    <x:row r="19">
      <x:c r="C19" s="19"/>
    </x:row>
    <x:row r="20">
      <x:c r="C20" s="19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10.630000114440918" hidden="0" customWidth="1"/>
    <x:col min="3" max="3" width="10.630000114440918" hidden="0" customWidth="1"/>
    <x:col min="4" max="4" width="10.630000114440918" hidden="0" customWidth="1"/>
    <x:col min="5" max="5" width="15.630000114440918" hidden="0" customWidth="1"/>
    <x:col min="6" max="6" width="53.880001068115234" hidden="0" customWidth="1"/>
  </x:cols>
  <x:sheetData>
    <x:row r="1" ht="24" hidden="0" customHeight="1">
      <x:c r="A1" s="10" t="str">
        <x:v>行业类别</x:v>
      </x:c>
      <x:c r="B1" s="10" t="str">
        <x:v>轻度收入冲击</x:v>
      </x:c>
      <x:c r="C1" s="10" t="str">
        <x:v>中度收入冲击</x:v>
      </x:c>
      <x:c r="D1" s="10" t="str">
        <x:v>重度收入冲击</x:v>
      </x:c>
      <x:c r="E1" s="10" t="str">
        <x:v>供应链传播系数上限</x:v>
      </x:c>
      <x:c r="F1" s="10" t="str">
        <x:v>说明</x:v>
      </x:c>
    </x:row>
    <x:row r="2" ht="15" hidden="0" customHeight="1">
      <x:c r="A2" s="2" t="str">
        <x:v>制造业</x:v>
      </x:c>
      <x:c r="B2" s="20" t="n">
        <x:v>-0.05</x:v>
      </x:c>
      <x:c r="C2" s="20" t="n">
        <x:v>-0.15</x:v>
      </x:c>
      <x:c r="D2" s="20" t="n">
        <x:v>-0.3</x:v>
      </x:c>
      <x:c r="E2" s="20" t="n">
        <x:v>0.2</x:v>
      </x:c>
      <x:c r="F2" s="2" t="str">
        <x:v>模拟假设，不代表真实统计值；后续用外部行业数据替换并做敏感性分析</x:v>
      </x:c>
    </x:row>
    <x:row r="3" ht="15" hidden="0" customHeight="1">
      <x:c r="A3" s="2" t="str">
        <x:v>批发零售</x:v>
      </x:c>
      <x:c r="B3" s="20" t="n">
        <x:v>-0.08</x:v>
      </x:c>
      <x:c r="C3" s="20" t="n">
        <x:v>-0.2</x:v>
      </x:c>
      <x:c r="D3" s="20" t="n">
        <x:v>-0.4</x:v>
      </x:c>
      <x:c r="E3" s="20" t="n">
        <x:v>0.25</x:v>
      </x:c>
      <x:c r="F3" s="2" t="str">
        <x:v>模拟假设，不代表真实统计值；后续用外部行业数据替换并做敏感性分析</x:v>
      </x:c>
    </x:row>
    <x:row r="4" ht="15" hidden="0" customHeight="1">
      <x:c r="A4" s="2" t="str">
        <x:v>住宿餐饮及生活服务</x:v>
      </x:c>
      <x:c r="B4" s="20" t="n">
        <x:v>-0.15</x:v>
      </x:c>
      <x:c r="C4" s="20" t="n">
        <x:v>-0.4</x:v>
      </x:c>
      <x:c r="D4" s="20" t="n">
        <x:v>-0.65</x:v>
      </x:c>
      <x:c r="E4" s="20" t="n">
        <x:v>0.3</x:v>
      </x:c>
      <x:c r="F4" s="2" t="str">
        <x:v>模拟假设，不代表真实统计值；后续用外部行业数据替换并做敏感性分析</x:v>
      </x:c>
    </x:row>
    <x:row r="5" ht="15" hidden="0" customHeight="1">
      <x:c r="A5" s="2" t="str">
        <x:v>建筑房地产</x:v>
      </x:c>
      <x:c r="B5" s="20" t="n">
        <x:v>-0.05</x:v>
      </x:c>
      <x:c r="C5" s="20" t="n">
        <x:v>-0.18</x:v>
      </x:c>
      <x:c r="D5" s="20" t="n">
        <x:v>-0.35</x:v>
      </x:c>
      <x:c r="E5" s="20" t="n">
        <x:v>0.25</x:v>
      </x:c>
      <x:c r="F5" s="2" t="str">
        <x:v>模拟假设，不代表真实统计值；后续用外部行业数据替换并做敏感性分析</x:v>
      </x:c>
    </x:row>
    <x:row r="6" ht="15" hidden="0" customHeight="1">
      <x:c r="A6" s="2" t="str">
        <x:v>交通物流</x:v>
      </x:c>
      <x:c r="B6" s="20" t="n">
        <x:v>-0.08</x:v>
      </x:c>
      <x:c r="C6" s="20" t="n">
        <x:v>-0.25</x:v>
      </x:c>
      <x:c r="D6" s="20" t="n">
        <x:v>-0.45</x:v>
      </x:c>
      <x:c r="E6" s="20" t="n">
        <x:v>0.25</x:v>
      </x:c>
      <x:c r="F6" s="2" t="str">
        <x:v>模拟假设，不代表真实统计值；后续用外部行业数据替换并做敏感性分析</x:v>
      </x:c>
    </x:row>
    <x:row r="7" ht="15" hidden="0" customHeight="1">
      <x:c r="A7" s="2" t="str">
        <x:v>科技信息服务</x:v>
      </x:c>
      <x:c r="B7" s="20" t="n">
        <x:v>-0.02</x:v>
      </x:c>
      <x:c r="C7" s="20" t="n">
        <x:v>-0.08</x:v>
      </x:c>
      <x:c r="D7" s="20" t="n">
        <x:v>-0.18</x:v>
      </x:c>
      <x:c r="E7" s="20" t="n">
        <x:v>0.15</x:v>
      </x:c>
      <x:c r="F7" s="2" t="str">
        <x:v>模拟假设，不代表真实统计值；后续用外部行业数据替换并做敏感性分析</x:v>
      </x:c>
    </x:row>
    <x:row r="8" ht="15" hidden="0" customHeight="1">
      <x:c r="A8" s="2" t="str">
        <x:v>医疗健康</x:v>
      </x:c>
      <x:c r="B8" s="20" t="n">
        <x:v>0.02</x:v>
      </x:c>
      <x:c r="C8" s="20" t="n">
        <x:v>0.05</x:v>
      </x:c>
      <x:c r="D8" s="20" t="n">
        <x:v>-0.05</x:v>
      </x:c>
      <x:c r="E8" s="20" t="n">
        <x:v>0.1</x:v>
      </x:c>
      <x:c r="F8" s="2" t="str">
        <x:v>模拟假设，不代表真实统计值；后续用外部行业数据替换并做敏感性分析</x:v>
      </x:c>
    </x:row>
    <x:row r="9" ht="15" hidden="0" customHeight="1">
      <x:c r="A9" s="2" t="str">
        <x:v>其他/无法识别</x:v>
      </x:c>
      <x:c r="B9" s="20" t="n">
        <x:v>-0.05</x:v>
      </x:c>
      <x:c r="C9" s="20" t="n">
        <x:v>-0.15</x:v>
      </x:c>
      <x:c r="D9" s="20" t="n">
        <x:v>-0.3</x:v>
      </x:c>
      <x:c r="E9" s="20" t="n">
        <x:v>0.2</x:v>
      </x:c>
      <x:c r="F9" s="2" t="str">
        <x:v>模拟假设，不代表真实统计值；后续用外部行业数据替换并做敏感性分析</x:v>
      </x:c>
    </x:row>
    <x:row r="10">
      <x:c r="B10" s="21"/>
      <x:c r="C10" s="21"/>
      <x:c r="D10" s="21"/>
      <x:c r="E10" s="21"/>
    </x:row>
    <x:row r="11">
      <x:c r="B11" s="21"/>
      <x:c r="C11" s="21"/>
      <x:c r="D11" s="21"/>
      <x:c r="E11" s="21"/>
    </x:row>
    <x:row r="12">
      <x:c r="B12" s="21"/>
      <x:c r="C12" s="21"/>
      <x:c r="D12" s="21"/>
      <x:c r="E12" s="21"/>
    </x:row>
    <x:row r="13">
      <x:c r="B13" s="21"/>
      <x:c r="C13" s="21"/>
      <x:c r="D13" s="21"/>
      <x:c r="E13" s="21"/>
    </x:row>
    <x:row r="14">
      <x:c r="B14" s="21"/>
      <x:c r="C14" s="21"/>
      <x:c r="D14" s="21"/>
      <x:c r="E14" s="21"/>
    </x:row>
    <x:row r="15">
      <x:c r="B15" s="21"/>
      <x:c r="C15" s="21"/>
      <x:c r="D15" s="21"/>
      <x:c r="E15" s="21"/>
    </x:row>
    <x:row r="16">
      <x:c r="B16" s="21"/>
      <x:c r="C16" s="21"/>
      <x:c r="D16" s="21"/>
      <x:c r="E16" s="21"/>
    </x:row>
    <x:row r="17">
      <x:c r="B17" s="21"/>
      <x:c r="C17" s="21"/>
      <x:c r="D17" s="21"/>
      <x:c r="E17" s="21"/>
    </x:row>
    <x:row r="18">
      <x:c r="B18" s="21"/>
      <x:c r="C18" s="21"/>
      <x:c r="D18" s="21"/>
      <x:c r="E18" s="21"/>
    </x:row>
    <x:row r="19">
      <x:c r="B19" s="21"/>
      <x:c r="C19" s="21"/>
      <x:c r="D19" s="21"/>
      <x:c r="E19" s="21"/>
    </x:row>
    <x:row r="20">
      <x:c r="B20" s="21"/>
      <x:c r="C20" s="21"/>
      <x:c r="D20" s="21"/>
      <x:c r="E20" s="21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4" hidden="0" customWidth="1"/>
  </x:cols>
  <x:sheetData>
    <x:row r="1" ht="32" hidden="0" customHeight="1">
      <x:c r="A1" s="22" t="str">
        <x:v>异常与数据质量可视化</x:v>
      </x:c>
      <x:c r="B1" s="22"/>
      <x:c r="C1" s="22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</x:row>
    <x:row r="2" ht="15" hidden="0" customHeight="1">
      <x:c r="A2" s="2"/>
      <x:c r="B2" s="2"/>
      <x:c r="C2" s="2"/>
    </x:row>
    <x:row r="3" ht="15" hidden="0" customHeight="1">
      <x:c r="A3" s="10" t="str">
        <x:v>数据表</x:v>
      </x:c>
      <x:c r="B3" s="10" t="str">
        <x:v>缺失率</x:v>
      </x:c>
      <x:c r="C3" s="10" t="str">
        <x:v>完全重复行</x:v>
      </x:c>
    </x:row>
    <x:row r="4" ht="15" hidden="0" customHeight="1">
      <x:c r="A4" s="2" t="str">
        <x:v>附件1-企业信息</x:v>
      </x:c>
      <x:c r="B4" s="14" t="n">
        <x:f>'数据审计'!F2</x:f>
        <x:v>0</x:v>
      </x:c>
      <x:c r="C4" s="2" t="n">
        <x:f>'数据审计'!H2</x:f>
        <x:v>0</x:v>
      </x:c>
    </x:row>
    <x:row r="5" ht="15" hidden="0" customHeight="1">
      <x:c r="A5" s="2" t="str">
        <x:v>附件1-进项</x:v>
      </x:c>
      <x:c r="B5" s="14" t="n">
        <x:f>'数据审计'!F3</x:f>
        <x:v>0</x:v>
      </x:c>
      <x:c r="C5" s="2" t="n">
        <x:f>'数据审计'!H3</x:f>
        <x:v>803</x:v>
      </x:c>
    </x:row>
    <x:row r="6" ht="15" hidden="0" customHeight="1">
      <x:c r="A6" s="2" t="str">
        <x:v>附件1-销项</x:v>
      </x:c>
      <x:c r="B6" s="14" t="n">
        <x:f>'数据审计'!F4</x:f>
        <x:v>0</x:v>
      </x:c>
      <x:c r="C6" s="2" t="n">
        <x:f>'数据审计'!H4</x:f>
        <x:v>4436</x:v>
      </x:c>
    </x:row>
    <x:row r="7" ht="15" hidden="0" customHeight="1">
      <x:c r="A7" s="2" t="str">
        <x:v>附件2-企业信息</x:v>
      </x:c>
      <x:c r="B7" s="14" t="n">
        <x:f>'数据审计'!F5</x:f>
        <x:v>0</x:v>
      </x:c>
      <x:c r="C7" s="2" t="n">
        <x:f>'数据审计'!H5</x:f>
        <x:v>0</x:v>
      </x:c>
    </x:row>
    <x:row r="8" ht="15" hidden="0" customHeight="1">
      <x:c r="A8" s="2" t="str">
        <x:v>附件2-销项</x:v>
      </x:c>
      <x:c r="B8" s="14" t="n">
        <x:f>'数据审计'!F6</x:f>
        <x:v>0</x:v>
      </x:c>
      <x:c r="C8" s="2" t="n">
        <x:f>'数据审计'!H6</x:f>
        <x:v>1745</x:v>
      </x:c>
    </x:row>
    <x:row r="9" ht="15" hidden="0" customHeight="1">
      <x:c r="A9" s="2" t="str">
        <x:v>附件2-进项</x:v>
      </x:c>
      <x:c r="B9" s="14" t="n">
        <x:f>'数据审计'!F7</x:f>
        <x:v>0</x:v>
      </x:c>
      <x:c r="C9" s="2" t="n">
        <x:f>'数据审计'!H7</x:f>
        <x:v>4681</x:v>
      </x:c>
    </x:row>
    <x:row r="10" ht="15" hidden="0" customHeight="1">
      <x:c r="A10" s="2" t="str">
        <x:v>附件3-利率流失</x:v>
      </x:c>
      <x:c r="B10" s="14" t="n">
        <x:f>'数据审计'!F8</x:f>
        <x:v>0.008333333333333333</x:v>
      </x:c>
      <x:c r="C10" s="2" t="n">
        <x:f>'数据审计'!H8</x:f>
        <x:v>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09351d3c73740d7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5.630000114440918" hidden="0" customWidth="1"/>
    <x:col min="3" max="3" width="5.630000114440918" hidden="0" customWidth="1"/>
    <x:col min="4" max="4" width="3.880000114440918" hidden="0" customWidth="1"/>
    <x:col min="5" max="5" width="3.880000114440918" hidden="0" customWidth="1"/>
    <x:col min="6" max="6" width="3.880000114440918" hidden="0" customWidth="1"/>
    <x:col min="7" max="7" width="13" hidden="0" customWidth="1"/>
  </x:cols>
  <x:sheetData>
    <x:row r="1" ht="32" hidden="0" customHeight="1">
      <x:c r="A1" s="22" t="str">
        <x:v>数据处理检查</x:v>
      </x:c>
      <x:c r="B1" s="22"/>
      <x:c r="C1" s="22"/>
      <x:c r="D1" s="22"/>
      <x:c r="E1" s="22"/>
      <x:c r="F1" s="22"/>
      <x:c r="G1" s="22"/>
    </x:row>
    <x:row r="2" ht="15" hidden="0" customHeight="1">
      <x:c r="A2" s="2"/>
      <x:c r="B2" s="2"/>
      <x:c r="C2" s="2"/>
      <x:c r="D2" s="2"/>
      <x:c r="E2" s="2"/>
      <x:c r="F2" s="2"/>
      <x:c r="G2" s="2"/>
    </x:row>
    <x:row r="3" ht="15" hidden="0" customHeight="1">
      <x:c r="A3" s="10" t="str">
        <x:v>检查项</x:v>
      </x:c>
      <x:c r="B3" s="10" t="str">
        <x:v>实际值</x:v>
      </x:c>
      <x:c r="C3" s="10" t="str">
        <x:v>期望值</x:v>
      </x:c>
      <x:c r="D3" s="10" t="str">
        <x:v>差异</x:v>
      </x:c>
      <x:c r="E3" s="10" t="str">
        <x:v>容差</x:v>
      </x:c>
      <x:c r="F3" s="10" t="str">
        <x:v>状态</x:v>
      </x:c>
      <x:c r="G3" s="10" t="str">
        <x:v>备注</x:v>
      </x:c>
    </x:row>
    <x:row r="4" ht="15" hidden="0" customHeight="1">
      <x:c r="A4" s="2" t="str">
        <x:v>企业总数</x:v>
      </x:c>
      <x:c r="B4" s="2" t="n">
        <x:f>COUNTA('原始特征'!A2:A426)</x:f>
        <x:v>425</x:v>
      </x:c>
      <x:c r="C4" s="2" t="n">
        <x:v>425</x:v>
      </x:c>
      <x:c r="D4" s="2" t="n">
        <x:f>B4-C4</x:f>
        <x:v>0</x:v>
      </x:c>
      <x:c r="E4" s="2" t="n">
        <x:v>0</x:v>
      </x:c>
      <x:c r="F4" s="2" t="str">
        <x:f>IF(ABS(D4)&lt;=E4,"OK","检查")</x:f>
        <x:v>OK</x:v>
      </x:c>
      <x:c r="G4" s="2" t="str">
        <x:v>123+302</x:v>
      </x:c>
    </x:row>
    <x:row r="5" ht="15" hidden="0" customHeight="1">
      <x:c r="A5" s="2" t="str">
        <x:v>附件1企业数</x:v>
      </x:c>
      <x:c r="B5" s="2" t="n">
        <x:f>COUNTIF('原始特征'!C2:C426,"有信贷记录")</x:f>
        <x:v>123</x:v>
      </x:c>
      <x:c r="C5" s="2" t="n">
        <x:v>123</x:v>
      </x:c>
      <x:c r="D5" s="2" t="n">
        <x:f>B5-C5</x:f>
        <x:v>0</x:v>
      </x:c>
      <x:c r="E5" s="2" t="n">
        <x:v>0</x:v>
      </x:c>
      <x:c r="F5" s="2" t="str">
        <x:f>IF(ABS(D5)&lt;=E5,"OK","检查")</x:f>
        <x:v>OK</x:v>
      </x:c>
      <x:c r="G5" s="2" t="str">
        <x:v>应与题目一致</x:v>
      </x:c>
    </x:row>
    <x:row r="6" ht="15" hidden="0" customHeight="1">
      <x:c r="A6" s="2" t="str">
        <x:v>附件2企业数</x:v>
      </x:c>
      <x:c r="B6" s="2" t="n">
        <x:f>COUNTIF('原始特征'!C2:C426,"无信贷记录")</x:f>
        <x:v>302</x:v>
      </x:c>
      <x:c r="C6" s="2" t="n">
        <x:v>302</x:v>
      </x:c>
      <x:c r="D6" s="2" t="n">
        <x:f>B6-C6</x:f>
        <x:v>0</x:v>
      </x:c>
      <x:c r="E6" s="2" t="n">
        <x:v>0</x:v>
      </x:c>
      <x:c r="F6" s="2" t="str">
        <x:f>IF(ABS(D6)&lt;=E6,"OK","检查")</x:f>
        <x:v>OK</x:v>
      </x:c>
      <x:c r="G6" s="2" t="str">
        <x:v>应与题目一致</x:v>
      </x:c>
    </x:row>
    <x:row r="7" ht="15" hidden="0" customHeight="1">
      <x:c r="A7" s="2" t="str">
        <x:v>关键字段缺失行</x:v>
      </x:c>
      <x:c r="B7" s="2" t="n">
        <x:f>SUM('数据审计'!G2:G8)</x:f>
        <x:v>0</x:v>
      </x:c>
      <x:c r="C7" s="2" t="n">
        <x:v>0</x:v>
      </x:c>
      <x:c r="D7" s="2" t="n">
        <x:f>B7-C7</x:f>
        <x:v>0</x:v>
      </x:c>
      <x:c r="E7" s="2" t="n">
        <x:v>0</x:v>
      </x:c>
      <x:c r="F7" s="2" t="str">
        <x:f>IF(ABS(D7)&lt;=E7,"OK","检查")</x:f>
        <x:v>OK</x:v>
      </x:c>
      <x:c r="G7" s="2" t="str">
        <x:v>企业代号/发票号</x:v>
      </x:c>
    </x:row>
    <x:row r="8" ht="15" hidden="0" customHeight="1">
      <x:c r="A8" s="2" t="str">
        <x:v>企业级填补</x:v>
      </x:c>
      <x:c r="B8" s="2" t="n">
        <x:v>0</x:v>
      </x:c>
      <x:c r="C8" s="2" t="n">
        <x:v>0</x:v>
      </x:c>
      <x:c r="D8" s="2" t="n">
        <x:f>B8-C8</x:f>
        <x:v>0</x:v>
      </x:c>
      <x:c r="E8" s="2" t="n">
        <x:v>0</x:v>
      </x:c>
      <x:c r="F8" s="2" t="str">
        <x:f>IF(ABS(D8)&lt;=E8,"OK","检查")</x:f>
        <x:v>OK</x:v>
      </x:c>
      <x:c r="G8" s="2" t="str">
        <x:v>本次无需填补</x:v>
      </x:c>
    </x:row>
    <x:row r="9" ht="15" hidden="0" customHeight="1">
      <x:c r="A9" s="2" t="str">
        <x:v>总体状态</x:v>
      </x:c>
      <x:c r="B9" s="2" t="str"/>
      <x:c r="C9" s="2" t="str"/>
      <x:c r="D9" s="2" t="str"/>
      <x:c r="E9" s="2" t="str"/>
      <x:c r="F9" s="2" t="str">
        <x:f>IF(COUNTIF(F4:F8,"检查")=0,"OK","检查")</x:f>
        <x:v>OK</x:v>
      </x:c>
      <x:c r="G9" s="2" t="str">
        <x:v>所有检查应为OK</x:v>
      </x:c>
    </x:row>
  </x:sheetData>
  <x:mergeCells>
    <x:mergeCell ref="A1:G1"/>
  </x:mergeCells>
  <x:conditionalFormatting sqref="F4:F9">
    <x:cfRule type="containsText" dxfId="0" priority="1" operator="containsText" text="OK"/>
    <x:cfRule type="containsText" dxfId="1" priority="2" operator="containsText" text="检查"/>
  </x:conditionalFormatting>
  <x:pageMargins left="0.7" right="0.7" top="0.75" bottom="0.75" header="0.3" footer="0.3"/>
</x:worksheet>
</file>